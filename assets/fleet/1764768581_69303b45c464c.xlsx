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13_ncr:1_{BBB50DA5-631E-4596-B6D2-55374AC456D7}" xr6:coauthVersionLast="47" xr6:coauthVersionMax="47" xr10:uidLastSave="{00000000-0000-0000-0000-000000000000}"/>
  <bookViews>
    <workbookView xWindow="-120" yWindow="-120" windowWidth="20640" windowHeight="11160" firstSheet="59" activeTab="62" xr2:uid="{7D451A4E-441C-4FDF-9122-EB78CB9BA014}"/>
  </bookViews>
  <sheets>
    <sheet name="BOBCAT T66 (B4S) (2)" sheetId="65" r:id="rId1"/>
    <sheet name="BOBCAT T66 (B4S)" sheetId="2" r:id="rId2"/>
    <sheet name="BOBCAT T64 (B4S)" sheetId="1" r:id="rId3"/>
    <sheet name="Peterbilt 348 2NP3LJ06LM682275" sheetId="4" r:id="rId4"/>
    <sheet name="Peterbilt 348 2NP3LJ0X6NM800232" sheetId="5" r:id="rId5"/>
    <sheet name="Peterbilt 348 2NP3LJ0X6NM800233" sheetId="6" r:id="rId6"/>
    <sheet name="Kenworth T880 1NKZLP0XXLJ95" sheetId="17" r:id="rId7"/>
    <sheet name="Kenworth T800 1XKDDBTX17R994503" sheetId="7" r:id="rId8"/>
    <sheet name="Kenworth T800 1XKDDBTX57R994505" sheetId="18" r:id="rId9"/>
    <sheet name="Kenworth T800 1XKDDBTX57R99" sheetId="19" r:id="rId10"/>
    <sheet name="Kenworth T800 1XKDDBTX97R992840" sheetId="21" r:id="rId11"/>
    <sheet name="Kenworth T800 1XKDDBTXX7R992832" sheetId="20" r:id="rId12"/>
    <sheet name="Kenworth T800 1XXDDBTX179992833" sheetId="22" r:id="rId13"/>
    <sheet name="Kenworth T800 1XKDDBTX27R991528" sheetId="23" r:id="rId14"/>
    <sheet name="BW211D 901583251560" sheetId="8" r:id="rId15"/>
    <sheet name="BW211 901583251951" sheetId="9" r:id="rId16"/>
    <sheet name="BW211D-5 101587651138" sheetId="10" r:id="rId17"/>
    <sheet name="BW211D-5 101587651168" sheetId="11" r:id="rId18"/>
    <sheet name="BW211D-5 101587651171" sheetId="12" r:id="rId19"/>
    <sheet name="BW213 901582571158" sheetId="13" r:id="rId20"/>
    <sheet name="213PD 901582571215" sheetId="14" r:id="rId21"/>
    <sheet name="BW213PDH-4 901582571113" sheetId="15" r:id="rId22"/>
    <sheet name="Hitachi Zx35U JD 35G" sheetId="16" r:id="rId23"/>
    <sheet name="Ingersoll Rand XP185WIR COMPRES" sheetId="24" r:id="rId24"/>
    <sheet name="Ingersoll Rand XP185WJD COMPRES" sheetId="25" r:id="rId25"/>
    <sheet name="Ingersoll Rand P185WJD COMPRESS" sheetId="26" r:id="rId26"/>
    <sheet name="Ingersoll Rand P185WJD COMP (2)" sheetId="27" r:id="rId27"/>
    <sheet name="Ingersoll Rand L6-4MH light" sheetId="28" r:id="rId28"/>
    <sheet name="Ingersoll Rand L8-4MH light (2)" sheetId="30" r:id="rId29"/>
    <sheet name="International 7400" sheetId="41" r:id="rId30"/>
    <sheet name="International CV515" sheetId="42" r:id="rId31"/>
    <sheet name="International 7500 SBA" sheetId="43" r:id="rId32"/>
    <sheet name="International Workstar 7400" sheetId="44" r:id="rId33"/>
    <sheet name="International Workstar 7400 (2)" sheetId="45" r:id="rId34"/>
    <sheet name="JLG 10054 Telehandler" sheetId="29" r:id="rId35"/>
    <sheet name="JLG 10054 Telehandler (2)" sheetId="31" r:id="rId36"/>
    <sheet name="JLG 10054 Telehandler (3)" sheetId="32" r:id="rId37"/>
    <sheet name="JLG 10054 Telehandler (4)" sheetId="33" r:id="rId38"/>
    <sheet name="JLG 10054 Telehandler (5)" sheetId="34" r:id="rId39"/>
    <sheet name="JLG 10054 Telehandler (6)" sheetId="35" r:id="rId40"/>
    <sheet name="JLG 10054 Telehandler (7)" sheetId="36" r:id="rId41"/>
    <sheet name="JLG 600AJ" sheetId="37" r:id="rId42"/>
    <sheet name="JLG 600AJ (2)" sheetId="50" r:id="rId43"/>
    <sheet name="JLG 600S" sheetId="38" r:id="rId44"/>
    <sheet name="JLG 600S (2)" sheetId="39" r:id="rId45"/>
    <sheet name="JLG 600S (3)" sheetId="40" r:id="rId46"/>
    <sheet name="JCB 510-56" sheetId="46" r:id="rId47"/>
    <sheet name="JCB 510-56 (2)" sheetId="47" r:id="rId48"/>
    <sheet name="JCB 510-56 (3)" sheetId="48" r:id="rId49"/>
    <sheet name="Link-Belt RTC_8065" sheetId="51" r:id="rId50"/>
    <sheet name="Wacker ST-45 SKID" sheetId="52" r:id="rId51"/>
    <sheet name="Wacker LTT6L " sheetId="53" r:id="rId52"/>
    <sheet name="Wacker LTT6L  (2)" sheetId="54" r:id="rId53"/>
    <sheet name="Wacker LTT6L  (3)" sheetId="55" r:id="rId54"/>
    <sheet name="Wacker LTT6L  (4)" sheetId="56" r:id="rId55"/>
    <sheet name="Wacker LTT6L  (5)" sheetId="57" r:id="rId56"/>
    <sheet name="Wacker LTT6L  (6)" sheetId="58" r:id="rId57"/>
    <sheet name="Wacker LTT6L  (7)" sheetId="59" r:id="rId58"/>
    <sheet name="Wacker LTT6L  (8)" sheetId="60" r:id="rId59"/>
    <sheet name="Wacker LTT6L  (9)" sheetId="61" r:id="rId60"/>
    <sheet name="Wacker LTT6L  (10)" sheetId="62" r:id="rId61"/>
    <sheet name="Wacker LTT6L  (11)" sheetId="63" r:id="rId62"/>
    <sheet name="Takeuchi TL10V2" sheetId="64" r:id="rId6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1" i="65" l="1"/>
  <c r="F61" i="65"/>
  <c r="E61" i="65"/>
  <c r="L60" i="65"/>
  <c r="T60" i="65" s="1"/>
  <c r="S60" i="65" s="1"/>
  <c r="K60" i="65"/>
  <c r="J60" i="65"/>
  <c r="K59" i="65"/>
  <c r="J59" i="65"/>
  <c r="L59" i="65" s="1"/>
  <c r="L58" i="65"/>
  <c r="K58" i="65"/>
  <c r="J58" i="65"/>
  <c r="K57" i="65"/>
  <c r="J57" i="65"/>
  <c r="L57" i="65" s="1"/>
  <c r="L56" i="65"/>
  <c r="K56" i="65"/>
  <c r="J56" i="65"/>
  <c r="K55" i="65"/>
  <c r="J55" i="65"/>
  <c r="L55" i="65" s="1"/>
  <c r="L54" i="65"/>
  <c r="K54" i="65"/>
  <c r="J54" i="65"/>
  <c r="K53" i="65"/>
  <c r="J53" i="65"/>
  <c r="K52" i="65"/>
  <c r="J52" i="65"/>
  <c r="K51" i="65"/>
  <c r="J51" i="65"/>
  <c r="K50" i="65"/>
  <c r="J50" i="65"/>
  <c r="K49" i="65"/>
  <c r="J49" i="65"/>
  <c r="K48" i="65"/>
  <c r="J48" i="65"/>
  <c r="K47" i="65"/>
  <c r="J47" i="65"/>
  <c r="K46" i="65"/>
  <c r="J46" i="65"/>
  <c r="K45" i="65"/>
  <c r="J45" i="65"/>
  <c r="K44" i="65"/>
  <c r="J44" i="65"/>
  <c r="K43" i="65"/>
  <c r="J43" i="65"/>
  <c r="K42" i="65"/>
  <c r="J42" i="65"/>
  <c r="K41" i="65"/>
  <c r="J41" i="65"/>
  <c r="K40" i="65"/>
  <c r="J40" i="65"/>
  <c r="K39" i="65"/>
  <c r="J39" i="65"/>
  <c r="K38" i="65"/>
  <c r="J38" i="65"/>
  <c r="K37" i="65"/>
  <c r="J37" i="65"/>
  <c r="K36" i="65"/>
  <c r="J36" i="65"/>
  <c r="K35" i="65"/>
  <c r="J35" i="65"/>
  <c r="K34" i="65"/>
  <c r="J34" i="65"/>
  <c r="K33" i="65"/>
  <c r="J33" i="65"/>
  <c r="K32" i="65"/>
  <c r="J32" i="65"/>
  <c r="K31" i="65"/>
  <c r="J31" i="65"/>
  <c r="K30" i="65"/>
  <c r="J30" i="65"/>
  <c r="K29" i="65"/>
  <c r="J29" i="65"/>
  <c r="K28" i="65"/>
  <c r="J28" i="65"/>
  <c r="K27" i="65"/>
  <c r="J27" i="65"/>
  <c r="K26" i="65"/>
  <c r="J26" i="65"/>
  <c r="K25" i="65"/>
  <c r="J25" i="65"/>
  <c r="K24" i="65"/>
  <c r="J24" i="65"/>
  <c r="K23" i="65"/>
  <c r="J23" i="65"/>
  <c r="K22" i="65"/>
  <c r="J22" i="65"/>
  <c r="K21" i="65"/>
  <c r="J21" i="65"/>
  <c r="K20" i="65"/>
  <c r="J20" i="65"/>
  <c r="K19" i="65"/>
  <c r="J19" i="65"/>
  <c r="R18" i="65"/>
  <c r="L18" i="65"/>
  <c r="K18" i="65"/>
  <c r="J18" i="65"/>
  <c r="R17" i="65"/>
  <c r="R60" i="65" s="1"/>
  <c r="U60" i="65" s="1"/>
  <c r="H17" i="65"/>
  <c r="G17" i="65"/>
  <c r="H18" i="65" s="1"/>
  <c r="D15" i="65"/>
  <c r="G60" i="65" s="1"/>
  <c r="P10" i="65"/>
  <c r="P1" i="65"/>
  <c r="P8" i="65" s="1"/>
  <c r="Q47" i="64"/>
  <c r="F47" i="64"/>
  <c r="E47" i="64"/>
  <c r="K46" i="64"/>
  <c r="J46" i="64"/>
  <c r="K45" i="64"/>
  <c r="J45" i="64"/>
  <c r="K44" i="64"/>
  <c r="J44" i="64"/>
  <c r="K43" i="64"/>
  <c r="J43" i="64"/>
  <c r="K42" i="64"/>
  <c r="J42" i="64"/>
  <c r="K41" i="64"/>
  <c r="J41" i="64"/>
  <c r="K40" i="64"/>
  <c r="J40" i="64"/>
  <c r="K39" i="64"/>
  <c r="J39" i="64"/>
  <c r="K38" i="64"/>
  <c r="J38" i="64"/>
  <c r="K37" i="64"/>
  <c r="J37" i="64"/>
  <c r="K36" i="64"/>
  <c r="J36" i="64"/>
  <c r="K35" i="64"/>
  <c r="J35" i="64"/>
  <c r="K34" i="64"/>
  <c r="J34" i="64"/>
  <c r="K33" i="64"/>
  <c r="J33" i="64"/>
  <c r="K32" i="64"/>
  <c r="J32" i="64"/>
  <c r="K31" i="64"/>
  <c r="J31" i="64"/>
  <c r="K30" i="64"/>
  <c r="J30" i="64"/>
  <c r="K29" i="64"/>
  <c r="J29" i="64"/>
  <c r="K28" i="64"/>
  <c r="J28" i="64"/>
  <c r="K27" i="64"/>
  <c r="J27" i="64"/>
  <c r="K26" i="64"/>
  <c r="J26" i="64"/>
  <c r="K25" i="64"/>
  <c r="J25" i="64"/>
  <c r="K24" i="64"/>
  <c r="J24" i="64"/>
  <c r="K23" i="64"/>
  <c r="J23" i="64"/>
  <c r="K22" i="64"/>
  <c r="J22" i="64"/>
  <c r="K21" i="64"/>
  <c r="J21" i="64"/>
  <c r="K20" i="64"/>
  <c r="J20" i="64"/>
  <c r="K19" i="64"/>
  <c r="J19" i="64"/>
  <c r="K18" i="64"/>
  <c r="J18" i="64"/>
  <c r="R17" i="64"/>
  <c r="H17" i="64"/>
  <c r="G17" i="64"/>
  <c r="D15" i="64"/>
  <c r="P10" i="64"/>
  <c r="P1" i="64"/>
  <c r="P8" i="64" s="1"/>
  <c r="P1" i="63"/>
  <c r="P8" i="63"/>
  <c r="D15" i="63"/>
  <c r="G17" i="63"/>
  <c r="H17" i="63"/>
  <c r="R17" i="63"/>
  <c r="G18" i="63"/>
  <c r="H18" i="63"/>
  <c r="J18" i="63"/>
  <c r="K18" i="63"/>
  <c r="L18" i="63"/>
  <c r="R18" i="63"/>
  <c r="T18" i="63"/>
  <c r="S18" i="63" s="1"/>
  <c r="U18" i="63"/>
  <c r="V18" i="63"/>
  <c r="G19" i="63"/>
  <c r="H19" i="63"/>
  <c r="J19" i="63"/>
  <c r="K19" i="63"/>
  <c r="L19" i="63"/>
  <c r="R19" i="63"/>
  <c r="T19" i="63"/>
  <c r="S19" i="63" s="1"/>
  <c r="U19" i="63"/>
  <c r="V19" i="63"/>
  <c r="G20" i="63"/>
  <c r="H20" i="63"/>
  <c r="J20" i="63"/>
  <c r="K20" i="63"/>
  <c r="L20" i="63"/>
  <c r="R20" i="63"/>
  <c r="T20" i="63"/>
  <c r="S20" i="63" s="1"/>
  <c r="U20" i="63"/>
  <c r="V20" i="63"/>
  <c r="G21" i="63"/>
  <c r="H21" i="63"/>
  <c r="J21" i="63"/>
  <c r="K21" i="63"/>
  <c r="L21" i="63"/>
  <c r="R21" i="63"/>
  <c r="T21" i="63"/>
  <c r="S21" i="63" s="1"/>
  <c r="U21" i="63"/>
  <c r="V21" i="63"/>
  <c r="G22" i="63"/>
  <c r="H22" i="63"/>
  <c r="J22" i="63"/>
  <c r="K22" i="63"/>
  <c r="L22" i="63"/>
  <c r="R22" i="63"/>
  <c r="T22" i="63"/>
  <c r="S22" i="63" s="1"/>
  <c r="U22" i="63"/>
  <c r="V22" i="63"/>
  <c r="G23" i="63"/>
  <c r="H23" i="63"/>
  <c r="J23" i="63"/>
  <c r="K23" i="63"/>
  <c r="L23" i="63"/>
  <c r="R23" i="63"/>
  <c r="T23" i="63"/>
  <c r="S23" i="63" s="1"/>
  <c r="U23" i="63"/>
  <c r="V23" i="63"/>
  <c r="G24" i="63"/>
  <c r="H24" i="63"/>
  <c r="J24" i="63"/>
  <c r="K24" i="63"/>
  <c r="L24" i="63"/>
  <c r="R24" i="63"/>
  <c r="T24" i="63"/>
  <c r="S24" i="63" s="1"/>
  <c r="U24" i="63"/>
  <c r="V24" i="63"/>
  <c r="G25" i="63"/>
  <c r="H25" i="63"/>
  <c r="J25" i="63"/>
  <c r="K25" i="63"/>
  <c r="L25" i="63"/>
  <c r="R25" i="63"/>
  <c r="T25" i="63"/>
  <c r="S25" i="63" s="1"/>
  <c r="U25" i="63"/>
  <c r="V25" i="63"/>
  <c r="G26" i="63"/>
  <c r="H26" i="63"/>
  <c r="J26" i="63"/>
  <c r="K26" i="63"/>
  <c r="L26" i="63"/>
  <c r="R26" i="63"/>
  <c r="T26" i="63"/>
  <c r="S26" i="63" s="1"/>
  <c r="U26" i="63"/>
  <c r="V26" i="63"/>
  <c r="H27" i="63"/>
  <c r="J27" i="63"/>
  <c r="K27" i="63"/>
  <c r="L27" i="63"/>
  <c r="R27" i="63"/>
  <c r="T27" i="63"/>
  <c r="S27" i="63" s="1"/>
  <c r="U27" i="63"/>
  <c r="V27" i="63"/>
  <c r="G28" i="63"/>
  <c r="H28" i="63"/>
  <c r="J28" i="63"/>
  <c r="K28" i="63"/>
  <c r="L28" i="63"/>
  <c r="R28" i="63"/>
  <c r="T28" i="63"/>
  <c r="S28" i="63" s="1"/>
  <c r="U28" i="63"/>
  <c r="V28" i="63"/>
  <c r="G29" i="63"/>
  <c r="H29" i="63"/>
  <c r="J29" i="63"/>
  <c r="K29" i="63"/>
  <c r="L29" i="63"/>
  <c r="R29" i="63"/>
  <c r="T29" i="63"/>
  <c r="S29" i="63" s="1"/>
  <c r="U29" i="63"/>
  <c r="V29" i="63"/>
  <c r="G30" i="63"/>
  <c r="H30" i="63"/>
  <c r="J30" i="63"/>
  <c r="K30" i="63"/>
  <c r="L30" i="63"/>
  <c r="R30" i="63"/>
  <c r="T30" i="63"/>
  <c r="S30" i="63" s="1"/>
  <c r="U30" i="63"/>
  <c r="V30" i="63"/>
  <c r="G31" i="63"/>
  <c r="H31" i="63"/>
  <c r="J31" i="63"/>
  <c r="K31" i="63"/>
  <c r="L31" i="63"/>
  <c r="R31" i="63"/>
  <c r="T31" i="63"/>
  <c r="S31" i="63" s="1"/>
  <c r="U31" i="63"/>
  <c r="V31" i="63"/>
  <c r="G32" i="63"/>
  <c r="H32" i="63"/>
  <c r="J32" i="63"/>
  <c r="K32" i="63"/>
  <c r="L32" i="63"/>
  <c r="R32" i="63"/>
  <c r="T32" i="63"/>
  <c r="S32" i="63" s="1"/>
  <c r="U32" i="63"/>
  <c r="V32" i="63"/>
  <c r="G33" i="63"/>
  <c r="H33" i="63"/>
  <c r="J33" i="63"/>
  <c r="K33" i="63"/>
  <c r="L33" i="63"/>
  <c r="R33" i="63"/>
  <c r="T33" i="63"/>
  <c r="S33" i="63" s="1"/>
  <c r="U33" i="63"/>
  <c r="V33" i="63"/>
  <c r="G34" i="63"/>
  <c r="H34" i="63"/>
  <c r="J34" i="63"/>
  <c r="K34" i="63"/>
  <c r="L34" i="63"/>
  <c r="R34" i="63"/>
  <c r="T34" i="63"/>
  <c r="S34" i="63" s="1"/>
  <c r="U34" i="63"/>
  <c r="V34" i="63"/>
  <c r="G35" i="63"/>
  <c r="H35" i="63"/>
  <c r="J35" i="63"/>
  <c r="K35" i="63"/>
  <c r="L35" i="63"/>
  <c r="R35" i="63"/>
  <c r="T35" i="63"/>
  <c r="S35" i="63" s="1"/>
  <c r="U35" i="63"/>
  <c r="V35" i="63"/>
  <c r="G36" i="63"/>
  <c r="H36" i="63"/>
  <c r="J36" i="63"/>
  <c r="K36" i="63"/>
  <c r="L36" i="63"/>
  <c r="R36" i="63"/>
  <c r="T36" i="63"/>
  <c r="S36" i="63" s="1"/>
  <c r="U36" i="63"/>
  <c r="V36" i="63"/>
  <c r="G37" i="63"/>
  <c r="H37" i="63"/>
  <c r="J37" i="63"/>
  <c r="K37" i="63"/>
  <c r="L37" i="63"/>
  <c r="R37" i="63"/>
  <c r="T37" i="63"/>
  <c r="S37" i="63" s="1"/>
  <c r="U37" i="63"/>
  <c r="V37" i="63"/>
  <c r="G38" i="63"/>
  <c r="H38" i="63"/>
  <c r="J38" i="63"/>
  <c r="K38" i="63"/>
  <c r="L38" i="63"/>
  <c r="R38" i="63"/>
  <c r="T38" i="63"/>
  <c r="S38" i="63" s="1"/>
  <c r="U38" i="63"/>
  <c r="V38" i="63"/>
  <c r="G39" i="63"/>
  <c r="H39" i="63"/>
  <c r="J39" i="63"/>
  <c r="K39" i="63"/>
  <c r="L39" i="63"/>
  <c r="R39" i="63"/>
  <c r="T39" i="63"/>
  <c r="S39" i="63" s="1"/>
  <c r="U39" i="63"/>
  <c r="V39" i="63"/>
  <c r="G40" i="63"/>
  <c r="H40" i="63"/>
  <c r="J40" i="63"/>
  <c r="K40" i="63"/>
  <c r="L40" i="63"/>
  <c r="R40" i="63"/>
  <c r="T40" i="63"/>
  <c r="S40" i="63" s="1"/>
  <c r="U40" i="63"/>
  <c r="V40" i="63"/>
  <c r="G41" i="63"/>
  <c r="H41" i="63"/>
  <c r="J41" i="63"/>
  <c r="K41" i="63"/>
  <c r="L41" i="63"/>
  <c r="R41" i="63"/>
  <c r="T41" i="63"/>
  <c r="S41" i="63" s="1"/>
  <c r="U41" i="63"/>
  <c r="V41" i="63"/>
  <c r="G42" i="63"/>
  <c r="H42" i="63"/>
  <c r="J42" i="63"/>
  <c r="K42" i="63"/>
  <c r="L42" i="63"/>
  <c r="R42" i="63"/>
  <c r="T42" i="63"/>
  <c r="S42" i="63" s="1"/>
  <c r="U42" i="63"/>
  <c r="V42" i="63"/>
  <c r="G43" i="63"/>
  <c r="H43" i="63"/>
  <c r="J43" i="63"/>
  <c r="K43" i="63"/>
  <c r="L43" i="63"/>
  <c r="R43" i="63"/>
  <c r="T43" i="63"/>
  <c r="S43" i="63" s="1"/>
  <c r="U43" i="63"/>
  <c r="V43" i="63"/>
  <c r="G44" i="63"/>
  <c r="H44" i="63"/>
  <c r="J44" i="63"/>
  <c r="K44" i="63"/>
  <c r="L44" i="63"/>
  <c r="R44" i="63"/>
  <c r="T44" i="63"/>
  <c r="S44" i="63" s="1"/>
  <c r="U44" i="63"/>
  <c r="V44" i="63"/>
  <c r="G45" i="63"/>
  <c r="H45" i="63"/>
  <c r="J45" i="63"/>
  <c r="K45" i="63"/>
  <c r="L45" i="63"/>
  <c r="R45" i="63"/>
  <c r="T45" i="63"/>
  <c r="S45" i="63" s="1"/>
  <c r="U45" i="63"/>
  <c r="V45" i="63"/>
  <c r="G46" i="63"/>
  <c r="H46" i="63"/>
  <c r="J46" i="63"/>
  <c r="K46" i="63"/>
  <c r="L46" i="63"/>
  <c r="R46" i="63"/>
  <c r="T46" i="63"/>
  <c r="S46" i="63" s="1"/>
  <c r="U46" i="63"/>
  <c r="V46" i="63"/>
  <c r="G47" i="63"/>
  <c r="H47" i="63"/>
  <c r="J47" i="63"/>
  <c r="K47" i="63"/>
  <c r="L47" i="63"/>
  <c r="R47" i="63"/>
  <c r="T47" i="63"/>
  <c r="S47" i="63" s="1"/>
  <c r="U47" i="63"/>
  <c r="V47" i="63"/>
  <c r="G48" i="63"/>
  <c r="H48" i="63"/>
  <c r="J48" i="63"/>
  <c r="K48" i="63"/>
  <c r="L48" i="63"/>
  <c r="R48" i="63"/>
  <c r="T48" i="63"/>
  <c r="S48" i="63" s="1"/>
  <c r="U48" i="63"/>
  <c r="V48" i="63"/>
  <c r="G49" i="63"/>
  <c r="H49" i="63"/>
  <c r="J49" i="63"/>
  <c r="K49" i="63"/>
  <c r="L49" i="63"/>
  <c r="R49" i="63"/>
  <c r="T49" i="63"/>
  <c r="S49" i="63" s="1"/>
  <c r="U49" i="63"/>
  <c r="V49" i="63"/>
  <c r="G50" i="63"/>
  <c r="H50" i="63"/>
  <c r="J50" i="63"/>
  <c r="K50" i="63"/>
  <c r="L50" i="63"/>
  <c r="R50" i="63"/>
  <c r="T50" i="63"/>
  <c r="S50" i="63" s="1"/>
  <c r="U50" i="63"/>
  <c r="V50" i="63"/>
  <c r="G51" i="63"/>
  <c r="H51" i="63"/>
  <c r="J51" i="63"/>
  <c r="K51" i="63"/>
  <c r="L51" i="63"/>
  <c r="R51" i="63"/>
  <c r="T51" i="63"/>
  <c r="S51" i="63" s="1"/>
  <c r="U51" i="63"/>
  <c r="V51" i="63"/>
  <c r="G52" i="63"/>
  <c r="H52" i="63"/>
  <c r="J52" i="63"/>
  <c r="K52" i="63"/>
  <c r="L52" i="63"/>
  <c r="R52" i="63"/>
  <c r="T52" i="63"/>
  <c r="S52" i="63" s="1"/>
  <c r="U52" i="63"/>
  <c r="V52" i="63"/>
  <c r="G53" i="63"/>
  <c r="H53" i="63"/>
  <c r="J53" i="63"/>
  <c r="K53" i="63"/>
  <c r="L53" i="63"/>
  <c r="R53" i="63"/>
  <c r="T53" i="63"/>
  <c r="S53" i="63" s="1"/>
  <c r="U53" i="63"/>
  <c r="V53" i="63"/>
  <c r="G54" i="63"/>
  <c r="H54" i="63"/>
  <c r="J54" i="63"/>
  <c r="K54" i="63"/>
  <c r="L54" i="63"/>
  <c r="R54" i="63"/>
  <c r="T54" i="63"/>
  <c r="S54" i="63" s="1"/>
  <c r="U54" i="63"/>
  <c r="V54" i="63"/>
  <c r="G55" i="63"/>
  <c r="H55" i="63"/>
  <c r="J55" i="63"/>
  <c r="K55" i="63"/>
  <c r="L55" i="63"/>
  <c r="R55" i="63"/>
  <c r="T55" i="63"/>
  <c r="S55" i="63" s="1"/>
  <c r="U55" i="63"/>
  <c r="V55" i="63"/>
  <c r="G56" i="63"/>
  <c r="H56" i="63"/>
  <c r="J56" i="63"/>
  <c r="K56" i="63"/>
  <c r="L56" i="63"/>
  <c r="R56" i="63"/>
  <c r="T56" i="63"/>
  <c r="S56" i="63" s="1"/>
  <c r="U56" i="63"/>
  <c r="V56" i="63"/>
  <c r="G57" i="63"/>
  <c r="H57" i="63"/>
  <c r="J57" i="63"/>
  <c r="K57" i="63"/>
  <c r="L57" i="63"/>
  <c r="R57" i="63"/>
  <c r="T57" i="63"/>
  <c r="S57" i="63" s="1"/>
  <c r="U57" i="63"/>
  <c r="V57" i="63"/>
  <c r="G58" i="63"/>
  <c r="H58" i="63"/>
  <c r="J58" i="63"/>
  <c r="K58" i="63"/>
  <c r="L58" i="63"/>
  <c r="R58" i="63"/>
  <c r="T58" i="63"/>
  <c r="S58" i="63" s="1"/>
  <c r="U58" i="63"/>
  <c r="V58" i="63"/>
  <c r="G59" i="63"/>
  <c r="H59" i="63"/>
  <c r="J59" i="63"/>
  <c r="K59" i="63"/>
  <c r="L59" i="63"/>
  <c r="R59" i="63"/>
  <c r="T59" i="63"/>
  <c r="S59" i="63" s="1"/>
  <c r="U59" i="63"/>
  <c r="V59" i="63"/>
  <c r="G60" i="63"/>
  <c r="H60" i="63"/>
  <c r="J60" i="63"/>
  <c r="K60" i="63"/>
  <c r="L60" i="63"/>
  <c r="R60" i="63"/>
  <c r="T60" i="63"/>
  <c r="S60" i="63" s="1"/>
  <c r="U60" i="63"/>
  <c r="V60" i="63"/>
  <c r="E61" i="63"/>
  <c r="P10" i="63" s="1"/>
  <c r="F61" i="63"/>
  <c r="G61" i="63"/>
  <c r="H61" i="63"/>
  <c r="P2" i="63" s="1"/>
  <c r="J61" i="63"/>
  <c r="K61" i="63"/>
  <c r="L61" i="63"/>
  <c r="P3" i="63" s="1"/>
  <c r="Q61" i="63"/>
  <c r="R61" i="63"/>
  <c r="S61" i="63"/>
  <c r="T61" i="63"/>
  <c r="P6" i="63" s="1"/>
  <c r="P1" i="62"/>
  <c r="P8" i="62"/>
  <c r="D15" i="62"/>
  <c r="G17" i="62"/>
  <c r="H17" i="62"/>
  <c r="R17" i="62"/>
  <c r="G18" i="62"/>
  <c r="H18" i="62"/>
  <c r="J18" i="62"/>
  <c r="K18" i="62"/>
  <c r="L18" i="62"/>
  <c r="R18" i="62"/>
  <c r="T18" i="62"/>
  <c r="S18" i="62" s="1"/>
  <c r="U18" i="62"/>
  <c r="V18" i="62"/>
  <c r="G19" i="62"/>
  <c r="H19" i="62"/>
  <c r="J19" i="62"/>
  <c r="K19" i="62"/>
  <c r="L19" i="62"/>
  <c r="R19" i="62"/>
  <c r="T19" i="62"/>
  <c r="S19" i="62" s="1"/>
  <c r="U19" i="62"/>
  <c r="V19" i="62"/>
  <c r="G20" i="62"/>
  <c r="H20" i="62"/>
  <c r="J20" i="62"/>
  <c r="K20" i="62"/>
  <c r="L20" i="62"/>
  <c r="R20" i="62"/>
  <c r="T20" i="62"/>
  <c r="S20" i="62" s="1"/>
  <c r="U20" i="62"/>
  <c r="V20" i="62"/>
  <c r="G21" i="62"/>
  <c r="H21" i="62"/>
  <c r="J21" i="62"/>
  <c r="K21" i="62"/>
  <c r="L21" i="62"/>
  <c r="R21" i="62"/>
  <c r="T21" i="62"/>
  <c r="S21" i="62" s="1"/>
  <c r="U21" i="62"/>
  <c r="V21" i="62"/>
  <c r="G22" i="62"/>
  <c r="H22" i="62"/>
  <c r="J22" i="62"/>
  <c r="K22" i="62"/>
  <c r="L22" i="62"/>
  <c r="R22" i="62"/>
  <c r="T22" i="62"/>
  <c r="S22" i="62" s="1"/>
  <c r="U22" i="62"/>
  <c r="V22" i="62"/>
  <c r="G23" i="62"/>
  <c r="H23" i="62"/>
  <c r="J23" i="62"/>
  <c r="K23" i="62"/>
  <c r="L23" i="62"/>
  <c r="R23" i="62"/>
  <c r="T23" i="62"/>
  <c r="S23" i="62" s="1"/>
  <c r="U23" i="62"/>
  <c r="V23" i="62"/>
  <c r="G24" i="62"/>
  <c r="H24" i="62"/>
  <c r="J24" i="62"/>
  <c r="K24" i="62"/>
  <c r="L24" i="62"/>
  <c r="R24" i="62"/>
  <c r="T24" i="62"/>
  <c r="S24" i="62" s="1"/>
  <c r="U24" i="62"/>
  <c r="V24" i="62"/>
  <c r="G25" i="62"/>
  <c r="H25" i="62"/>
  <c r="J25" i="62"/>
  <c r="K25" i="62"/>
  <c r="L25" i="62"/>
  <c r="R25" i="62"/>
  <c r="T25" i="62"/>
  <c r="S25" i="62" s="1"/>
  <c r="U25" i="62"/>
  <c r="V25" i="62"/>
  <c r="G26" i="62"/>
  <c r="H26" i="62"/>
  <c r="J26" i="62"/>
  <c r="K26" i="62"/>
  <c r="L26" i="62"/>
  <c r="R26" i="62"/>
  <c r="T26" i="62"/>
  <c r="S26" i="62" s="1"/>
  <c r="U26" i="62"/>
  <c r="V26" i="62"/>
  <c r="H27" i="62"/>
  <c r="J27" i="62"/>
  <c r="K27" i="62"/>
  <c r="L27" i="62"/>
  <c r="R27" i="62"/>
  <c r="T27" i="62"/>
  <c r="S27" i="62" s="1"/>
  <c r="U27" i="62"/>
  <c r="V27" i="62"/>
  <c r="G28" i="62"/>
  <c r="H28" i="62"/>
  <c r="J28" i="62"/>
  <c r="K28" i="62"/>
  <c r="L28" i="62"/>
  <c r="R28" i="62"/>
  <c r="T28" i="62"/>
  <c r="S28" i="62" s="1"/>
  <c r="U28" i="62"/>
  <c r="V28" i="62"/>
  <c r="G29" i="62"/>
  <c r="H29" i="62"/>
  <c r="J29" i="62"/>
  <c r="K29" i="62"/>
  <c r="L29" i="62"/>
  <c r="R29" i="62"/>
  <c r="T29" i="62"/>
  <c r="S29" i="62" s="1"/>
  <c r="U29" i="62"/>
  <c r="V29" i="62"/>
  <c r="G30" i="62"/>
  <c r="H30" i="62"/>
  <c r="J30" i="62"/>
  <c r="K30" i="62"/>
  <c r="L30" i="62"/>
  <c r="R30" i="62"/>
  <c r="T30" i="62"/>
  <c r="S30" i="62" s="1"/>
  <c r="U30" i="62"/>
  <c r="V30" i="62"/>
  <c r="G31" i="62"/>
  <c r="H31" i="62"/>
  <c r="J31" i="62"/>
  <c r="K31" i="62"/>
  <c r="L31" i="62"/>
  <c r="R31" i="62"/>
  <c r="T31" i="62"/>
  <c r="S31" i="62" s="1"/>
  <c r="U31" i="62"/>
  <c r="V31" i="62"/>
  <c r="G32" i="62"/>
  <c r="H32" i="62"/>
  <c r="J32" i="62"/>
  <c r="K32" i="62"/>
  <c r="L32" i="62"/>
  <c r="R32" i="62"/>
  <c r="T32" i="62"/>
  <c r="S32" i="62" s="1"/>
  <c r="U32" i="62"/>
  <c r="V32" i="62"/>
  <c r="G33" i="62"/>
  <c r="H33" i="62"/>
  <c r="J33" i="62"/>
  <c r="K33" i="62"/>
  <c r="L33" i="62"/>
  <c r="R33" i="62"/>
  <c r="T33" i="62"/>
  <c r="S33" i="62" s="1"/>
  <c r="U33" i="62"/>
  <c r="V33" i="62"/>
  <c r="G34" i="62"/>
  <c r="H34" i="62"/>
  <c r="J34" i="62"/>
  <c r="K34" i="62"/>
  <c r="L34" i="62"/>
  <c r="R34" i="62"/>
  <c r="T34" i="62"/>
  <c r="S34" i="62" s="1"/>
  <c r="U34" i="62"/>
  <c r="V34" i="62"/>
  <c r="G35" i="62"/>
  <c r="H35" i="62"/>
  <c r="J35" i="62"/>
  <c r="K35" i="62"/>
  <c r="L35" i="62"/>
  <c r="R35" i="62"/>
  <c r="T35" i="62"/>
  <c r="S35" i="62" s="1"/>
  <c r="U35" i="62"/>
  <c r="V35" i="62"/>
  <c r="G36" i="62"/>
  <c r="H36" i="62"/>
  <c r="J36" i="62"/>
  <c r="K36" i="62"/>
  <c r="L36" i="62"/>
  <c r="R36" i="62"/>
  <c r="T36" i="62"/>
  <c r="S36" i="62" s="1"/>
  <c r="U36" i="62"/>
  <c r="V36" i="62"/>
  <c r="G37" i="62"/>
  <c r="H37" i="62"/>
  <c r="J37" i="62"/>
  <c r="K37" i="62"/>
  <c r="L37" i="62"/>
  <c r="R37" i="62"/>
  <c r="T37" i="62"/>
  <c r="S37" i="62" s="1"/>
  <c r="U37" i="62"/>
  <c r="V37" i="62"/>
  <c r="G38" i="62"/>
  <c r="H38" i="62"/>
  <c r="J38" i="62"/>
  <c r="K38" i="62"/>
  <c r="L38" i="62"/>
  <c r="R38" i="62"/>
  <c r="T38" i="62"/>
  <c r="S38" i="62" s="1"/>
  <c r="U38" i="62"/>
  <c r="V38" i="62"/>
  <c r="G39" i="62"/>
  <c r="H39" i="62"/>
  <c r="J39" i="62"/>
  <c r="K39" i="62"/>
  <c r="L39" i="62"/>
  <c r="R39" i="62"/>
  <c r="T39" i="62"/>
  <c r="S39" i="62" s="1"/>
  <c r="U39" i="62"/>
  <c r="V39" i="62"/>
  <c r="G40" i="62"/>
  <c r="H40" i="62"/>
  <c r="J40" i="62"/>
  <c r="K40" i="62"/>
  <c r="L40" i="62"/>
  <c r="R40" i="62"/>
  <c r="T40" i="62"/>
  <c r="S40" i="62" s="1"/>
  <c r="U40" i="62"/>
  <c r="V40" i="62"/>
  <c r="G41" i="62"/>
  <c r="H41" i="62"/>
  <c r="J41" i="62"/>
  <c r="K41" i="62"/>
  <c r="L41" i="62"/>
  <c r="R41" i="62"/>
  <c r="T41" i="62"/>
  <c r="S41" i="62" s="1"/>
  <c r="U41" i="62"/>
  <c r="V41" i="62"/>
  <c r="G42" i="62"/>
  <c r="H42" i="62"/>
  <c r="J42" i="62"/>
  <c r="K42" i="62"/>
  <c r="L42" i="62"/>
  <c r="R42" i="62"/>
  <c r="T42" i="62"/>
  <c r="S42" i="62" s="1"/>
  <c r="U42" i="62"/>
  <c r="V42" i="62"/>
  <c r="G43" i="62"/>
  <c r="H43" i="62"/>
  <c r="J43" i="62"/>
  <c r="K43" i="62"/>
  <c r="L43" i="62"/>
  <c r="R43" i="62"/>
  <c r="T43" i="62"/>
  <c r="S43" i="62" s="1"/>
  <c r="U43" i="62"/>
  <c r="V43" i="62"/>
  <c r="G44" i="62"/>
  <c r="H44" i="62"/>
  <c r="J44" i="62"/>
  <c r="K44" i="62"/>
  <c r="L44" i="62"/>
  <c r="R44" i="62"/>
  <c r="T44" i="62"/>
  <c r="S44" i="62" s="1"/>
  <c r="U44" i="62"/>
  <c r="V44" i="62"/>
  <c r="G45" i="62"/>
  <c r="H45" i="62"/>
  <c r="J45" i="62"/>
  <c r="K45" i="62"/>
  <c r="L45" i="62"/>
  <c r="R45" i="62"/>
  <c r="T45" i="62"/>
  <c r="S45" i="62" s="1"/>
  <c r="U45" i="62"/>
  <c r="V45" i="62"/>
  <c r="G46" i="62"/>
  <c r="H46" i="62"/>
  <c r="J46" i="62"/>
  <c r="K46" i="62"/>
  <c r="L46" i="62"/>
  <c r="R46" i="62"/>
  <c r="T46" i="62"/>
  <c r="S46" i="62" s="1"/>
  <c r="U46" i="62"/>
  <c r="V46" i="62"/>
  <c r="G47" i="62"/>
  <c r="H47" i="62"/>
  <c r="J47" i="62"/>
  <c r="K47" i="62"/>
  <c r="L47" i="62"/>
  <c r="R47" i="62"/>
  <c r="T47" i="62"/>
  <c r="S47" i="62" s="1"/>
  <c r="U47" i="62"/>
  <c r="V47" i="62"/>
  <c r="G48" i="62"/>
  <c r="H48" i="62"/>
  <c r="J48" i="62"/>
  <c r="K48" i="62"/>
  <c r="L48" i="62"/>
  <c r="R48" i="62"/>
  <c r="T48" i="62"/>
  <c r="S48" i="62" s="1"/>
  <c r="U48" i="62"/>
  <c r="V48" i="62"/>
  <c r="G49" i="62"/>
  <c r="H49" i="62"/>
  <c r="J49" i="62"/>
  <c r="K49" i="62"/>
  <c r="L49" i="62"/>
  <c r="R49" i="62"/>
  <c r="T49" i="62"/>
  <c r="S49" i="62" s="1"/>
  <c r="U49" i="62"/>
  <c r="V49" i="62"/>
  <c r="G50" i="62"/>
  <c r="H50" i="62"/>
  <c r="J50" i="62"/>
  <c r="K50" i="62"/>
  <c r="L50" i="62"/>
  <c r="R50" i="62"/>
  <c r="T50" i="62"/>
  <c r="S50" i="62" s="1"/>
  <c r="U50" i="62"/>
  <c r="V50" i="62"/>
  <c r="G51" i="62"/>
  <c r="H51" i="62"/>
  <c r="J51" i="62"/>
  <c r="K51" i="62"/>
  <c r="L51" i="62"/>
  <c r="R51" i="62"/>
  <c r="T51" i="62"/>
  <c r="S51" i="62" s="1"/>
  <c r="U51" i="62"/>
  <c r="V51" i="62"/>
  <c r="G52" i="62"/>
  <c r="H52" i="62"/>
  <c r="J52" i="62"/>
  <c r="K52" i="62"/>
  <c r="L52" i="62"/>
  <c r="R52" i="62"/>
  <c r="T52" i="62"/>
  <c r="S52" i="62" s="1"/>
  <c r="U52" i="62"/>
  <c r="V52" i="62"/>
  <c r="G53" i="62"/>
  <c r="H53" i="62"/>
  <c r="J53" i="62"/>
  <c r="K53" i="62"/>
  <c r="L53" i="62"/>
  <c r="R53" i="62"/>
  <c r="T53" i="62"/>
  <c r="S53" i="62" s="1"/>
  <c r="U53" i="62"/>
  <c r="V53" i="62"/>
  <c r="G54" i="62"/>
  <c r="H54" i="62"/>
  <c r="J54" i="62"/>
  <c r="K54" i="62"/>
  <c r="L54" i="62"/>
  <c r="R54" i="62"/>
  <c r="T54" i="62"/>
  <c r="S54" i="62" s="1"/>
  <c r="U54" i="62"/>
  <c r="V54" i="62"/>
  <c r="G55" i="62"/>
  <c r="H55" i="62"/>
  <c r="J55" i="62"/>
  <c r="K55" i="62"/>
  <c r="L55" i="62"/>
  <c r="R55" i="62"/>
  <c r="T55" i="62"/>
  <c r="S55" i="62" s="1"/>
  <c r="U55" i="62"/>
  <c r="V55" i="62"/>
  <c r="G56" i="62"/>
  <c r="H56" i="62"/>
  <c r="J56" i="62"/>
  <c r="K56" i="62"/>
  <c r="L56" i="62"/>
  <c r="R56" i="62"/>
  <c r="T56" i="62"/>
  <c r="S56" i="62" s="1"/>
  <c r="U56" i="62"/>
  <c r="V56" i="62"/>
  <c r="G57" i="62"/>
  <c r="H57" i="62"/>
  <c r="J57" i="62"/>
  <c r="K57" i="62"/>
  <c r="L57" i="62"/>
  <c r="R57" i="62"/>
  <c r="T57" i="62"/>
  <c r="S57" i="62" s="1"/>
  <c r="U57" i="62"/>
  <c r="V57" i="62"/>
  <c r="G58" i="62"/>
  <c r="H58" i="62"/>
  <c r="J58" i="62"/>
  <c r="K58" i="62"/>
  <c r="L58" i="62"/>
  <c r="R58" i="62"/>
  <c r="T58" i="62"/>
  <c r="S58" i="62" s="1"/>
  <c r="U58" i="62"/>
  <c r="V58" i="62"/>
  <c r="G59" i="62"/>
  <c r="H59" i="62"/>
  <c r="J59" i="62"/>
  <c r="K59" i="62"/>
  <c r="L59" i="62"/>
  <c r="R59" i="62"/>
  <c r="T59" i="62"/>
  <c r="S59" i="62" s="1"/>
  <c r="U59" i="62"/>
  <c r="V59" i="62"/>
  <c r="G60" i="62"/>
  <c r="H60" i="62"/>
  <c r="J60" i="62"/>
  <c r="K60" i="62"/>
  <c r="L60" i="62"/>
  <c r="R60" i="62"/>
  <c r="T60" i="62"/>
  <c r="S60" i="62" s="1"/>
  <c r="U60" i="62"/>
  <c r="V60" i="62"/>
  <c r="E61" i="62"/>
  <c r="P10" i="62" s="1"/>
  <c r="F61" i="62"/>
  <c r="G61" i="62"/>
  <c r="H61" i="62"/>
  <c r="P2" i="62" s="1"/>
  <c r="J61" i="62"/>
  <c r="K61" i="62"/>
  <c r="L61" i="62"/>
  <c r="P3" i="62" s="1"/>
  <c r="Q61" i="62"/>
  <c r="R61" i="62"/>
  <c r="S61" i="62"/>
  <c r="T61" i="62"/>
  <c r="P6" i="62" s="1"/>
  <c r="P1" i="61"/>
  <c r="P8" i="61"/>
  <c r="D15" i="61"/>
  <c r="G17" i="61"/>
  <c r="H17" i="61"/>
  <c r="R17" i="61"/>
  <c r="G18" i="61"/>
  <c r="H18" i="61"/>
  <c r="J18" i="61"/>
  <c r="K18" i="61"/>
  <c r="L18" i="61"/>
  <c r="R18" i="61"/>
  <c r="T18" i="61"/>
  <c r="S18" i="61" s="1"/>
  <c r="U18" i="61"/>
  <c r="V18" i="61"/>
  <c r="G19" i="61"/>
  <c r="H19" i="61"/>
  <c r="J19" i="61"/>
  <c r="K19" i="61"/>
  <c r="L19" i="61"/>
  <c r="R19" i="61"/>
  <c r="T19" i="61"/>
  <c r="S19" i="61" s="1"/>
  <c r="U19" i="61"/>
  <c r="V19" i="61"/>
  <c r="G20" i="61"/>
  <c r="H20" i="61"/>
  <c r="J20" i="61"/>
  <c r="K20" i="61"/>
  <c r="L20" i="61"/>
  <c r="R20" i="61"/>
  <c r="T20" i="61"/>
  <c r="S20" i="61" s="1"/>
  <c r="U20" i="61"/>
  <c r="V20" i="61"/>
  <c r="G21" i="61"/>
  <c r="H21" i="61"/>
  <c r="J21" i="61"/>
  <c r="K21" i="61"/>
  <c r="L21" i="61"/>
  <c r="R21" i="61"/>
  <c r="T21" i="61"/>
  <c r="S21" i="61" s="1"/>
  <c r="U21" i="61"/>
  <c r="V21" i="61"/>
  <c r="G22" i="61"/>
  <c r="H22" i="61"/>
  <c r="J22" i="61"/>
  <c r="K22" i="61"/>
  <c r="L22" i="61"/>
  <c r="R22" i="61"/>
  <c r="T22" i="61"/>
  <c r="S22" i="61" s="1"/>
  <c r="U22" i="61"/>
  <c r="V22" i="61"/>
  <c r="G23" i="61"/>
  <c r="H23" i="61"/>
  <c r="J23" i="61"/>
  <c r="K23" i="61"/>
  <c r="L23" i="61"/>
  <c r="R23" i="61"/>
  <c r="T23" i="61"/>
  <c r="S23" i="61" s="1"/>
  <c r="U23" i="61"/>
  <c r="V23" i="61"/>
  <c r="G24" i="61"/>
  <c r="H24" i="61"/>
  <c r="J24" i="61"/>
  <c r="K24" i="61"/>
  <c r="L24" i="61"/>
  <c r="R24" i="61"/>
  <c r="T24" i="61"/>
  <c r="S24" i="61" s="1"/>
  <c r="U24" i="61"/>
  <c r="V24" i="61"/>
  <c r="G25" i="61"/>
  <c r="H25" i="61"/>
  <c r="J25" i="61"/>
  <c r="K25" i="61"/>
  <c r="L25" i="61"/>
  <c r="R25" i="61"/>
  <c r="T25" i="61"/>
  <c r="S25" i="61" s="1"/>
  <c r="U25" i="61"/>
  <c r="V25" i="61"/>
  <c r="G26" i="61"/>
  <c r="H26" i="61"/>
  <c r="J26" i="61"/>
  <c r="K26" i="61"/>
  <c r="L26" i="61"/>
  <c r="R26" i="61"/>
  <c r="T26" i="61"/>
  <c r="S26" i="61" s="1"/>
  <c r="U26" i="61"/>
  <c r="V26" i="61"/>
  <c r="H27" i="61"/>
  <c r="J27" i="61"/>
  <c r="K27" i="61"/>
  <c r="L27" i="61"/>
  <c r="R27" i="61"/>
  <c r="T27" i="61"/>
  <c r="S27" i="61" s="1"/>
  <c r="U27" i="61"/>
  <c r="V27" i="61"/>
  <c r="G28" i="61"/>
  <c r="H28" i="61"/>
  <c r="J28" i="61"/>
  <c r="K28" i="61"/>
  <c r="L28" i="61"/>
  <c r="R28" i="61"/>
  <c r="T28" i="61"/>
  <c r="S28" i="61" s="1"/>
  <c r="U28" i="61"/>
  <c r="V28" i="61"/>
  <c r="G29" i="61"/>
  <c r="H29" i="61"/>
  <c r="J29" i="61"/>
  <c r="K29" i="61"/>
  <c r="L29" i="61"/>
  <c r="R29" i="61"/>
  <c r="T29" i="61"/>
  <c r="S29" i="61" s="1"/>
  <c r="U29" i="61"/>
  <c r="V29" i="61"/>
  <c r="G30" i="61"/>
  <c r="H30" i="61"/>
  <c r="J30" i="61"/>
  <c r="K30" i="61"/>
  <c r="L30" i="61"/>
  <c r="R30" i="61"/>
  <c r="T30" i="61"/>
  <c r="S30" i="61" s="1"/>
  <c r="U30" i="61"/>
  <c r="V30" i="61"/>
  <c r="G31" i="61"/>
  <c r="H31" i="61"/>
  <c r="J31" i="61"/>
  <c r="K31" i="61"/>
  <c r="L31" i="61"/>
  <c r="R31" i="61"/>
  <c r="T31" i="61"/>
  <c r="S31" i="61" s="1"/>
  <c r="U31" i="61"/>
  <c r="V31" i="61"/>
  <c r="G32" i="61"/>
  <c r="H32" i="61"/>
  <c r="J32" i="61"/>
  <c r="K32" i="61"/>
  <c r="L32" i="61"/>
  <c r="R32" i="61"/>
  <c r="T32" i="61"/>
  <c r="S32" i="61" s="1"/>
  <c r="U32" i="61"/>
  <c r="V32" i="61"/>
  <c r="G33" i="61"/>
  <c r="H33" i="61"/>
  <c r="J33" i="61"/>
  <c r="K33" i="61"/>
  <c r="L33" i="61"/>
  <c r="R33" i="61"/>
  <c r="T33" i="61"/>
  <c r="S33" i="61" s="1"/>
  <c r="U33" i="61"/>
  <c r="V33" i="61"/>
  <c r="G34" i="61"/>
  <c r="H34" i="61"/>
  <c r="J34" i="61"/>
  <c r="K34" i="61"/>
  <c r="L34" i="61"/>
  <c r="R34" i="61"/>
  <c r="T34" i="61"/>
  <c r="S34" i="61" s="1"/>
  <c r="U34" i="61"/>
  <c r="V34" i="61"/>
  <c r="G35" i="61"/>
  <c r="H35" i="61"/>
  <c r="J35" i="61"/>
  <c r="K35" i="61"/>
  <c r="L35" i="61"/>
  <c r="R35" i="61"/>
  <c r="T35" i="61"/>
  <c r="S35" i="61" s="1"/>
  <c r="U35" i="61"/>
  <c r="V35" i="61"/>
  <c r="G36" i="61"/>
  <c r="H36" i="61"/>
  <c r="J36" i="61"/>
  <c r="K36" i="61"/>
  <c r="L36" i="61"/>
  <c r="R36" i="61"/>
  <c r="T36" i="61"/>
  <c r="S36" i="61" s="1"/>
  <c r="U36" i="61"/>
  <c r="V36" i="61"/>
  <c r="G37" i="61"/>
  <c r="H37" i="61"/>
  <c r="J37" i="61"/>
  <c r="K37" i="61"/>
  <c r="L37" i="61"/>
  <c r="R37" i="61"/>
  <c r="T37" i="61"/>
  <c r="S37" i="61" s="1"/>
  <c r="U37" i="61"/>
  <c r="V37" i="61"/>
  <c r="G38" i="61"/>
  <c r="H38" i="61"/>
  <c r="J38" i="61"/>
  <c r="K38" i="61"/>
  <c r="L38" i="61"/>
  <c r="R38" i="61"/>
  <c r="T38" i="61"/>
  <c r="S38" i="61" s="1"/>
  <c r="U38" i="61"/>
  <c r="V38" i="61"/>
  <c r="G39" i="61"/>
  <c r="H39" i="61"/>
  <c r="J39" i="61"/>
  <c r="K39" i="61"/>
  <c r="L39" i="61"/>
  <c r="R39" i="61"/>
  <c r="T39" i="61"/>
  <c r="S39" i="61" s="1"/>
  <c r="U39" i="61"/>
  <c r="V39" i="61"/>
  <c r="G40" i="61"/>
  <c r="H40" i="61"/>
  <c r="J40" i="61"/>
  <c r="K40" i="61"/>
  <c r="L40" i="61"/>
  <c r="R40" i="61"/>
  <c r="T40" i="61"/>
  <c r="S40" i="61" s="1"/>
  <c r="U40" i="61"/>
  <c r="V40" i="61"/>
  <c r="G41" i="61"/>
  <c r="H41" i="61"/>
  <c r="J41" i="61"/>
  <c r="K41" i="61"/>
  <c r="L41" i="61"/>
  <c r="R41" i="61"/>
  <c r="T41" i="61"/>
  <c r="S41" i="61" s="1"/>
  <c r="U41" i="61"/>
  <c r="V41" i="61"/>
  <c r="G42" i="61"/>
  <c r="H42" i="61"/>
  <c r="J42" i="61"/>
  <c r="K42" i="61"/>
  <c r="L42" i="61"/>
  <c r="R42" i="61"/>
  <c r="T42" i="61"/>
  <c r="S42" i="61" s="1"/>
  <c r="U42" i="61"/>
  <c r="V42" i="61"/>
  <c r="G43" i="61"/>
  <c r="H43" i="61"/>
  <c r="J43" i="61"/>
  <c r="K43" i="61"/>
  <c r="L43" i="61"/>
  <c r="R43" i="61"/>
  <c r="T43" i="61"/>
  <c r="S43" i="61" s="1"/>
  <c r="U43" i="61"/>
  <c r="V43" i="61"/>
  <c r="G44" i="61"/>
  <c r="H44" i="61"/>
  <c r="J44" i="61"/>
  <c r="K44" i="61"/>
  <c r="L44" i="61"/>
  <c r="R44" i="61"/>
  <c r="T44" i="61"/>
  <c r="S44" i="61" s="1"/>
  <c r="U44" i="61"/>
  <c r="V44" i="61"/>
  <c r="G45" i="61"/>
  <c r="H45" i="61"/>
  <c r="J45" i="61"/>
  <c r="K45" i="61"/>
  <c r="L45" i="61"/>
  <c r="R45" i="61"/>
  <c r="T45" i="61"/>
  <c r="S45" i="61" s="1"/>
  <c r="U45" i="61"/>
  <c r="V45" i="61"/>
  <c r="G46" i="61"/>
  <c r="H46" i="61"/>
  <c r="J46" i="61"/>
  <c r="K46" i="61"/>
  <c r="L46" i="61"/>
  <c r="R46" i="61"/>
  <c r="T46" i="61"/>
  <c r="S46" i="61" s="1"/>
  <c r="U46" i="61"/>
  <c r="V46" i="61"/>
  <c r="G47" i="61"/>
  <c r="H47" i="61"/>
  <c r="J47" i="61"/>
  <c r="K47" i="61"/>
  <c r="L47" i="61"/>
  <c r="R47" i="61"/>
  <c r="T47" i="61"/>
  <c r="S47" i="61" s="1"/>
  <c r="U47" i="61"/>
  <c r="V47" i="61"/>
  <c r="G48" i="61"/>
  <c r="H48" i="61"/>
  <c r="J48" i="61"/>
  <c r="K48" i="61"/>
  <c r="L48" i="61"/>
  <c r="R48" i="61"/>
  <c r="T48" i="61"/>
  <c r="S48" i="61" s="1"/>
  <c r="U48" i="61"/>
  <c r="V48" i="61"/>
  <c r="G49" i="61"/>
  <c r="H49" i="61"/>
  <c r="J49" i="61"/>
  <c r="K49" i="61"/>
  <c r="L49" i="61"/>
  <c r="R49" i="61"/>
  <c r="T49" i="61"/>
  <c r="S49" i="61" s="1"/>
  <c r="U49" i="61"/>
  <c r="V49" i="61"/>
  <c r="G50" i="61"/>
  <c r="H50" i="61"/>
  <c r="J50" i="61"/>
  <c r="K50" i="61"/>
  <c r="L50" i="61"/>
  <c r="R50" i="61"/>
  <c r="T50" i="61"/>
  <c r="S50" i="61" s="1"/>
  <c r="U50" i="61"/>
  <c r="V50" i="61"/>
  <c r="G51" i="61"/>
  <c r="H51" i="61"/>
  <c r="J51" i="61"/>
  <c r="K51" i="61"/>
  <c r="L51" i="61"/>
  <c r="R51" i="61"/>
  <c r="T51" i="61"/>
  <c r="S51" i="61" s="1"/>
  <c r="U51" i="61"/>
  <c r="V51" i="61"/>
  <c r="G52" i="61"/>
  <c r="H52" i="61"/>
  <c r="J52" i="61"/>
  <c r="K52" i="61"/>
  <c r="L52" i="61"/>
  <c r="R52" i="61"/>
  <c r="T52" i="61"/>
  <c r="S52" i="61" s="1"/>
  <c r="U52" i="61"/>
  <c r="V52" i="61"/>
  <c r="G53" i="61"/>
  <c r="H53" i="61"/>
  <c r="J53" i="61"/>
  <c r="K53" i="61"/>
  <c r="L53" i="61"/>
  <c r="R53" i="61"/>
  <c r="T53" i="61"/>
  <c r="S53" i="61" s="1"/>
  <c r="U53" i="61"/>
  <c r="V53" i="61"/>
  <c r="G54" i="61"/>
  <c r="H54" i="61"/>
  <c r="J54" i="61"/>
  <c r="K54" i="61"/>
  <c r="L54" i="61"/>
  <c r="R54" i="61"/>
  <c r="T54" i="61"/>
  <c r="S54" i="61" s="1"/>
  <c r="U54" i="61"/>
  <c r="V54" i="61"/>
  <c r="G55" i="61"/>
  <c r="H55" i="61"/>
  <c r="J55" i="61"/>
  <c r="K55" i="61"/>
  <c r="L55" i="61"/>
  <c r="R55" i="61"/>
  <c r="T55" i="61"/>
  <c r="S55" i="61" s="1"/>
  <c r="U55" i="61"/>
  <c r="V55" i="61"/>
  <c r="G56" i="61"/>
  <c r="H56" i="61"/>
  <c r="J56" i="61"/>
  <c r="K56" i="61"/>
  <c r="L56" i="61"/>
  <c r="R56" i="61"/>
  <c r="T56" i="61"/>
  <c r="S56" i="61" s="1"/>
  <c r="U56" i="61"/>
  <c r="V56" i="61"/>
  <c r="G57" i="61"/>
  <c r="H57" i="61"/>
  <c r="J57" i="61"/>
  <c r="K57" i="61"/>
  <c r="L57" i="61"/>
  <c r="R57" i="61"/>
  <c r="T57" i="61"/>
  <c r="S57" i="61" s="1"/>
  <c r="U57" i="61"/>
  <c r="V57" i="61"/>
  <c r="G58" i="61"/>
  <c r="H58" i="61"/>
  <c r="J58" i="61"/>
  <c r="K58" i="61"/>
  <c r="L58" i="61"/>
  <c r="R58" i="61"/>
  <c r="T58" i="61"/>
  <c r="S58" i="61" s="1"/>
  <c r="U58" i="61"/>
  <c r="V58" i="61"/>
  <c r="G59" i="61"/>
  <c r="H59" i="61"/>
  <c r="J59" i="61"/>
  <c r="K59" i="61"/>
  <c r="L59" i="61"/>
  <c r="R59" i="61"/>
  <c r="T59" i="61"/>
  <c r="S59" i="61" s="1"/>
  <c r="U59" i="61"/>
  <c r="V59" i="61"/>
  <c r="G60" i="61"/>
  <c r="H60" i="61"/>
  <c r="J60" i="61"/>
  <c r="K60" i="61"/>
  <c r="L60" i="61"/>
  <c r="R60" i="61"/>
  <c r="T60" i="61"/>
  <c r="S60" i="61" s="1"/>
  <c r="U60" i="61"/>
  <c r="V60" i="61"/>
  <c r="E61" i="61"/>
  <c r="P10" i="61" s="1"/>
  <c r="F61" i="61"/>
  <c r="G61" i="61"/>
  <c r="H61" i="61"/>
  <c r="P2" i="61" s="1"/>
  <c r="J61" i="61"/>
  <c r="K61" i="61"/>
  <c r="L61" i="61"/>
  <c r="P3" i="61" s="1"/>
  <c r="Q61" i="61"/>
  <c r="R61" i="61"/>
  <c r="S61" i="61"/>
  <c r="T61" i="61"/>
  <c r="P6" i="61" s="1"/>
  <c r="P1" i="60"/>
  <c r="P8" i="60"/>
  <c r="D15" i="60"/>
  <c r="G17" i="60"/>
  <c r="H17" i="60"/>
  <c r="R17" i="60"/>
  <c r="G18" i="60"/>
  <c r="H18" i="60"/>
  <c r="J18" i="60"/>
  <c r="K18" i="60"/>
  <c r="L18" i="60"/>
  <c r="R18" i="60"/>
  <c r="T18" i="60"/>
  <c r="S18" i="60" s="1"/>
  <c r="U18" i="60"/>
  <c r="V18" i="60"/>
  <c r="G19" i="60"/>
  <c r="H19" i="60"/>
  <c r="J19" i="60"/>
  <c r="K19" i="60"/>
  <c r="L19" i="60"/>
  <c r="R19" i="60"/>
  <c r="T19" i="60"/>
  <c r="S19" i="60" s="1"/>
  <c r="U19" i="60"/>
  <c r="V19" i="60"/>
  <c r="G20" i="60"/>
  <c r="H20" i="60"/>
  <c r="J20" i="60"/>
  <c r="K20" i="60"/>
  <c r="L20" i="60"/>
  <c r="R20" i="60"/>
  <c r="T20" i="60"/>
  <c r="S20" i="60" s="1"/>
  <c r="U20" i="60"/>
  <c r="V20" i="60"/>
  <c r="G21" i="60"/>
  <c r="H21" i="60"/>
  <c r="J21" i="60"/>
  <c r="K21" i="60"/>
  <c r="L21" i="60"/>
  <c r="R21" i="60"/>
  <c r="T21" i="60"/>
  <c r="S21" i="60" s="1"/>
  <c r="U21" i="60"/>
  <c r="V21" i="60"/>
  <c r="G22" i="60"/>
  <c r="H22" i="60"/>
  <c r="J22" i="60"/>
  <c r="K22" i="60"/>
  <c r="L22" i="60"/>
  <c r="R22" i="60"/>
  <c r="T22" i="60"/>
  <c r="S22" i="60" s="1"/>
  <c r="U22" i="60"/>
  <c r="V22" i="60"/>
  <c r="G23" i="60"/>
  <c r="H23" i="60"/>
  <c r="J23" i="60"/>
  <c r="K23" i="60"/>
  <c r="L23" i="60"/>
  <c r="R23" i="60"/>
  <c r="T23" i="60"/>
  <c r="S23" i="60" s="1"/>
  <c r="U23" i="60"/>
  <c r="V23" i="60"/>
  <c r="G24" i="60"/>
  <c r="H24" i="60"/>
  <c r="J24" i="60"/>
  <c r="K24" i="60"/>
  <c r="L24" i="60"/>
  <c r="R24" i="60"/>
  <c r="T24" i="60"/>
  <c r="S24" i="60" s="1"/>
  <c r="U24" i="60"/>
  <c r="V24" i="60"/>
  <c r="G25" i="60"/>
  <c r="H25" i="60"/>
  <c r="J25" i="60"/>
  <c r="K25" i="60"/>
  <c r="L25" i="60"/>
  <c r="R25" i="60"/>
  <c r="T25" i="60"/>
  <c r="S25" i="60" s="1"/>
  <c r="U25" i="60"/>
  <c r="V25" i="60"/>
  <c r="G26" i="60"/>
  <c r="H26" i="60"/>
  <c r="J26" i="60"/>
  <c r="K26" i="60"/>
  <c r="L26" i="60"/>
  <c r="R26" i="60"/>
  <c r="T26" i="60"/>
  <c r="S26" i="60" s="1"/>
  <c r="U26" i="60"/>
  <c r="V26" i="60"/>
  <c r="H27" i="60"/>
  <c r="J27" i="60"/>
  <c r="K27" i="60"/>
  <c r="L27" i="60"/>
  <c r="R27" i="60"/>
  <c r="T27" i="60"/>
  <c r="S27" i="60" s="1"/>
  <c r="U27" i="60"/>
  <c r="V27" i="60"/>
  <c r="G28" i="60"/>
  <c r="H28" i="60"/>
  <c r="J28" i="60"/>
  <c r="K28" i="60"/>
  <c r="L28" i="60"/>
  <c r="R28" i="60"/>
  <c r="T28" i="60"/>
  <c r="S28" i="60" s="1"/>
  <c r="U28" i="60"/>
  <c r="V28" i="60"/>
  <c r="G29" i="60"/>
  <c r="H29" i="60"/>
  <c r="J29" i="60"/>
  <c r="K29" i="60"/>
  <c r="L29" i="60"/>
  <c r="R29" i="60"/>
  <c r="T29" i="60"/>
  <c r="S29" i="60" s="1"/>
  <c r="U29" i="60"/>
  <c r="V29" i="60"/>
  <c r="G30" i="60"/>
  <c r="H30" i="60"/>
  <c r="J30" i="60"/>
  <c r="K30" i="60"/>
  <c r="L30" i="60"/>
  <c r="R30" i="60"/>
  <c r="T30" i="60"/>
  <c r="S30" i="60" s="1"/>
  <c r="U30" i="60"/>
  <c r="V30" i="60"/>
  <c r="G31" i="60"/>
  <c r="H31" i="60"/>
  <c r="J31" i="60"/>
  <c r="K31" i="60"/>
  <c r="L31" i="60"/>
  <c r="R31" i="60"/>
  <c r="T31" i="60"/>
  <c r="S31" i="60" s="1"/>
  <c r="U31" i="60"/>
  <c r="V31" i="60"/>
  <c r="G32" i="60"/>
  <c r="H32" i="60"/>
  <c r="J32" i="60"/>
  <c r="K32" i="60"/>
  <c r="L32" i="60"/>
  <c r="R32" i="60"/>
  <c r="T32" i="60"/>
  <c r="S32" i="60" s="1"/>
  <c r="U32" i="60"/>
  <c r="V32" i="60"/>
  <c r="G33" i="60"/>
  <c r="H33" i="60"/>
  <c r="J33" i="60"/>
  <c r="K33" i="60"/>
  <c r="L33" i="60"/>
  <c r="R33" i="60"/>
  <c r="T33" i="60"/>
  <c r="S33" i="60" s="1"/>
  <c r="U33" i="60"/>
  <c r="V33" i="60"/>
  <c r="G34" i="60"/>
  <c r="H34" i="60"/>
  <c r="J34" i="60"/>
  <c r="K34" i="60"/>
  <c r="L34" i="60"/>
  <c r="R34" i="60"/>
  <c r="T34" i="60"/>
  <c r="S34" i="60" s="1"/>
  <c r="U34" i="60"/>
  <c r="V34" i="60"/>
  <c r="G35" i="60"/>
  <c r="H35" i="60"/>
  <c r="J35" i="60"/>
  <c r="K35" i="60"/>
  <c r="L35" i="60"/>
  <c r="R35" i="60"/>
  <c r="T35" i="60"/>
  <c r="S35" i="60" s="1"/>
  <c r="U35" i="60"/>
  <c r="V35" i="60"/>
  <c r="G36" i="60"/>
  <c r="H36" i="60"/>
  <c r="J36" i="60"/>
  <c r="K36" i="60"/>
  <c r="L36" i="60"/>
  <c r="R36" i="60"/>
  <c r="T36" i="60"/>
  <c r="S36" i="60" s="1"/>
  <c r="U36" i="60"/>
  <c r="V36" i="60"/>
  <c r="G37" i="60"/>
  <c r="H37" i="60"/>
  <c r="J37" i="60"/>
  <c r="K37" i="60"/>
  <c r="L37" i="60"/>
  <c r="R37" i="60"/>
  <c r="T37" i="60"/>
  <c r="S37" i="60" s="1"/>
  <c r="U37" i="60"/>
  <c r="V37" i="60"/>
  <c r="G38" i="60"/>
  <c r="H38" i="60"/>
  <c r="J38" i="60"/>
  <c r="K38" i="60"/>
  <c r="L38" i="60"/>
  <c r="R38" i="60"/>
  <c r="T38" i="60"/>
  <c r="S38" i="60" s="1"/>
  <c r="U38" i="60"/>
  <c r="V38" i="60"/>
  <c r="G39" i="60"/>
  <c r="H39" i="60"/>
  <c r="J39" i="60"/>
  <c r="K39" i="60"/>
  <c r="L39" i="60"/>
  <c r="R39" i="60"/>
  <c r="T39" i="60"/>
  <c r="S39" i="60" s="1"/>
  <c r="U39" i="60"/>
  <c r="V39" i="60"/>
  <c r="G40" i="60"/>
  <c r="H40" i="60"/>
  <c r="J40" i="60"/>
  <c r="K40" i="60"/>
  <c r="L40" i="60"/>
  <c r="R40" i="60"/>
  <c r="T40" i="60"/>
  <c r="S40" i="60" s="1"/>
  <c r="U40" i="60"/>
  <c r="V40" i="60"/>
  <c r="G41" i="60"/>
  <c r="H41" i="60"/>
  <c r="J41" i="60"/>
  <c r="K41" i="60"/>
  <c r="L41" i="60"/>
  <c r="R41" i="60"/>
  <c r="T41" i="60"/>
  <c r="S41" i="60" s="1"/>
  <c r="U41" i="60"/>
  <c r="V41" i="60"/>
  <c r="G42" i="60"/>
  <c r="H42" i="60"/>
  <c r="J42" i="60"/>
  <c r="K42" i="60"/>
  <c r="L42" i="60"/>
  <c r="R42" i="60"/>
  <c r="T42" i="60"/>
  <c r="S42" i="60" s="1"/>
  <c r="U42" i="60"/>
  <c r="V42" i="60"/>
  <c r="G43" i="60"/>
  <c r="H43" i="60"/>
  <c r="J43" i="60"/>
  <c r="K43" i="60"/>
  <c r="L43" i="60"/>
  <c r="R43" i="60"/>
  <c r="T43" i="60"/>
  <c r="S43" i="60" s="1"/>
  <c r="U43" i="60"/>
  <c r="V43" i="60"/>
  <c r="G44" i="60"/>
  <c r="H44" i="60"/>
  <c r="J44" i="60"/>
  <c r="K44" i="60"/>
  <c r="L44" i="60"/>
  <c r="R44" i="60"/>
  <c r="T44" i="60"/>
  <c r="S44" i="60" s="1"/>
  <c r="U44" i="60"/>
  <c r="V44" i="60"/>
  <c r="G45" i="60"/>
  <c r="H45" i="60"/>
  <c r="J45" i="60"/>
  <c r="K45" i="60"/>
  <c r="L45" i="60"/>
  <c r="R45" i="60"/>
  <c r="T45" i="60"/>
  <c r="S45" i="60" s="1"/>
  <c r="U45" i="60"/>
  <c r="V45" i="60"/>
  <c r="G46" i="60"/>
  <c r="H46" i="60"/>
  <c r="J46" i="60"/>
  <c r="K46" i="60"/>
  <c r="L46" i="60"/>
  <c r="R46" i="60"/>
  <c r="T46" i="60"/>
  <c r="S46" i="60" s="1"/>
  <c r="U46" i="60"/>
  <c r="V46" i="60"/>
  <c r="G47" i="60"/>
  <c r="H47" i="60"/>
  <c r="J47" i="60"/>
  <c r="K47" i="60"/>
  <c r="L47" i="60"/>
  <c r="R47" i="60"/>
  <c r="T47" i="60"/>
  <c r="S47" i="60" s="1"/>
  <c r="U47" i="60"/>
  <c r="V47" i="60"/>
  <c r="G48" i="60"/>
  <c r="H48" i="60"/>
  <c r="J48" i="60"/>
  <c r="K48" i="60"/>
  <c r="L48" i="60"/>
  <c r="R48" i="60"/>
  <c r="T48" i="60"/>
  <c r="S48" i="60" s="1"/>
  <c r="U48" i="60"/>
  <c r="V48" i="60"/>
  <c r="G49" i="60"/>
  <c r="H49" i="60"/>
  <c r="J49" i="60"/>
  <c r="K49" i="60"/>
  <c r="L49" i="60"/>
  <c r="R49" i="60"/>
  <c r="T49" i="60"/>
  <c r="S49" i="60" s="1"/>
  <c r="U49" i="60"/>
  <c r="V49" i="60"/>
  <c r="G50" i="60"/>
  <c r="H50" i="60"/>
  <c r="J50" i="60"/>
  <c r="K50" i="60"/>
  <c r="L50" i="60"/>
  <c r="R50" i="60"/>
  <c r="T50" i="60"/>
  <c r="S50" i="60" s="1"/>
  <c r="U50" i="60"/>
  <c r="V50" i="60"/>
  <c r="G51" i="60"/>
  <c r="H51" i="60"/>
  <c r="J51" i="60"/>
  <c r="K51" i="60"/>
  <c r="L51" i="60"/>
  <c r="R51" i="60"/>
  <c r="T51" i="60"/>
  <c r="S51" i="60" s="1"/>
  <c r="U51" i="60"/>
  <c r="V51" i="60"/>
  <c r="G52" i="60"/>
  <c r="H52" i="60"/>
  <c r="J52" i="60"/>
  <c r="K52" i="60"/>
  <c r="L52" i="60"/>
  <c r="R52" i="60"/>
  <c r="T52" i="60"/>
  <c r="S52" i="60" s="1"/>
  <c r="U52" i="60"/>
  <c r="V52" i="60"/>
  <c r="G53" i="60"/>
  <c r="H53" i="60"/>
  <c r="J53" i="60"/>
  <c r="K53" i="60"/>
  <c r="L53" i="60"/>
  <c r="R53" i="60"/>
  <c r="T53" i="60"/>
  <c r="S53" i="60" s="1"/>
  <c r="U53" i="60"/>
  <c r="V53" i="60"/>
  <c r="G54" i="60"/>
  <c r="H54" i="60"/>
  <c r="J54" i="60"/>
  <c r="K54" i="60"/>
  <c r="L54" i="60"/>
  <c r="R54" i="60"/>
  <c r="T54" i="60"/>
  <c r="S54" i="60" s="1"/>
  <c r="U54" i="60"/>
  <c r="V54" i="60"/>
  <c r="G55" i="60"/>
  <c r="H55" i="60"/>
  <c r="J55" i="60"/>
  <c r="K55" i="60"/>
  <c r="L55" i="60"/>
  <c r="R55" i="60"/>
  <c r="T55" i="60"/>
  <c r="S55" i="60" s="1"/>
  <c r="U55" i="60"/>
  <c r="V55" i="60"/>
  <c r="G56" i="60"/>
  <c r="H56" i="60"/>
  <c r="J56" i="60"/>
  <c r="K56" i="60"/>
  <c r="L56" i="60"/>
  <c r="R56" i="60"/>
  <c r="T56" i="60"/>
  <c r="S56" i="60" s="1"/>
  <c r="U56" i="60"/>
  <c r="V56" i="60"/>
  <c r="G57" i="60"/>
  <c r="H57" i="60"/>
  <c r="J57" i="60"/>
  <c r="K57" i="60"/>
  <c r="L57" i="60"/>
  <c r="R57" i="60"/>
  <c r="T57" i="60"/>
  <c r="S57" i="60" s="1"/>
  <c r="U57" i="60"/>
  <c r="V57" i="60"/>
  <c r="G58" i="60"/>
  <c r="H58" i="60"/>
  <c r="J58" i="60"/>
  <c r="K58" i="60"/>
  <c r="L58" i="60"/>
  <c r="R58" i="60"/>
  <c r="T58" i="60"/>
  <c r="S58" i="60" s="1"/>
  <c r="U58" i="60"/>
  <c r="V58" i="60"/>
  <c r="G59" i="60"/>
  <c r="H59" i="60"/>
  <c r="J59" i="60"/>
  <c r="K59" i="60"/>
  <c r="L59" i="60"/>
  <c r="R59" i="60"/>
  <c r="T59" i="60"/>
  <c r="S59" i="60" s="1"/>
  <c r="U59" i="60"/>
  <c r="V59" i="60"/>
  <c r="G60" i="60"/>
  <c r="H60" i="60"/>
  <c r="J60" i="60"/>
  <c r="K60" i="60"/>
  <c r="L60" i="60"/>
  <c r="R60" i="60"/>
  <c r="T60" i="60"/>
  <c r="S60" i="60" s="1"/>
  <c r="U60" i="60"/>
  <c r="V60" i="60"/>
  <c r="E61" i="60"/>
  <c r="P10" i="60" s="1"/>
  <c r="F61" i="60"/>
  <c r="G61" i="60"/>
  <c r="H61" i="60"/>
  <c r="P2" i="60" s="1"/>
  <c r="J61" i="60"/>
  <c r="K61" i="60"/>
  <c r="L61" i="60"/>
  <c r="P3" i="60" s="1"/>
  <c r="Q61" i="60"/>
  <c r="R61" i="60"/>
  <c r="S61" i="60"/>
  <c r="T61" i="60"/>
  <c r="P6" i="60" s="1"/>
  <c r="P1" i="59"/>
  <c r="P8" i="59"/>
  <c r="D15" i="59"/>
  <c r="G17" i="59"/>
  <c r="H17" i="59"/>
  <c r="R17" i="59"/>
  <c r="G18" i="59"/>
  <c r="H18" i="59"/>
  <c r="J18" i="59"/>
  <c r="K18" i="59"/>
  <c r="L18" i="59"/>
  <c r="R18" i="59"/>
  <c r="T18" i="59"/>
  <c r="S18" i="59" s="1"/>
  <c r="U18" i="59"/>
  <c r="V18" i="59"/>
  <c r="G19" i="59"/>
  <c r="H19" i="59"/>
  <c r="J19" i="59"/>
  <c r="K19" i="59"/>
  <c r="L19" i="59"/>
  <c r="R19" i="59"/>
  <c r="T19" i="59"/>
  <c r="S19" i="59" s="1"/>
  <c r="U19" i="59"/>
  <c r="V19" i="59"/>
  <c r="G20" i="59"/>
  <c r="H20" i="59"/>
  <c r="J20" i="59"/>
  <c r="K20" i="59"/>
  <c r="L20" i="59"/>
  <c r="R20" i="59"/>
  <c r="T20" i="59"/>
  <c r="S20" i="59" s="1"/>
  <c r="U20" i="59"/>
  <c r="V20" i="59"/>
  <c r="G21" i="59"/>
  <c r="H21" i="59"/>
  <c r="J21" i="59"/>
  <c r="K21" i="59"/>
  <c r="L21" i="59"/>
  <c r="R21" i="59"/>
  <c r="T21" i="59"/>
  <c r="S21" i="59" s="1"/>
  <c r="U21" i="59"/>
  <c r="V21" i="59"/>
  <c r="G22" i="59"/>
  <c r="H22" i="59"/>
  <c r="J22" i="59"/>
  <c r="K22" i="59"/>
  <c r="L22" i="59"/>
  <c r="R22" i="59"/>
  <c r="T22" i="59"/>
  <c r="S22" i="59" s="1"/>
  <c r="U22" i="59"/>
  <c r="V22" i="59"/>
  <c r="G23" i="59"/>
  <c r="H23" i="59"/>
  <c r="J23" i="59"/>
  <c r="K23" i="59"/>
  <c r="L23" i="59"/>
  <c r="R23" i="59"/>
  <c r="T23" i="59"/>
  <c r="S23" i="59" s="1"/>
  <c r="U23" i="59"/>
  <c r="V23" i="59"/>
  <c r="G24" i="59"/>
  <c r="H24" i="59"/>
  <c r="J24" i="59"/>
  <c r="K24" i="59"/>
  <c r="L24" i="59"/>
  <c r="R24" i="59"/>
  <c r="T24" i="59"/>
  <c r="S24" i="59" s="1"/>
  <c r="U24" i="59"/>
  <c r="V24" i="59"/>
  <c r="G25" i="59"/>
  <c r="H25" i="59"/>
  <c r="J25" i="59"/>
  <c r="K25" i="59"/>
  <c r="L25" i="59"/>
  <c r="R25" i="59"/>
  <c r="T25" i="59"/>
  <c r="S25" i="59" s="1"/>
  <c r="U25" i="59"/>
  <c r="V25" i="59"/>
  <c r="G26" i="59"/>
  <c r="H26" i="59"/>
  <c r="J26" i="59"/>
  <c r="K26" i="59"/>
  <c r="L26" i="59"/>
  <c r="R26" i="59"/>
  <c r="T26" i="59"/>
  <c r="S26" i="59" s="1"/>
  <c r="U26" i="59"/>
  <c r="V26" i="59"/>
  <c r="H27" i="59"/>
  <c r="J27" i="59"/>
  <c r="K27" i="59"/>
  <c r="L27" i="59"/>
  <c r="R27" i="59"/>
  <c r="T27" i="59"/>
  <c r="S27" i="59" s="1"/>
  <c r="U27" i="59"/>
  <c r="V27" i="59"/>
  <c r="G28" i="59"/>
  <c r="H28" i="59"/>
  <c r="J28" i="59"/>
  <c r="K28" i="59"/>
  <c r="L28" i="59"/>
  <c r="R28" i="59"/>
  <c r="T28" i="59"/>
  <c r="S28" i="59" s="1"/>
  <c r="U28" i="59"/>
  <c r="V28" i="59"/>
  <c r="G29" i="59"/>
  <c r="H29" i="59"/>
  <c r="J29" i="59"/>
  <c r="K29" i="59"/>
  <c r="L29" i="59"/>
  <c r="R29" i="59"/>
  <c r="T29" i="59"/>
  <c r="S29" i="59" s="1"/>
  <c r="U29" i="59"/>
  <c r="V29" i="59"/>
  <c r="G30" i="59"/>
  <c r="H30" i="59"/>
  <c r="J30" i="59"/>
  <c r="K30" i="59"/>
  <c r="L30" i="59"/>
  <c r="R30" i="59"/>
  <c r="T30" i="59"/>
  <c r="S30" i="59" s="1"/>
  <c r="U30" i="59"/>
  <c r="V30" i="59"/>
  <c r="G31" i="59"/>
  <c r="H31" i="59"/>
  <c r="J31" i="59"/>
  <c r="K31" i="59"/>
  <c r="L31" i="59"/>
  <c r="R31" i="59"/>
  <c r="T31" i="59"/>
  <c r="S31" i="59" s="1"/>
  <c r="U31" i="59"/>
  <c r="V31" i="59"/>
  <c r="G32" i="59"/>
  <c r="H32" i="59"/>
  <c r="J32" i="59"/>
  <c r="K32" i="59"/>
  <c r="L32" i="59"/>
  <c r="R32" i="59"/>
  <c r="T32" i="59"/>
  <c r="S32" i="59" s="1"/>
  <c r="U32" i="59"/>
  <c r="V32" i="59"/>
  <c r="G33" i="59"/>
  <c r="H33" i="59"/>
  <c r="J33" i="59"/>
  <c r="K33" i="59"/>
  <c r="L33" i="59"/>
  <c r="R33" i="59"/>
  <c r="T33" i="59"/>
  <c r="S33" i="59" s="1"/>
  <c r="U33" i="59"/>
  <c r="V33" i="59"/>
  <c r="G34" i="59"/>
  <c r="H34" i="59"/>
  <c r="J34" i="59"/>
  <c r="K34" i="59"/>
  <c r="L34" i="59"/>
  <c r="R34" i="59"/>
  <c r="T34" i="59"/>
  <c r="S34" i="59" s="1"/>
  <c r="U34" i="59"/>
  <c r="V34" i="59"/>
  <c r="G35" i="59"/>
  <c r="H35" i="59"/>
  <c r="J35" i="59"/>
  <c r="K35" i="59"/>
  <c r="L35" i="59"/>
  <c r="R35" i="59"/>
  <c r="T35" i="59"/>
  <c r="S35" i="59" s="1"/>
  <c r="U35" i="59"/>
  <c r="V35" i="59"/>
  <c r="G36" i="59"/>
  <c r="H36" i="59"/>
  <c r="J36" i="59"/>
  <c r="K36" i="59"/>
  <c r="L36" i="59"/>
  <c r="R36" i="59"/>
  <c r="T36" i="59"/>
  <c r="S36" i="59" s="1"/>
  <c r="U36" i="59"/>
  <c r="V36" i="59"/>
  <c r="G37" i="59"/>
  <c r="H37" i="59"/>
  <c r="J37" i="59"/>
  <c r="K37" i="59"/>
  <c r="L37" i="59"/>
  <c r="R37" i="59"/>
  <c r="T37" i="59"/>
  <c r="S37" i="59" s="1"/>
  <c r="U37" i="59"/>
  <c r="V37" i="59"/>
  <c r="G38" i="59"/>
  <c r="H38" i="59"/>
  <c r="J38" i="59"/>
  <c r="K38" i="59"/>
  <c r="L38" i="59"/>
  <c r="R38" i="59"/>
  <c r="T38" i="59"/>
  <c r="S38" i="59" s="1"/>
  <c r="U38" i="59"/>
  <c r="V38" i="59"/>
  <c r="G39" i="59"/>
  <c r="H39" i="59"/>
  <c r="J39" i="59"/>
  <c r="K39" i="59"/>
  <c r="L39" i="59"/>
  <c r="R39" i="59"/>
  <c r="T39" i="59"/>
  <c r="S39" i="59" s="1"/>
  <c r="U39" i="59"/>
  <c r="V39" i="59"/>
  <c r="G40" i="59"/>
  <c r="H40" i="59"/>
  <c r="J40" i="59"/>
  <c r="K40" i="59"/>
  <c r="L40" i="59"/>
  <c r="R40" i="59"/>
  <c r="T40" i="59"/>
  <c r="S40" i="59" s="1"/>
  <c r="U40" i="59"/>
  <c r="V40" i="59"/>
  <c r="G41" i="59"/>
  <c r="H41" i="59"/>
  <c r="J41" i="59"/>
  <c r="K41" i="59"/>
  <c r="L41" i="59"/>
  <c r="R41" i="59"/>
  <c r="T41" i="59"/>
  <c r="S41" i="59" s="1"/>
  <c r="U41" i="59"/>
  <c r="V41" i="59"/>
  <c r="G42" i="59"/>
  <c r="H42" i="59"/>
  <c r="J42" i="59"/>
  <c r="K42" i="59"/>
  <c r="L42" i="59"/>
  <c r="R42" i="59"/>
  <c r="T42" i="59"/>
  <c r="S42" i="59" s="1"/>
  <c r="U42" i="59"/>
  <c r="V42" i="59"/>
  <c r="G43" i="59"/>
  <c r="H43" i="59"/>
  <c r="J43" i="59"/>
  <c r="K43" i="59"/>
  <c r="L43" i="59"/>
  <c r="R43" i="59"/>
  <c r="T43" i="59"/>
  <c r="S43" i="59" s="1"/>
  <c r="U43" i="59"/>
  <c r="V43" i="59"/>
  <c r="G44" i="59"/>
  <c r="H44" i="59"/>
  <c r="J44" i="59"/>
  <c r="K44" i="59"/>
  <c r="L44" i="59"/>
  <c r="R44" i="59"/>
  <c r="T44" i="59"/>
  <c r="S44" i="59" s="1"/>
  <c r="U44" i="59"/>
  <c r="V44" i="59"/>
  <c r="G45" i="59"/>
  <c r="H45" i="59"/>
  <c r="J45" i="59"/>
  <c r="K45" i="59"/>
  <c r="L45" i="59"/>
  <c r="R45" i="59"/>
  <c r="T45" i="59"/>
  <c r="S45" i="59" s="1"/>
  <c r="U45" i="59"/>
  <c r="V45" i="59"/>
  <c r="G46" i="59"/>
  <c r="H46" i="59"/>
  <c r="J46" i="59"/>
  <c r="K46" i="59"/>
  <c r="L46" i="59"/>
  <c r="R46" i="59"/>
  <c r="T46" i="59"/>
  <c r="S46" i="59" s="1"/>
  <c r="U46" i="59"/>
  <c r="V46" i="59"/>
  <c r="G47" i="59"/>
  <c r="H47" i="59"/>
  <c r="J47" i="59"/>
  <c r="K47" i="59"/>
  <c r="L47" i="59"/>
  <c r="R47" i="59"/>
  <c r="T47" i="59"/>
  <c r="S47" i="59" s="1"/>
  <c r="U47" i="59"/>
  <c r="V47" i="59"/>
  <c r="G48" i="59"/>
  <c r="H48" i="59"/>
  <c r="J48" i="59"/>
  <c r="K48" i="59"/>
  <c r="L48" i="59"/>
  <c r="R48" i="59"/>
  <c r="T48" i="59"/>
  <c r="S48" i="59" s="1"/>
  <c r="U48" i="59"/>
  <c r="V48" i="59"/>
  <c r="G49" i="59"/>
  <c r="H49" i="59"/>
  <c r="J49" i="59"/>
  <c r="K49" i="59"/>
  <c r="L49" i="59"/>
  <c r="R49" i="59"/>
  <c r="T49" i="59"/>
  <c r="S49" i="59" s="1"/>
  <c r="U49" i="59"/>
  <c r="V49" i="59"/>
  <c r="G50" i="59"/>
  <c r="H50" i="59"/>
  <c r="J50" i="59"/>
  <c r="K50" i="59"/>
  <c r="L50" i="59"/>
  <c r="R50" i="59"/>
  <c r="T50" i="59"/>
  <c r="S50" i="59" s="1"/>
  <c r="U50" i="59"/>
  <c r="V50" i="59"/>
  <c r="G51" i="59"/>
  <c r="H51" i="59"/>
  <c r="J51" i="59"/>
  <c r="K51" i="59"/>
  <c r="L51" i="59"/>
  <c r="R51" i="59"/>
  <c r="T51" i="59"/>
  <c r="S51" i="59" s="1"/>
  <c r="U51" i="59"/>
  <c r="V51" i="59"/>
  <c r="G52" i="59"/>
  <c r="H52" i="59"/>
  <c r="J52" i="59"/>
  <c r="K52" i="59"/>
  <c r="L52" i="59"/>
  <c r="R52" i="59"/>
  <c r="T52" i="59"/>
  <c r="S52" i="59" s="1"/>
  <c r="U52" i="59"/>
  <c r="V52" i="59"/>
  <c r="G53" i="59"/>
  <c r="H53" i="59"/>
  <c r="J53" i="59"/>
  <c r="K53" i="59"/>
  <c r="L53" i="59"/>
  <c r="R53" i="59"/>
  <c r="T53" i="59"/>
  <c r="S53" i="59" s="1"/>
  <c r="U53" i="59"/>
  <c r="V53" i="59"/>
  <c r="G54" i="59"/>
  <c r="H54" i="59"/>
  <c r="J54" i="59"/>
  <c r="K54" i="59"/>
  <c r="L54" i="59"/>
  <c r="R54" i="59"/>
  <c r="T54" i="59"/>
  <c r="S54" i="59" s="1"/>
  <c r="U54" i="59"/>
  <c r="V54" i="59"/>
  <c r="G55" i="59"/>
  <c r="H55" i="59"/>
  <c r="J55" i="59"/>
  <c r="K55" i="59"/>
  <c r="L55" i="59"/>
  <c r="R55" i="59"/>
  <c r="T55" i="59"/>
  <c r="S55" i="59" s="1"/>
  <c r="U55" i="59"/>
  <c r="V55" i="59"/>
  <c r="G56" i="59"/>
  <c r="H56" i="59"/>
  <c r="J56" i="59"/>
  <c r="K56" i="59"/>
  <c r="L56" i="59"/>
  <c r="R56" i="59"/>
  <c r="T56" i="59"/>
  <c r="S56" i="59" s="1"/>
  <c r="U56" i="59"/>
  <c r="V56" i="59"/>
  <c r="G57" i="59"/>
  <c r="H57" i="59"/>
  <c r="J57" i="59"/>
  <c r="K57" i="59"/>
  <c r="L57" i="59"/>
  <c r="R57" i="59"/>
  <c r="T57" i="59"/>
  <c r="S57" i="59" s="1"/>
  <c r="U57" i="59"/>
  <c r="V57" i="59"/>
  <c r="G58" i="59"/>
  <c r="H58" i="59"/>
  <c r="J58" i="59"/>
  <c r="K58" i="59"/>
  <c r="L58" i="59"/>
  <c r="R58" i="59"/>
  <c r="T58" i="59"/>
  <c r="S58" i="59" s="1"/>
  <c r="U58" i="59"/>
  <c r="V58" i="59"/>
  <c r="G59" i="59"/>
  <c r="H59" i="59"/>
  <c r="J59" i="59"/>
  <c r="K59" i="59"/>
  <c r="L59" i="59"/>
  <c r="R59" i="59"/>
  <c r="T59" i="59"/>
  <c r="S59" i="59" s="1"/>
  <c r="U59" i="59"/>
  <c r="V59" i="59"/>
  <c r="G60" i="59"/>
  <c r="H60" i="59"/>
  <c r="J60" i="59"/>
  <c r="K60" i="59"/>
  <c r="L60" i="59"/>
  <c r="R60" i="59"/>
  <c r="T60" i="59"/>
  <c r="S60" i="59" s="1"/>
  <c r="U60" i="59"/>
  <c r="V60" i="59"/>
  <c r="E61" i="59"/>
  <c r="P10" i="59" s="1"/>
  <c r="F61" i="59"/>
  <c r="G61" i="59"/>
  <c r="H61" i="59"/>
  <c r="P2" i="59" s="1"/>
  <c r="J61" i="59"/>
  <c r="K61" i="59"/>
  <c r="L61" i="59"/>
  <c r="P3" i="59" s="1"/>
  <c r="Q61" i="59"/>
  <c r="R61" i="59"/>
  <c r="S61" i="59"/>
  <c r="T61" i="59"/>
  <c r="P6" i="59" s="1"/>
  <c r="P1" i="58"/>
  <c r="P8" i="58"/>
  <c r="D15" i="58"/>
  <c r="G17" i="58"/>
  <c r="H17" i="58"/>
  <c r="R17" i="58"/>
  <c r="G18" i="58"/>
  <c r="H18" i="58"/>
  <c r="J18" i="58"/>
  <c r="K18" i="58"/>
  <c r="L18" i="58"/>
  <c r="R18" i="58"/>
  <c r="T18" i="58"/>
  <c r="S18" i="58" s="1"/>
  <c r="U18" i="58"/>
  <c r="V18" i="58"/>
  <c r="G19" i="58"/>
  <c r="H19" i="58"/>
  <c r="J19" i="58"/>
  <c r="K19" i="58"/>
  <c r="L19" i="58"/>
  <c r="R19" i="58"/>
  <c r="T19" i="58"/>
  <c r="S19" i="58" s="1"/>
  <c r="U19" i="58"/>
  <c r="V19" i="58"/>
  <c r="G20" i="58"/>
  <c r="H20" i="58"/>
  <c r="J20" i="58"/>
  <c r="K20" i="58"/>
  <c r="L20" i="58"/>
  <c r="R20" i="58"/>
  <c r="T20" i="58"/>
  <c r="S20" i="58" s="1"/>
  <c r="U20" i="58"/>
  <c r="V20" i="58"/>
  <c r="G21" i="58"/>
  <c r="H21" i="58"/>
  <c r="J21" i="58"/>
  <c r="K21" i="58"/>
  <c r="L21" i="58"/>
  <c r="R21" i="58"/>
  <c r="T21" i="58"/>
  <c r="S21" i="58" s="1"/>
  <c r="U21" i="58"/>
  <c r="V21" i="58"/>
  <c r="G22" i="58"/>
  <c r="H22" i="58"/>
  <c r="J22" i="58"/>
  <c r="K22" i="58"/>
  <c r="L22" i="58"/>
  <c r="R22" i="58"/>
  <c r="T22" i="58"/>
  <c r="S22" i="58" s="1"/>
  <c r="U22" i="58"/>
  <c r="V22" i="58"/>
  <c r="G23" i="58"/>
  <c r="H23" i="58"/>
  <c r="J23" i="58"/>
  <c r="K23" i="58"/>
  <c r="L23" i="58"/>
  <c r="R23" i="58"/>
  <c r="T23" i="58"/>
  <c r="S23" i="58" s="1"/>
  <c r="U23" i="58"/>
  <c r="V23" i="58"/>
  <c r="G24" i="58"/>
  <c r="H24" i="58"/>
  <c r="J24" i="58"/>
  <c r="K24" i="58"/>
  <c r="L24" i="58"/>
  <c r="R24" i="58"/>
  <c r="T24" i="58"/>
  <c r="S24" i="58" s="1"/>
  <c r="U24" i="58"/>
  <c r="V24" i="58"/>
  <c r="G25" i="58"/>
  <c r="H25" i="58"/>
  <c r="J25" i="58"/>
  <c r="K25" i="58"/>
  <c r="L25" i="58"/>
  <c r="R25" i="58"/>
  <c r="T25" i="58"/>
  <c r="S25" i="58" s="1"/>
  <c r="U25" i="58"/>
  <c r="V25" i="58"/>
  <c r="G26" i="58"/>
  <c r="H26" i="58"/>
  <c r="J26" i="58"/>
  <c r="K26" i="58"/>
  <c r="L26" i="58"/>
  <c r="R26" i="58"/>
  <c r="T26" i="58"/>
  <c r="S26" i="58" s="1"/>
  <c r="U26" i="58"/>
  <c r="V26" i="58"/>
  <c r="H27" i="58"/>
  <c r="J27" i="58"/>
  <c r="K27" i="58"/>
  <c r="L27" i="58"/>
  <c r="R27" i="58"/>
  <c r="T27" i="58"/>
  <c r="S27" i="58" s="1"/>
  <c r="U27" i="58"/>
  <c r="V27" i="58"/>
  <c r="G28" i="58"/>
  <c r="H28" i="58"/>
  <c r="J28" i="58"/>
  <c r="K28" i="58"/>
  <c r="L28" i="58"/>
  <c r="R28" i="58"/>
  <c r="T28" i="58"/>
  <c r="S28" i="58" s="1"/>
  <c r="U28" i="58"/>
  <c r="V28" i="58"/>
  <c r="G29" i="58"/>
  <c r="H29" i="58"/>
  <c r="J29" i="58"/>
  <c r="K29" i="58"/>
  <c r="L29" i="58"/>
  <c r="R29" i="58"/>
  <c r="T29" i="58"/>
  <c r="S29" i="58" s="1"/>
  <c r="U29" i="58"/>
  <c r="V29" i="58"/>
  <c r="G30" i="58"/>
  <c r="H30" i="58"/>
  <c r="J30" i="58"/>
  <c r="K30" i="58"/>
  <c r="L30" i="58"/>
  <c r="R30" i="58"/>
  <c r="T30" i="58"/>
  <c r="S30" i="58" s="1"/>
  <c r="U30" i="58"/>
  <c r="V30" i="58"/>
  <c r="G31" i="58"/>
  <c r="H31" i="58"/>
  <c r="J31" i="58"/>
  <c r="K31" i="58"/>
  <c r="L31" i="58"/>
  <c r="R31" i="58"/>
  <c r="T31" i="58"/>
  <c r="S31" i="58" s="1"/>
  <c r="U31" i="58"/>
  <c r="V31" i="58"/>
  <c r="G32" i="58"/>
  <c r="H32" i="58"/>
  <c r="J32" i="58"/>
  <c r="K32" i="58"/>
  <c r="L32" i="58"/>
  <c r="R32" i="58"/>
  <c r="T32" i="58"/>
  <c r="S32" i="58" s="1"/>
  <c r="U32" i="58"/>
  <c r="V32" i="58"/>
  <c r="G33" i="58"/>
  <c r="H33" i="58"/>
  <c r="J33" i="58"/>
  <c r="K33" i="58"/>
  <c r="L33" i="58"/>
  <c r="R33" i="58"/>
  <c r="T33" i="58"/>
  <c r="S33" i="58" s="1"/>
  <c r="U33" i="58"/>
  <c r="V33" i="58"/>
  <c r="G34" i="58"/>
  <c r="H34" i="58"/>
  <c r="J34" i="58"/>
  <c r="K34" i="58"/>
  <c r="L34" i="58"/>
  <c r="R34" i="58"/>
  <c r="T34" i="58"/>
  <c r="S34" i="58" s="1"/>
  <c r="U34" i="58"/>
  <c r="V34" i="58"/>
  <c r="G35" i="58"/>
  <c r="H35" i="58"/>
  <c r="J35" i="58"/>
  <c r="K35" i="58"/>
  <c r="L35" i="58"/>
  <c r="R35" i="58"/>
  <c r="T35" i="58"/>
  <c r="S35" i="58" s="1"/>
  <c r="U35" i="58"/>
  <c r="V35" i="58"/>
  <c r="G36" i="58"/>
  <c r="H36" i="58"/>
  <c r="J36" i="58"/>
  <c r="K36" i="58"/>
  <c r="L36" i="58"/>
  <c r="R36" i="58"/>
  <c r="T36" i="58"/>
  <c r="S36" i="58" s="1"/>
  <c r="U36" i="58"/>
  <c r="V36" i="58"/>
  <c r="G37" i="58"/>
  <c r="H37" i="58"/>
  <c r="J37" i="58"/>
  <c r="K37" i="58"/>
  <c r="L37" i="58"/>
  <c r="R37" i="58"/>
  <c r="T37" i="58"/>
  <c r="S37" i="58" s="1"/>
  <c r="U37" i="58"/>
  <c r="V37" i="58"/>
  <c r="G38" i="58"/>
  <c r="H38" i="58"/>
  <c r="J38" i="58"/>
  <c r="K38" i="58"/>
  <c r="L38" i="58"/>
  <c r="R38" i="58"/>
  <c r="T38" i="58"/>
  <c r="S38" i="58" s="1"/>
  <c r="U38" i="58"/>
  <c r="V38" i="58"/>
  <c r="G39" i="58"/>
  <c r="H39" i="58"/>
  <c r="J39" i="58"/>
  <c r="K39" i="58"/>
  <c r="L39" i="58"/>
  <c r="R39" i="58"/>
  <c r="T39" i="58"/>
  <c r="S39" i="58" s="1"/>
  <c r="U39" i="58"/>
  <c r="V39" i="58"/>
  <c r="G40" i="58"/>
  <c r="H40" i="58"/>
  <c r="J40" i="58"/>
  <c r="K40" i="58"/>
  <c r="L40" i="58"/>
  <c r="R40" i="58"/>
  <c r="T40" i="58"/>
  <c r="S40" i="58" s="1"/>
  <c r="U40" i="58"/>
  <c r="V40" i="58"/>
  <c r="G41" i="58"/>
  <c r="H41" i="58"/>
  <c r="J41" i="58"/>
  <c r="K41" i="58"/>
  <c r="L41" i="58"/>
  <c r="R41" i="58"/>
  <c r="T41" i="58"/>
  <c r="S41" i="58" s="1"/>
  <c r="U41" i="58"/>
  <c r="V41" i="58"/>
  <c r="G42" i="58"/>
  <c r="H42" i="58"/>
  <c r="J42" i="58"/>
  <c r="K42" i="58"/>
  <c r="L42" i="58"/>
  <c r="R42" i="58"/>
  <c r="T42" i="58"/>
  <c r="S42" i="58" s="1"/>
  <c r="U42" i="58"/>
  <c r="V42" i="58"/>
  <c r="G43" i="58"/>
  <c r="H43" i="58"/>
  <c r="J43" i="58"/>
  <c r="K43" i="58"/>
  <c r="L43" i="58"/>
  <c r="R43" i="58"/>
  <c r="T43" i="58"/>
  <c r="S43" i="58" s="1"/>
  <c r="U43" i="58"/>
  <c r="V43" i="58"/>
  <c r="G44" i="58"/>
  <c r="H44" i="58"/>
  <c r="J44" i="58"/>
  <c r="K44" i="58"/>
  <c r="L44" i="58"/>
  <c r="R44" i="58"/>
  <c r="T44" i="58"/>
  <c r="S44" i="58" s="1"/>
  <c r="U44" i="58"/>
  <c r="V44" i="58"/>
  <c r="G45" i="58"/>
  <c r="H45" i="58"/>
  <c r="J45" i="58"/>
  <c r="K45" i="58"/>
  <c r="L45" i="58"/>
  <c r="R45" i="58"/>
  <c r="T45" i="58"/>
  <c r="S45" i="58" s="1"/>
  <c r="U45" i="58"/>
  <c r="V45" i="58"/>
  <c r="G46" i="58"/>
  <c r="H46" i="58"/>
  <c r="J46" i="58"/>
  <c r="K46" i="58"/>
  <c r="L46" i="58"/>
  <c r="R46" i="58"/>
  <c r="T46" i="58"/>
  <c r="S46" i="58" s="1"/>
  <c r="U46" i="58"/>
  <c r="V46" i="58"/>
  <c r="G47" i="58"/>
  <c r="H47" i="58"/>
  <c r="J47" i="58"/>
  <c r="K47" i="58"/>
  <c r="L47" i="58"/>
  <c r="R47" i="58"/>
  <c r="T47" i="58"/>
  <c r="S47" i="58" s="1"/>
  <c r="U47" i="58"/>
  <c r="V47" i="58"/>
  <c r="G48" i="58"/>
  <c r="H48" i="58"/>
  <c r="J48" i="58"/>
  <c r="K48" i="58"/>
  <c r="L48" i="58"/>
  <c r="R48" i="58"/>
  <c r="T48" i="58"/>
  <c r="S48" i="58" s="1"/>
  <c r="U48" i="58"/>
  <c r="V48" i="58"/>
  <c r="G49" i="58"/>
  <c r="H49" i="58"/>
  <c r="J49" i="58"/>
  <c r="K49" i="58"/>
  <c r="L49" i="58"/>
  <c r="R49" i="58"/>
  <c r="T49" i="58"/>
  <c r="S49" i="58" s="1"/>
  <c r="U49" i="58"/>
  <c r="V49" i="58"/>
  <c r="G50" i="58"/>
  <c r="H50" i="58"/>
  <c r="J50" i="58"/>
  <c r="K50" i="58"/>
  <c r="L50" i="58"/>
  <c r="R50" i="58"/>
  <c r="T50" i="58"/>
  <c r="S50" i="58" s="1"/>
  <c r="U50" i="58"/>
  <c r="V50" i="58"/>
  <c r="G51" i="58"/>
  <c r="H51" i="58"/>
  <c r="J51" i="58"/>
  <c r="K51" i="58"/>
  <c r="L51" i="58"/>
  <c r="R51" i="58"/>
  <c r="T51" i="58"/>
  <c r="S51" i="58" s="1"/>
  <c r="U51" i="58"/>
  <c r="V51" i="58"/>
  <c r="G52" i="58"/>
  <c r="H52" i="58"/>
  <c r="J52" i="58"/>
  <c r="K52" i="58"/>
  <c r="L52" i="58"/>
  <c r="R52" i="58"/>
  <c r="T52" i="58"/>
  <c r="S52" i="58" s="1"/>
  <c r="U52" i="58"/>
  <c r="V52" i="58"/>
  <c r="G53" i="58"/>
  <c r="H53" i="58"/>
  <c r="J53" i="58"/>
  <c r="K53" i="58"/>
  <c r="L53" i="58"/>
  <c r="R53" i="58"/>
  <c r="T53" i="58"/>
  <c r="S53" i="58" s="1"/>
  <c r="U53" i="58"/>
  <c r="V53" i="58"/>
  <c r="G54" i="58"/>
  <c r="H54" i="58"/>
  <c r="J54" i="58"/>
  <c r="K54" i="58"/>
  <c r="L54" i="58"/>
  <c r="R54" i="58"/>
  <c r="T54" i="58"/>
  <c r="S54" i="58" s="1"/>
  <c r="U54" i="58"/>
  <c r="V54" i="58"/>
  <c r="G55" i="58"/>
  <c r="H55" i="58"/>
  <c r="J55" i="58"/>
  <c r="K55" i="58"/>
  <c r="L55" i="58"/>
  <c r="R55" i="58"/>
  <c r="T55" i="58"/>
  <c r="S55" i="58" s="1"/>
  <c r="U55" i="58"/>
  <c r="V55" i="58"/>
  <c r="G56" i="58"/>
  <c r="H56" i="58"/>
  <c r="J56" i="58"/>
  <c r="K56" i="58"/>
  <c r="L56" i="58"/>
  <c r="R56" i="58"/>
  <c r="T56" i="58"/>
  <c r="S56" i="58" s="1"/>
  <c r="U56" i="58"/>
  <c r="V56" i="58"/>
  <c r="G57" i="58"/>
  <c r="H57" i="58"/>
  <c r="J57" i="58"/>
  <c r="K57" i="58"/>
  <c r="L57" i="58"/>
  <c r="R57" i="58"/>
  <c r="T57" i="58"/>
  <c r="S57" i="58" s="1"/>
  <c r="U57" i="58"/>
  <c r="V57" i="58"/>
  <c r="G58" i="58"/>
  <c r="H58" i="58"/>
  <c r="J58" i="58"/>
  <c r="K58" i="58"/>
  <c r="L58" i="58"/>
  <c r="R58" i="58"/>
  <c r="T58" i="58"/>
  <c r="S58" i="58" s="1"/>
  <c r="U58" i="58"/>
  <c r="V58" i="58"/>
  <c r="G59" i="58"/>
  <c r="H59" i="58"/>
  <c r="J59" i="58"/>
  <c r="K59" i="58"/>
  <c r="L59" i="58"/>
  <c r="R59" i="58"/>
  <c r="T59" i="58"/>
  <c r="S59" i="58" s="1"/>
  <c r="U59" i="58"/>
  <c r="V59" i="58"/>
  <c r="G60" i="58"/>
  <c r="H60" i="58"/>
  <c r="J60" i="58"/>
  <c r="K60" i="58"/>
  <c r="L60" i="58"/>
  <c r="R60" i="58"/>
  <c r="T60" i="58"/>
  <c r="S60" i="58" s="1"/>
  <c r="U60" i="58"/>
  <c r="V60" i="58"/>
  <c r="E61" i="58"/>
  <c r="P10" i="58" s="1"/>
  <c r="F61" i="58"/>
  <c r="G61" i="58"/>
  <c r="H61" i="58"/>
  <c r="P2" i="58" s="1"/>
  <c r="J61" i="58"/>
  <c r="K61" i="58"/>
  <c r="L61" i="58"/>
  <c r="P3" i="58" s="1"/>
  <c r="Q61" i="58"/>
  <c r="R61" i="58"/>
  <c r="S61" i="58"/>
  <c r="T61" i="58"/>
  <c r="P6" i="58" s="1"/>
  <c r="P1" i="57"/>
  <c r="P8" i="57"/>
  <c r="D15" i="57"/>
  <c r="G17" i="57"/>
  <c r="H17" i="57"/>
  <c r="R17" i="57"/>
  <c r="G18" i="57"/>
  <c r="H18" i="57"/>
  <c r="J18" i="57"/>
  <c r="K18" i="57"/>
  <c r="L18" i="57"/>
  <c r="R18" i="57"/>
  <c r="T18" i="57"/>
  <c r="S18" i="57" s="1"/>
  <c r="U18" i="57"/>
  <c r="V18" i="57"/>
  <c r="G19" i="57"/>
  <c r="H19" i="57"/>
  <c r="J19" i="57"/>
  <c r="K19" i="57"/>
  <c r="L19" i="57"/>
  <c r="R19" i="57"/>
  <c r="T19" i="57"/>
  <c r="S19" i="57" s="1"/>
  <c r="U19" i="57"/>
  <c r="V19" i="57"/>
  <c r="G20" i="57"/>
  <c r="H20" i="57"/>
  <c r="J20" i="57"/>
  <c r="K20" i="57"/>
  <c r="L20" i="57"/>
  <c r="R20" i="57"/>
  <c r="T20" i="57"/>
  <c r="S20" i="57" s="1"/>
  <c r="U20" i="57"/>
  <c r="V20" i="57"/>
  <c r="G21" i="57"/>
  <c r="H21" i="57"/>
  <c r="J21" i="57"/>
  <c r="K21" i="57"/>
  <c r="L21" i="57"/>
  <c r="R21" i="57"/>
  <c r="T21" i="57"/>
  <c r="S21" i="57" s="1"/>
  <c r="U21" i="57"/>
  <c r="V21" i="57"/>
  <c r="G22" i="57"/>
  <c r="H22" i="57"/>
  <c r="J22" i="57"/>
  <c r="K22" i="57"/>
  <c r="L22" i="57"/>
  <c r="R22" i="57"/>
  <c r="T22" i="57"/>
  <c r="S22" i="57" s="1"/>
  <c r="U22" i="57"/>
  <c r="V22" i="57"/>
  <c r="G23" i="57"/>
  <c r="H23" i="57"/>
  <c r="J23" i="57"/>
  <c r="K23" i="57"/>
  <c r="L23" i="57"/>
  <c r="R23" i="57"/>
  <c r="T23" i="57"/>
  <c r="S23" i="57" s="1"/>
  <c r="U23" i="57"/>
  <c r="V23" i="57"/>
  <c r="G24" i="57"/>
  <c r="H24" i="57"/>
  <c r="J24" i="57"/>
  <c r="K24" i="57"/>
  <c r="L24" i="57"/>
  <c r="R24" i="57"/>
  <c r="T24" i="57"/>
  <c r="S24" i="57" s="1"/>
  <c r="U24" i="57"/>
  <c r="V24" i="57"/>
  <c r="G25" i="57"/>
  <c r="H25" i="57"/>
  <c r="J25" i="57"/>
  <c r="K25" i="57"/>
  <c r="L25" i="57"/>
  <c r="R25" i="57"/>
  <c r="T25" i="57"/>
  <c r="S25" i="57" s="1"/>
  <c r="U25" i="57"/>
  <c r="V25" i="57"/>
  <c r="G26" i="57"/>
  <c r="H26" i="57"/>
  <c r="J26" i="57"/>
  <c r="K26" i="57"/>
  <c r="L26" i="57"/>
  <c r="R26" i="57"/>
  <c r="T26" i="57"/>
  <c r="S26" i="57" s="1"/>
  <c r="U26" i="57"/>
  <c r="V26" i="57"/>
  <c r="H27" i="57"/>
  <c r="J27" i="57"/>
  <c r="K27" i="57"/>
  <c r="L27" i="57"/>
  <c r="R27" i="57"/>
  <c r="T27" i="57"/>
  <c r="S27" i="57" s="1"/>
  <c r="U27" i="57"/>
  <c r="V27" i="57"/>
  <c r="G28" i="57"/>
  <c r="H28" i="57"/>
  <c r="J28" i="57"/>
  <c r="K28" i="57"/>
  <c r="L28" i="57"/>
  <c r="R28" i="57"/>
  <c r="T28" i="57"/>
  <c r="S28" i="57" s="1"/>
  <c r="U28" i="57"/>
  <c r="V28" i="57"/>
  <c r="G29" i="57"/>
  <c r="H29" i="57"/>
  <c r="J29" i="57"/>
  <c r="K29" i="57"/>
  <c r="L29" i="57"/>
  <c r="R29" i="57"/>
  <c r="T29" i="57"/>
  <c r="S29" i="57" s="1"/>
  <c r="U29" i="57"/>
  <c r="V29" i="57"/>
  <c r="G30" i="57"/>
  <c r="H30" i="57"/>
  <c r="J30" i="57"/>
  <c r="K30" i="57"/>
  <c r="L30" i="57"/>
  <c r="R30" i="57"/>
  <c r="T30" i="57"/>
  <c r="S30" i="57" s="1"/>
  <c r="U30" i="57"/>
  <c r="V30" i="57"/>
  <c r="G31" i="57"/>
  <c r="H31" i="57"/>
  <c r="J31" i="57"/>
  <c r="K31" i="57"/>
  <c r="L31" i="57"/>
  <c r="R31" i="57"/>
  <c r="T31" i="57"/>
  <c r="S31" i="57" s="1"/>
  <c r="U31" i="57"/>
  <c r="V31" i="57"/>
  <c r="G32" i="57"/>
  <c r="H32" i="57"/>
  <c r="J32" i="57"/>
  <c r="K32" i="57"/>
  <c r="L32" i="57"/>
  <c r="R32" i="57"/>
  <c r="T32" i="57"/>
  <c r="S32" i="57" s="1"/>
  <c r="U32" i="57"/>
  <c r="V32" i="57"/>
  <c r="G33" i="57"/>
  <c r="H33" i="57"/>
  <c r="J33" i="57"/>
  <c r="K33" i="57"/>
  <c r="L33" i="57"/>
  <c r="R33" i="57"/>
  <c r="T33" i="57"/>
  <c r="S33" i="57" s="1"/>
  <c r="U33" i="57"/>
  <c r="V33" i="57"/>
  <c r="G34" i="57"/>
  <c r="H34" i="57"/>
  <c r="J34" i="57"/>
  <c r="K34" i="57"/>
  <c r="L34" i="57"/>
  <c r="R34" i="57"/>
  <c r="T34" i="57"/>
  <c r="S34" i="57" s="1"/>
  <c r="U34" i="57"/>
  <c r="V34" i="57"/>
  <c r="G35" i="57"/>
  <c r="H35" i="57"/>
  <c r="J35" i="57"/>
  <c r="K35" i="57"/>
  <c r="L35" i="57"/>
  <c r="R35" i="57"/>
  <c r="T35" i="57"/>
  <c r="S35" i="57" s="1"/>
  <c r="U35" i="57"/>
  <c r="V35" i="57"/>
  <c r="G36" i="57"/>
  <c r="H36" i="57"/>
  <c r="J36" i="57"/>
  <c r="K36" i="57"/>
  <c r="L36" i="57"/>
  <c r="R36" i="57"/>
  <c r="T36" i="57"/>
  <c r="S36" i="57" s="1"/>
  <c r="U36" i="57"/>
  <c r="V36" i="57"/>
  <c r="G37" i="57"/>
  <c r="H37" i="57"/>
  <c r="J37" i="57"/>
  <c r="K37" i="57"/>
  <c r="L37" i="57"/>
  <c r="R37" i="57"/>
  <c r="T37" i="57"/>
  <c r="S37" i="57" s="1"/>
  <c r="U37" i="57"/>
  <c r="V37" i="57"/>
  <c r="G38" i="57"/>
  <c r="H38" i="57"/>
  <c r="J38" i="57"/>
  <c r="K38" i="57"/>
  <c r="L38" i="57"/>
  <c r="R38" i="57"/>
  <c r="T38" i="57"/>
  <c r="S38" i="57" s="1"/>
  <c r="U38" i="57"/>
  <c r="V38" i="57"/>
  <c r="G39" i="57"/>
  <c r="H39" i="57"/>
  <c r="J39" i="57"/>
  <c r="K39" i="57"/>
  <c r="L39" i="57"/>
  <c r="R39" i="57"/>
  <c r="T39" i="57"/>
  <c r="S39" i="57" s="1"/>
  <c r="U39" i="57"/>
  <c r="V39" i="57"/>
  <c r="G40" i="57"/>
  <c r="H40" i="57"/>
  <c r="J40" i="57"/>
  <c r="K40" i="57"/>
  <c r="L40" i="57"/>
  <c r="R40" i="57"/>
  <c r="T40" i="57"/>
  <c r="S40" i="57" s="1"/>
  <c r="U40" i="57"/>
  <c r="V40" i="57"/>
  <c r="G41" i="57"/>
  <c r="H41" i="57"/>
  <c r="J41" i="57"/>
  <c r="K41" i="57"/>
  <c r="L41" i="57"/>
  <c r="R41" i="57"/>
  <c r="T41" i="57"/>
  <c r="S41" i="57" s="1"/>
  <c r="U41" i="57"/>
  <c r="V41" i="57"/>
  <c r="G42" i="57"/>
  <c r="H42" i="57"/>
  <c r="J42" i="57"/>
  <c r="K42" i="57"/>
  <c r="L42" i="57"/>
  <c r="R42" i="57"/>
  <c r="T42" i="57"/>
  <c r="S42" i="57" s="1"/>
  <c r="U42" i="57"/>
  <c r="V42" i="57"/>
  <c r="G43" i="57"/>
  <c r="H43" i="57"/>
  <c r="J43" i="57"/>
  <c r="K43" i="57"/>
  <c r="L43" i="57"/>
  <c r="R43" i="57"/>
  <c r="T43" i="57"/>
  <c r="S43" i="57" s="1"/>
  <c r="U43" i="57"/>
  <c r="V43" i="57"/>
  <c r="G44" i="57"/>
  <c r="H44" i="57"/>
  <c r="J44" i="57"/>
  <c r="K44" i="57"/>
  <c r="L44" i="57"/>
  <c r="R44" i="57"/>
  <c r="T44" i="57"/>
  <c r="S44" i="57" s="1"/>
  <c r="U44" i="57"/>
  <c r="V44" i="57"/>
  <c r="G45" i="57"/>
  <c r="H45" i="57"/>
  <c r="J45" i="57"/>
  <c r="K45" i="57"/>
  <c r="L45" i="57"/>
  <c r="R45" i="57"/>
  <c r="T45" i="57"/>
  <c r="S45" i="57" s="1"/>
  <c r="U45" i="57"/>
  <c r="V45" i="57"/>
  <c r="G46" i="57"/>
  <c r="H46" i="57"/>
  <c r="J46" i="57"/>
  <c r="K46" i="57"/>
  <c r="L46" i="57"/>
  <c r="R46" i="57"/>
  <c r="T46" i="57"/>
  <c r="S46" i="57" s="1"/>
  <c r="U46" i="57"/>
  <c r="V46" i="57"/>
  <c r="G47" i="57"/>
  <c r="H47" i="57"/>
  <c r="J47" i="57"/>
  <c r="K47" i="57"/>
  <c r="L47" i="57"/>
  <c r="R47" i="57"/>
  <c r="T47" i="57"/>
  <c r="S47" i="57" s="1"/>
  <c r="U47" i="57"/>
  <c r="V47" i="57"/>
  <c r="G48" i="57"/>
  <c r="H48" i="57"/>
  <c r="J48" i="57"/>
  <c r="K48" i="57"/>
  <c r="L48" i="57"/>
  <c r="R48" i="57"/>
  <c r="T48" i="57"/>
  <c r="S48" i="57" s="1"/>
  <c r="U48" i="57"/>
  <c r="V48" i="57"/>
  <c r="G49" i="57"/>
  <c r="H49" i="57"/>
  <c r="J49" i="57"/>
  <c r="K49" i="57"/>
  <c r="L49" i="57"/>
  <c r="R49" i="57"/>
  <c r="T49" i="57"/>
  <c r="S49" i="57" s="1"/>
  <c r="U49" i="57"/>
  <c r="V49" i="57"/>
  <c r="G50" i="57"/>
  <c r="H50" i="57"/>
  <c r="J50" i="57"/>
  <c r="K50" i="57"/>
  <c r="L50" i="57"/>
  <c r="R50" i="57"/>
  <c r="T50" i="57"/>
  <c r="S50" i="57" s="1"/>
  <c r="U50" i="57"/>
  <c r="V50" i="57"/>
  <c r="G51" i="57"/>
  <c r="H51" i="57"/>
  <c r="J51" i="57"/>
  <c r="K51" i="57"/>
  <c r="L51" i="57"/>
  <c r="R51" i="57"/>
  <c r="T51" i="57"/>
  <c r="S51" i="57" s="1"/>
  <c r="U51" i="57"/>
  <c r="V51" i="57"/>
  <c r="G52" i="57"/>
  <c r="H52" i="57"/>
  <c r="J52" i="57"/>
  <c r="K52" i="57"/>
  <c r="L52" i="57"/>
  <c r="R52" i="57"/>
  <c r="T52" i="57"/>
  <c r="S52" i="57" s="1"/>
  <c r="U52" i="57"/>
  <c r="V52" i="57"/>
  <c r="G53" i="57"/>
  <c r="H53" i="57"/>
  <c r="J53" i="57"/>
  <c r="K53" i="57"/>
  <c r="L53" i="57"/>
  <c r="R53" i="57"/>
  <c r="T53" i="57"/>
  <c r="S53" i="57" s="1"/>
  <c r="U53" i="57"/>
  <c r="V53" i="57"/>
  <c r="G54" i="57"/>
  <c r="H54" i="57"/>
  <c r="J54" i="57"/>
  <c r="K54" i="57"/>
  <c r="L54" i="57"/>
  <c r="R54" i="57"/>
  <c r="T54" i="57"/>
  <c r="S54" i="57" s="1"/>
  <c r="U54" i="57"/>
  <c r="V54" i="57"/>
  <c r="G55" i="57"/>
  <c r="H55" i="57"/>
  <c r="J55" i="57"/>
  <c r="K55" i="57"/>
  <c r="L55" i="57"/>
  <c r="R55" i="57"/>
  <c r="T55" i="57"/>
  <c r="S55" i="57" s="1"/>
  <c r="U55" i="57"/>
  <c r="V55" i="57"/>
  <c r="G56" i="57"/>
  <c r="H56" i="57"/>
  <c r="J56" i="57"/>
  <c r="K56" i="57"/>
  <c r="L56" i="57"/>
  <c r="R56" i="57"/>
  <c r="T56" i="57"/>
  <c r="S56" i="57" s="1"/>
  <c r="U56" i="57"/>
  <c r="V56" i="57"/>
  <c r="G57" i="57"/>
  <c r="H57" i="57"/>
  <c r="J57" i="57"/>
  <c r="K57" i="57"/>
  <c r="L57" i="57"/>
  <c r="R57" i="57"/>
  <c r="T57" i="57"/>
  <c r="S57" i="57" s="1"/>
  <c r="U57" i="57"/>
  <c r="V57" i="57"/>
  <c r="G58" i="57"/>
  <c r="H58" i="57"/>
  <c r="J58" i="57"/>
  <c r="K58" i="57"/>
  <c r="L58" i="57"/>
  <c r="R58" i="57"/>
  <c r="T58" i="57"/>
  <c r="S58" i="57" s="1"/>
  <c r="U58" i="57"/>
  <c r="V58" i="57"/>
  <c r="G59" i="57"/>
  <c r="H59" i="57"/>
  <c r="J59" i="57"/>
  <c r="K59" i="57"/>
  <c r="L59" i="57"/>
  <c r="R59" i="57"/>
  <c r="T59" i="57"/>
  <c r="S59" i="57" s="1"/>
  <c r="U59" i="57"/>
  <c r="V59" i="57"/>
  <c r="G60" i="57"/>
  <c r="H60" i="57"/>
  <c r="J60" i="57"/>
  <c r="K60" i="57"/>
  <c r="L60" i="57"/>
  <c r="R60" i="57"/>
  <c r="T60" i="57"/>
  <c r="S60" i="57" s="1"/>
  <c r="U60" i="57"/>
  <c r="V60" i="57"/>
  <c r="E61" i="57"/>
  <c r="P10" i="57" s="1"/>
  <c r="F61" i="57"/>
  <c r="G61" i="57"/>
  <c r="H61" i="57"/>
  <c r="P2" i="57" s="1"/>
  <c r="J61" i="57"/>
  <c r="K61" i="57"/>
  <c r="L61" i="57"/>
  <c r="P3" i="57" s="1"/>
  <c r="Q61" i="57"/>
  <c r="R61" i="57"/>
  <c r="S61" i="57"/>
  <c r="T61" i="57"/>
  <c r="P6" i="57" s="1"/>
  <c r="P1" i="56"/>
  <c r="P8" i="56"/>
  <c r="D15" i="56"/>
  <c r="G17" i="56"/>
  <c r="H17" i="56"/>
  <c r="R17" i="56"/>
  <c r="G18" i="56"/>
  <c r="H18" i="56"/>
  <c r="J18" i="56"/>
  <c r="K18" i="56"/>
  <c r="L18" i="56"/>
  <c r="R18" i="56"/>
  <c r="T18" i="56"/>
  <c r="S18" i="56" s="1"/>
  <c r="U18" i="56"/>
  <c r="V18" i="56"/>
  <c r="G19" i="56"/>
  <c r="H19" i="56"/>
  <c r="J19" i="56"/>
  <c r="K19" i="56"/>
  <c r="L19" i="56"/>
  <c r="R19" i="56"/>
  <c r="T19" i="56"/>
  <c r="S19" i="56" s="1"/>
  <c r="U19" i="56"/>
  <c r="V19" i="56"/>
  <c r="G20" i="56"/>
  <c r="H20" i="56"/>
  <c r="J20" i="56"/>
  <c r="K20" i="56"/>
  <c r="L20" i="56"/>
  <c r="R20" i="56"/>
  <c r="T20" i="56"/>
  <c r="S20" i="56" s="1"/>
  <c r="U20" i="56"/>
  <c r="V20" i="56"/>
  <c r="G21" i="56"/>
  <c r="H21" i="56"/>
  <c r="J21" i="56"/>
  <c r="K21" i="56"/>
  <c r="L21" i="56"/>
  <c r="R21" i="56"/>
  <c r="T21" i="56"/>
  <c r="S21" i="56" s="1"/>
  <c r="U21" i="56"/>
  <c r="V21" i="56"/>
  <c r="G22" i="56"/>
  <c r="H22" i="56"/>
  <c r="J22" i="56"/>
  <c r="K22" i="56"/>
  <c r="L22" i="56"/>
  <c r="R22" i="56"/>
  <c r="T22" i="56"/>
  <c r="S22" i="56" s="1"/>
  <c r="U22" i="56"/>
  <c r="V22" i="56"/>
  <c r="G23" i="56"/>
  <c r="H23" i="56"/>
  <c r="J23" i="56"/>
  <c r="K23" i="56"/>
  <c r="L23" i="56"/>
  <c r="R23" i="56"/>
  <c r="T23" i="56"/>
  <c r="S23" i="56" s="1"/>
  <c r="U23" i="56"/>
  <c r="V23" i="56"/>
  <c r="G24" i="56"/>
  <c r="H24" i="56"/>
  <c r="J24" i="56"/>
  <c r="K24" i="56"/>
  <c r="L24" i="56"/>
  <c r="R24" i="56"/>
  <c r="T24" i="56"/>
  <c r="S24" i="56" s="1"/>
  <c r="U24" i="56"/>
  <c r="V24" i="56"/>
  <c r="G25" i="56"/>
  <c r="H25" i="56"/>
  <c r="J25" i="56"/>
  <c r="K25" i="56"/>
  <c r="L25" i="56"/>
  <c r="R25" i="56"/>
  <c r="T25" i="56"/>
  <c r="S25" i="56" s="1"/>
  <c r="U25" i="56"/>
  <c r="V25" i="56"/>
  <c r="G26" i="56"/>
  <c r="H26" i="56"/>
  <c r="J26" i="56"/>
  <c r="K26" i="56"/>
  <c r="L26" i="56"/>
  <c r="R26" i="56"/>
  <c r="T26" i="56"/>
  <c r="S26" i="56" s="1"/>
  <c r="U26" i="56"/>
  <c r="V26" i="56"/>
  <c r="H27" i="56"/>
  <c r="J27" i="56"/>
  <c r="K27" i="56"/>
  <c r="L27" i="56"/>
  <c r="R27" i="56"/>
  <c r="T27" i="56"/>
  <c r="S27" i="56" s="1"/>
  <c r="U27" i="56"/>
  <c r="V27" i="56"/>
  <c r="G28" i="56"/>
  <c r="H28" i="56"/>
  <c r="J28" i="56"/>
  <c r="K28" i="56"/>
  <c r="L28" i="56"/>
  <c r="R28" i="56"/>
  <c r="T28" i="56"/>
  <c r="S28" i="56" s="1"/>
  <c r="U28" i="56"/>
  <c r="V28" i="56"/>
  <c r="G29" i="56"/>
  <c r="H29" i="56"/>
  <c r="J29" i="56"/>
  <c r="K29" i="56"/>
  <c r="L29" i="56"/>
  <c r="R29" i="56"/>
  <c r="T29" i="56"/>
  <c r="S29" i="56" s="1"/>
  <c r="U29" i="56"/>
  <c r="V29" i="56"/>
  <c r="G30" i="56"/>
  <c r="H30" i="56"/>
  <c r="J30" i="56"/>
  <c r="K30" i="56"/>
  <c r="L30" i="56"/>
  <c r="R30" i="56"/>
  <c r="T30" i="56"/>
  <c r="S30" i="56" s="1"/>
  <c r="U30" i="56"/>
  <c r="V30" i="56"/>
  <c r="G31" i="56"/>
  <c r="H31" i="56"/>
  <c r="J31" i="56"/>
  <c r="K31" i="56"/>
  <c r="L31" i="56"/>
  <c r="R31" i="56"/>
  <c r="T31" i="56"/>
  <c r="S31" i="56" s="1"/>
  <c r="U31" i="56"/>
  <c r="V31" i="56"/>
  <c r="G32" i="56"/>
  <c r="H32" i="56"/>
  <c r="J32" i="56"/>
  <c r="K32" i="56"/>
  <c r="L32" i="56"/>
  <c r="R32" i="56"/>
  <c r="T32" i="56"/>
  <c r="S32" i="56" s="1"/>
  <c r="U32" i="56"/>
  <c r="V32" i="56"/>
  <c r="G33" i="56"/>
  <c r="H33" i="56"/>
  <c r="J33" i="56"/>
  <c r="K33" i="56"/>
  <c r="L33" i="56"/>
  <c r="R33" i="56"/>
  <c r="T33" i="56"/>
  <c r="S33" i="56" s="1"/>
  <c r="U33" i="56"/>
  <c r="V33" i="56"/>
  <c r="G34" i="56"/>
  <c r="H34" i="56"/>
  <c r="J34" i="56"/>
  <c r="K34" i="56"/>
  <c r="L34" i="56"/>
  <c r="R34" i="56"/>
  <c r="T34" i="56"/>
  <c r="S34" i="56" s="1"/>
  <c r="U34" i="56"/>
  <c r="V34" i="56"/>
  <c r="G35" i="56"/>
  <c r="H35" i="56"/>
  <c r="J35" i="56"/>
  <c r="K35" i="56"/>
  <c r="L35" i="56"/>
  <c r="R35" i="56"/>
  <c r="T35" i="56"/>
  <c r="S35" i="56" s="1"/>
  <c r="U35" i="56"/>
  <c r="V35" i="56"/>
  <c r="G36" i="56"/>
  <c r="H36" i="56"/>
  <c r="J36" i="56"/>
  <c r="K36" i="56"/>
  <c r="L36" i="56"/>
  <c r="R36" i="56"/>
  <c r="T36" i="56"/>
  <c r="S36" i="56" s="1"/>
  <c r="U36" i="56"/>
  <c r="V36" i="56"/>
  <c r="G37" i="56"/>
  <c r="H37" i="56"/>
  <c r="J37" i="56"/>
  <c r="K37" i="56"/>
  <c r="L37" i="56"/>
  <c r="R37" i="56"/>
  <c r="T37" i="56"/>
  <c r="S37" i="56" s="1"/>
  <c r="U37" i="56"/>
  <c r="V37" i="56"/>
  <c r="G38" i="56"/>
  <c r="H38" i="56"/>
  <c r="J38" i="56"/>
  <c r="K38" i="56"/>
  <c r="L38" i="56"/>
  <c r="R38" i="56"/>
  <c r="T38" i="56"/>
  <c r="S38" i="56" s="1"/>
  <c r="U38" i="56"/>
  <c r="V38" i="56"/>
  <c r="G39" i="56"/>
  <c r="H39" i="56"/>
  <c r="J39" i="56"/>
  <c r="K39" i="56"/>
  <c r="L39" i="56"/>
  <c r="R39" i="56"/>
  <c r="T39" i="56"/>
  <c r="S39" i="56" s="1"/>
  <c r="U39" i="56"/>
  <c r="V39" i="56"/>
  <c r="G40" i="56"/>
  <c r="H40" i="56"/>
  <c r="J40" i="56"/>
  <c r="K40" i="56"/>
  <c r="L40" i="56"/>
  <c r="R40" i="56"/>
  <c r="T40" i="56"/>
  <c r="S40" i="56" s="1"/>
  <c r="U40" i="56"/>
  <c r="V40" i="56"/>
  <c r="G41" i="56"/>
  <c r="H41" i="56"/>
  <c r="J41" i="56"/>
  <c r="K41" i="56"/>
  <c r="L41" i="56"/>
  <c r="R41" i="56"/>
  <c r="T41" i="56"/>
  <c r="S41" i="56" s="1"/>
  <c r="U41" i="56"/>
  <c r="V41" i="56"/>
  <c r="G42" i="56"/>
  <c r="H42" i="56"/>
  <c r="J42" i="56"/>
  <c r="K42" i="56"/>
  <c r="L42" i="56"/>
  <c r="R42" i="56"/>
  <c r="T42" i="56"/>
  <c r="S42" i="56" s="1"/>
  <c r="U42" i="56"/>
  <c r="V42" i="56"/>
  <c r="G43" i="56"/>
  <c r="H43" i="56"/>
  <c r="J43" i="56"/>
  <c r="K43" i="56"/>
  <c r="L43" i="56"/>
  <c r="R43" i="56"/>
  <c r="T43" i="56"/>
  <c r="S43" i="56" s="1"/>
  <c r="U43" i="56"/>
  <c r="V43" i="56"/>
  <c r="G44" i="56"/>
  <c r="H44" i="56"/>
  <c r="J44" i="56"/>
  <c r="K44" i="56"/>
  <c r="L44" i="56"/>
  <c r="R44" i="56"/>
  <c r="T44" i="56"/>
  <c r="S44" i="56" s="1"/>
  <c r="U44" i="56"/>
  <c r="V44" i="56"/>
  <c r="G45" i="56"/>
  <c r="H45" i="56"/>
  <c r="J45" i="56"/>
  <c r="K45" i="56"/>
  <c r="L45" i="56"/>
  <c r="R45" i="56"/>
  <c r="T45" i="56"/>
  <c r="S45" i="56" s="1"/>
  <c r="U45" i="56"/>
  <c r="V45" i="56"/>
  <c r="G46" i="56"/>
  <c r="H46" i="56"/>
  <c r="J46" i="56"/>
  <c r="K46" i="56"/>
  <c r="L46" i="56"/>
  <c r="R46" i="56"/>
  <c r="T46" i="56"/>
  <c r="S46" i="56" s="1"/>
  <c r="U46" i="56"/>
  <c r="V46" i="56"/>
  <c r="G47" i="56"/>
  <c r="H47" i="56"/>
  <c r="J47" i="56"/>
  <c r="K47" i="56"/>
  <c r="L47" i="56"/>
  <c r="R47" i="56"/>
  <c r="T47" i="56"/>
  <c r="S47" i="56" s="1"/>
  <c r="U47" i="56"/>
  <c r="V47" i="56"/>
  <c r="G48" i="56"/>
  <c r="H48" i="56"/>
  <c r="J48" i="56"/>
  <c r="K48" i="56"/>
  <c r="L48" i="56"/>
  <c r="R48" i="56"/>
  <c r="T48" i="56"/>
  <c r="S48" i="56" s="1"/>
  <c r="U48" i="56"/>
  <c r="V48" i="56"/>
  <c r="G49" i="56"/>
  <c r="H49" i="56"/>
  <c r="J49" i="56"/>
  <c r="K49" i="56"/>
  <c r="L49" i="56"/>
  <c r="R49" i="56"/>
  <c r="T49" i="56"/>
  <c r="S49" i="56" s="1"/>
  <c r="U49" i="56"/>
  <c r="V49" i="56"/>
  <c r="G50" i="56"/>
  <c r="H50" i="56"/>
  <c r="J50" i="56"/>
  <c r="K50" i="56"/>
  <c r="L50" i="56"/>
  <c r="R50" i="56"/>
  <c r="T50" i="56"/>
  <c r="S50" i="56" s="1"/>
  <c r="U50" i="56"/>
  <c r="V50" i="56"/>
  <c r="G51" i="56"/>
  <c r="H51" i="56"/>
  <c r="J51" i="56"/>
  <c r="K51" i="56"/>
  <c r="L51" i="56"/>
  <c r="R51" i="56"/>
  <c r="T51" i="56"/>
  <c r="S51" i="56" s="1"/>
  <c r="U51" i="56"/>
  <c r="V51" i="56"/>
  <c r="G52" i="56"/>
  <c r="H52" i="56"/>
  <c r="J52" i="56"/>
  <c r="K52" i="56"/>
  <c r="L52" i="56"/>
  <c r="R52" i="56"/>
  <c r="T52" i="56"/>
  <c r="S52" i="56" s="1"/>
  <c r="U52" i="56"/>
  <c r="V52" i="56"/>
  <c r="G53" i="56"/>
  <c r="H53" i="56"/>
  <c r="J53" i="56"/>
  <c r="K53" i="56"/>
  <c r="L53" i="56"/>
  <c r="R53" i="56"/>
  <c r="T53" i="56"/>
  <c r="S53" i="56" s="1"/>
  <c r="U53" i="56"/>
  <c r="V53" i="56"/>
  <c r="G54" i="56"/>
  <c r="H54" i="56"/>
  <c r="J54" i="56"/>
  <c r="K54" i="56"/>
  <c r="L54" i="56"/>
  <c r="R54" i="56"/>
  <c r="T54" i="56"/>
  <c r="S54" i="56" s="1"/>
  <c r="U54" i="56"/>
  <c r="V54" i="56"/>
  <c r="G55" i="56"/>
  <c r="H55" i="56"/>
  <c r="J55" i="56"/>
  <c r="K55" i="56"/>
  <c r="L55" i="56"/>
  <c r="R55" i="56"/>
  <c r="T55" i="56"/>
  <c r="S55" i="56" s="1"/>
  <c r="U55" i="56"/>
  <c r="V55" i="56"/>
  <c r="G56" i="56"/>
  <c r="H56" i="56"/>
  <c r="J56" i="56"/>
  <c r="K56" i="56"/>
  <c r="L56" i="56"/>
  <c r="R56" i="56"/>
  <c r="T56" i="56"/>
  <c r="S56" i="56" s="1"/>
  <c r="U56" i="56"/>
  <c r="V56" i="56"/>
  <c r="G57" i="56"/>
  <c r="H57" i="56"/>
  <c r="J57" i="56"/>
  <c r="K57" i="56"/>
  <c r="L57" i="56"/>
  <c r="R57" i="56"/>
  <c r="T57" i="56"/>
  <c r="S57" i="56" s="1"/>
  <c r="U57" i="56"/>
  <c r="V57" i="56"/>
  <c r="G58" i="56"/>
  <c r="H58" i="56"/>
  <c r="J58" i="56"/>
  <c r="K58" i="56"/>
  <c r="L58" i="56"/>
  <c r="R58" i="56"/>
  <c r="T58" i="56"/>
  <c r="S58" i="56" s="1"/>
  <c r="U58" i="56"/>
  <c r="V58" i="56"/>
  <c r="G59" i="56"/>
  <c r="H59" i="56"/>
  <c r="J59" i="56"/>
  <c r="K59" i="56"/>
  <c r="L59" i="56"/>
  <c r="R59" i="56"/>
  <c r="T59" i="56"/>
  <c r="S59" i="56" s="1"/>
  <c r="U59" i="56"/>
  <c r="V59" i="56"/>
  <c r="G60" i="56"/>
  <c r="H60" i="56"/>
  <c r="J60" i="56"/>
  <c r="K60" i="56"/>
  <c r="L60" i="56"/>
  <c r="R60" i="56"/>
  <c r="T60" i="56"/>
  <c r="S60" i="56" s="1"/>
  <c r="U60" i="56"/>
  <c r="V60" i="56"/>
  <c r="E61" i="56"/>
  <c r="P10" i="56" s="1"/>
  <c r="F61" i="56"/>
  <c r="G61" i="56"/>
  <c r="H61" i="56"/>
  <c r="P2" i="56" s="1"/>
  <c r="J61" i="56"/>
  <c r="K61" i="56"/>
  <c r="L61" i="56"/>
  <c r="P3" i="56" s="1"/>
  <c r="Q61" i="56"/>
  <c r="R61" i="56"/>
  <c r="S61" i="56"/>
  <c r="T61" i="56"/>
  <c r="P6" i="56" s="1"/>
  <c r="P1" i="55"/>
  <c r="P8" i="55"/>
  <c r="D15" i="55"/>
  <c r="G17" i="55"/>
  <c r="H17" i="55"/>
  <c r="R17" i="55"/>
  <c r="G18" i="55"/>
  <c r="H18" i="55"/>
  <c r="J18" i="55"/>
  <c r="K18" i="55"/>
  <c r="L18" i="55"/>
  <c r="R18" i="55"/>
  <c r="T18" i="55"/>
  <c r="S18" i="55" s="1"/>
  <c r="U18" i="55"/>
  <c r="V18" i="55"/>
  <c r="G19" i="55"/>
  <c r="H19" i="55"/>
  <c r="J19" i="55"/>
  <c r="K19" i="55"/>
  <c r="L19" i="55"/>
  <c r="R19" i="55"/>
  <c r="T19" i="55"/>
  <c r="S19" i="55" s="1"/>
  <c r="U19" i="55"/>
  <c r="V19" i="55"/>
  <c r="G20" i="55"/>
  <c r="H20" i="55"/>
  <c r="J20" i="55"/>
  <c r="K20" i="55"/>
  <c r="L20" i="55"/>
  <c r="R20" i="55"/>
  <c r="T20" i="55"/>
  <c r="S20" i="55" s="1"/>
  <c r="U20" i="55"/>
  <c r="V20" i="55"/>
  <c r="G21" i="55"/>
  <c r="H21" i="55"/>
  <c r="J21" i="55"/>
  <c r="K21" i="55"/>
  <c r="L21" i="55"/>
  <c r="R21" i="55"/>
  <c r="T21" i="55"/>
  <c r="S21" i="55" s="1"/>
  <c r="U21" i="55"/>
  <c r="V21" i="55"/>
  <c r="G22" i="55"/>
  <c r="H22" i="55"/>
  <c r="J22" i="55"/>
  <c r="K22" i="55"/>
  <c r="L22" i="55"/>
  <c r="R22" i="55"/>
  <c r="T22" i="55"/>
  <c r="S22" i="55" s="1"/>
  <c r="U22" i="55"/>
  <c r="V22" i="55"/>
  <c r="G23" i="55"/>
  <c r="H23" i="55"/>
  <c r="J23" i="55"/>
  <c r="K23" i="55"/>
  <c r="L23" i="55"/>
  <c r="R23" i="55"/>
  <c r="T23" i="55"/>
  <c r="S23" i="55" s="1"/>
  <c r="U23" i="55"/>
  <c r="V23" i="55"/>
  <c r="G24" i="55"/>
  <c r="H24" i="55"/>
  <c r="J24" i="55"/>
  <c r="K24" i="55"/>
  <c r="L24" i="55"/>
  <c r="R24" i="55"/>
  <c r="T24" i="55"/>
  <c r="S24" i="55" s="1"/>
  <c r="U24" i="55"/>
  <c r="V24" i="55"/>
  <c r="G25" i="55"/>
  <c r="H25" i="55"/>
  <c r="J25" i="55"/>
  <c r="K25" i="55"/>
  <c r="L25" i="55"/>
  <c r="R25" i="55"/>
  <c r="T25" i="55"/>
  <c r="S25" i="55" s="1"/>
  <c r="U25" i="55"/>
  <c r="V25" i="55"/>
  <c r="G26" i="55"/>
  <c r="H26" i="55"/>
  <c r="J26" i="55"/>
  <c r="K26" i="55"/>
  <c r="L26" i="55"/>
  <c r="R26" i="55"/>
  <c r="T26" i="55"/>
  <c r="S26" i="55" s="1"/>
  <c r="U26" i="55"/>
  <c r="V26" i="55"/>
  <c r="H27" i="55"/>
  <c r="J27" i="55"/>
  <c r="K27" i="55"/>
  <c r="L27" i="55"/>
  <c r="R27" i="55"/>
  <c r="T27" i="55"/>
  <c r="S27" i="55" s="1"/>
  <c r="U27" i="55"/>
  <c r="V27" i="55"/>
  <c r="G28" i="55"/>
  <c r="H28" i="55"/>
  <c r="J28" i="55"/>
  <c r="K28" i="55"/>
  <c r="L28" i="55"/>
  <c r="R28" i="55"/>
  <c r="T28" i="55"/>
  <c r="S28" i="55" s="1"/>
  <c r="U28" i="55"/>
  <c r="V28" i="55"/>
  <c r="G29" i="55"/>
  <c r="H29" i="55"/>
  <c r="J29" i="55"/>
  <c r="K29" i="55"/>
  <c r="L29" i="55"/>
  <c r="R29" i="55"/>
  <c r="T29" i="55"/>
  <c r="S29" i="55" s="1"/>
  <c r="U29" i="55"/>
  <c r="V29" i="55"/>
  <c r="G30" i="55"/>
  <c r="H30" i="55"/>
  <c r="J30" i="55"/>
  <c r="K30" i="55"/>
  <c r="L30" i="55"/>
  <c r="R30" i="55"/>
  <c r="T30" i="55"/>
  <c r="S30" i="55" s="1"/>
  <c r="U30" i="55"/>
  <c r="V30" i="55"/>
  <c r="G31" i="55"/>
  <c r="H31" i="55"/>
  <c r="J31" i="55"/>
  <c r="K31" i="55"/>
  <c r="L31" i="55"/>
  <c r="R31" i="55"/>
  <c r="T31" i="55"/>
  <c r="S31" i="55" s="1"/>
  <c r="U31" i="55"/>
  <c r="V31" i="55"/>
  <c r="G32" i="55"/>
  <c r="H32" i="55"/>
  <c r="J32" i="55"/>
  <c r="K32" i="55"/>
  <c r="L32" i="55"/>
  <c r="R32" i="55"/>
  <c r="T32" i="55"/>
  <c r="S32" i="55" s="1"/>
  <c r="U32" i="55"/>
  <c r="V32" i="55"/>
  <c r="G33" i="55"/>
  <c r="H33" i="55"/>
  <c r="J33" i="55"/>
  <c r="K33" i="55"/>
  <c r="L33" i="55"/>
  <c r="R33" i="55"/>
  <c r="T33" i="55"/>
  <c r="S33" i="55" s="1"/>
  <c r="U33" i="55"/>
  <c r="V33" i="55"/>
  <c r="G34" i="55"/>
  <c r="H34" i="55"/>
  <c r="J34" i="55"/>
  <c r="K34" i="55"/>
  <c r="L34" i="55"/>
  <c r="R34" i="55"/>
  <c r="T34" i="55"/>
  <c r="S34" i="55" s="1"/>
  <c r="U34" i="55"/>
  <c r="V34" i="55"/>
  <c r="G35" i="55"/>
  <c r="H35" i="55"/>
  <c r="J35" i="55"/>
  <c r="K35" i="55"/>
  <c r="L35" i="55"/>
  <c r="R35" i="55"/>
  <c r="T35" i="55"/>
  <c r="S35" i="55" s="1"/>
  <c r="U35" i="55"/>
  <c r="V35" i="55"/>
  <c r="G36" i="55"/>
  <c r="H36" i="55"/>
  <c r="J36" i="55"/>
  <c r="K36" i="55"/>
  <c r="L36" i="55"/>
  <c r="R36" i="55"/>
  <c r="T36" i="55"/>
  <c r="S36" i="55" s="1"/>
  <c r="U36" i="55"/>
  <c r="V36" i="55"/>
  <c r="G37" i="55"/>
  <c r="H37" i="55"/>
  <c r="J37" i="55"/>
  <c r="K37" i="55"/>
  <c r="L37" i="55"/>
  <c r="R37" i="55"/>
  <c r="T37" i="55"/>
  <c r="S37" i="55" s="1"/>
  <c r="U37" i="55"/>
  <c r="V37" i="55"/>
  <c r="G38" i="55"/>
  <c r="H38" i="55"/>
  <c r="J38" i="55"/>
  <c r="K38" i="55"/>
  <c r="L38" i="55"/>
  <c r="R38" i="55"/>
  <c r="T38" i="55"/>
  <c r="S38" i="55" s="1"/>
  <c r="U38" i="55"/>
  <c r="V38" i="55"/>
  <c r="G39" i="55"/>
  <c r="H39" i="55"/>
  <c r="J39" i="55"/>
  <c r="K39" i="55"/>
  <c r="L39" i="55"/>
  <c r="R39" i="55"/>
  <c r="T39" i="55"/>
  <c r="S39" i="55" s="1"/>
  <c r="U39" i="55"/>
  <c r="V39" i="55"/>
  <c r="G40" i="55"/>
  <c r="H40" i="55"/>
  <c r="J40" i="55"/>
  <c r="K40" i="55"/>
  <c r="L40" i="55"/>
  <c r="R40" i="55"/>
  <c r="T40" i="55"/>
  <c r="S40" i="55" s="1"/>
  <c r="U40" i="55"/>
  <c r="V40" i="55"/>
  <c r="G41" i="55"/>
  <c r="H41" i="55"/>
  <c r="J41" i="55"/>
  <c r="K41" i="55"/>
  <c r="L41" i="55"/>
  <c r="R41" i="55"/>
  <c r="T41" i="55"/>
  <c r="S41" i="55" s="1"/>
  <c r="U41" i="55"/>
  <c r="V41" i="55"/>
  <c r="G42" i="55"/>
  <c r="H42" i="55"/>
  <c r="J42" i="55"/>
  <c r="K42" i="55"/>
  <c r="L42" i="55"/>
  <c r="R42" i="55"/>
  <c r="T42" i="55"/>
  <c r="S42" i="55" s="1"/>
  <c r="U42" i="55"/>
  <c r="V42" i="55"/>
  <c r="G43" i="55"/>
  <c r="H43" i="55"/>
  <c r="J43" i="55"/>
  <c r="K43" i="55"/>
  <c r="L43" i="55"/>
  <c r="R43" i="55"/>
  <c r="T43" i="55"/>
  <c r="S43" i="55" s="1"/>
  <c r="U43" i="55"/>
  <c r="V43" i="55"/>
  <c r="G44" i="55"/>
  <c r="H44" i="55"/>
  <c r="J44" i="55"/>
  <c r="K44" i="55"/>
  <c r="L44" i="55"/>
  <c r="R44" i="55"/>
  <c r="T44" i="55"/>
  <c r="S44" i="55" s="1"/>
  <c r="U44" i="55"/>
  <c r="V44" i="55"/>
  <c r="G45" i="55"/>
  <c r="H45" i="55"/>
  <c r="J45" i="55"/>
  <c r="K45" i="55"/>
  <c r="L45" i="55"/>
  <c r="R45" i="55"/>
  <c r="T45" i="55"/>
  <c r="S45" i="55" s="1"/>
  <c r="U45" i="55"/>
  <c r="V45" i="55"/>
  <c r="G46" i="55"/>
  <c r="H46" i="55"/>
  <c r="J46" i="55"/>
  <c r="K46" i="55"/>
  <c r="L46" i="55"/>
  <c r="R46" i="55"/>
  <c r="T46" i="55"/>
  <c r="S46" i="55" s="1"/>
  <c r="U46" i="55"/>
  <c r="V46" i="55"/>
  <c r="G47" i="55"/>
  <c r="H47" i="55"/>
  <c r="J47" i="55"/>
  <c r="K47" i="55"/>
  <c r="L47" i="55"/>
  <c r="R47" i="55"/>
  <c r="T47" i="55"/>
  <c r="S47" i="55" s="1"/>
  <c r="U47" i="55"/>
  <c r="V47" i="55"/>
  <c r="G48" i="55"/>
  <c r="H48" i="55"/>
  <c r="J48" i="55"/>
  <c r="K48" i="55"/>
  <c r="L48" i="55"/>
  <c r="R48" i="55"/>
  <c r="T48" i="55"/>
  <c r="S48" i="55" s="1"/>
  <c r="U48" i="55"/>
  <c r="V48" i="55"/>
  <c r="G49" i="55"/>
  <c r="H49" i="55"/>
  <c r="J49" i="55"/>
  <c r="K49" i="55"/>
  <c r="L49" i="55"/>
  <c r="R49" i="55"/>
  <c r="T49" i="55"/>
  <c r="S49" i="55" s="1"/>
  <c r="U49" i="55"/>
  <c r="V49" i="55"/>
  <c r="G50" i="55"/>
  <c r="H50" i="55"/>
  <c r="J50" i="55"/>
  <c r="K50" i="55"/>
  <c r="L50" i="55"/>
  <c r="R50" i="55"/>
  <c r="T50" i="55"/>
  <c r="S50" i="55" s="1"/>
  <c r="U50" i="55"/>
  <c r="V50" i="55"/>
  <c r="G51" i="55"/>
  <c r="H51" i="55"/>
  <c r="J51" i="55"/>
  <c r="K51" i="55"/>
  <c r="L51" i="55"/>
  <c r="R51" i="55"/>
  <c r="T51" i="55"/>
  <c r="S51" i="55" s="1"/>
  <c r="U51" i="55"/>
  <c r="V51" i="55"/>
  <c r="G52" i="55"/>
  <c r="H52" i="55"/>
  <c r="J52" i="55"/>
  <c r="K52" i="55"/>
  <c r="L52" i="55"/>
  <c r="R52" i="55"/>
  <c r="T52" i="55"/>
  <c r="S52" i="55" s="1"/>
  <c r="U52" i="55"/>
  <c r="V52" i="55"/>
  <c r="G53" i="55"/>
  <c r="H53" i="55"/>
  <c r="J53" i="55"/>
  <c r="K53" i="55"/>
  <c r="L53" i="55"/>
  <c r="R53" i="55"/>
  <c r="T53" i="55"/>
  <c r="S53" i="55" s="1"/>
  <c r="U53" i="55"/>
  <c r="V53" i="55"/>
  <c r="G54" i="55"/>
  <c r="H54" i="55"/>
  <c r="J54" i="55"/>
  <c r="K54" i="55"/>
  <c r="L54" i="55"/>
  <c r="R54" i="55"/>
  <c r="T54" i="55"/>
  <c r="S54" i="55" s="1"/>
  <c r="U54" i="55"/>
  <c r="V54" i="55"/>
  <c r="G55" i="55"/>
  <c r="H55" i="55"/>
  <c r="J55" i="55"/>
  <c r="K55" i="55"/>
  <c r="L55" i="55"/>
  <c r="R55" i="55"/>
  <c r="T55" i="55"/>
  <c r="S55" i="55" s="1"/>
  <c r="U55" i="55"/>
  <c r="V55" i="55"/>
  <c r="G56" i="55"/>
  <c r="H56" i="55"/>
  <c r="J56" i="55"/>
  <c r="K56" i="55"/>
  <c r="L56" i="55"/>
  <c r="R56" i="55"/>
  <c r="T56" i="55"/>
  <c r="S56" i="55" s="1"/>
  <c r="U56" i="55"/>
  <c r="V56" i="55"/>
  <c r="G57" i="55"/>
  <c r="H57" i="55"/>
  <c r="J57" i="55"/>
  <c r="K57" i="55"/>
  <c r="L57" i="55"/>
  <c r="R57" i="55"/>
  <c r="T57" i="55"/>
  <c r="S57" i="55" s="1"/>
  <c r="U57" i="55"/>
  <c r="V57" i="55"/>
  <c r="G58" i="55"/>
  <c r="H58" i="55"/>
  <c r="J58" i="55"/>
  <c r="K58" i="55"/>
  <c r="L58" i="55"/>
  <c r="R58" i="55"/>
  <c r="T58" i="55"/>
  <c r="S58" i="55" s="1"/>
  <c r="U58" i="55"/>
  <c r="V58" i="55"/>
  <c r="G59" i="55"/>
  <c r="H59" i="55"/>
  <c r="J59" i="55"/>
  <c r="K59" i="55"/>
  <c r="L59" i="55"/>
  <c r="R59" i="55"/>
  <c r="T59" i="55"/>
  <c r="S59" i="55" s="1"/>
  <c r="U59" i="55"/>
  <c r="V59" i="55"/>
  <c r="G60" i="55"/>
  <c r="H60" i="55"/>
  <c r="J60" i="55"/>
  <c r="K60" i="55"/>
  <c r="L60" i="55"/>
  <c r="R60" i="55"/>
  <c r="T60" i="55"/>
  <c r="S60" i="55" s="1"/>
  <c r="U60" i="55"/>
  <c r="V60" i="55"/>
  <c r="E61" i="55"/>
  <c r="P10" i="55" s="1"/>
  <c r="F61" i="55"/>
  <c r="G61" i="55"/>
  <c r="H61" i="55"/>
  <c r="P2" i="55" s="1"/>
  <c r="J61" i="55"/>
  <c r="K61" i="55"/>
  <c r="L61" i="55"/>
  <c r="P3" i="55" s="1"/>
  <c r="Q61" i="55"/>
  <c r="R61" i="55"/>
  <c r="S61" i="55"/>
  <c r="T61" i="55"/>
  <c r="P6" i="55" s="1"/>
  <c r="P1" i="54"/>
  <c r="P8" i="54"/>
  <c r="D15" i="54"/>
  <c r="G17" i="54"/>
  <c r="H17" i="54"/>
  <c r="R17" i="54"/>
  <c r="G18" i="54"/>
  <c r="H18" i="54"/>
  <c r="J18" i="54"/>
  <c r="K18" i="54"/>
  <c r="L18" i="54"/>
  <c r="R18" i="54"/>
  <c r="T18" i="54"/>
  <c r="S18" i="54" s="1"/>
  <c r="U18" i="54"/>
  <c r="V18" i="54"/>
  <c r="G19" i="54"/>
  <c r="H19" i="54"/>
  <c r="J19" i="54"/>
  <c r="K19" i="54"/>
  <c r="L19" i="54"/>
  <c r="R19" i="54"/>
  <c r="T19" i="54"/>
  <c r="S19" i="54" s="1"/>
  <c r="U19" i="54"/>
  <c r="V19" i="54"/>
  <c r="G20" i="54"/>
  <c r="H20" i="54"/>
  <c r="J20" i="54"/>
  <c r="K20" i="54"/>
  <c r="L20" i="54"/>
  <c r="R20" i="54"/>
  <c r="T20" i="54"/>
  <c r="S20" i="54" s="1"/>
  <c r="U20" i="54"/>
  <c r="V20" i="54"/>
  <c r="G21" i="54"/>
  <c r="H21" i="54"/>
  <c r="J21" i="54"/>
  <c r="K21" i="54"/>
  <c r="L21" i="54"/>
  <c r="R21" i="54"/>
  <c r="T21" i="54"/>
  <c r="S21" i="54" s="1"/>
  <c r="U21" i="54"/>
  <c r="V21" i="54"/>
  <c r="G22" i="54"/>
  <c r="H22" i="54"/>
  <c r="J22" i="54"/>
  <c r="K22" i="54"/>
  <c r="L22" i="54"/>
  <c r="R22" i="54"/>
  <c r="T22" i="54"/>
  <c r="S22" i="54" s="1"/>
  <c r="U22" i="54"/>
  <c r="V22" i="54"/>
  <c r="G23" i="54"/>
  <c r="H23" i="54"/>
  <c r="J23" i="54"/>
  <c r="K23" i="54"/>
  <c r="L23" i="54"/>
  <c r="R23" i="54"/>
  <c r="T23" i="54"/>
  <c r="S23" i="54" s="1"/>
  <c r="U23" i="54"/>
  <c r="V23" i="54"/>
  <c r="G24" i="54"/>
  <c r="H24" i="54"/>
  <c r="J24" i="54"/>
  <c r="K24" i="54"/>
  <c r="L24" i="54"/>
  <c r="R24" i="54"/>
  <c r="T24" i="54"/>
  <c r="S24" i="54" s="1"/>
  <c r="U24" i="54"/>
  <c r="V24" i="54"/>
  <c r="G25" i="54"/>
  <c r="H25" i="54"/>
  <c r="J25" i="54"/>
  <c r="K25" i="54"/>
  <c r="L25" i="54"/>
  <c r="R25" i="54"/>
  <c r="T25" i="54"/>
  <c r="S25" i="54" s="1"/>
  <c r="U25" i="54"/>
  <c r="V25" i="54"/>
  <c r="G26" i="54"/>
  <c r="H26" i="54"/>
  <c r="J26" i="54"/>
  <c r="K26" i="54"/>
  <c r="L26" i="54"/>
  <c r="R26" i="54"/>
  <c r="T26" i="54"/>
  <c r="S26" i="54" s="1"/>
  <c r="U26" i="54"/>
  <c r="V26" i="54"/>
  <c r="H27" i="54"/>
  <c r="J27" i="54"/>
  <c r="K27" i="54"/>
  <c r="L27" i="54"/>
  <c r="R27" i="54"/>
  <c r="T27" i="54"/>
  <c r="S27" i="54" s="1"/>
  <c r="U27" i="54"/>
  <c r="V27" i="54"/>
  <c r="G28" i="54"/>
  <c r="H28" i="54"/>
  <c r="J28" i="54"/>
  <c r="K28" i="54"/>
  <c r="L28" i="54"/>
  <c r="R28" i="54"/>
  <c r="T28" i="54"/>
  <c r="S28" i="54" s="1"/>
  <c r="U28" i="54"/>
  <c r="V28" i="54"/>
  <c r="G29" i="54"/>
  <c r="H29" i="54"/>
  <c r="J29" i="54"/>
  <c r="K29" i="54"/>
  <c r="L29" i="54"/>
  <c r="R29" i="54"/>
  <c r="T29" i="54"/>
  <c r="S29" i="54" s="1"/>
  <c r="U29" i="54"/>
  <c r="V29" i="54"/>
  <c r="G30" i="54"/>
  <c r="H30" i="54"/>
  <c r="J30" i="54"/>
  <c r="K30" i="54"/>
  <c r="L30" i="54"/>
  <c r="R30" i="54"/>
  <c r="T30" i="54"/>
  <c r="S30" i="54" s="1"/>
  <c r="U30" i="54"/>
  <c r="V30" i="54"/>
  <c r="G31" i="54"/>
  <c r="H31" i="54"/>
  <c r="J31" i="54"/>
  <c r="K31" i="54"/>
  <c r="L31" i="54"/>
  <c r="R31" i="54"/>
  <c r="T31" i="54"/>
  <c r="S31" i="54" s="1"/>
  <c r="U31" i="54"/>
  <c r="V31" i="54"/>
  <c r="G32" i="54"/>
  <c r="H32" i="54"/>
  <c r="J32" i="54"/>
  <c r="K32" i="54"/>
  <c r="L32" i="54"/>
  <c r="R32" i="54"/>
  <c r="T32" i="54"/>
  <c r="S32" i="54" s="1"/>
  <c r="U32" i="54"/>
  <c r="V32" i="54"/>
  <c r="G33" i="54"/>
  <c r="H33" i="54"/>
  <c r="J33" i="54"/>
  <c r="K33" i="54"/>
  <c r="L33" i="54"/>
  <c r="R33" i="54"/>
  <c r="T33" i="54"/>
  <c r="S33" i="54" s="1"/>
  <c r="U33" i="54"/>
  <c r="V33" i="54"/>
  <c r="G34" i="54"/>
  <c r="H34" i="54"/>
  <c r="J34" i="54"/>
  <c r="K34" i="54"/>
  <c r="L34" i="54"/>
  <c r="R34" i="54"/>
  <c r="T34" i="54"/>
  <c r="S34" i="54" s="1"/>
  <c r="U34" i="54"/>
  <c r="V34" i="54"/>
  <c r="G35" i="54"/>
  <c r="H35" i="54"/>
  <c r="J35" i="54"/>
  <c r="K35" i="54"/>
  <c r="L35" i="54"/>
  <c r="R35" i="54"/>
  <c r="T35" i="54"/>
  <c r="S35" i="54" s="1"/>
  <c r="U35" i="54"/>
  <c r="V35" i="54"/>
  <c r="G36" i="54"/>
  <c r="H36" i="54"/>
  <c r="J36" i="54"/>
  <c r="K36" i="54"/>
  <c r="L36" i="54"/>
  <c r="R36" i="54"/>
  <c r="T36" i="54"/>
  <c r="S36" i="54" s="1"/>
  <c r="U36" i="54"/>
  <c r="V36" i="54"/>
  <c r="G37" i="54"/>
  <c r="H37" i="54"/>
  <c r="J37" i="54"/>
  <c r="K37" i="54"/>
  <c r="L37" i="54"/>
  <c r="R37" i="54"/>
  <c r="T37" i="54"/>
  <c r="S37" i="54" s="1"/>
  <c r="U37" i="54"/>
  <c r="V37" i="54"/>
  <c r="G38" i="54"/>
  <c r="H38" i="54"/>
  <c r="J38" i="54"/>
  <c r="K38" i="54"/>
  <c r="L38" i="54"/>
  <c r="R38" i="54"/>
  <c r="T38" i="54"/>
  <c r="S38" i="54" s="1"/>
  <c r="U38" i="54"/>
  <c r="V38" i="54"/>
  <c r="G39" i="54"/>
  <c r="H39" i="54"/>
  <c r="J39" i="54"/>
  <c r="K39" i="54"/>
  <c r="L39" i="54"/>
  <c r="R39" i="54"/>
  <c r="T39" i="54"/>
  <c r="S39" i="54" s="1"/>
  <c r="U39" i="54"/>
  <c r="V39" i="54"/>
  <c r="G40" i="54"/>
  <c r="H40" i="54"/>
  <c r="J40" i="54"/>
  <c r="K40" i="54"/>
  <c r="L40" i="54"/>
  <c r="R40" i="54"/>
  <c r="T40" i="54"/>
  <c r="S40" i="54" s="1"/>
  <c r="U40" i="54"/>
  <c r="V40" i="54"/>
  <c r="G41" i="54"/>
  <c r="H41" i="54"/>
  <c r="J41" i="54"/>
  <c r="K41" i="54"/>
  <c r="L41" i="54"/>
  <c r="R41" i="54"/>
  <c r="T41" i="54"/>
  <c r="S41" i="54" s="1"/>
  <c r="U41" i="54"/>
  <c r="V41" i="54"/>
  <c r="G42" i="54"/>
  <c r="H42" i="54"/>
  <c r="J42" i="54"/>
  <c r="K42" i="54"/>
  <c r="L42" i="54"/>
  <c r="R42" i="54"/>
  <c r="T42" i="54"/>
  <c r="S42" i="54" s="1"/>
  <c r="U42" i="54"/>
  <c r="V42" i="54"/>
  <c r="G43" i="54"/>
  <c r="H43" i="54"/>
  <c r="J43" i="54"/>
  <c r="K43" i="54"/>
  <c r="L43" i="54"/>
  <c r="R43" i="54"/>
  <c r="T43" i="54"/>
  <c r="S43" i="54" s="1"/>
  <c r="U43" i="54"/>
  <c r="V43" i="54"/>
  <c r="G44" i="54"/>
  <c r="H44" i="54"/>
  <c r="J44" i="54"/>
  <c r="K44" i="54"/>
  <c r="L44" i="54"/>
  <c r="R44" i="54"/>
  <c r="T44" i="54"/>
  <c r="S44" i="54" s="1"/>
  <c r="U44" i="54"/>
  <c r="V44" i="54"/>
  <c r="G45" i="54"/>
  <c r="H45" i="54"/>
  <c r="J45" i="54"/>
  <c r="K45" i="54"/>
  <c r="L45" i="54"/>
  <c r="R45" i="54"/>
  <c r="T45" i="54"/>
  <c r="S45" i="54" s="1"/>
  <c r="U45" i="54"/>
  <c r="V45" i="54"/>
  <c r="G46" i="54"/>
  <c r="H46" i="54"/>
  <c r="J46" i="54"/>
  <c r="K46" i="54"/>
  <c r="L46" i="54"/>
  <c r="R46" i="54"/>
  <c r="T46" i="54"/>
  <c r="S46" i="54" s="1"/>
  <c r="U46" i="54"/>
  <c r="V46" i="54"/>
  <c r="G47" i="54"/>
  <c r="H47" i="54"/>
  <c r="J47" i="54"/>
  <c r="K47" i="54"/>
  <c r="L47" i="54"/>
  <c r="R47" i="54"/>
  <c r="T47" i="54"/>
  <c r="S47" i="54" s="1"/>
  <c r="U47" i="54"/>
  <c r="V47" i="54"/>
  <c r="G48" i="54"/>
  <c r="H48" i="54"/>
  <c r="J48" i="54"/>
  <c r="K48" i="54"/>
  <c r="L48" i="54"/>
  <c r="R48" i="54"/>
  <c r="T48" i="54"/>
  <c r="S48" i="54" s="1"/>
  <c r="U48" i="54"/>
  <c r="V48" i="54"/>
  <c r="G49" i="54"/>
  <c r="H49" i="54"/>
  <c r="J49" i="54"/>
  <c r="K49" i="54"/>
  <c r="L49" i="54"/>
  <c r="R49" i="54"/>
  <c r="T49" i="54"/>
  <c r="S49" i="54" s="1"/>
  <c r="U49" i="54"/>
  <c r="V49" i="54"/>
  <c r="G50" i="54"/>
  <c r="H50" i="54"/>
  <c r="J50" i="54"/>
  <c r="K50" i="54"/>
  <c r="L50" i="54"/>
  <c r="R50" i="54"/>
  <c r="T50" i="54"/>
  <c r="S50" i="54" s="1"/>
  <c r="U50" i="54"/>
  <c r="V50" i="54"/>
  <c r="G51" i="54"/>
  <c r="H51" i="54"/>
  <c r="J51" i="54"/>
  <c r="K51" i="54"/>
  <c r="L51" i="54"/>
  <c r="R51" i="54"/>
  <c r="T51" i="54"/>
  <c r="S51" i="54" s="1"/>
  <c r="U51" i="54"/>
  <c r="V51" i="54"/>
  <c r="G52" i="54"/>
  <c r="H52" i="54"/>
  <c r="J52" i="54"/>
  <c r="K52" i="54"/>
  <c r="L52" i="54"/>
  <c r="R52" i="54"/>
  <c r="T52" i="54"/>
  <c r="S52" i="54" s="1"/>
  <c r="U52" i="54"/>
  <c r="V52" i="54"/>
  <c r="G53" i="54"/>
  <c r="H53" i="54"/>
  <c r="J53" i="54"/>
  <c r="K53" i="54"/>
  <c r="L53" i="54"/>
  <c r="R53" i="54"/>
  <c r="T53" i="54"/>
  <c r="S53" i="54" s="1"/>
  <c r="U53" i="54"/>
  <c r="V53" i="54"/>
  <c r="G54" i="54"/>
  <c r="H54" i="54"/>
  <c r="J54" i="54"/>
  <c r="K54" i="54"/>
  <c r="L54" i="54"/>
  <c r="R54" i="54"/>
  <c r="T54" i="54"/>
  <c r="S54" i="54" s="1"/>
  <c r="U54" i="54"/>
  <c r="V54" i="54"/>
  <c r="G55" i="54"/>
  <c r="H55" i="54"/>
  <c r="J55" i="54"/>
  <c r="K55" i="54"/>
  <c r="L55" i="54"/>
  <c r="R55" i="54"/>
  <c r="T55" i="54"/>
  <c r="S55" i="54" s="1"/>
  <c r="U55" i="54"/>
  <c r="V55" i="54"/>
  <c r="G56" i="54"/>
  <c r="H56" i="54"/>
  <c r="J56" i="54"/>
  <c r="K56" i="54"/>
  <c r="L56" i="54"/>
  <c r="R56" i="54"/>
  <c r="T56" i="54"/>
  <c r="S56" i="54" s="1"/>
  <c r="U56" i="54"/>
  <c r="V56" i="54"/>
  <c r="G57" i="54"/>
  <c r="H57" i="54"/>
  <c r="J57" i="54"/>
  <c r="K57" i="54"/>
  <c r="L57" i="54"/>
  <c r="R57" i="54"/>
  <c r="T57" i="54"/>
  <c r="S57" i="54" s="1"/>
  <c r="U57" i="54"/>
  <c r="V57" i="54"/>
  <c r="G58" i="54"/>
  <c r="H58" i="54"/>
  <c r="J58" i="54"/>
  <c r="K58" i="54"/>
  <c r="L58" i="54"/>
  <c r="R58" i="54"/>
  <c r="T58" i="54"/>
  <c r="S58" i="54" s="1"/>
  <c r="U58" i="54"/>
  <c r="V58" i="54"/>
  <c r="G59" i="54"/>
  <c r="H59" i="54"/>
  <c r="J59" i="54"/>
  <c r="K59" i="54"/>
  <c r="L59" i="54"/>
  <c r="R59" i="54"/>
  <c r="T59" i="54"/>
  <c r="S59" i="54" s="1"/>
  <c r="U59" i="54"/>
  <c r="V59" i="54"/>
  <c r="G60" i="54"/>
  <c r="H60" i="54"/>
  <c r="J60" i="54"/>
  <c r="K60" i="54"/>
  <c r="L60" i="54"/>
  <c r="R60" i="54"/>
  <c r="T60" i="54"/>
  <c r="S60" i="54" s="1"/>
  <c r="U60" i="54"/>
  <c r="V60" i="54"/>
  <c r="E61" i="54"/>
  <c r="P10" i="54" s="1"/>
  <c r="F61" i="54"/>
  <c r="G61" i="54"/>
  <c r="H61" i="54"/>
  <c r="P2" i="54" s="1"/>
  <c r="J61" i="54"/>
  <c r="K61" i="54"/>
  <c r="L61" i="54"/>
  <c r="P3" i="54" s="1"/>
  <c r="Q61" i="54"/>
  <c r="R61" i="54"/>
  <c r="S61" i="54"/>
  <c r="T61" i="54"/>
  <c r="P6" i="54" s="1"/>
  <c r="G28" i="51"/>
  <c r="G27" i="51"/>
  <c r="G26" i="51"/>
  <c r="G25" i="51"/>
  <c r="G24" i="51"/>
  <c r="G23" i="51"/>
  <c r="G22" i="51"/>
  <c r="G21" i="51"/>
  <c r="G20" i="51"/>
  <c r="G19" i="51"/>
  <c r="G18" i="51"/>
  <c r="G19" i="53"/>
  <c r="G17" i="53"/>
  <c r="H17" i="53"/>
  <c r="H18" i="53"/>
  <c r="H19" i="53"/>
  <c r="H20" i="53"/>
  <c r="H21" i="53"/>
  <c r="H22" i="53"/>
  <c r="H23" i="53"/>
  <c r="H24" i="53"/>
  <c r="H25" i="53"/>
  <c r="H26" i="53"/>
  <c r="H27" i="53"/>
  <c r="H28" i="53"/>
  <c r="H29" i="53"/>
  <c r="H30" i="53"/>
  <c r="H31" i="53"/>
  <c r="H32" i="53"/>
  <c r="H33" i="53"/>
  <c r="H34" i="53"/>
  <c r="H35" i="53"/>
  <c r="H36" i="53"/>
  <c r="H37" i="53"/>
  <c r="H38" i="53"/>
  <c r="H39" i="53"/>
  <c r="H40" i="53"/>
  <c r="H41" i="53"/>
  <c r="H42" i="53"/>
  <c r="H43" i="53"/>
  <c r="H44" i="53"/>
  <c r="H45" i="53"/>
  <c r="H46" i="53"/>
  <c r="H47" i="53"/>
  <c r="H48" i="53"/>
  <c r="H49" i="53"/>
  <c r="H50" i="53"/>
  <c r="H51" i="53"/>
  <c r="H52" i="53"/>
  <c r="H53" i="53"/>
  <c r="H54" i="53"/>
  <c r="H55" i="53"/>
  <c r="H56" i="53"/>
  <c r="H57" i="53"/>
  <c r="H58" i="53"/>
  <c r="H59" i="53"/>
  <c r="H60" i="53"/>
  <c r="E61" i="53"/>
  <c r="F61" i="53"/>
  <c r="H61" i="53"/>
  <c r="D15" i="53"/>
  <c r="G20" i="52"/>
  <c r="G26" i="52"/>
  <c r="G25" i="52"/>
  <c r="G24" i="52"/>
  <c r="G23" i="52"/>
  <c r="G22" i="52"/>
  <c r="G21" i="52"/>
  <c r="G19" i="52"/>
  <c r="G18" i="52"/>
  <c r="P1" i="53"/>
  <c r="P8" i="53"/>
  <c r="R17" i="53"/>
  <c r="J18" i="53"/>
  <c r="K18" i="53"/>
  <c r="L18" i="53"/>
  <c r="R18" i="53"/>
  <c r="T18" i="53"/>
  <c r="S18" i="53" s="1"/>
  <c r="U18" i="53"/>
  <c r="V18" i="53"/>
  <c r="J19" i="53"/>
  <c r="K19" i="53"/>
  <c r="L19" i="53"/>
  <c r="R19" i="53"/>
  <c r="T19" i="53"/>
  <c r="S19" i="53" s="1"/>
  <c r="U19" i="53"/>
  <c r="V19" i="53"/>
  <c r="J20" i="53"/>
  <c r="K20" i="53"/>
  <c r="L20" i="53"/>
  <c r="R20" i="53"/>
  <c r="T20" i="53"/>
  <c r="S20" i="53" s="1"/>
  <c r="U20" i="53"/>
  <c r="V20" i="53"/>
  <c r="J21" i="53"/>
  <c r="K21" i="53"/>
  <c r="L21" i="53"/>
  <c r="R21" i="53"/>
  <c r="T21" i="53"/>
  <c r="S21" i="53" s="1"/>
  <c r="U21" i="53"/>
  <c r="V21" i="53"/>
  <c r="J22" i="53"/>
  <c r="K22" i="53"/>
  <c r="L22" i="53"/>
  <c r="R22" i="53"/>
  <c r="T22" i="53"/>
  <c r="S22" i="53" s="1"/>
  <c r="U22" i="53"/>
  <c r="V22" i="53"/>
  <c r="J23" i="53"/>
  <c r="K23" i="53"/>
  <c r="L23" i="53"/>
  <c r="R23" i="53"/>
  <c r="T23" i="53"/>
  <c r="S23" i="53" s="1"/>
  <c r="U23" i="53"/>
  <c r="V23" i="53"/>
  <c r="J24" i="53"/>
  <c r="K24" i="53"/>
  <c r="L24" i="53"/>
  <c r="R24" i="53"/>
  <c r="T24" i="53"/>
  <c r="S24" i="53" s="1"/>
  <c r="U24" i="53"/>
  <c r="V24" i="53"/>
  <c r="J25" i="53"/>
  <c r="K25" i="53"/>
  <c r="L25" i="53"/>
  <c r="R25" i="53"/>
  <c r="T25" i="53"/>
  <c r="S25" i="53" s="1"/>
  <c r="U25" i="53"/>
  <c r="V25" i="53"/>
  <c r="J26" i="53"/>
  <c r="K26" i="53"/>
  <c r="L26" i="53"/>
  <c r="R26" i="53"/>
  <c r="T26" i="53"/>
  <c r="S26" i="53" s="1"/>
  <c r="U26" i="53"/>
  <c r="V26" i="53"/>
  <c r="J27" i="53"/>
  <c r="K27" i="53"/>
  <c r="L27" i="53"/>
  <c r="R27" i="53"/>
  <c r="T27" i="53"/>
  <c r="S27" i="53" s="1"/>
  <c r="U27" i="53"/>
  <c r="V27" i="53"/>
  <c r="J28" i="53"/>
  <c r="K28" i="53"/>
  <c r="L28" i="53"/>
  <c r="R28" i="53"/>
  <c r="T28" i="53"/>
  <c r="S28" i="53" s="1"/>
  <c r="U28" i="53"/>
  <c r="V28" i="53"/>
  <c r="J29" i="53"/>
  <c r="K29" i="53"/>
  <c r="L29" i="53"/>
  <c r="R29" i="53"/>
  <c r="T29" i="53"/>
  <c r="S29" i="53" s="1"/>
  <c r="U29" i="53"/>
  <c r="V29" i="53"/>
  <c r="J30" i="53"/>
  <c r="K30" i="53"/>
  <c r="L30" i="53"/>
  <c r="R30" i="53"/>
  <c r="T30" i="53"/>
  <c r="S30" i="53" s="1"/>
  <c r="U30" i="53"/>
  <c r="V30" i="53"/>
  <c r="J31" i="53"/>
  <c r="K31" i="53"/>
  <c r="L31" i="53"/>
  <c r="R31" i="53"/>
  <c r="T31" i="53"/>
  <c r="S31" i="53" s="1"/>
  <c r="U31" i="53"/>
  <c r="V31" i="53"/>
  <c r="J32" i="53"/>
  <c r="K32" i="53"/>
  <c r="L32" i="53"/>
  <c r="R32" i="53"/>
  <c r="T32" i="53"/>
  <c r="S32" i="53" s="1"/>
  <c r="U32" i="53"/>
  <c r="V32" i="53"/>
  <c r="J33" i="53"/>
  <c r="K33" i="53"/>
  <c r="L33" i="53"/>
  <c r="R33" i="53"/>
  <c r="T33" i="53"/>
  <c r="S33" i="53" s="1"/>
  <c r="U33" i="53"/>
  <c r="V33" i="53"/>
  <c r="J34" i="53"/>
  <c r="K34" i="53"/>
  <c r="L34" i="53"/>
  <c r="R34" i="53"/>
  <c r="T34" i="53"/>
  <c r="S34" i="53" s="1"/>
  <c r="U34" i="53"/>
  <c r="V34" i="53"/>
  <c r="J35" i="53"/>
  <c r="K35" i="53"/>
  <c r="L35" i="53"/>
  <c r="R35" i="53"/>
  <c r="T35" i="53"/>
  <c r="S35" i="53" s="1"/>
  <c r="U35" i="53"/>
  <c r="V35" i="53"/>
  <c r="J36" i="53"/>
  <c r="K36" i="53"/>
  <c r="L36" i="53"/>
  <c r="R36" i="53"/>
  <c r="T36" i="53"/>
  <c r="S36" i="53" s="1"/>
  <c r="U36" i="53"/>
  <c r="V36" i="53"/>
  <c r="J37" i="53"/>
  <c r="K37" i="53"/>
  <c r="L37" i="53"/>
  <c r="R37" i="53"/>
  <c r="T37" i="53"/>
  <c r="S37" i="53" s="1"/>
  <c r="U37" i="53"/>
  <c r="V37" i="53"/>
  <c r="J38" i="53"/>
  <c r="K38" i="53"/>
  <c r="L38" i="53"/>
  <c r="R38" i="53"/>
  <c r="T38" i="53"/>
  <c r="S38" i="53" s="1"/>
  <c r="U38" i="53"/>
  <c r="V38" i="53"/>
  <c r="J39" i="53"/>
  <c r="K39" i="53"/>
  <c r="L39" i="53"/>
  <c r="R39" i="53"/>
  <c r="T39" i="53"/>
  <c r="S39" i="53" s="1"/>
  <c r="U39" i="53"/>
  <c r="V39" i="53"/>
  <c r="J40" i="53"/>
  <c r="K40" i="53"/>
  <c r="L40" i="53"/>
  <c r="R40" i="53"/>
  <c r="T40" i="53"/>
  <c r="S40" i="53" s="1"/>
  <c r="U40" i="53"/>
  <c r="V40" i="53"/>
  <c r="J41" i="53"/>
  <c r="K41" i="53"/>
  <c r="L41" i="53"/>
  <c r="R41" i="53"/>
  <c r="T41" i="53"/>
  <c r="S41" i="53" s="1"/>
  <c r="U41" i="53"/>
  <c r="V41" i="53"/>
  <c r="J42" i="53"/>
  <c r="K42" i="53"/>
  <c r="L42" i="53"/>
  <c r="R42" i="53"/>
  <c r="T42" i="53"/>
  <c r="S42" i="53" s="1"/>
  <c r="U42" i="53"/>
  <c r="V42" i="53"/>
  <c r="J43" i="53"/>
  <c r="K43" i="53"/>
  <c r="L43" i="53"/>
  <c r="R43" i="53"/>
  <c r="T43" i="53"/>
  <c r="S43" i="53" s="1"/>
  <c r="U43" i="53"/>
  <c r="V43" i="53"/>
  <c r="J44" i="53"/>
  <c r="K44" i="53"/>
  <c r="L44" i="53"/>
  <c r="R44" i="53"/>
  <c r="T44" i="53"/>
  <c r="S44" i="53" s="1"/>
  <c r="U44" i="53"/>
  <c r="V44" i="53"/>
  <c r="J45" i="53"/>
  <c r="K45" i="53"/>
  <c r="L45" i="53"/>
  <c r="R45" i="53"/>
  <c r="T45" i="53"/>
  <c r="S45" i="53" s="1"/>
  <c r="U45" i="53"/>
  <c r="V45" i="53"/>
  <c r="J46" i="53"/>
  <c r="K46" i="53"/>
  <c r="L46" i="53"/>
  <c r="R46" i="53"/>
  <c r="T46" i="53"/>
  <c r="S46" i="53" s="1"/>
  <c r="U46" i="53"/>
  <c r="V46" i="53"/>
  <c r="J47" i="53"/>
  <c r="K47" i="53"/>
  <c r="L47" i="53"/>
  <c r="R47" i="53"/>
  <c r="T47" i="53"/>
  <c r="S47" i="53" s="1"/>
  <c r="U47" i="53"/>
  <c r="V47" i="53"/>
  <c r="J48" i="53"/>
  <c r="K48" i="53"/>
  <c r="L48" i="53"/>
  <c r="R48" i="53"/>
  <c r="T48" i="53"/>
  <c r="S48" i="53" s="1"/>
  <c r="U48" i="53"/>
  <c r="V48" i="53"/>
  <c r="J49" i="53"/>
  <c r="K49" i="53"/>
  <c r="L49" i="53"/>
  <c r="R49" i="53"/>
  <c r="T49" i="53"/>
  <c r="S49" i="53" s="1"/>
  <c r="U49" i="53"/>
  <c r="V49" i="53"/>
  <c r="J50" i="53"/>
  <c r="K50" i="53"/>
  <c r="L50" i="53"/>
  <c r="R50" i="53"/>
  <c r="T50" i="53"/>
  <c r="S50" i="53" s="1"/>
  <c r="U50" i="53"/>
  <c r="V50" i="53"/>
  <c r="J51" i="53"/>
  <c r="K51" i="53"/>
  <c r="L51" i="53"/>
  <c r="R51" i="53"/>
  <c r="T51" i="53"/>
  <c r="S51" i="53" s="1"/>
  <c r="U51" i="53"/>
  <c r="V51" i="53"/>
  <c r="J52" i="53"/>
  <c r="K52" i="53"/>
  <c r="L52" i="53"/>
  <c r="R52" i="53"/>
  <c r="T52" i="53"/>
  <c r="S52" i="53" s="1"/>
  <c r="U52" i="53"/>
  <c r="V52" i="53"/>
  <c r="J53" i="53"/>
  <c r="K53" i="53"/>
  <c r="L53" i="53"/>
  <c r="R53" i="53"/>
  <c r="T53" i="53"/>
  <c r="S53" i="53" s="1"/>
  <c r="U53" i="53"/>
  <c r="V53" i="53"/>
  <c r="J54" i="53"/>
  <c r="K54" i="53"/>
  <c r="L54" i="53"/>
  <c r="R54" i="53"/>
  <c r="T54" i="53"/>
  <c r="S54" i="53" s="1"/>
  <c r="U54" i="53"/>
  <c r="V54" i="53"/>
  <c r="J55" i="53"/>
  <c r="K55" i="53"/>
  <c r="L55" i="53"/>
  <c r="R55" i="53"/>
  <c r="T55" i="53"/>
  <c r="S55" i="53" s="1"/>
  <c r="U55" i="53"/>
  <c r="V55" i="53"/>
  <c r="J56" i="53"/>
  <c r="K56" i="53"/>
  <c r="L56" i="53"/>
  <c r="R56" i="53"/>
  <c r="T56" i="53"/>
  <c r="S56" i="53" s="1"/>
  <c r="U56" i="53"/>
  <c r="V56" i="53"/>
  <c r="J57" i="53"/>
  <c r="K57" i="53"/>
  <c r="L57" i="53"/>
  <c r="R57" i="53"/>
  <c r="T57" i="53"/>
  <c r="S57" i="53" s="1"/>
  <c r="U57" i="53"/>
  <c r="V57" i="53"/>
  <c r="J58" i="53"/>
  <c r="K58" i="53"/>
  <c r="L58" i="53"/>
  <c r="R58" i="53"/>
  <c r="T58" i="53"/>
  <c r="S58" i="53" s="1"/>
  <c r="U58" i="53"/>
  <c r="V58" i="53"/>
  <c r="J59" i="53"/>
  <c r="K59" i="53"/>
  <c r="L59" i="53"/>
  <c r="R59" i="53"/>
  <c r="T59" i="53"/>
  <c r="S59" i="53" s="1"/>
  <c r="U59" i="53"/>
  <c r="V59" i="53"/>
  <c r="J60" i="53"/>
  <c r="K60" i="53"/>
  <c r="L60" i="53"/>
  <c r="R60" i="53"/>
  <c r="T60" i="53"/>
  <c r="S60" i="53" s="1"/>
  <c r="U60" i="53"/>
  <c r="V60" i="53"/>
  <c r="P10" i="53"/>
  <c r="P2" i="53"/>
  <c r="J61" i="53"/>
  <c r="K61" i="53"/>
  <c r="L61" i="53"/>
  <c r="P3" i="53" s="1"/>
  <c r="Q61" i="53"/>
  <c r="R61" i="53"/>
  <c r="S61" i="53"/>
  <c r="T61" i="53"/>
  <c r="P6" i="53" s="1"/>
  <c r="Q61" i="52"/>
  <c r="F61" i="52"/>
  <c r="E61" i="52"/>
  <c r="J60" i="52"/>
  <c r="G60" i="52"/>
  <c r="K60" i="52" s="1"/>
  <c r="J59" i="52"/>
  <c r="G59" i="52"/>
  <c r="K59" i="52" s="1"/>
  <c r="J58" i="52"/>
  <c r="G58" i="52"/>
  <c r="K58" i="52" s="1"/>
  <c r="J57" i="52"/>
  <c r="G57" i="52"/>
  <c r="K57" i="52" s="1"/>
  <c r="J56" i="52"/>
  <c r="G56" i="52"/>
  <c r="K56" i="52" s="1"/>
  <c r="J55" i="52"/>
  <c r="G55" i="52"/>
  <c r="K55" i="52" s="1"/>
  <c r="J54" i="52"/>
  <c r="G54" i="52"/>
  <c r="K54" i="52" s="1"/>
  <c r="J53" i="52"/>
  <c r="G53" i="52"/>
  <c r="K53" i="52" s="1"/>
  <c r="J52" i="52"/>
  <c r="G52" i="52"/>
  <c r="K52" i="52" s="1"/>
  <c r="J51" i="52"/>
  <c r="G51" i="52"/>
  <c r="K51" i="52" s="1"/>
  <c r="J50" i="52"/>
  <c r="G50" i="52"/>
  <c r="K50" i="52" s="1"/>
  <c r="J49" i="52"/>
  <c r="G49" i="52"/>
  <c r="K49" i="52" s="1"/>
  <c r="J48" i="52"/>
  <c r="G48" i="52"/>
  <c r="K48" i="52" s="1"/>
  <c r="J47" i="52"/>
  <c r="G47" i="52"/>
  <c r="K47" i="52" s="1"/>
  <c r="J46" i="52"/>
  <c r="G46" i="52"/>
  <c r="K46" i="52" s="1"/>
  <c r="J45" i="52"/>
  <c r="G45" i="52"/>
  <c r="K45" i="52" s="1"/>
  <c r="J44" i="52"/>
  <c r="G44" i="52"/>
  <c r="K44" i="52" s="1"/>
  <c r="J43" i="52"/>
  <c r="G43" i="52"/>
  <c r="K43" i="52" s="1"/>
  <c r="J42" i="52"/>
  <c r="G42" i="52"/>
  <c r="K42" i="52" s="1"/>
  <c r="J41" i="52"/>
  <c r="G41" i="52"/>
  <c r="K41" i="52" s="1"/>
  <c r="J40" i="52"/>
  <c r="G40" i="52"/>
  <c r="K40" i="52" s="1"/>
  <c r="J39" i="52"/>
  <c r="G39" i="52"/>
  <c r="K39" i="52" s="1"/>
  <c r="J38" i="52"/>
  <c r="G38" i="52"/>
  <c r="K38" i="52" s="1"/>
  <c r="J37" i="52"/>
  <c r="G37" i="52"/>
  <c r="K37" i="52" s="1"/>
  <c r="J36" i="52"/>
  <c r="G36" i="52"/>
  <c r="K36" i="52" s="1"/>
  <c r="J35" i="52"/>
  <c r="G35" i="52"/>
  <c r="K35" i="52" s="1"/>
  <c r="J34" i="52"/>
  <c r="G34" i="52"/>
  <c r="K34" i="52" s="1"/>
  <c r="J33" i="52"/>
  <c r="G33" i="52"/>
  <c r="K33" i="52" s="1"/>
  <c r="J32" i="52"/>
  <c r="G32" i="52"/>
  <c r="K32" i="52" s="1"/>
  <c r="J31" i="52"/>
  <c r="G31" i="52"/>
  <c r="K31" i="52" s="1"/>
  <c r="J30" i="52"/>
  <c r="G30" i="52"/>
  <c r="K30" i="52" s="1"/>
  <c r="J29" i="52"/>
  <c r="G29" i="52"/>
  <c r="K29" i="52" s="1"/>
  <c r="J28" i="52"/>
  <c r="G28" i="52"/>
  <c r="K27" i="52"/>
  <c r="J27" i="52"/>
  <c r="L27" i="52" s="1"/>
  <c r="K26" i="52"/>
  <c r="J26" i="52"/>
  <c r="L26" i="52" s="1"/>
  <c r="K25" i="52"/>
  <c r="J25" i="52"/>
  <c r="L25" i="52" s="1"/>
  <c r="K24" i="52"/>
  <c r="J24" i="52"/>
  <c r="L24" i="52" s="1"/>
  <c r="K23" i="52"/>
  <c r="J23" i="52"/>
  <c r="L23" i="52" s="1"/>
  <c r="K22" i="52"/>
  <c r="J22" i="52"/>
  <c r="L22" i="52" s="1"/>
  <c r="K21" i="52"/>
  <c r="J21" i="52"/>
  <c r="L21" i="52" s="1"/>
  <c r="K20" i="52"/>
  <c r="J20" i="52"/>
  <c r="L20" i="52" s="1"/>
  <c r="K19" i="52"/>
  <c r="J19" i="52"/>
  <c r="L19" i="52" s="1"/>
  <c r="K18" i="52"/>
  <c r="J18" i="52"/>
  <c r="R17" i="52"/>
  <c r="H17" i="52"/>
  <c r="G17" i="52"/>
  <c r="D15" i="52"/>
  <c r="P10" i="52"/>
  <c r="P1" i="52"/>
  <c r="P8" i="52" s="1"/>
  <c r="P1" i="51"/>
  <c r="P8" i="51"/>
  <c r="D15" i="51"/>
  <c r="G17" i="51"/>
  <c r="H17" i="51"/>
  <c r="R17" i="51"/>
  <c r="H18" i="51"/>
  <c r="J18" i="51"/>
  <c r="K18" i="51"/>
  <c r="L18" i="51"/>
  <c r="R18" i="51"/>
  <c r="T18" i="51"/>
  <c r="S18" i="51" s="1"/>
  <c r="U18" i="51"/>
  <c r="V18" i="51"/>
  <c r="H19" i="51"/>
  <c r="J19" i="51"/>
  <c r="K19" i="51"/>
  <c r="L19" i="51"/>
  <c r="R19" i="51"/>
  <c r="T19" i="51"/>
  <c r="S19" i="51" s="1"/>
  <c r="U19" i="51"/>
  <c r="V19" i="51"/>
  <c r="H20" i="51"/>
  <c r="J20" i="51"/>
  <c r="K20" i="51"/>
  <c r="L20" i="51"/>
  <c r="R20" i="51"/>
  <c r="T20" i="51"/>
  <c r="S20" i="51" s="1"/>
  <c r="U20" i="51"/>
  <c r="V20" i="51"/>
  <c r="H21" i="51"/>
  <c r="J21" i="51"/>
  <c r="K21" i="51"/>
  <c r="L21" i="51"/>
  <c r="R21" i="51"/>
  <c r="T21" i="51"/>
  <c r="S21" i="51" s="1"/>
  <c r="U21" i="51"/>
  <c r="V21" i="51"/>
  <c r="H22" i="51"/>
  <c r="J22" i="51"/>
  <c r="K22" i="51"/>
  <c r="L22" i="51"/>
  <c r="R22" i="51"/>
  <c r="T22" i="51"/>
  <c r="S22" i="51" s="1"/>
  <c r="U22" i="51"/>
  <c r="V22" i="51"/>
  <c r="H23" i="51"/>
  <c r="J23" i="51"/>
  <c r="K23" i="51"/>
  <c r="L23" i="51"/>
  <c r="R23" i="51"/>
  <c r="T23" i="51"/>
  <c r="S23" i="51" s="1"/>
  <c r="U23" i="51"/>
  <c r="V23" i="51"/>
  <c r="H24" i="51"/>
  <c r="J24" i="51"/>
  <c r="K24" i="51"/>
  <c r="L24" i="51"/>
  <c r="R24" i="51"/>
  <c r="T24" i="51"/>
  <c r="S24" i="51" s="1"/>
  <c r="U24" i="51"/>
  <c r="V24" i="51"/>
  <c r="H25" i="51"/>
  <c r="J25" i="51"/>
  <c r="K25" i="51"/>
  <c r="L25" i="51"/>
  <c r="R25" i="51"/>
  <c r="T25" i="51"/>
  <c r="S25" i="51" s="1"/>
  <c r="U25" i="51"/>
  <c r="V25" i="51"/>
  <c r="H26" i="51"/>
  <c r="J26" i="51"/>
  <c r="K26" i="51"/>
  <c r="L26" i="51"/>
  <c r="R26" i="51"/>
  <c r="T26" i="51"/>
  <c r="S26" i="51" s="1"/>
  <c r="U26" i="51"/>
  <c r="V26" i="51"/>
  <c r="H27" i="51"/>
  <c r="J27" i="51"/>
  <c r="K27" i="51"/>
  <c r="L27" i="51"/>
  <c r="R27" i="51"/>
  <c r="T27" i="51"/>
  <c r="S27" i="51" s="1"/>
  <c r="U27" i="51"/>
  <c r="V27" i="51"/>
  <c r="H28" i="51"/>
  <c r="J28" i="51"/>
  <c r="K28" i="51"/>
  <c r="L28" i="51"/>
  <c r="R28" i="51"/>
  <c r="T28" i="51"/>
  <c r="S28" i="51" s="1"/>
  <c r="U28" i="51"/>
  <c r="V28" i="51"/>
  <c r="G29" i="51"/>
  <c r="H29" i="51"/>
  <c r="J29" i="51"/>
  <c r="K29" i="51"/>
  <c r="L29" i="51"/>
  <c r="R29" i="51"/>
  <c r="T29" i="51"/>
  <c r="S29" i="51" s="1"/>
  <c r="U29" i="51"/>
  <c r="V29" i="51"/>
  <c r="G30" i="51"/>
  <c r="H30" i="51"/>
  <c r="J30" i="51"/>
  <c r="K30" i="51"/>
  <c r="L30" i="51"/>
  <c r="R30" i="51"/>
  <c r="T30" i="51"/>
  <c r="S30" i="51" s="1"/>
  <c r="U30" i="51"/>
  <c r="V30" i="51"/>
  <c r="G31" i="51"/>
  <c r="H31" i="51"/>
  <c r="J31" i="51"/>
  <c r="K31" i="51"/>
  <c r="L31" i="51"/>
  <c r="R31" i="51"/>
  <c r="T31" i="51"/>
  <c r="S31" i="51" s="1"/>
  <c r="U31" i="51"/>
  <c r="V31" i="51"/>
  <c r="G32" i="51"/>
  <c r="H32" i="51"/>
  <c r="J32" i="51"/>
  <c r="K32" i="51"/>
  <c r="L32" i="51"/>
  <c r="R32" i="51"/>
  <c r="T32" i="51"/>
  <c r="S32" i="51" s="1"/>
  <c r="U32" i="51"/>
  <c r="V32" i="51"/>
  <c r="G33" i="51"/>
  <c r="H33" i="51"/>
  <c r="J33" i="51"/>
  <c r="K33" i="51"/>
  <c r="L33" i="51"/>
  <c r="R33" i="51"/>
  <c r="T33" i="51"/>
  <c r="S33" i="51" s="1"/>
  <c r="U33" i="51"/>
  <c r="V33" i="51"/>
  <c r="G34" i="51"/>
  <c r="H34" i="51"/>
  <c r="J34" i="51"/>
  <c r="K34" i="51"/>
  <c r="L34" i="51"/>
  <c r="R34" i="51"/>
  <c r="T34" i="51"/>
  <c r="S34" i="51" s="1"/>
  <c r="U34" i="51"/>
  <c r="V34" i="51"/>
  <c r="G35" i="51"/>
  <c r="H35" i="51"/>
  <c r="J35" i="51"/>
  <c r="K35" i="51"/>
  <c r="L35" i="51"/>
  <c r="R35" i="51"/>
  <c r="T35" i="51"/>
  <c r="S35" i="51" s="1"/>
  <c r="U35" i="51"/>
  <c r="V35" i="51"/>
  <c r="G36" i="51"/>
  <c r="H36" i="51"/>
  <c r="J36" i="51"/>
  <c r="K36" i="51"/>
  <c r="L36" i="51"/>
  <c r="R36" i="51"/>
  <c r="T36" i="51"/>
  <c r="S36" i="51" s="1"/>
  <c r="U36" i="51"/>
  <c r="V36" i="51"/>
  <c r="G37" i="51"/>
  <c r="H37" i="51"/>
  <c r="J37" i="51"/>
  <c r="K37" i="51"/>
  <c r="L37" i="51"/>
  <c r="R37" i="51"/>
  <c r="T37" i="51"/>
  <c r="S37" i="51" s="1"/>
  <c r="U37" i="51"/>
  <c r="V37" i="51"/>
  <c r="G38" i="51"/>
  <c r="H38" i="51"/>
  <c r="J38" i="51"/>
  <c r="K38" i="51"/>
  <c r="L38" i="51"/>
  <c r="R38" i="51"/>
  <c r="T38" i="51"/>
  <c r="S38" i="51" s="1"/>
  <c r="U38" i="51"/>
  <c r="V38" i="51"/>
  <c r="G39" i="51"/>
  <c r="H39" i="51"/>
  <c r="J39" i="51"/>
  <c r="K39" i="51"/>
  <c r="L39" i="51"/>
  <c r="R39" i="51"/>
  <c r="T39" i="51"/>
  <c r="S39" i="51" s="1"/>
  <c r="U39" i="51"/>
  <c r="V39" i="51"/>
  <c r="G40" i="51"/>
  <c r="H40" i="51"/>
  <c r="J40" i="51"/>
  <c r="K40" i="51"/>
  <c r="L40" i="51"/>
  <c r="R40" i="51"/>
  <c r="T40" i="51"/>
  <c r="S40" i="51" s="1"/>
  <c r="U40" i="51"/>
  <c r="V40" i="51"/>
  <c r="G41" i="51"/>
  <c r="H41" i="51"/>
  <c r="J41" i="51"/>
  <c r="K41" i="51"/>
  <c r="L41" i="51"/>
  <c r="R41" i="51"/>
  <c r="T41" i="51"/>
  <c r="S41" i="51" s="1"/>
  <c r="U41" i="51"/>
  <c r="V41" i="51"/>
  <c r="G42" i="51"/>
  <c r="H42" i="51"/>
  <c r="J42" i="51"/>
  <c r="K42" i="51"/>
  <c r="L42" i="51"/>
  <c r="R42" i="51"/>
  <c r="T42" i="51"/>
  <c r="S42" i="51" s="1"/>
  <c r="U42" i="51"/>
  <c r="V42" i="51"/>
  <c r="G43" i="51"/>
  <c r="H43" i="51"/>
  <c r="J43" i="51"/>
  <c r="K43" i="51"/>
  <c r="L43" i="51"/>
  <c r="R43" i="51"/>
  <c r="T43" i="51"/>
  <c r="S43" i="51" s="1"/>
  <c r="U43" i="51"/>
  <c r="V43" i="51"/>
  <c r="G44" i="51"/>
  <c r="H44" i="51"/>
  <c r="J44" i="51"/>
  <c r="K44" i="51"/>
  <c r="L44" i="51"/>
  <c r="R44" i="51"/>
  <c r="T44" i="51"/>
  <c r="S44" i="51" s="1"/>
  <c r="U44" i="51"/>
  <c r="V44" i="51"/>
  <c r="G45" i="51"/>
  <c r="H45" i="51"/>
  <c r="J45" i="51"/>
  <c r="K45" i="51"/>
  <c r="L45" i="51"/>
  <c r="R45" i="51"/>
  <c r="T45" i="51"/>
  <c r="S45" i="51" s="1"/>
  <c r="U45" i="51"/>
  <c r="V45" i="51"/>
  <c r="G46" i="51"/>
  <c r="H46" i="51"/>
  <c r="J46" i="51"/>
  <c r="K46" i="51"/>
  <c r="L46" i="51"/>
  <c r="R46" i="51"/>
  <c r="T46" i="51"/>
  <c r="S46" i="51" s="1"/>
  <c r="U46" i="51"/>
  <c r="V46" i="51"/>
  <c r="G47" i="51"/>
  <c r="H47" i="51"/>
  <c r="J47" i="51"/>
  <c r="K47" i="51"/>
  <c r="L47" i="51"/>
  <c r="R47" i="51"/>
  <c r="T47" i="51"/>
  <c r="S47" i="51" s="1"/>
  <c r="U47" i="51"/>
  <c r="V47" i="51"/>
  <c r="G48" i="51"/>
  <c r="H48" i="51"/>
  <c r="J48" i="51"/>
  <c r="K48" i="51"/>
  <c r="L48" i="51"/>
  <c r="R48" i="51"/>
  <c r="T48" i="51"/>
  <c r="S48" i="51" s="1"/>
  <c r="U48" i="51"/>
  <c r="V48" i="51"/>
  <c r="G49" i="51"/>
  <c r="H49" i="51"/>
  <c r="J49" i="51"/>
  <c r="K49" i="51"/>
  <c r="L49" i="51"/>
  <c r="R49" i="51"/>
  <c r="T49" i="51"/>
  <c r="S49" i="51" s="1"/>
  <c r="U49" i="51"/>
  <c r="V49" i="51"/>
  <c r="G50" i="51"/>
  <c r="H50" i="51"/>
  <c r="J50" i="51"/>
  <c r="K50" i="51"/>
  <c r="L50" i="51"/>
  <c r="R50" i="51"/>
  <c r="T50" i="51"/>
  <c r="S50" i="51" s="1"/>
  <c r="U50" i="51"/>
  <c r="V50" i="51"/>
  <c r="G51" i="51"/>
  <c r="H51" i="51"/>
  <c r="J51" i="51"/>
  <c r="K51" i="51"/>
  <c r="L51" i="51"/>
  <c r="R51" i="51"/>
  <c r="T51" i="51"/>
  <c r="S51" i="51" s="1"/>
  <c r="U51" i="51"/>
  <c r="V51" i="51"/>
  <c r="G52" i="51"/>
  <c r="H52" i="51"/>
  <c r="J52" i="51"/>
  <c r="K52" i="51"/>
  <c r="L52" i="51"/>
  <c r="R52" i="51"/>
  <c r="T52" i="51"/>
  <c r="S52" i="51" s="1"/>
  <c r="U52" i="51"/>
  <c r="V52" i="51"/>
  <c r="G53" i="51"/>
  <c r="H53" i="51"/>
  <c r="J53" i="51"/>
  <c r="K53" i="51"/>
  <c r="L53" i="51"/>
  <c r="R53" i="51"/>
  <c r="T53" i="51"/>
  <c r="S53" i="51" s="1"/>
  <c r="U53" i="51"/>
  <c r="V53" i="51"/>
  <c r="G54" i="51"/>
  <c r="H54" i="51"/>
  <c r="J54" i="51"/>
  <c r="K54" i="51"/>
  <c r="L54" i="51"/>
  <c r="R54" i="51"/>
  <c r="T54" i="51"/>
  <c r="S54" i="51" s="1"/>
  <c r="U54" i="51"/>
  <c r="V54" i="51"/>
  <c r="G55" i="51"/>
  <c r="H55" i="51"/>
  <c r="J55" i="51"/>
  <c r="K55" i="51"/>
  <c r="L55" i="51"/>
  <c r="R55" i="51"/>
  <c r="T55" i="51"/>
  <c r="S55" i="51" s="1"/>
  <c r="U55" i="51"/>
  <c r="V55" i="51"/>
  <c r="G56" i="51"/>
  <c r="H56" i="51"/>
  <c r="J56" i="51"/>
  <c r="K56" i="51"/>
  <c r="L56" i="51"/>
  <c r="R56" i="51"/>
  <c r="T56" i="51"/>
  <c r="S56" i="51" s="1"/>
  <c r="U56" i="51"/>
  <c r="V56" i="51"/>
  <c r="G57" i="51"/>
  <c r="H57" i="51"/>
  <c r="J57" i="51"/>
  <c r="K57" i="51"/>
  <c r="L57" i="51"/>
  <c r="R57" i="51"/>
  <c r="T57" i="51"/>
  <c r="S57" i="51" s="1"/>
  <c r="U57" i="51"/>
  <c r="V57" i="51"/>
  <c r="G58" i="51"/>
  <c r="H58" i="51"/>
  <c r="J58" i="51"/>
  <c r="K58" i="51"/>
  <c r="L58" i="51"/>
  <c r="R58" i="51"/>
  <c r="T58" i="51"/>
  <c r="S58" i="51" s="1"/>
  <c r="U58" i="51"/>
  <c r="V58" i="51"/>
  <c r="G59" i="51"/>
  <c r="H59" i="51"/>
  <c r="J59" i="51"/>
  <c r="K59" i="51"/>
  <c r="L59" i="51"/>
  <c r="R59" i="51"/>
  <c r="T59" i="51"/>
  <c r="S59" i="51" s="1"/>
  <c r="U59" i="51"/>
  <c r="V59" i="51"/>
  <c r="G60" i="51"/>
  <c r="H60" i="51"/>
  <c r="J60" i="51"/>
  <c r="K60" i="51"/>
  <c r="L60" i="51"/>
  <c r="R60" i="51"/>
  <c r="T60" i="51"/>
  <c r="S60" i="51" s="1"/>
  <c r="U60" i="51"/>
  <c r="V60" i="51"/>
  <c r="E61" i="51"/>
  <c r="P10" i="51" s="1"/>
  <c r="F61" i="51"/>
  <c r="G61" i="51"/>
  <c r="H61" i="51"/>
  <c r="P2" i="51" s="1"/>
  <c r="J61" i="51"/>
  <c r="K61" i="51"/>
  <c r="L61" i="51"/>
  <c r="P3" i="51" s="1"/>
  <c r="Q61" i="51"/>
  <c r="R61" i="51"/>
  <c r="S61" i="51"/>
  <c r="T61" i="51"/>
  <c r="P6" i="51" s="1"/>
  <c r="P1" i="50"/>
  <c r="P8" i="50"/>
  <c r="D15" i="50"/>
  <c r="G17" i="50"/>
  <c r="H17" i="50"/>
  <c r="R17" i="50"/>
  <c r="G18" i="50"/>
  <c r="H18" i="50"/>
  <c r="J18" i="50"/>
  <c r="K18" i="50"/>
  <c r="L18" i="50"/>
  <c r="R18" i="50"/>
  <c r="T18" i="50"/>
  <c r="S18" i="50" s="1"/>
  <c r="U18" i="50"/>
  <c r="V18" i="50"/>
  <c r="G19" i="50"/>
  <c r="H19" i="50"/>
  <c r="J19" i="50"/>
  <c r="K19" i="50"/>
  <c r="L19" i="50"/>
  <c r="R19" i="50"/>
  <c r="T19" i="50"/>
  <c r="S19" i="50" s="1"/>
  <c r="U19" i="50"/>
  <c r="V19" i="50"/>
  <c r="G20" i="50"/>
  <c r="H20" i="50"/>
  <c r="J20" i="50"/>
  <c r="K20" i="50"/>
  <c r="L20" i="50"/>
  <c r="R20" i="50"/>
  <c r="T20" i="50"/>
  <c r="S20" i="50" s="1"/>
  <c r="U20" i="50"/>
  <c r="V20" i="50"/>
  <c r="G21" i="50"/>
  <c r="H21" i="50"/>
  <c r="J21" i="50"/>
  <c r="K21" i="50"/>
  <c r="L21" i="50"/>
  <c r="R21" i="50"/>
  <c r="T21" i="50"/>
  <c r="S21" i="50" s="1"/>
  <c r="U21" i="50"/>
  <c r="V21" i="50"/>
  <c r="G22" i="50"/>
  <c r="H22" i="50"/>
  <c r="J22" i="50"/>
  <c r="K22" i="50"/>
  <c r="L22" i="50"/>
  <c r="R22" i="50"/>
  <c r="T22" i="50"/>
  <c r="S22" i="50" s="1"/>
  <c r="U22" i="50"/>
  <c r="V22" i="50"/>
  <c r="G23" i="50"/>
  <c r="H23" i="50"/>
  <c r="J23" i="50"/>
  <c r="K23" i="50"/>
  <c r="L23" i="50"/>
  <c r="R23" i="50"/>
  <c r="T23" i="50"/>
  <c r="S23" i="50" s="1"/>
  <c r="U23" i="50"/>
  <c r="V23" i="50"/>
  <c r="G24" i="50"/>
  <c r="H24" i="50"/>
  <c r="J24" i="50"/>
  <c r="K24" i="50"/>
  <c r="L24" i="50"/>
  <c r="R24" i="50"/>
  <c r="T24" i="50"/>
  <c r="S24" i="50" s="1"/>
  <c r="U24" i="50"/>
  <c r="V24" i="50"/>
  <c r="G25" i="50"/>
  <c r="H25" i="50"/>
  <c r="J25" i="50"/>
  <c r="K25" i="50"/>
  <c r="L25" i="50"/>
  <c r="R25" i="50"/>
  <c r="T25" i="50"/>
  <c r="S25" i="50" s="1"/>
  <c r="U25" i="50"/>
  <c r="V25" i="50"/>
  <c r="G26" i="50"/>
  <c r="H26" i="50"/>
  <c r="J26" i="50"/>
  <c r="K26" i="50"/>
  <c r="L26" i="50"/>
  <c r="R26" i="50"/>
  <c r="T26" i="50"/>
  <c r="S26" i="50" s="1"/>
  <c r="U26" i="50"/>
  <c r="V26" i="50"/>
  <c r="G27" i="50"/>
  <c r="H27" i="50"/>
  <c r="J27" i="50"/>
  <c r="K27" i="50"/>
  <c r="L27" i="50"/>
  <c r="R27" i="50"/>
  <c r="T27" i="50"/>
  <c r="S27" i="50" s="1"/>
  <c r="U27" i="50"/>
  <c r="V27" i="50"/>
  <c r="G28" i="50"/>
  <c r="H28" i="50"/>
  <c r="J28" i="50"/>
  <c r="K28" i="50"/>
  <c r="L28" i="50"/>
  <c r="R28" i="50"/>
  <c r="T28" i="50"/>
  <c r="S28" i="50" s="1"/>
  <c r="U28" i="50"/>
  <c r="V28" i="50"/>
  <c r="G29" i="50"/>
  <c r="H29" i="50"/>
  <c r="J29" i="50"/>
  <c r="K29" i="50"/>
  <c r="L29" i="50"/>
  <c r="R29" i="50"/>
  <c r="T29" i="50"/>
  <c r="S29" i="50" s="1"/>
  <c r="U29" i="50"/>
  <c r="V29" i="50"/>
  <c r="G30" i="50"/>
  <c r="H30" i="50"/>
  <c r="J30" i="50"/>
  <c r="K30" i="50"/>
  <c r="L30" i="50"/>
  <c r="R30" i="50"/>
  <c r="T30" i="50"/>
  <c r="S30" i="50" s="1"/>
  <c r="U30" i="50"/>
  <c r="V30" i="50"/>
  <c r="G31" i="50"/>
  <c r="H31" i="50"/>
  <c r="J31" i="50"/>
  <c r="K31" i="50"/>
  <c r="L31" i="50"/>
  <c r="R31" i="50"/>
  <c r="T31" i="50"/>
  <c r="S31" i="50" s="1"/>
  <c r="U31" i="50"/>
  <c r="V31" i="50"/>
  <c r="G32" i="50"/>
  <c r="H32" i="50"/>
  <c r="J32" i="50"/>
  <c r="K32" i="50"/>
  <c r="L32" i="50"/>
  <c r="R32" i="50"/>
  <c r="T32" i="50"/>
  <c r="S32" i="50" s="1"/>
  <c r="U32" i="50"/>
  <c r="V32" i="50"/>
  <c r="G33" i="50"/>
  <c r="H33" i="50"/>
  <c r="J33" i="50"/>
  <c r="K33" i="50"/>
  <c r="L33" i="50"/>
  <c r="R33" i="50"/>
  <c r="T33" i="50"/>
  <c r="S33" i="50" s="1"/>
  <c r="U33" i="50"/>
  <c r="V33" i="50"/>
  <c r="G34" i="50"/>
  <c r="H34" i="50"/>
  <c r="J34" i="50"/>
  <c r="K34" i="50"/>
  <c r="L34" i="50"/>
  <c r="R34" i="50"/>
  <c r="T34" i="50"/>
  <c r="S34" i="50" s="1"/>
  <c r="U34" i="50"/>
  <c r="V34" i="50"/>
  <c r="G35" i="50"/>
  <c r="H35" i="50"/>
  <c r="J35" i="50"/>
  <c r="K35" i="50"/>
  <c r="L35" i="50"/>
  <c r="R35" i="50"/>
  <c r="T35" i="50"/>
  <c r="S35" i="50" s="1"/>
  <c r="U35" i="50"/>
  <c r="V35" i="50"/>
  <c r="G36" i="50"/>
  <c r="H36" i="50"/>
  <c r="J36" i="50"/>
  <c r="K36" i="50"/>
  <c r="L36" i="50"/>
  <c r="R36" i="50"/>
  <c r="T36" i="50"/>
  <c r="S36" i="50" s="1"/>
  <c r="U36" i="50"/>
  <c r="V36" i="50"/>
  <c r="G37" i="50"/>
  <c r="H37" i="50"/>
  <c r="J37" i="50"/>
  <c r="K37" i="50"/>
  <c r="L37" i="50"/>
  <c r="R37" i="50"/>
  <c r="T37" i="50"/>
  <c r="S37" i="50" s="1"/>
  <c r="U37" i="50"/>
  <c r="V37" i="50"/>
  <c r="G38" i="50"/>
  <c r="H38" i="50"/>
  <c r="J38" i="50"/>
  <c r="K38" i="50"/>
  <c r="L38" i="50"/>
  <c r="R38" i="50"/>
  <c r="T38" i="50"/>
  <c r="S38" i="50" s="1"/>
  <c r="U38" i="50"/>
  <c r="V38" i="50"/>
  <c r="G39" i="50"/>
  <c r="H39" i="50"/>
  <c r="J39" i="50"/>
  <c r="K39" i="50"/>
  <c r="L39" i="50"/>
  <c r="R39" i="50"/>
  <c r="T39" i="50"/>
  <c r="S39" i="50" s="1"/>
  <c r="U39" i="50"/>
  <c r="V39" i="50"/>
  <c r="G40" i="50"/>
  <c r="H40" i="50"/>
  <c r="J40" i="50"/>
  <c r="K40" i="50"/>
  <c r="L40" i="50"/>
  <c r="R40" i="50"/>
  <c r="T40" i="50"/>
  <c r="S40" i="50" s="1"/>
  <c r="U40" i="50"/>
  <c r="V40" i="50"/>
  <c r="G41" i="50"/>
  <c r="H41" i="50"/>
  <c r="J41" i="50"/>
  <c r="K41" i="50"/>
  <c r="L41" i="50"/>
  <c r="R41" i="50"/>
  <c r="T41" i="50"/>
  <c r="S41" i="50" s="1"/>
  <c r="U41" i="50"/>
  <c r="V41" i="50"/>
  <c r="G42" i="50"/>
  <c r="H42" i="50"/>
  <c r="J42" i="50"/>
  <c r="K42" i="50"/>
  <c r="L42" i="50"/>
  <c r="R42" i="50"/>
  <c r="T42" i="50"/>
  <c r="S42" i="50" s="1"/>
  <c r="U42" i="50"/>
  <c r="V42" i="50"/>
  <c r="G43" i="50"/>
  <c r="H43" i="50"/>
  <c r="J43" i="50"/>
  <c r="K43" i="50"/>
  <c r="L43" i="50"/>
  <c r="R43" i="50"/>
  <c r="T43" i="50"/>
  <c r="S43" i="50" s="1"/>
  <c r="U43" i="50"/>
  <c r="V43" i="50"/>
  <c r="G44" i="50"/>
  <c r="H44" i="50"/>
  <c r="J44" i="50"/>
  <c r="K44" i="50"/>
  <c r="L44" i="50"/>
  <c r="R44" i="50"/>
  <c r="T44" i="50"/>
  <c r="S44" i="50" s="1"/>
  <c r="U44" i="50"/>
  <c r="V44" i="50"/>
  <c r="G45" i="50"/>
  <c r="H45" i="50"/>
  <c r="J45" i="50"/>
  <c r="K45" i="50"/>
  <c r="L45" i="50"/>
  <c r="R45" i="50"/>
  <c r="T45" i="50"/>
  <c r="S45" i="50" s="1"/>
  <c r="U45" i="50"/>
  <c r="V45" i="50"/>
  <c r="G46" i="50"/>
  <c r="H46" i="50"/>
  <c r="J46" i="50"/>
  <c r="K46" i="50"/>
  <c r="L46" i="50"/>
  <c r="R46" i="50"/>
  <c r="T46" i="50"/>
  <c r="S46" i="50" s="1"/>
  <c r="U46" i="50"/>
  <c r="V46" i="50"/>
  <c r="G47" i="50"/>
  <c r="H47" i="50"/>
  <c r="J47" i="50"/>
  <c r="K47" i="50"/>
  <c r="L47" i="50"/>
  <c r="R47" i="50"/>
  <c r="T47" i="50"/>
  <c r="S47" i="50" s="1"/>
  <c r="U47" i="50"/>
  <c r="V47" i="50"/>
  <c r="G48" i="50"/>
  <c r="H48" i="50"/>
  <c r="J48" i="50"/>
  <c r="K48" i="50"/>
  <c r="L48" i="50"/>
  <c r="R48" i="50"/>
  <c r="T48" i="50"/>
  <c r="S48" i="50" s="1"/>
  <c r="U48" i="50"/>
  <c r="V48" i="50"/>
  <c r="G49" i="50"/>
  <c r="H49" i="50"/>
  <c r="J49" i="50"/>
  <c r="K49" i="50"/>
  <c r="L49" i="50"/>
  <c r="R49" i="50"/>
  <c r="T49" i="50"/>
  <c r="S49" i="50" s="1"/>
  <c r="U49" i="50"/>
  <c r="V49" i="50"/>
  <c r="G50" i="50"/>
  <c r="H50" i="50"/>
  <c r="J50" i="50"/>
  <c r="K50" i="50"/>
  <c r="L50" i="50"/>
  <c r="R50" i="50"/>
  <c r="T50" i="50"/>
  <c r="S50" i="50" s="1"/>
  <c r="U50" i="50"/>
  <c r="V50" i="50"/>
  <c r="G51" i="50"/>
  <c r="H51" i="50"/>
  <c r="J51" i="50"/>
  <c r="K51" i="50"/>
  <c r="L51" i="50"/>
  <c r="R51" i="50"/>
  <c r="T51" i="50"/>
  <c r="S51" i="50" s="1"/>
  <c r="U51" i="50"/>
  <c r="V51" i="50"/>
  <c r="G52" i="50"/>
  <c r="H52" i="50"/>
  <c r="J52" i="50"/>
  <c r="K52" i="50"/>
  <c r="L52" i="50"/>
  <c r="R52" i="50"/>
  <c r="T52" i="50"/>
  <c r="S52" i="50" s="1"/>
  <c r="U52" i="50"/>
  <c r="V52" i="50"/>
  <c r="G53" i="50"/>
  <c r="H53" i="50"/>
  <c r="J53" i="50"/>
  <c r="K53" i="50"/>
  <c r="L53" i="50"/>
  <c r="R53" i="50"/>
  <c r="T53" i="50"/>
  <c r="S53" i="50" s="1"/>
  <c r="U53" i="50"/>
  <c r="V53" i="50"/>
  <c r="G54" i="50"/>
  <c r="H54" i="50"/>
  <c r="J54" i="50"/>
  <c r="K54" i="50"/>
  <c r="L54" i="50"/>
  <c r="R54" i="50"/>
  <c r="T54" i="50"/>
  <c r="S54" i="50" s="1"/>
  <c r="U54" i="50"/>
  <c r="V54" i="50"/>
  <c r="G55" i="50"/>
  <c r="H55" i="50"/>
  <c r="J55" i="50"/>
  <c r="K55" i="50"/>
  <c r="L55" i="50"/>
  <c r="R55" i="50"/>
  <c r="T55" i="50"/>
  <c r="S55" i="50" s="1"/>
  <c r="U55" i="50"/>
  <c r="V55" i="50"/>
  <c r="G56" i="50"/>
  <c r="H56" i="50"/>
  <c r="J56" i="50"/>
  <c r="K56" i="50"/>
  <c r="L56" i="50"/>
  <c r="R56" i="50"/>
  <c r="T56" i="50"/>
  <c r="S56" i="50" s="1"/>
  <c r="U56" i="50"/>
  <c r="V56" i="50"/>
  <c r="G57" i="50"/>
  <c r="H57" i="50"/>
  <c r="J57" i="50"/>
  <c r="K57" i="50"/>
  <c r="L57" i="50"/>
  <c r="R57" i="50"/>
  <c r="T57" i="50"/>
  <c r="S57" i="50" s="1"/>
  <c r="U57" i="50"/>
  <c r="V57" i="50"/>
  <c r="G58" i="50"/>
  <c r="H58" i="50"/>
  <c r="J58" i="50"/>
  <c r="K58" i="50"/>
  <c r="L58" i="50"/>
  <c r="R58" i="50"/>
  <c r="T58" i="50"/>
  <c r="S58" i="50" s="1"/>
  <c r="U58" i="50"/>
  <c r="V58" i="50"/>
  <c r="G59" i="50"/>
  <c r="H59" i="50"/>
  <c r="J59" i="50"/>
  <c r="K59" i="50"/>
  <c r="L59" i="50"/>
  <c r="R59" i="50"/>
  <c r="T59" i="50"/>
  <c r="S59" i="50" s="1"/>
  <c r="U59" i="50"/>
  <c r="V59" i="50"/>
  <c r="G60" i="50"/>
  <c r="H60" i="50"/>
  <c r="J60" i="50"/>
  <c r="K60" i="50"/>
  <c r="L60" i="50"/>
  <c r="R60" i="50"/>
  <c r="T60" i="50"/>
  <c r="S60" i="50" s="1"/>
  <c r="U60" i="50"/>
  <c r="V60" i="50"/>
  <c r="E61" i="50"/>
  <c r="P10" i="50" s="1"/>
  <c r="F61" i="50"/>
  <c r="G61" i="50"/>
  <c r="H61" i="50"/>
  <c r="P2" i="50" s="1"/>
  <c r="J61" i="50"/>
  <c r="K61" i="50"/>
  <c r="L61" i="50"/>
  <c r="P3" i="50" s="1"/>
  <c r="Q61" i="50"/>
  <c r="R61" i="50"/>
  <c r="S61" i="50"/>
  <c r="T61" i="50"/>
  <c r="P6" i="50" s="1"/>
  <c r="P1" i="48"/>
  <c r="P8" i="48"/>
  <c r="D15" i="48"/>
  <c r="G17" i="48"/>
  <c r="H17" i="48"/>
  <c r="R17" i="48"/>
  <c r="H18" i="48"/>
  <c r="J18" i="48"/>
  <c r="K18" i="48"/>
  <c r="L18" i="48"/>
  <c r="R18" i="48"/>
  <c r="T18" i="48"/>
  <c r="S18" i="48" s="1"/>
  <c r="U18" i="48"/>
  <c r="V18" i="48"/>
  <c r="H19" i="48"/>
  <c r="J19" i="48"/>
  <c r="K19" i="48"/>
  <c r="L19" i="48"/>
  <c r="R19" i="48"/>
  <c r="T19" i="48"/>
  <c r="S19" i="48" s="1"/>
  <c r="U19" i="48"/>
  <c r="V19" i="48"/>
  <c r="H20" i="48"/>
  <c r="J20" i="48"/>
  <c r="K20" i="48"/>
  <c r="L20" i="48"/>
  <c r="R20" i="48"/>
  <c r="T20" i="48"/>
  <c r="S20" i="48" s="1"/>
  <c r="U20" i="48"/>
  <c r="V20" i="48"/>
  <c r="H21" i="48"/>
  <c r="J21" i="48"/>
  <c r="K21" i="48"/>
  <c r="L21" i="48"/>
  <c r="R21" i="48"/>
  <c r="T21" i="48"/>
  <c r="S21" i="48" s="1"/>
  <c r="U21" i="48"/>
  <c r="V21" i="48"/>
  <c r="H22" i="48"/>
  <c r="J22" i="48"/>
  <c r="K22" i="48"/>
  <c r="L22" i="48"/>
  <c r="R22" i="48"/>
  <c r="T22" i="48"/>
  <c r="S22" i="48" s="1"/>
  <c r="U22" i="48"/>
  <c r="V22" i="48"/>
  <c r="H23" i="48"/>
  <c r="J23" i="48"/>
  <c r="K23" i="48"/>
  <c r="L23" i="48"/>
  <c r="R23" i="48"/>
  <c r="T23" i="48"/>
  <c r="S23" i="48" s="1"/>
  <c r="U23" i="48"/>
  <c r="V23" i="48"/>
  <c r="H24" i="48"/>
  <c r="J24" i="48"/>
  <c r="K24" i="48"/>
  <c r="L24" i="48"/>
  <c r="R24" i="48"/>
  <c r="T24" i="48"/>
  <c r="S24" i="48" s="1"/>
  <c r="U24" i="48"/>
  <c r="V24" i="48"/>
  <c r="H25" i="48"/>
  <c r="J25" i="48"/>
  <c r="K25" i="48"/>
  <c r="L25" i="48"/>
  <c r="R25" i="48"/>
  <c r="T25" i="48"/>
  <c r="S25" i="48" s="1"/>
  <c r="U25" i="48"/>
  <c r="V25" i="48"/>
  <c r="H26" i="48"/>
  <c r="J26" i="48"/>
  <c r="K26" i="48"/>
  <c r="L26" i="48"/>
  <c r="R26" i="48"/>
  <c r="T26" i="48"/>
  <c r="S26" i="48" s="1"/>
  <c r="U26" i="48"/>
  <c r="V26" i="48"/>
  <c r="H27" i="48"/>
  <c r="J27" i="48"/>
  <c r="K27" i="48"/>
  <c r="L27" i="48"/>
  <c r="R27" i="48"/>
  <c r="T27" i="48"/>
  <c r="S27" i="48" s="1"/>
  <c r="U27" i="48"/>
  <c r="V27" i="48"/>
  <c r="G28" i="48"/>
  <c r="H28" i="48"/>
  <c r="J28" i="48"/>
  <c r="K28" i="48"/>
  <c r="L28" i="48"/>
  <c r="R28" i="48"/>
  <c r="T28" i="48"/>
  <c r="S28" i="48" s="1"/>
  <c r="U28" i="48"/>
  <c r="V28" i="48"/>
  <c r="G29" i="48"/>
  <c r="H29" i="48"/>
  <c r="J29" i="48"/>
  <c r="K29" i="48"/>
  <c r="L29" i="48"/>
  <c r="R29" i="48"/>
  <c r="T29" i="48"/>
  <c r="S29" i="48" s="1"/>
  <c r="U29" i="48"/>
  <c r="V29" i="48"/>
  <c r="G30" i="48"/>
  <c r="H30" i="48"/>
  <c r="J30" i="48"/>
  <c r="K30" i="48"/>
  <c r="L30" i="48"/>
  <c r="R30" i="48"/>
  <c r="T30" i="48"/>
  <c r="S30" i="48" s="1"/>
  <c r="U30" i="48"/>
  <c r="V30" i="48"/>
  <c r="G31" i="48"/>
  <c r="H31" i="48"/>
  <c r="J31" i="48"/>
  <c r="K31" i="48"/>
  <c r="L31" i="48"/>
  <c r="R31" i="48"/>
  <c r="T31" i="48"/>
  <c r="S31" i="48" s="1"/>
  <c r="U31" i="48"/>
  <c r="V31" i="48"/>
  <c r="G32" i="48"/>
  <c r="H32" i="48"/>
  <c r="J32" i="48"/>
  <c r="K32" i="48"/>
  <c r="L32" i="48"/>
  <c r="R32" i="48"/>
  <c r="T32" i="48"/>
  <c r="S32" i="48" s="1"/>
  <c r="U32" i="48"/>
  <c r="V32" i="48"/>
  <c r="G33" i="48"/>
  <c r="H33" i="48"/>
  <c r="J33" i="48"/>
  <c r="K33" i="48"/>
  <c r="L33" i="48"/>
  <c r="R33" i="48"/>
  <c r="T33" i="48"/>
  <c r="S33" i="48" s="1"/>
  <c r="U33" i="48"/>
  <c r="V33" i="48"/>
  <c r="G34" i="48"/>
  <c r="H34" i="48"/>
  <c r="J34" i="48"/>
  <c r="K34" i="48"/>
  <c r="L34" i="48"/>
  <c r="R34" i="48"/>
  <c r="T34" i="48"/>
  <c r="S34" i="48" s="1"/>
  <c r="U34" i="48"/>
  <c r="V34" i="48"/>
  <c r="G35" i="48"/>
  <c r="H35" i="48"/>
  <c r="J35" i="48"/>
  <c r="K35" i="48"/>
  <c r="L35" i="48"/>
  <c r="R35" i="48"/>
  <c r="T35" i="48"/>
  <c r="S35" i="48" s="1"/>
  <c r="U35" i="48"/>
  <c r="V35" i="48"/>
  <c r="G36" i="48"/>
  <c r="H36" i="48"/>
  <c r="J36" i="48"/>
  <c r="K36" i="48"/>
  <c r="L36" i="48"/>
  <c r="R36" i="48"/>
  <c r="T36" i="48"/>
  <c r="S36" i="48" s="1"/>
  <c r="U36" i="48"/>
  <c r="V36" i="48"/>
  <c r="G37" i="48"/>
  <c r="H37" i="48"/>
  <c r="J37" i="48"/>
  <c r="K37" i="48"/>
  <c r="L37" i="48"/>
  <c r="R37" i="48"/>
  <c r="T37" i="48"/>
  <c r="S37" i="48" s="1"/>
  <c r="U37" i="48"/>
  <c r="V37" i="48"/>
  <c r="G38" i="48"/>
  <c r="H38" i="48"/>
  <c r="J38" i="48"/>
  <c r="K38" i="48"/>
  <c r="L38" i="48"/>
  <c r="R38" i="48"/>
  <c r="T38" i="48"/>
  <c r="S38" i="48" s="1"/>
  <c r="U38" i="48"/>
  <c r="V38" i="48"/>
  <c r="G39" i="48"/>
  <c r="H39" i="48"/>
  <c r="J39" i="48"/>
  <c r="K39" i="48"/>
  <c r="L39" i="48"/>
  <c r="R39" i="48"/>
  <c r="T39" i="48"/>
  <c r="S39" i="48" s="1"/>
  <c r="U39" i="48"/>
  <c r="V39" i="48"/>
  <c r="G40" i="48"/>
  <c r="H40" i="48"/>
  <c r="J40" i="48"/>
  <c r="K40" i="48"/>
  <c r="L40" i="48"/>
  <c r="R40" i="48"/>
  <c r="T40" i="48"/>
  <c r="S40" i="48" s="1"/>
  <c r="U40" i="48"/>
  <c r="V40" i="48"/>
  <c r="G41" i="48"/>
  <c r="H41" i="48"/>
  <c r="J41" i="48"/>
  <c r="K41" i="48"/>
  <c r="L41" i="48"/>
  <c r="R41" i="48"/>
  <c r="T41" i="48"/>
  <c r="S41" i="48" s="1"/>
  <c r="U41" i="48"/>
  <c r="V41" i="48"/>
  <c r="G42" i="48"/>
  <c r="H42" i="48"/>
  <c r="J42" i="48"/>
  <c r="K42" i="48"/>
  <c r="L42" i="48"/>
  <c r="R42" i="48"/>
  <c r="T42" i="48"/>
  <c r="S42" i="48" s="1"/>
  <c r="U42" i="48"/>
  <c r="V42" i="48"/>
  <c r="G43" i="48"/>
  <c r="H43" i="48"/>
  <c r="J43" i="48"/>
  <c r="K43" i="48"/>
  <c r="L43" i="48"/>
  <c r="R43" i="48"/>
  <c r="T43" i="48"/>
  <c r="S43" i="48" s="1"/>
  <c r="U43" i="48"/>
  <c r="V43" i="48"/>
  <c r="G44" i="48"/>
  <c r="H44" i="48"/>
  <c r="J44" i="48"/>
  <c r="K44" i="48"/>
  <c r="L44" i="48"/>
  <c r="R44" i="48"/>
  <c r="T44" i="48"/>
  <c r="S44" i="48" s="1"/>
  <c r="U44" i="48"/>
  <c r="V44" i="48"/>
  <c r="G45" i="48"/>
  <c r="H45" i="48"/>
  <c r="J45" i="48"/>
  <c r="K45" i="48"/>
  <c r="L45" i="48"/>
  <c r="R45" i="48"/>
  <c r="T45" i="48"/>
  <c r="S45" i="48" s="1"/>
  <c r="U45" i="48"/>
  <c r="V45" i="48"/>
  <c r="G46" i="48"/>
  <c r="H46" i="48"/>
  <c r="J46" i="48"/>
  <c r="K46" i="48"/>
  <c r="L46" i="48"/>
  <c r="R46" i="48"/>
  <c r="T46" i="48"/>
  <c r="S46" i="48" s="1"/>
  <c r="U46" i="48"/>
  <c r="V46" i="48"/>
  <c r="G47" i="48"/>
  <c r="H47" i="48"/>
  <c r="J47" i="48"/>
  <c r="K47" i="48"/>
  <c r="L47" i="48"/>
  <c r="R47" i="48"/>
  <c r="T47" i="48"/>
  <c r="S47" i="48" s="1"/>
  <c r="U47" i="48"/>
  <c r="V47" i="48"/>
  <c r="G48" i="48"/>
  <c r="H48" i="48"/>
  <c r="J48" i="48"/>
  <c r="K48" i="48"/>
  <c r="L48" i="48"/>
  <c r="R48" i="48"/>
  <c r="T48" i="48"/>
  <c r="S48" i="48" s="1"/>
  <c r="U48" i="48"/>
  <c r="V48" i="48"/>
  <c r="G49" i="48"/>
  <c r="H49" i="48"/>
  <c r="J49" i="48"/>
  <c r="K49" i="48"/>
  <c r="L49" i="48"/>
  <c r="R49" i="48"/>
  <c r="T49" i="48"/>
  <c r="S49" i="48" s="1"/>
  <c r="U49" i="48"/>
  <c r="V49" i="48"/>
  <c r="G50" i="48"/>
  <c r="H50" i="48"/>
  <c r="J50" i="48"/>
  <c r="K50" i="48"/>
  <c r="L50" i="48"/>
  <c r="R50" i="48"/>
  <c r="T50" i="48"/>
  <c r="S50" i="48" s="1"/>
  <c r="U50" i="48"/>
  <c r="V50" i="48"/>
  <c r="G51" i="48"/>
  <c r="H51" i="48"/>
  <c r="J51" i="48"/>
  <c r="K51" i="48"/>
  <c r="L51" i="48"/>
  <c r="R51" i="48"/>
  <c r="T51" i="48"/>
  <c r="S51" i="48" s="1"/>
  <c r="U51" i="48"/>
  <c r="V51" i="48"/>
  <c r="G52" i="48"/>
  <c r="H52" i="48"/>
  <c r="J52" i="48"/>
  <c r="K52" i="48"/>
  <c r="L52" i="48"/>
  <c r="R52" i="48"/>
  <c r="T52" i="48"/>
  <c r="S52" i="48" s="1"/>
  <c r="U52" i="48"/>
  <c r="V52" i="48"/>
  <c r="G53" i="48"/>
  <c r="H53" i="48"/>
  <c r="J53" i="48"/>
  <c r="K53" i="48"/>
  <c r="L53" i="48"/>
  <c r="R53" i="48"/>
  <c r="T53" i="48"/>
  <c r="S53" i="48" s="1"/>
  <c r="U53" i="48"/>
  <c r="V53" i="48"/>
  <c r="G54" i="48"/>
  <c r="H54" i="48"/>
  <c r="J54" i="48"/>
  <c r="K54" i="48"/>
  <c r="L54" i="48"/>
  <c r="R54" i="48"/>
  <c r="T54" i="48"/>
  <c r="S54" i="48" s="1"/>
  <c r="U54" i="48"/>
  <c r="V54" i="48"/>
  <c r="G55" i="48"/>
  <c r="H55" i="48"/>
  <c r="J55" i="48"/>
  <c r="K55" i="48"/>
  <c r="L55" i="48"/>
  <c r="R55" i="48"/>
  <c r="T55" i="48"/>
  <c r="S55" i="48" s="1"/>
  <c r="U55" i="48"/>
  <c r="V55" i="48"/>
  <c r="G56" i="48"/>
  <c r="H56" i="48"/>
  <c r="J56" i="48"/>
  <c r="K56" i="48"/>
  <c r="L56" i="48"/>
  <c r="R56" i="48"/>
  <c r="T56" i="48"/>
  <c r="S56" i="48" s="1"/>
  <c r="U56" i="48"/>
  <c r="V56" i="48"/>
  <c r="G57" i="48"/>
  <c r="H57" i="48"/>
  <c r="J57" i="48"/>
  <c r="K57" i="48"/>
  <c r="L57" i="48"/>
  <c r="R57" i="48"/>
  <c r="T57" i="48"/>
  <c r="S57" i="48" s="1"/>
  <c r="U57" i="48"/>
  <c r="V57" i="48"/>
  <c r="G58" i="48"/>
  <c r="H58" i="48"/>
  <c r="J58" i="48"/>
  <c r="K58" i="48"/>
  <c r="L58" i="48"/>
  <c r="R58" i="48"/>
  <c r="T58" i="48"/>
  <c r="S58" i="48" s="1"/>
  <c r="U58" i="48"/>
  <c r="V58" i="48"/>
  <c r="G59" i="48"/>
  <c r="H59" i="48"/>
  <c r="J59" i="48"/>
  <c r="K59" i="48"/>
  <c r="L59" i="48"/>
  <c r="R59" i="48"/>
  <c r="T59" i="48"/>
  <c r="S59" i="48" s="1"/>
  <c r="U59" i="48"/>
  <c r="V59" i="48"/>
  <c r="G60" i="48"/>
  <c r="H60" i="48"/>
  <c r="J60" i="48"/>
  <c r="K60" i="48"/>
  <c r="L60" i="48"/>
  <c r="R60" i="48"/>
  <c r="T60" i="48"/>
  <c r="S60" i="48" s="1"/>
  <c r="U60" i="48"/>
  <c r="V60" i="48"/>
  <c r="E61" i="48"/>
  <c r="P10" i="48" s="1"/>
  <c r="F61" i="48"/>
  <c r="G61" i="48"/>
  <c r="H61" i="48"/>
  <c r="P2" i="48" s="1"/>
  <c r="J61" i="48"/>
  <c r="K61" i="48"/>
  <c r="L61" i="48"/>
  <c r="P3" i="48" s="1"/>
  <c r="Q61" i="48"/>
  <c r="R61" i="48"/>
  <c r="S61" i="48"/>
  <c r="T61" i="48"/>
  <c r="P6" i="48" s="1"/>
  <c r="P1" i="47"/>
  <c r="P8" i="47"/>
  <c r="D15" i="47"/>
  <c r="G17" i="47"/>
  <c r="H17" i="47"/>
  <c r="R17" i="47"/>
  <c r="H18" i="47"/>
  <c r="J18" i="47"/>
  <c r="K18" i="47"/>
  <c r="L18" i="47"/>
  <c r="R18" i="47"/>
  <c r="T18" i="47"/>
  <c r="S18" i="47" s="1"/>
  <c r="U18" i="47"/>
  <c r="V18" i="47"/>
  <c r="H19" i="47"/>
  <c r="J19" i="47"/>
  <c r="K19" i="47"/>
  <c r="L19" i="47"/>
  <c r="R19" i="47"/>
  <c r="T19" i="47"/>
  <c r="S19" i="47" s="1"/>
  <c r="U19" i="47"/>
  <c r="V19" i="47"/>
  <c r="H20" i="47"/>
  <c r="J20" i="47"/>
  <c r="K20" i="47"/>
  <c r="L20" i="47"/>
  <c r="R20" i="47"/>
  <c r="T20" i="47"/>
  <c r="S20" i="47" s="1"/>
  <c r="U20" i="47"/>
  <c r="V20" i="47"/>
  <c r="H21" i="47"/>
  <c r="J21" i="47"/>
  <c r="K21" i="47"/>
  <c r="L21" i="47"/>
  <c r="R21" i="47"/>
  <c r="T21" i="47"/>
  <c r="S21" i="47" s="1"/>
  <c r="U21" i="47"/>
  <c r="V21" i="47"/>
  <c r="H22" i="47"/>
  <c r="J22" i="47"/>
  <c r="K22" i="47"/>
  <c r="L22" i="47"/>
  <c r="R22" i="47"/>
  <c r="T22" i="47"/>
  <c r="S22" i="47" s="1"/>
  <c r="U22" i="47"/>
  <c r="V22" i="47"/>
  <c r="H23" i="47"/>
  <c r="J23" i="47"/>
  <c r="K23" i="47"/>
  <c r="L23" i="47"/>
  <c r="R23" i="47"/>
  <c r="T23" i="47"/>
  <c r="S23" i="47" s="1"/>
  <c r="U23" i="47"/>
  <c r="V23" i="47"/>
  <c r="H24" i="47"/>
  <c r="J24" i="47"/>
  <c r="K24" i="47"/>
  <c r="L24" i="47"/>
  <c r="R24" i="47"/>
  <c r="T24" i="47"/>
  <c r="S24" i="47" s="1"/>
  <c r="U24" i="47"/>
  <c r="V24" i="47"/>
  <c r="H25" i="47"/>
  <c r="J25" i="47"/>
  <c r="K25" i="47"/>
  <c r="L25" i="47"/>
  <c r="R25" i="47"/>
  <c r="T25" i="47"/>
  <c r="S25" i="47" s="1"/>
  <c r="U25" i="47"/>
  <c r="V25" i="47"/>
  <c r="H26" i="47"/>
  <c r="J26" i="47"/>
  <c r="K26" i="47"/>
  <c r="L26" i="47"/>
  <c r="R26" i="47"/>
  <c r="T26" i="47"/>
  <c r="S26" i="47" s="1"/>
  <c r="U26" i="47"/>
  <c r="V26" i="47"/>
  <c r="H27" i="47"/>
  <c r="J27" i="47"/>
  <c r="K27" i="47"/>
  <c r="L27" i="47"/>
  <c r="R27" i="47"/>
  <c r="T27" i="47"/>
  <c r="S27" i="47" s="1"/>
  <c r="U27" i="47"/>
  <c r="V27" i="47"/>
  <c r="G28" i="47"/>
  <c r="H28" i="47"/>
  <c r="J28" i="47"/>
  <c r="K28" i="47"/>
  <c r="L28" i="47"/>
  <c r="R28" i="47"/>
  <c r="T28" i="47"/>
  <c r="S28" i="47" s="1"/>
  <c r="U28" i="47"/>
  <c r="V28" i="47"/>
  <c r="G29" i="47"/>
  <c r="H29" i="47"/>
  <c r="J29" i="47"/>
  <c r="K29" i="47"/>
  <c r="L29" i="47"/>
  <c r="R29" i="47"/>
  <c r="T29" i="47"/>
  <c r="S29" i="47" s="1"/>
  <c r="U29" i="47"/>
  <c r="V29" i="47"/>
  <c r="G30" i="47"/>
  <c r="H30" i="47"/>
  <c r="J30" i="47"/>
  <c r="K30" i="47"/>
  <c r="L30" i="47"/>
  <c r="R30" i="47"/>
  <c r="T30" i="47"/>
  <c r="S30" i="47" s="1"/>
  <c r="U30" i="47"/>
  <c r="V30" i="47"/>
  <c r="G31" i="47"/>
  <c r="H31" i="47"/>
  <c r="J31" i="47"/>
  <c r="K31" i="47"/>
  <c r="L31" i="47"/>
  <c r="R31" i="47"/>
  <c r="T31" i="47"/>
  <c r="S31" i="47" s="1"/>
  <c r="U31" i="47"/>
  <c r="V31" i="47"/>
  <c r="G32" i="47"/>
  <c r="H32" i="47"/>
  <c r="J32" i="47"/>
  <c r="K32" i="47"/>
  <c r="L32" i="47"/>
  <c r="R32" i="47"/>
  <c r="T32" i="47"/>
  <c r="S32" i="47" s="1"/>
  <c r="U32" i="47"/>
  <c r="V32" i="47"/>
  <c r="G33" i="47"/>
  <c r="H33" i="47"/>
  <c r="J33" i="47"/>
  <c r="K33" i="47"/>
  <c r="L33" i="47"/>
  <c r="R33" i="47"/>
  <c r="T33" i="47"/>
  <c r="S33" i="47" s="1"/>
  <c r="U33" i="47"/>
  <c r="V33" i="47"/>
  <c r="G34" i="47"/>
  <c r="H34" i="47"/>
  <c r="J34" i="47"/>
  <c r="K34" i="47"/>
  <c r="L34" i="47"/>
  <c r="R34" i="47"/>
  <c r="T34" i="47"/>
  <c r="S34" i="47" s="1"/>
  <c r="U34" i="47"/>
  <c r="V34" i="47"/>
  <c r="G35" i="47"/>
  <c r="H35" i="47"/>
  <c r="J35" i="47"/>
  <c r="K35" i="47"/>
  <c r="L35" i="47"/>
  <c r="R35" i="47"/>
  <c r="T35" i="47"/>
  <c r="S35" i="47" s="1"/>
  <c r="U35" i="47"/>
  <c r="V35" i="47"/>
  <c r="G36" i="47"/>
  <c r="H36" i="47"/>
  <c r="J36" i="47"/>
  <c r="K36" i="47"/>
  <c r="L36" i="47"/>
  <c r="R36" i="47"/>
  <c r="T36" i="47"/>
  <c r="S36" i="47" s="1"/>
  <c r="U36" i="47"/>
  <c r="V36" i="47"/>
  <c r="G37" i="47"/>
  <c r="H37" i="47"/>
  <c r="J37" i="47"/>
  <c r="K37" i="47"/>
  <c r="L37" i="47"/>
  <c r="R37" i="47"/>
  <c r="T37" i="47"/>
  <c r="S37" i="47" s="1"/>
  <c r="U37" i="47"/>
  <c r="V37" i="47"/>
  <c r="G38" i="47"/>
  <c r="H38" i="47"/>
  <c r="J38" i="47"/>
  <c r="K38" i="47"/>
  <c r="L38" i="47"/>
  <c r="R38" i="47"/>
  <c r="T38" i="47"/>
  <c r="S38" i="47" s="1"/>
  <c r="U38" i="47"/>
  <c r="V38" i="47"/>
  <c r="G39" i="47"/>
  <c r="H39" i="47"/>
  <c r="J39" i="47"/>
  <c r="K39" i="47"/>
  <c r="L39" i="47"/>
  <c r="R39" i="47"/>
  <c r="T39" i="47"/>
  <c r="S39" i="47" s="1"/>
  <c r="U39" i="47"/>
  <c r="V39" i="47"/>
  <c r="G40" i="47"/>
  <c r="H40" i="47"/>
  <c r="J40" i="47"/>
  <c r="K40" i="47"/>
  <c r="L40" i="47"/>
  <c r="R40" i="47"/>
  <c r="T40" i="47"/>
  <c r="S40" i="47" s="1"/>
  <c r="U40" i="47"/>
  <c r="V40" i="47"/>
  <c r="G41" i="47"/>
  <c r="H41" i="47"/>
  <c r="J41" i="47"/>
  <c r="K41" i="47"/>
  <c r="L41" i="47"/>
  <c r="R41" i="47"/>
  <c r="T41" i="47"/>
  <c r="S41" i="47" s="1"/>
  <c r="U41" i="47"/>
  <c r="V41" i="47"/>
  <c r="G42" i="47"/>
  <c r="H42" i="47"/>
  <c r="J42" i="47"/>
  <c r="K42" i="47"/>
  <c r="L42" i="47"/>
  <c r="R42" i="47"/>
  <c r="T42" i="47"/>
  <c r="S42" i="47" s="1"/>
  <c r="U42" i="47"/>
  <c r="V42" i="47"/>
  <c r="G43" i="47"/>
  <c r="H43" i="47"/>
  <c r="J43" i="47"/>
  <c r="K43" i="47"/>
  <c r="L43" i="47"/>
  <c r="R43" i="47"/>
  <c r="T43" i="47"/>
  <c r="S43" i="47" s="1"/>
  <c r="U43" i="47"/>
  <c r="V43" i="47"/>
  <c r="G44" i="47"/>
  <c r="H44" i="47"/>
  <c r="J44" i="47"/>
  <c r="K44" i="47"/>
  <c r="L44" i="47"/>
  <c r="R44" i="47"/>
  <c r="T44" i="47"/>
  <c r="S44" i="47" s="1"/>
  <c r="U44" i="47"/>
  <c r="V44" i="47"/>
  <c r="G45" i="47"/>
  <c r="H45" i="47"/>
  <c r="J45" i="47"/>
  <c r="K45" i="47"/>
  <c r="L45" i="47"/>
  <c r="R45" i="47"/>
  <c r="T45" i="47"/>
  <c r="S45" i="47" s="1"/>
  <c r="U45" i="47"/>
  <c r="V45" i="47"/>
  <c r="G46" i="47"/>
  <c r="H46" i="47"/>
  <c r="J46" i="47"/>
  <c r="K46" i="47"/>
  <c r="L46" i="47"/>
  <c r="R46" i="47"/>
  <c r="T46" i="47"/>
  <c r="S46" i="47" s="1"/>
  <c r="U46" i="47"/>
  <c r="V46" i="47"/>
  <c r="G47" i="47"/>
  <c r="H47" i="47"/>
  <c r="J47" i="47"/>
  <c r="K47" i="47"/>
  <c r="L47" i="47"/>
  <c r="R47" i="47"/>
  <c r="T47" i="47"/>
  <c r="S47" i="47" s="1"/>
  <c r="U47" i="47"/>
  <c r="V47" i="47"/>
  <c r="G48" i="47"/>
  <c r="H48" i="47"/>
  <c r="J48" i="47"/>
  <c r="K48" i="47"/>
  <c r="L48" i="47"/>
  <c r="R48" i="47"/>
  <c r="T48" i="47"/>
  <c r="S48" i="47" s="1"/>
  <c r="U48" i="47"/>
  <c r="V48" i="47"/>
  <c r="G49" i="47"/>
  <c r="H49" i="47"/>
  <c r="J49" i="47"/>
  <c r="K49" i="47"/>
  <c r="L49" i="47"/>
  <c r="R49" i="47"/>
  <c r="T49" i="47"/>
  <c r="S49" i="47" s="1"/>
  <c r="U49" i="47"/>
  <c r="V49" i="47"/>
  <c r="G50" i="47"/>
  <c r="H50" i="47"/>
  <c r="J50" i="47"/>
  <c r="K50" i="47"/>
  <c r="L50" i="47"/>
  <c r="R50" i="47"/>
  <c r="T50" i="47"/>
  <c r="S50" i="47" s="1"/>
  <c r="U50" i="47"/>
  <c r="V50" i="47"/>
  <c r="G51" i="47"/>
  <c r="H51" i="47"/>
  <c r="J51" i="47"/>
  <c r="K51" i="47"/>
  <c r="L51" i="47"/>
  <c r="R51" i="47"/>
  <c r="T51" i="47"/>
  <c r="S51" i="47" s="1"/>
  <c r="U51" i="47"/>
  <c r="V51" i="47"/>
  <c r="G52" i="47"/>
  <c r="H52" i="47"/>
  <c r="J52" i="47"/>
  <c r="K52" i="47"/>
  <c r="L52" i="47"/>
  <c r="R52" i="47"/>
  <c r="T52" i="47"/>
  <c r="S52" i="47" s="1"/>
  <c r="U52" i="47"/>
  <c r="V52" i="47"/>
  <c r="G53" i="47"/>
  <c r="H53" i="47"/>
  <c r="J53" i="47"/>
  <c r="K53" i="47"/>
  <c r="L53" i="47"/>
  <c r="R53" i="47"/>
  <c r="T53" i="47"/>
  <c r="S53" i="47" s="1"/>
  <c r="U53" i="47"/>
  <c r="V53" i="47"/>
  <c r="G54" i="47"/>
  <c r="H54" i="47"/>
  <c r="J54" i="47"/>
  <c r="K54" i="47"/>
  <c r="L54" i="47"/>
  <c r="R54" i="47"/>
  <c r="T54" i="47"/>
  <c r="S54" i="47" s="1"/>
  <c r="U54" i="47"/>
  <c r="V54" i="47"/>
  <c r="G55" i="47"/>
  <c r="H55" i="47"/>
  <c r="J55" i="47"/>
  <c r="K55" i="47"/>
  <c r="L55" i="47"/>
  <c r="R55" i="47"/>
  <c r="T55" i="47"/>
  <c r="S55" i="47" s="1"/>
  <c r="U55" i="47"/>
  <c r="V55" i="47"/>
  <c r="G56" i="47"/>
  <c r="H56" i="47"/>
  <c r="J56" i="47"/>
  <c r="K56" i="47"/>
  <c r="L56" i="47"/>
  <c r="R56" i="47"/>
  <c r="T56" i="47"/>
  <c r="S56" i="47" s="1"/>
  <c r="U56" i="47"/>
  <c r="V56" i="47"/>
  <c r="G57" i="47"/>
  <c r="H57" i="47"/>
  <c r="J57" i="47"/>
  <c r="K57" i="47"/>
  <c r="L57" i="47"/>
  <c r="R57" i="47"/>
  <c r="T57" i="47"/>
  <c r="S57" i="47" s="1"/>
  <c r="U57" i="47"/>
  <c r="V57" i="47"/>
  <c r="G58" i="47"/>
  <c r="H58" i="47"/>
  <c r="J58" i="47"/>
  <c r="K58" i="47"/>
  <c r="L58" i="47"/>
  <c r="R58" i="47"/>
  <c r="T58" i="47"/>
  <c r="S58" i="47" s="1"/>
  <c r="U58" i="47"/>
  <c r="V58" i="47"/>
  <c r="G59" i="47"/>
  <c r="H59" i="47"/>
  <c r="J59" i="47"/>
  <c r="K59" i="47"/>
  <c r="L59" i="47"/>
  <c r="R59" i="47"/>
  <c r="T59" i="47"/>
  <c r="S59" i="47" s="1"/>
  <c r="U59" i="47"/>
  <c r="V59" i="47"/>
  <c r="G60" i="47"/>
  <c r="H60" i="47"/>
  <c r="J60" i="47"/>
  <c r="K60" i="47"/>
  <c r="L60" i="47"/>
  <c r="R60" i="47"/>
  <c r="T60" i="47"/>
  <c r="S60" i="47" s="1"/>
  <c r="U60" i="47"/>
  <c r="V60" i="47"/>
  <c r="E61" i="47"/>
  <c r="P10" i="47" s="1"/>
  <c r="F61" i="47"/>
  <c r="G61" i="47"/>
  <c r="H61" i="47"/>
  <c r="P2" i="47" s="1"/>
  <c r="J61" i="47"/>
  <c r="K61" i="47"/>
  <c r="L61" i="47"/>
  <c r="P3" i="47" s="1"/>
  <c r="Q61" i="47"/>
  <c r="R61" i="47"/>
  <c r="S61" i="47"/>
  <c r="T61" i="47"/>
  <c r="P6" i="47" s="1"/>
  <c r="P1" i="46"/>
  <c r="P8" i="46"/>
  <c r="D15" i="46"/>
  <c r="G17" i="46"/>
  <c r="H17" i="46"/>
  <c r="R17" i="46"/>
  <c r="H18" i="46"/>
  <c r="J18" i="46"/>
  <c r="K18" i="46"/>
  <c r="L18" i="46"/>
  <c r="R18" i="46"/>
  <c r="T18" i="46"/>
  <c r="S18" i="46" s="1"/>
  <c r="U18" i="46"/>
  <c r="V18" i="46"/>
  <c r="H19" i="46"/>
  <c r="J19" i="46"/>
  <c r="K19" i="46"/>
  <c r="L19" i="46"/>
  <c r="R19" i="46"/>
  <c r="T19" i="46"/>
  <c r="S19" i="46" s="1"/>
  <c r="U19" i="46"/>
  <c r="V19" i="46"/>
  <c r="H20" i="46"/>
  <c r="J20" i="46"/>
  <c r="K20" i="46"/>
  <c r="L20" i="46"/>
  <c r="R20" i="46"/>
  <c r="T20" i="46"/>
  <c r="S20" i="46" s="1"/>
  <c r="U20" i="46"/>
  <c r="V20" i="46"/>
  <c r="H21" i="46"/>
  <c r="J21" i="46"/>
  <c r="K21" i="46"/>
  <c r="L21" i="46"/>
  <c r="R21" i="46"/>
  <c r="T21" i="46"/>
  <c r="S21" i="46" s="1"/>
  <c r="U21" i="46"/>
  <c r="V21" i="46"/>
  <c r="H22" i="46"/>
  <c r="J22" i="46"/>
  <c r="K22" i="46"/>
  <c r="L22" i="46"/>
  <c r="R22" i="46"/>
  <c r="T22" i="46"/>
  <c r="S22" i="46" s="1"/>
  <c r="U22" i="46"/>
  <c r="V22" i="46"/>
  <c r="H23" i="46"/>
  <c r="J23" i="46"/>
  <c r="K23" i="46"/>
  <c r="L23" i="46"/>
  <c r="R23" i="46"/>
  <c r="T23" i="46"/>
  <c r="S23" i="46" s="1"/>
  <c r="U23" i="46"/>
  <c r="V23" i="46"/>
  <c r="H24" i="46"/>
  <c r="J24" i="46"/>
  <c r="K24" i="46"/>
  <c r="L24" i="46"/>
  <c r="R24" i="46"/>
  <c r="T24" i="46"/>
  <c r="S24" i="46" s="1"/>
  <c r="U24" i="46"/>
  <c r="V24" i="46"/>
  <c r="H25" i="46"/>
  <c r="J25" i="46"/>
  <c r="K25" i="46"/>
  <c r="L25" i="46"/>
  <c r="R25" i="46"/>
  <c r="T25" i="46"/>
  <c r="S25" i="46" s="1"/>
  <c r="U25" i="46"/>
  <c r="V25" i="46"/>
  <c r="H26" i="46"/>
  <c r="J26" i="46"/>
  <c r="K26" i="46"/>
  <c r="L26" i="46"/>
  <c r="R26" i="46"/>
  <c r="T26" i="46"/>
  <c r="S26" i="46" s="1"/>
  <c r="U26" i="46"/>
  <c r="V26" i="46"/>
  <c r="H27" i="46"/>
  <c r="J27" i="46"/>
  <c r="K27" i="46"/>
  <c r="L27" i="46"/>
  <c r="R27" i="46"/>
  <c r="T27" i="46"/>
  <c r="S27" i="46" s="1"/>
  <c r="U27" i="46"/>
  <c r="V27" i="46"/>
  <c r="G28" i="46"/>
  <c r="H28" i="46"/>
  <c r="J28" i="46"/>
  <c r="K28" i="46"/>
  <c r="L28" i="46"/>
  <c r="R28" i="46"/>
  <c r="T28" i="46"/>
  <c r="S28" i="46" s="1"/>
  <c r="U28" i="46"/>
  <c r="V28" i="46"/>
  <c r="G29" i="46"/>
  <c r="H29" i="46"/>
  <c r="J29" i="46"/>
  <c r="K29" i="46"/>
  <c r="L29" i="46"/>
  <c r="R29" i="46"/>
  <c r="T29" i="46"/>
  <c r="S29" i="46" s="1"/>
  <c r="U29" i="46"/>
  <c r="V29" i="46"/>
  <c r="G30" i="46"/>
  <c r="H30" i="46"/>
  <c r="J30" i="46"/>
  <c r="K30" i="46"/>
  <c r="L30" i="46"/>
  <c r="R30" i="46"/>
  <c r="T30" i="46"/>
  <c r="S30" i="46" s="1"/>
  <c r="U30" i="46"/>
  <c r="V30" i="46"/>
  <c r="G31" i="46"/>
  <c r="H31" i="46"/>
  <c r="J31" i="46"/>
  <c r="K31" i="46"/>
  <c r="L31" i="46"/>
  <c r="R31" i="46"/>
  <c r="T31" i="46"/>
  <c r="S31" i="46" s="1"/>
  <c r="U31" i="46"/>
  <c r="V31" i="46"/>
  <c r="G32" i="46"/>
  <c r="H32" i="46"/>
  <c r="J32" i="46"/>
  <c r="K32" i="46"/>
  <c r="L32" i="46"/>
  <c r="R32" i="46"/>
  <c r="T32" i="46"/>
  <c r="S32" i="46" s="1"/>
  <c r="U32" i="46"/>
  <c r="V32" i="46"/>
  <c r="G33" i="46"/>
  <c r="H33" i="46"/>
  <c r="J33" i="46"/>
  <c r="K33" i="46"/>
  <c r="L33" i="46"/>
  <c r="R33" i="46"/>
  <c r="T33" i="46"/>
  <c r="S33" i="46" s="1"/>
  <c r="U33" i="46"/>
  <c r="V33" i="46"/>
  <c r="G34" i="46"/>
  <c r="H34" i="46"/>
  <c r="J34" i="46"/>
  <c r="K34" i="46"/>
  <c r="L34" i="46"/>
  <c r="R34" i="46"/>
  <c r="T34" i="46"/>
  <c r="S34" i="46" s="1"/>
  <c r="U34" i="46"/>
  <c r="V34" i="46"/>
  <c r="G35" i="46"/>
  <c r="H35" i="46"/>
  <c r="J35" i="46"/>
  <c r="K35" i="46"/>
  <c r="L35" i="46"/>
  <c r="R35" i="46"/>
  <c r="T35" i="46"/>
  <c r="S35" i="46" s="1"/>
  <c r="U35" i="46"/>
  <c r="V35" i="46"/>
  <c r="G36" i="46"/>
  <c r="H36" i="46"/>
  <c r="J36" i="46"/>
  <c r="K36" i="46"/>
  <c r="L36" i="46"/>
  <c r="R36" i="46"/>
  <c r="T36" i="46"/>
  <c r="S36" i="46" s="1"/>
  <c r="U36" i="46"/>
  <c r="V36" i="46"/>
  <c r="G37" i="46"/>
  <c r="H37" i="46"/>
  <c r="J37" i="46"/>
  <c r="K37" i="46"/>
  <c r="L37" i="46"/>
  <c r="R37" i="46"/>
  <c r="T37" i="46"/>
  <c r="S37" i="46" s="1"/>
  <c r="U37" i="46"/>
  <c r="V37" i="46"/>
  <c r="G38" i="46"/>
  <c r="H38" i="46"/>
  <c r="J38" i="46"/>
  <c r="K38" i="46"/>
  <c r="L38" i="46"/>
  <c r="R38" i="46"/>
  <c r="T38" i="46"/>
  <c r="S38" i="46" s="1"/>
  <c r="U38" i="46"/>
  <c r="V38" i="46"/>
  <c r="G39" i="46"/>
  <c r="H39" i="46"/>
  <c r="J39" i="46"/>
  <c r="K39" i="46"/>
  <c r="L39" i="46"/>
  <c r="R39" i="46"/>
  <c r="T39" i="46"/>
  <c r="S39" i="46" s="1"/>
  <c r="U39" i="46"/>
  <c r="V39" i="46"/>
  <c r="G40" i="46"/>
  <c r="H40" i="46"/>
  <c r="J40" i="46"/>
  <c r="K40" i="46"/>
  <c r="L40" i="46"/>
  <c r="R40" i="46"/>
  <c r="T40" i="46"/>
  <c r="S40" i="46" s="1"/>
  <c r="U40" i="46"/>
  <c r="V40" i="46"/>
  <c r="G41" i="46"/>
  <c r="H41" i="46"/>
  <c r="J41" i="46"/>
  <c r="K41" i="46"/>
  <c r="L41" i="46"/>
  <c r="R41" i="46"/>
  <c r="T41" i="46"/>
  <c r="S41" i="46" s="1"/>
  <c r="U41" i="46"/>
  <c r="V41" i="46"/>
  <c r="G42" i="46"/>
  <c r="H42" i="46"/>
  <c r="J42" i="46"/>
  <c r="K42" i="46"/>
  <c r="L42" i="46"/>
  <c r="R42" i="46"/>
  <c r="T42" i="46"/>
  <c r="S42" i="46" s="1"/>
  <c r="U42" i="46"/>
  <c r="V42" i="46"/>
  <c r="G43" i="46"/>
  <c r="H43" i="46"/>
  <c r="J43" i="46"/>
  <c r="K43" i="46"/>
  <c r="L43" i="46"/>
  <c r="R43" i="46"/>
  <c r="T43" i="46"/>
  <c r="S43" i="46" s="1"/>
  <c r="U43" i="46"/>
  <c r="V43" i="46"/>
  <c r="G44" i="46"/>
  <c r="H44" i="46"/>
  <c r="J44" i="46"/>
  <c r="K44" i="46"/>
  <c r="L44" i="46"/>
  <c r="R44" i="46"/>
  <c r="T44" i="46"/>
  <c r="S44" i="46" s="1"/>
  <c r="U44" i="46"/>
  <c r="V44" i="46"/>
  <c r="G45" i="46"/>
  <c r="H45" i="46"/>
  <c r="J45" i="46"/>
  <c r="K45" i="46"/>
  <c r="L45" i="46"/>
  <c r="R45" i="46"/>
  <c r="T45" i="46"/>
  <c r="S45" i="46" s="1"/>
  <c r="U45" i="46"/>
  <c r="V45" i="46"/>
  <c r="G46" i="46"/>
  <c r="H46" i="46"/>
  <c r="J46" i="46"/>
  <c r="K46" i="46"/>
  <c r="L46" i="46"/>
  <c r="R46" i="46"/>
  <c r="T46" i="46"/>
  <c r="S46" i="46" s="1"/>
  <c r="U46" i="46"/>
  <c r="V46" i="46"/>
  <c r="G47" i="46"/>
  <c r="H47" i="46"/>
  <c r="J47" i="46"/>
  <c r="K47" i="46"/>
  <c r="L47" i="46"/>
  <c r="R47" i="46"/>
  <c r="T47" i="46"/>
  <c r="S47" i="46" s="1"/>
  <c r="U47" i="46"/>
  <c r="V47" i="46"/>
  <c r="G48" i="46"/>
  <c r="H48" i="46"/>
  <c r="J48" i="46"/>
  <c r="K48" i="46"/>
  <c r="L48" i="46"/>
  <c r="R48" i="46"/>
  <c r="T48" i="46"/>
  <c r="S48" i="46" s="1"/>
  <c r="U48" i="46"/>
  <c r="V48" i="46"/>
  <c r="G49" i="46"/>
  <c r="H49" i="46"/>
  <c r="J49" i="46"/>
  <c r="K49" i="46"/>
  <c r="L49" i="46"/>
  <c r="R49" i="46"/>
  <c r="T49" i="46"/>
  <c r="S49" i="46" s="1"/>
  <c r="U49" i="46"/>
  <c r="V49" i="46"/>
  <c r="G50" i="46"/>
  <c r="H50" i="46"/>
  <c r="J50" i="46"/>
  <c r="K50" i="46"/>
  <c r="L50" i="46"/>
  <c r="R50" i="46"/>
  <c r="T50" i="46"/>
  <c r="S50" i="46" s="1"/>
  <c r="U50" i="46"/>
  <c r="V50" i="46"/>
  <c r="G51" i="46"/>
  <c r="H51" i="46"/>
  <c r="J51" i="46"/>
  <c r="K51" i="46"/>
  <c r="L51" i="46"/>
  <c r="R51" i="46"/>
  <c r="T51" i="46"/>
  <c r="S51" i="46" s="1"/>
  <c r="U51" i="46"/>
  <c r="V51" i="46"/>
  <c r="G52" i="46"/>
  <c r="H52" i="46"/>
  <c r="J52" i="46"/>
  <c r="K52" i="46"/>
  <c r="L52" i="46"/>
  <c r="R52" i="46"/>
  <c r="T52" i="46"/>
  <c r="S52" i="46" s="1"/>
  <c r="U52" i="46"/>
  <c r="V52" i="46"/>
  <c r="G53" i="46"/>
  <c r="H53" i="46"/>
  <c r="J53" i="46"/>
  <c r="K53" i="46"/>
  <c r="L53" i="46"/>
  <c r="R53" i="46"/>
  <c r="T53" i="46"/>
  <c r="S53" i="46" s="1"/>
  <c r="U53" i="46"/>
  <c r="V53" i="46"/>
  <c r="G54" i="46"/>
  <c r="H54" i="46"/>
  <c r="J54" i="46"/>
  <c r="K54" i="46"/>
  <c r="L54" i="46"/>
  <c r="R54" i="46"/>
  <c r="T54" i="46"/>
  <c r="S54" i="46" s="1"/>
  <c r="U54" i="46"/>
  <c r="V54" i="46"/>
  <c r="G55" i="46"/>
  <c r="H55" i="46"/>
  <c r="J55" i="46"/>
  <c r="K55" i="46"/>
  <c r="L55" i="46"/>
  <c r="R55" i="46"/>
  <c r="T55" i="46"/>
  <c r="S55" i="46" s="1"/>
  <c r="U55" i="46"/>
  <c r="V55" i="46"/>
  <c r="G56" i="46"/>
  <c r="H56" i="46"/>
  <c r="J56" i="46"/>
  <c r="K56" i="46"/>
  <c r="L56" i="46"/>
  <c r="R56" i="46"/>
  <c r="T56" i="46"/>
  <c r="S56" i="46" s="1"/>
  <c r="U56" i="46"/>
  <c r="V56" i="46"/>
  <c r="G57" i="46"/>
  <c r="H57" i="46"/>
  <c r="J57" i="46"/>
  <c r="K57" i="46"/>
  <c r="L57" i="46"/>
  <c r="R57" i="46"/>
  <c r="T57" i="46"/>
  <c r="S57" i="46" s="1"/>
  <c r="U57" i="46"/>
  <c r="V57" i="46"/>
  <c r="G58" i="46"/>
  <c r="H58" i="46"/>
  <c r="J58" i="46"/>
  <c r="K58" i="46"/>
  <c r="L58" i="46"/>
  <c r="R58" i="46"/>
  <c r="T58" i="46"/>
  <c r="S58" i="46" s="1"/>
  <c r="U58" i="46"/>
  <c r="V58" i="46"/>
  <c r="G59" i="46"/>
  <c r="H59" i="46"/>
  <c r="J59" i="46"/>
  <c r="K59" i="46"/>
  <c r="L59" i="46"/>
  <c r="R59" i="46"/>
  <c r="T59" i="46"/>
  <c r="S59" i="46" s="1"/>
  <c r="U59" i="46"/>
  <c r="V59" i="46"/>
  <c r="G60" i="46"/>
  <c r="H60" i="46"/>
  <c r="J60" i="46"/>
  <c r="K60" i="46"/>
  <c r="L60" i="46"/>
  <c r="R60" i="46"/>
  <c r="T60" i="46"/>
  <c r="S60" i="46" s="1"/>
  <c r="U60" i="46"/>
  <c r="V60" i="46"/>
  <c r="E61" i="46"/>
  <c r="P10" i="46" s="1"/>
  <c r="F61" i="46"/>
  <c r="G61" i="46"/>
  <c r="H61" i="46"/>
  <c r="P2" i="46" s="1"/>
  <c r="J61" i="46"/>
  <c r="K61" i="46"/>
  <c r="L61" i="46"/>
  <c r="P3" i="46" s="1"/>
  <c r="Q61" i="46"/>
  <c r="R61" i="46"/>
  <c r="S61" i="46"/>
  <c r="T61" i="46"/>
  <c r="P6" i="46" s="1"/>
  <c r="P1" i="45"/>
  <c r="P8" i="45"/>
  <c r="D15" i="45"/>
  <c r="G17" i="45"/>
  <c r="H17" i="45"/>
  <c r="R17" i="45"/>
  <c r="G18" i="45"/>
  <c r="H18" i="45"/>
  <c r="J18" i="45"/>
  <c r="K18" i="45"/>
  <c r="L18" i="45"/>
  <c r="R18" i="45"/>
  <c r="T18" i="45"/>
  <c r="S18" i="45" s="1"/>
  <c r="U18" i="45"/>
  <c r="V18" i="45"/>
  <c r="G19" i="45"/>
  <c r="H19" i="45"/>
  <c r="J19" i="45"/>
  <c r="K19" i="45"/>
  <c r="L19" i="45"/>
  <c r="R19" i="45"/>
  <c r="T19" i="45"/>
  <c r="S19" i="45" s="1"/>
  <c r="U19" i="45"/>
  <c r="V19" i="45"/>
  <c r="G20" i="45"/>
  <c r="H20" i="45"/>
  <c r="J20" i="45"/>
  <c r="K20" i="45"/>
  <c r="L20" i="45"/>
  <c r="R20" i="45"/>
  <c r="T20" i="45"/>
  <c r="S20" i="45" s="1"/>
  <c r="U20" i="45"/>
  <c r="V20" i="45"/>
  <c r="G21" i="45"/>
  <c r="H21" i="45"/>
  <c r="J21" i="45"/>
  <c r="K21" i="45"/>
  <c r="L21" i="45"/>
  <c r="R21" i="45"/>
  <c r="T21" i="45"/>
  <c r="S21" i="45" s="1"/>
  <c r="U21" i="45"/>
  <c r="V21" i="45"/>
  <c r="G22" i="45"/>
  <c r="H22" i="45"/>
  <c r="J22" i="45"/>
  <c r="K22" i="45"/>
  <c r="L22" i="45"/>
  <c r="R22" i="45"/>
  <c r="T22" i="45"/>
  <c r="S22" i="45" s="1"/>
  <c r="U22" i="45"/>
  <c r="V22" i="45"/>
  <c r="G23" i="45"/>
  <c r="H23" i="45"/>
  <c r="J23" i="45"/>
  <c r="K23" i="45"/>
  <c r="L23" i="45"/>
  <c r="R23" i="45"/>
  <c r="T23" i="45"/>
  <c r="S23" i="45" s="1"/>
  <c r="U23" i="45"/>
  <c r="V23" i="45"/>
  <c r="G24" i="45"/>
  <c r="H24" i="45"/>
  <c r="J24" i="45"/>
  <c r="K24" i="45"/>
  <c r="L24" i="45"/>
  <c r="R24" i="45"/>
  <c r="T24" i="45"/>
  <c r="S24" i="45" s="1"/>
  <c r="U24" i="45"/>
  <c r="V24" i="45"/>
  <c r="G25" i="45"/>
  <c r="H25" i="45"/>
  <c r="J25" i="45"/>
  <c r="K25" i="45"/>
  <c r="L25" i="45"/>
  <c r="R25" i="45"/>
  <c r="T25" i="45"/>
  <c r="S25" i="45" s="1"/>
  <c r="U25" i="45"/>
  <c r="V25" i="45"/>
  <c r="G26" i="45"/>
  <c r="H26" i="45"/>
  <c r="J26" i="45"/>
  <c r="K26" i="45"/>
  <c r="L26" i="45"/>
  <c r="R26" i="45"/>
  <c r="T26" i="45"/>
  <c r="S26" i="45" s="1"/>
  <c r="U26" i="45"/>
  <c r="V26" i="45"/>
  <c r="G27" i="45"/>
  <c r="H27" i="45"/>
  <c r="J27" i="45"/>
  <c r="K27" i="45"/>
  <c r="L27" i="45"/>
  <c r="R27" i="45"/>
  <c r="T27" i="45"/>
  <c r="S27" i="45" s="1"/>
  <c r="U27" i="45"/>
  <c r="V27" i="45"/>
  <c r="G28" i="45"/>
  <c r="H28" i="45"/>
  <c r="J28" i="45"/>
  <c r="K28" i="45"/>
  <c r="L28" i="45"/>
  <c r="R28" i="45"/>
  <c r="T28" i="45"/>
  <c r="S28" i="45" s="1"/>
  <c r="U28" i="45"/>
  <c r="V28" i="45"/>
  <c r="G29" i="45"/>
  <c r="H29" i="45"/>
  <c r="J29" i="45"/>
  <c r="K29" i="45"/>
  <c r="L29" i="45"/>
  <c r="R29" i="45"/>
  <c r="T29" i="45"/>
  <c r="S29" i="45" s="1"/>
  <c r="U29" i="45"/>
  <c r="V29" i="45"/>
  <c r="G30" i="45"/>
  <c r="H30" i="45"/>
  <c r="J30" i="45"/>
  <c r="K30" i="45"/>
  <c r="L30" i="45"/>
  <c r="R30" i="45"/>
  <c r="T30" i="45"/>
  <c r="S30" i="45" s="1"/>
  <c r="U30" i="45"/>
  <c r="V30" i="45"/>
  <c r="G31" i="45"/>
  <c r="H31" i="45"/>
  <c r="J31" i="45"/>
  <c r="K31" i="45"/>
  <c r="L31" i="45"/>
  <c r="R31" i="45"/>
  <c r="T31" i="45"/>
  <c r="S31" i="45" s="1"/>
  <c r="U31" i="45"/>
  <c r="V31" i="45"/>
  <c r="G32" i="45"/>
  <c r="H32" i="45"/>
  <c r="J32" i="45"/>
  <c r="K32" i="45"/>
  <c r="L32" i="45"/>
  <c r="R32" i="45"/>
  <c r="T32" i="45"/>
  <c r="S32" i="45" s="1"/>
  <c r="U32" i="45"/>
  <c r="V32" i="45"/>
  <c r="G33" i="45"/>
  <c r="H33" i="45"/>
  <c r="J33" i="45"/>
  <c r="K33" i="45"/>
  <c r="L33" i="45"/>
  <c r="R33" i="45"/>
  <c r="T33" i="45"/>
  <c r="S33" i="45" s="1"/>
  <c r="U33" i="45"/>
  <c r="V33" i="45"/>
  <c r="G34" i="45"/>
  <c r="H34" i="45"/>
  <c r="J34" i="45"/>
  <c r="K34" i="45"/>
  <c r="L34" i="45"/>
  <c r="R34" i="45"/>
  <c r="T34" i="45"/>
  <c r="S34" i="45" s="1"/>
  <c r="U34" i="45"/>
  <c r="V34" i="45"/>
  <c r="G35" i="45"/>
  <c r="H35" i="45"/>
  <c r="J35" i="45"/>
  <c r="K35" i="45"/>
  <c r="L35" i="45"/>
  <c r="R35" i="45"/>
  <c r="T35" i="45"/>
  <c r="S35" i="45" s="1"/>
  <c r="U35" i="45"/>
  <c r="V35" i="45"/>
  <c r="G36" i="45"/>
  <c r="H36" i="45"/>
  <c r="J36" i="45"/>
  <c r="K36" i="45"/>
  <c r="L36" i="45"/>
  <c r="R36" i="45"/>
  <c r="T36" i="45"/>
  <c r="S36" i="45" s="1"/>
  <c r="U36" i="45"/>
  <c r="V36" i="45"/>
  <c r="G37" i="45"/>
  <c r="H37" i="45"/>
  <c r="J37" i="45"/>
  <c r="K37" i="45"/>
  <c r="L37" i="45"/>
  <c r="R37" i="45"/>
  <c r="T37" i="45"/>
  <c r="S37" i="45" s="1"/>
  <c r="U37" i="45"/>
  <c r="V37" i="45"/>
  <c r="G38" i="45"/>
  <c r="H38" i="45"/>
  <c r="J38" i="45"/>
  <c r="K38" i="45"/>
  <c r="L38" i="45"/>
  <c r="R38" i="45"/>
  <c r="T38" i="45"/>
  <c r="S38" i="45" s="1"/>
  <c r="U38" i="45"/>
  <c r="V38" i="45"/>
  <c r="G39" i="45"/>
  <c r="H39" i="45"/>
  <c r="J39" i="45"/>
  <c r="K39" i="45"/>
  <c r="L39" i="45"/>
  <c r="R39" i="45"/>
  <c r="T39" i="45"/>
  <c r="S39" i="45" s="1"/>
  <c r="U39" i="45"/>
  <c r="V39" i="45"/>
  <c r="G40" i="45"/>
  <c r="H40" i="45"/>
  <c r="J40" i="45"/>
  <c r="K40" i="45"/>
  <c r="L40" i="45"/>
  <c r="R40" i="45"/>
  <c r="T40" i="45"/>
  <c r="S40" i="45" s="1"/>
  <c r="U40" i="45"/>
  <c r="V40" i="45"/>
  <c r="G41" i="45"/>
  <c r="H41" i="45"/>
  <c r="J41" i="45"/>
  <c r="K41" i="45"/>
  <c r="L41" i="45"/>
  <c r="R41" i="45"/>
  <c r="T41" i="45"/>
  <c r="S41" i="45" s="1"/>
  <c r="U41" i="45"/>
  <c r="V41" i="45"/>
  <c r="G42" i="45"/>
  <c r="H42" i="45"/>
  <c r="J42" i="45"/>
  <c r="K42" i="45"/>
  <c r="L42" i="45"/>
  <c r="R42" i="45"/>
  <c r="T42" i="45"/>
  <c r="S42" i="45" s="1"/>
  <c r="U42" i="45"/>
  <c r="V42" i="45"/>
  <c r="G43" i="45"/>
  <c r="H43" i="45"/>
  <c r="J43" i="45"/>
  <c r="K43" i="45"/>
  <c r="L43" i="45"/>
  <c r="R43" i="45"/>
  <c r="T43" i="45"/>
  <c r="S43" i="45" s="1"/>
  <c r="U43" i="45"/>
  <c r="V43" i="45"/>
  <c r="G44" i="45"/>
  <c r="H44" i="45"/>
  <c r="J44" i="45"/>
  <c r="K44" i="45"/>
  <c r="L44" i="45"/>
  <c r="R44" i="45"/>
  <c r="T44" i="45"/>
  <c r="S44" i="45" s="1"/>
  <c r="U44" i="45"/>
  <c r="V44" i="45"/>
  <c r="G45" i="45"/>
  <c r="H45" i="45"/>
  <c r="J45" i="45"/>
  <c r="K45" i="45"/>
  <c r="L45" i="45"/>
  <c r="R45" i="45"/>
  <c r="T45" i="45"/>
  <c r="S45" i="45" s="1"/>
  <c r="U45" i="45"/>
  <c r="V45" i="45"/>
  <c r="G46" i="45"/>
  <c r="H46" i="45"/>
  <c r="J46" i="45"/>
  <c r="K46" i="45"/>
  <c r="L46" i="45"/>
  <c r="R46" i="45"/>
  <c r="T46" i="45"/>
  <c r="S46" i="45" s="1"/>
  <c r="U46" i="45"/>
  <c r="V46" i="45"/>
  <c r="G47" i="45"/>
  <c r="H47" i="45"/>
  <c r="J47" i="45"/>
  <c r="K47" i="45"/>
  <c r="L47" i="45"/>
  <c r="R47" i="45"/>
  <c r="T47" i="45"/>
  <c r="S47" i="45" s="1"/>
  <c r="U47" i="45"/>
  <c r="V47" i="45"/>
  <c r="G48" i="45"/>
  <c r="H48" i="45"/>
  <c r="J48" i="45"/>
  <c r="K48" i="45"/>
  <c r="L48" i="45"/>
  <c r="R48" i="45"/>
  <c r="T48" i="45"/>
  <c r="S48" i="45" s="1"/>
  <c r="U48" i="45"/>
  <c r="V48" i="45"/>
  <c r="G49" i="45"/>
  <c r="H49" i="45"/>
  <c r="J49" i="45"/>
  <c r="K49" i="45"/>
  <c r="L49" i="45"/>
  <c r="R49" i="45"/>
  <c r="T49" i="45"/>
  <c r="S49" i="45" s="1"/>
  <c r="U49" i="45"/>
  <c r="V49" i="45"/>
  <c r="G50" i="45"/>
  <c r="H50" i="45"/>
  <c r="J50" i="45"/>
  <c r="K50" i="45"/>
  <c r="L50" i="45"/>
  <c r="R50" i="45"/>
  <c r="T50" i="45"/>
  <c r="S50" i="45" s="1"/>
  <c r="U50" i="45"/>
  <c r="V50" i="45"/>
  <c r="G51" i="45"/>
  <c r="H51" i="45"/>
  <c r="J51" i="45"/>
  <c r="K51" i="45"/>
  <c r="L51" i="45"/>
  <c r="R51" i="45"/>
  <c r="T51" i="45"/>
  <c r="S51" i="45" s="1"/>
  <c r="U51" i="45"/>
  <c r="V51" i="45"/>
  <c r="G52" i="45"/>
  <c r="H52" i="45"/>
  <c r="J52" i="45"/>
  <c r="K52" i="45"/>
  <c r="L52" i="45"/>
  <c r="R52" i="45"/>
  <c r="T52" i="45"/>
  <c r="S52" i="45" s="1"/>
  <c r="U52" i="45"/>
  <c r="V52" i="45"/>
  <c r="G53" i="45"/>
  <c r="H53" i="45"/>
  <c r="J53" i="45"/>
  <c r="K53" i="45"/>
  <c r="L53" i="45"/>
  <c r="R53" i="45"/>
  <c r="T53" i="45"/>
  <c r="S53" i="45" s="1"/>
  <c r="U53" i="45"/>
  <c r="V53" i="45"/>
  <c r="G54" i="45"/>
  <c r="H54" i="45"/>
  <c r="J54" i="45"/>
  <c r="K54" i="45"/>
  <c r="L54" i="45"/>
  <c r="R54" i="45"/>
  <c r="T54" i="45"/>
  <c r="S54" i="45" s="1"/>
  <c r="U54" i="45"/>
  <c r="V54" i="45"/>
  <c r="G55" i="45"/>
  <c r="H55" i="45"/>
  <c r="J55" i="45"/>
  <c r="K55" i="45"/>
  <c r="L55" i="45"/>
  <c r="R55" i="45"/>
  <c r="T55" i="45"/>
  <c r="S55" i="45" s="1"/>
  <c r="U55" i="45"/>
  <c r="V55" i="45"/>
  <c r="G56" i="45"/>
  <c r="H56" i="45"/>
  <c r="J56" i="45"/>
  <c r="K56" i="45"/>
  <c r="L56" i="45"/>
  <c r="R56" i="45"/>
  <c r="T56" i="45"/>
  <c r="S56" i="45" s="1"/>
  <c r="U56" i="45"/>
  <c r="V56" i="45"/>
  <c r="G57" i="45"/>
  <c r="H57" i="45"/>
  <c r="J57" i="45"/>
  <c r="K57" i="45"/>
  <c r="L57" i="45"/>
  <c r="R57" i="45"/>
  <c r="T57" i="45"/>
  <c r="S57" i="45" s="1"/>
  <c r="U57" i="45"/>
  <c r="V57" i="45"/>
  <c r="G58" i="45"/>
  <c r="H58" i="45"/>
  <c r="J58" i="45"/>
  <c r="K58" i="45"/>
  <c r="L58" i="45"/>
  <c r="R58" i="45"/>
  <c r="T58" i="45"/>
  <c r="S58" i="45" s="1"/>
  <c r="U58" i="45"/>
  <c r="V58" i="45"/>
  <c r="G59" i="45"/>
  <c r="H59" i="45"/>
  <c r="J59" i="45"/>
  <c r="K59" i="45"/>
  <c r="L59" i="45"/>
  <c r="R59" i="45"/>
  <c r="T59" i="45"/>
  <c r="S59" i="45" s="1"/>
  <c r="U59" i="45"/>
  <c r="V59" i="45"/>
  <c r="G60" i="45"/>
  <c r="H60" i="45"/>
  <c r="J60" i="45"/>
  <c r="K60" i="45"/>
  <c r="L60" i="45"/>
  <c r="R60" i="45"/>
  <c r="T60" i="45"/>
  <c r="S60" i="45" s="1"/>
  <c r="U60" i="45"/>
  <c r="V60" i="45"/>
  <c r="E61" i="45"/>
  <c r="P10" i="45" s="1"/>
  <c r="F61" i="45"/>
  <c r="G61" i="45"/>
  <c r="H61" i="45"/>
  <c r="P2" i="45" s="1"/>
  <c r="J61" i="45"/>
  <c r="K61" i="45"/>
  <c r="L61" i="45"/>
  <c r="P3" i="45" s="1"/>
  <c r="Q61" i="45"/>
  <c r="R61" i="45"/>
  <c r="S61" i="45"/>
  <c r="T61" i="45"/>
  <c r="P6" i="45" s="1"/>
  <c r="P1" i="44"/>
  <c r="P8" i="44"/>
  <c r="D15" i="44"/>
  <c r="G17" i="44"/>
  <c r="H17" i="44"/>
  <c r="R17" i="44"/>
  <c r="G18" i="44"/>
  <c r="H18" i="44"/>
  <c r="J18" i="44"/>
  <c r="K18" i="44"/>
  <c r="L18" i="44"/>
  <c r="R18" i="44"/>
  <c r="T18" i="44"/>
  <c r="S18" i="44" s="1"/>
  <c r="U18" i="44"/>
  <c r="V18" i="44"/>
  <c r="G19" i="44"/>
  <c r="H19" i="44"/>
  <c r="J19" i="44"/>
  <c r="K19" i="44"/>
  <c r="L19" i="44"/>
  <c r="R19" i="44"/>
  <c r="T19" i="44"/>
  <c r="S19" i="44" s="1"/>
  <c r="U19" i="44"/>
  <c r="V19" i="44"/>
  <c r="G20" i="44"/>
  <c r="H20" i="44"/>
  <c r="J20" i="44"/>
  <c r="K20" i="44"/>
  <c r="L20" i="44"/>
  <c r="R20" i="44"/>
  <c r="T20" i="44"/>
  <c r="S20" i="44" s="1"/>
  <c r="U20" i="44"/>
  <c r="V20" i="44"/>
  <c r="G21" i="44"/>
  <c r="H21" i="44"/>
  <c r="J21" i="44"/>
  <c r="K21" i="44"/>
  <c r="L21" i="44"/>
  <c r="R21" i="44"/>
  <c r="T21" i="44"/>
  <c r="S21" i="44" s="1"/>
  <c r="U21" i="44"/>
  <c r="V21" i="44"/>
  <c r="G22" i="44"/>
  <c r="H22" i="44"/>
  <c r="J22" i="44"/>
  <c r="K22" i="44"/>
  <c r="L22" i="44"/>
  <c r="R22" i="44"/>
  <c r="T22" i="44"/>
  <c r="S22" i="44" s="1"/>
  <c r="U22" i="44"/>
  <c r="V22" i="44"/>
  <c r="G23" i="44"/>
  <c r="H23" i="44"/>
  <c r="J23" i="44"/>
  <c r="K23" i="44"/>
  <c r="L23" i="44"/>
  <c r="R23" i="44"/>
  <c r="T23" i="44"/>
  <c r="S23" i="44" s="1"/>
  <c r="U23" i="44"/>
  <c r="V23" i="44"/>
  <c r="G24" i="44"/>
  <c r="H24" i="44"/>
  <c r="J24" i="44"/>
  <c r="K24" i="44"/>
  <c r="L24" i="44"/>
  <c r="R24" i="44"/>
  <c r="T24" i="44"/>
  <c r="S24" i="44" s="1"/>
  <c r="U24" i="44"/>
  <c r="V24" i="44"/>
  <c r="G25" i="44"/>
  <c r="H25" i="44"/>
  <c r="J25" i="44"/>
  <c r="K25" i="44"/>
  <c r="L25" i="44"/>
  <c r="R25" i="44"/>
  <c r="T25" i="44"/>
  <c r="S25" i="44" s="1"/>
  <c r="U25" i="44"/>
  <c r="V25" i="44"/>
  <c r="G26" i="44"/>
  <c r="H26" i="44"/>
  <c r="J26" i="44"/>
  <c r="K26" i="44"/>
  <c r="L26" i="44"/>
  <c r="R26" i="44"/>
  <c r="T26" i="44"/>
  <c r="S26" i="44" s="1"/>
  <c r="U26" i="44"/>
  <c r="V26" i="44"/>
  <c r="G27" i="44"/>
  <c r="H27" i="44"/>
  <c r="J27" i="44"/>
  <c r="K27" i="44"/>
  <c r="L27" i="44"/>
  <c r="R27" i="44"/>
  <c r="T27" i="44"/>
  <c r="S27" i="44" s="1"/>
  <c r="U27" i="44"/>
  <c r="V27" i="44"/>
  <c r="G28" i="44"/>
  <c r="H28" i="44"/>
  <c r="J28" i="44"/>
  <c r="K28" i="44"/>
  <c r="L28" i="44"/>
  <c r="R28" i="44"/>
  <c r="T28" i="44"/>
  <c r="S28" i="44" s="1"/>
  <c r="U28" i="44"/>
  <c r="V28" i="44"/>
  <c r="G29" i="44"/>
  <c r="H29" i="44"/>
  <c r="J29" i="44"/>
  <c r="K29" i="44"/>
  <c r="L29" i="44"/>
  <c r="R29" i="44"/>
  <c r="T29" i="44"/>
  <c r="S29" i="44" s="1"/>
  <c r="U29" i="44"/>
  <c r="V29" i="44"/>
  <c r="G30" i="44"/>
  <c r="H30" i="44"/>
  <c r="J30" i="44"/>
  <c r="K30" i="44"/>
  <c r="L30" i="44"/>
  <c r="R30" i="44"/>
  <c r="T30" i="44"/>
  <c r="S30" i="44" s="1"/>
  <c r="U30" i="44"/>
  <c r="V30" i="44"/>
  <c r="G31" i="44"/>
  <c r="H31" i="44"/>
  <c r="J31" i="44"/>
  <c r="K31" i="44"/>
  <c r="L31" i="44"/>
  <c r="R31" i="44"/>
  <c r="T31" i="44"/>
  <c r="S31" i="44" s="1"/>
  <c r="U31" i="44"/>
  <c r="V31" i="44"/>
  <c r="G32" i="44"/>
  <c r="H32" i="44"/>
  <c r="J32" i="44"/>
  <c r="K32" i="44"/>
  <c r="L32" i="44"/>
  <c r="R32" i="44"/>
  <c r="T32" i="44"/>
  <c r="S32" i="44" s="1"/>
  <c r="U32" i="44"/>
  <c r="V32" i="44"/>
  <c r="G33" i="44"/>
  <c r="H33" i="44"/>
  <c r="J33" i="44"/>
  <c r="K33" i="44"/>
  <c r="L33" i="44"/>
  <c r="R33" i="44"/>
  <c r="T33" i="44"/>
  <c r="S33" i="44" s="1"/>
  <c r="U33" i="44"/>
  <c r="V33" i="44"/>
  <c r="G34" i="44"/>
  <c r="H34" i="44"/>
  <c r="J34" i="44"/>
  <c r="K34" i="44"/>
  <c r="L34" i="44"/>
  <c r="R34" i="44"/>
  <c r="T34" i="44"/>
  <c r="S34" i="44" s="1"/>
  <c r="U34" i="44"/>
  <c r="V34" i="44"/>
  <c r="G35" i="44"/>
  <c r="H35" i="44"/>
  <c r="J35" i="44"/>
  <c r="K35" i="44"/>
  <c r="L35" i="44"/>
  <c r="R35" i="44"/>
  <c r="T35" i="44"/>
  <c r="S35" i="44" s="1"/>
  <c r="U35" i="44"/>
  <c r="V35" i="44"/>
  <c r="G36" i="44"/>
  <c r="H36" i="44"/>
  <c r="J36" i="44"/>
  <c r="K36" i="44"/>
  <c r="L36" i="44"/>
  <c r="R36" i="44"/>
  <c r="T36" i="44"/>
  <c r="S36" i="44" s="1"/>
  <c r="U36" i="44"/>
  <c r="V36" i="44"/>
  <c r="G37" i="44"/>
  <c r="H37" i="44"/>
  <c r="J37" i="44"/>
  <c r="K37" i="44"/>
  <c r="L37" i="44"/>
  <c r="R37" i="44"/>
  <c r="T37" i="44"/>
  <c r="S37" i="44" s="1"/>
  <c r="U37" i="44"/>
  <c r="V37" i="44"/>
  <c r="G38" i="44"/>
  <c r="H38" i="44"/>
  <c r="J38" i="44"/>
  <c r="K38" i="44"/>
  <c r="L38" i="44"/>
  <c r="R38" i="44"/>
  <c r="T38" i="44"/>
  <c r="S38" i="44" s="1"/>
  <c r="U38" i="44"/>
  <c r="V38" i="44"/>
  <c r="G39" i="44"/>
  <c r="H39" i="44"/>
  <c r="J39" i="44"/>
  <c r="K39" i="44"/>
  <c r="L39" i="44"/>
  <c r="R39" i="44"/>
  <c r="T39" i="44"/>
  <c r="S39" i="44" s="1"/>
  <c r="U39" i="44"/>
  <c r="V39" i="44"/>
  <c r="G40" i="44"/>
  <c r="H40" i="44"/>
  <c r="J40" i="44"/>
  <c r="K40" i="44"/>
  <c r="L40" i="44"/>
  <c r="R40" i="44"/>
  <c r="T40" i="44"/>
  <c r="S40" i="44" s="1"/>
  <c r="U40" i="44"/>
  <c r="V40" i="44"/>
  <c r="G41" i="44"/>
  <c r="H41" i="44"/>
  <c r="J41" i="44"/>
  <c r="K41" i="44"/>
  <c r="L41" i="44"/>
  <c r="R41" i="44"/>
  <c r="T41" i="44"/>
  <c r="S41" i="44" s="1"/>
  <c r="U41" i="44"/>
  <c r="V41" i="44"/>
  <c r="G42" i="44"/>
  <c r="H42" i="44"/>
  <c r="J42" i="44"/>
  <c r="K42" i="44"/>
  <c r="L42" i="44"/>
  <c r="R42" i="44"/>
  <c r="T42" i="44"/>
  <c r="S42" i="44" s="1"/>
  <c r="U42" i="44"/>
  <c r="V42" i="44"/>
  <c r="G43" i="44"/>
  <c r="H43" i="44"/>
  <c r="J43" i="44"/>
  <c r="K43" i="44"/>
  <c r="L43" i="44"/>
  <c r="R43" i="44"/>
  <c r="T43" i="44"/>
  <c r="S43" i="44" s="1"/>
  <c r="U43" i="44"/>
  <c r="V43" i="44"/>
  <c r="G44" i="44"/>
  <c r="H44" i="44"/>
  <c r="J44" i="44"/>
  <c r="K44" i="44"/>
  <c r="L44" i="44"/>
  <c r="R44" i="44"/>
  <c r="T44" i="44"/>
  <c r="S44" i="44" s="1"/>
  <c r="U44" i="44"/>
  <c r="V44" i="44"/>
  <c r="G45" i="44"/>
  <c r="H45" i="44"/>
  <c r="J45" i="44"/>
  <c r="K45" i="44"/>
  <c r="L45" i="44"/>
  <c r="R45" i="44"/>
  <c r="T45" i="44"/>
  <c r="S45" i="44" s="1"/>
  <c r="U45" i="44"/>
  <c r="V45" i="44"/>
  <c r="G46" i="44"/>
  <c r="H46" i="44"/>
  <c r="J46" i="44"/>
  <c r="K46" i="44"/>
  <c r="L46" i="44"/>
  <c r="R46" i="44"/>
  <c r="T46" i="44"/>
  <c r="S46" i="44" s="1"/>
  <c r="U46" i="44"/>
  <c r="V46" i="44"/>
  <c r="G47" i="44"/>
  <c r="H47" i="44"/>
  <c r="J47" i="44"/>
  <c r="K47" i="44"/>
  <c r="L47" i="44"/>
  <c r="R47" i="44"/>
  <c r="T47" i="44"/>
  <c r="S47" i="44" s="1"/>
  <c r="U47" i="44"/>
  <c r="V47" i="44"/>
  <c r="G48" i="44"/>
  <c r="H48" i="44"/>
  <c r="J48" i="44"/>
  <c r="K48" i="44"/>
  <c r="L48" i="44"/>
  <c r="R48" i="44"/>
  <c r="T48" i="44"/>
  <c r="S48" i="44" s="1"/>
  <c r="U48" i="44"/>
  <c r="V48" i="44"/>
  <c r="G49" i="44"/>
  <c r="H49" i="44"/>
  <c r="J49" i="44"/>
  <c r="K49" i="44"/>
  <c r="L49" i="44"/>
  <c r="R49" i="44"/>
  <c r="T49" i="44"/>
  <c r="S49" i="44" s="1"/>
  <c r="U49" i="44"/>
  <c r="V49" i="44"/>
  <c r="G50" i="44"/>
  <c r="H50" i="44"/>
  <c r="J50" i="44"/>
  <c r="K50" i="44"/>
  <c r="L50" i="44"/>
  <c r="R50" i="44"/>
  <c r="T50" i="44"/>
  <c r="S50" i="44" s="1"/>
  <c r="U50" i="44"/>
  <c r="V50" i="44"/>
  <c r="G51" i="44"/>
  <c r="H51" i="44"/>
  <c r="J51" i="44"/>
  <c r="K51" i="44"/>
  <c r="L51" i="44"/>
  <c r="R51" i="44"/>
  <c r="T51" i="44"/>
  <c r="S51" i="44" s="1"/>
  <c r="U51" i="44"/>
  <c r="V51" i="44"/>
  <c r="G52" i="44"/>
  <c r="H52" i="44"/>
  <c r="J52" i="44"/>
  <c r="K52" i="44"/>
  <c r="L52" i="44"/>
  <c r="R52" i="44"/>
  <c r="T52" i="44"/>
  <c r="S52" i="44" s="1"/>
  <c r="U52" i="44"/>
  <c r="V52" i="44"/>
  <c r="G53" i="44"/>
  <c r="H53" i="44"/>
  <c r="J53" i="44"/>
  <c r="K53" i="44"/>
  <c r="L53" i="44"/>
  <c r="R53" i="44"/>
  <c r="T53" i="44"/>
  <c r="S53" i="44" s="1"/>
  <c r="U53" i="44"/>
  <c r="V53" i="44"/>
  <c r="G54" i="44"/>
  <c r="H54" i="44"/>
  <c r="J54" i="44"/>
  <c r="K54" i="44"/>
  <c r="L54" i="44"/>
  <c r="R54" i="44"/>
  <c r="T54" i="44"/>
  <c r="S54" i="44" s="1"/>
  <c r="U54" i="44"/>
  <c r="V54" i="44"/>
  <c r="G55" i="44"/>
  <c r="H55" i="44"/>
  <c r="J55" i="44"/>
  <c r="K55" i="44"/>
  <c r="L55" i="44"/>
  <c r="R55" i="44"/>
  <c r="T55" i="44"/>
  <c r="S55" i="44" s="1"/>
  <c r="U55" i="44"/>
  <c r="V55" i="44"/>
  <c r="G56" i="44"/>
  <c r="H56" i="44"/>
  <c r="J56" i="44"/>
  <c r="K56" i="44"/>
  <c r="L56" i="44"/>
  <c r="R56" i="44"/>
  <c r="T56" i="44"/>
  <c r="S56" i="44" s="1"/>
  <c r="U56" i="44"/>
  <c r="V56" i="44"/>
  <c r="G57" i="44"/>
  <c r="H57" i="44"/>
  <c r="J57" i="44"/>
  <c r="K57" i="44"/>
  <c r="L57" i="44"/>
  <c r="R57" i="44"/>
  <c r="T57" i="44"/>
  <c r="S57" i="44" s="1"/>
  <c r="U57" i="44"/>
  <c r="V57" i="44"/>
  <c r="G58" i="44"/>
  <c r="H58" i="44"/>
  <c r="J58" i="44"/>
  <c r="K58" i="44"/>
  <c r="L58" i="44"/>
  <c r="R58" i="44"/>
  <c r="T58" i="44"/>
  <c r="S58" i="44" s="1"/>
  <c r="U58" i="44"/>
  <c r="V58" i="44"/>
  <c r="G59" i="44"/>
  <c r="H59" i="44"/>
  <c r="J59" i="44"/>
  <c r="K59" i="44"/>
  <c r="L59" i="44"/>
  <c r="R59" i="44"/>
  <c r="T59" i="44"/>
  <c r="S59" i="44" s="1"/>
  <c r="U59" i="44"/>
  <c r="V59" i="44"/>
  <c r="G60" i="44"/>
  <c r="H60" i="44"/>
  <c r="J60" i="44"/>
  <c r="K60" i="44"/>
  <c r="L60" i="44"/>
  <c r="R60" i="44"/>
  <c r="T60" i="44"/>
  <c r="S60" i="44" s="1"/>
  <c r="U60" i="44"/>
  <c r="V60" i="44"/>
  <c r="E61" i="44"/>
  <c r="P10" i="44" s="1"/>
  <c r="F61" i="44"/>
  <c r="G61" i="44"/>
  <c r="H61" i="44"/>
  <c r="P2" i="44" s="1"/>
  <c r="J61" i="44"/>
  <c r="K61" i="44"/>
  <c r="L61" i="44"/>
  <c r="P3" i="44" s="1"/>
  <c r="Q61" i="44"/>
  <c r="R61" i="44"/>
  <c r="S61" i="44"/>
  <c r="T61" i="44"/>
  <c r="P6" i="44" s="1"/>
  <c r="P1" i="43"/>
  <c r="P8" i="43"/>
  <c r="D15" i="43"/>
  <c r="G17" i="43"/>
  <c r="H17" i="43"/>
  <c r="R17" i="43"/>
  <c r="G18" i="43"/>
  <c r="H18" i="43"/>
  <c r="J18" i="43"/>
  <c r="K18" i="43"/>
  <c r="L18" i="43"/>
  <c r="R18" i="43"/>
  <c r="T18" i="43"/>
  <c r="S18" i="43" s="1"/>
  <c r="U18" i="43"/>
  <c r="V18" i="43"/>
  <c r="G19" i="43"/>
  <c r="H19" i="43"/>
  <c r="J19" i="43"/>
  <c r="K19" i="43"/>
  <c r="L19" i="43"/>
  <c r="R19" i="43"/>
  <c r="T19" i="43"/>
  <c r="S19" i="43" s="1"/>
  <c r="U19" i="43"/>
  <c r="V19" i="43"/>
  <c r="G20" i="43"/>
  <c r="H20" i="43"/>
  <c r="J20" i="43"/>
  <c r="K20" i="43"/>
  <c r="L20" i="43"/>
  <c r="R20" i="43"/>
  <c r="T20" i="43"/>
  <c r="S20" i="43" s="1"/>
  <c r="U20" i="43"/>
  <c r="V20" i="43"/>
  <c r="G21" i="43"/>
  <c r="H21" i="43"/>
  <c r="J21" i="43"/>
  <c r="K21" i="43"/>
  <c r="L21" i="43"/>
  <c r="R21" i="43"/>
  <c r="T21" i="43"/>
  <c r="S21" i="43" s="1"/>
  <c r="U21" i="43"/>
  <c r="V21" i="43"/>
  <c r="G22" i="43"/>
  <c r="H22" i="43"/>
  <c r="J22" i="43"/>
  <c r="K22" i="43"/>
  <c r="L22" i="43"/>
  <c r="R22" i="43"/>
  <c r="T22" i="43"/>
  <c r="S22" i="43" s="1"/>
  <c r="U22" i="43"/>
  <c r="V22" i="43"/>
  <c r="G23" i="43"/>
  <c r="H23" i="43"/>
  <c r="J23" i="43"/>
  <c r="K23" i="43"/>
  <c r="L23" i="43"/>
  <c r="R23" i="43"/>
  <c r="T23" i="43"/>
  <c r="S23" i="43" s="1"/>
  <c r="U23" i="43"/>
  <c r="V23" i="43"/>
  <c r="G24" i="43"/>
  <c r="H24" i="43"/>
  <c r="J24" i="43"/>
  <c r="K24" i="43"/>
  <c r="L24" i="43"/>
  <c r="R24" i="43"/>
  <c r="T24" i="43"/>
  <c r="S24" i="43" s="1"/>
  <c r="U24" i="43"/>
  <c r="V24" i="43"/>
  <c r="G25" i="43"/>
  <c r="H25" i="43"/>
  <c r="J25" i="43"/>
  <c r="K25" i="43"/>
  <c r="L25" i="43"/>
  <c r="R25" i="43"/>
  <c r="T25" i="43"/>
  <c r="S25" i="43" s="1"/>
  <c r="U25" i="43"/>
  <c r="V25" i="43"/>
  <c r="G26" i="43"/>
  <c r="H26" i="43"/>
  <c r="J26" i="43"/>
  <c r="K26" i="43"/>
  <c r="L26" i="43"/>
  <c r="R26" i="43"/>
  <c r="T26" i="43"/>
  <c r="S26" i="43" s="1"/>
  <c r="U26" i="43"/>
  <c r="V26" i="43"/>
  <c r="G27" i="43"/>
  <c r="H27" i="43"/>
  <c r="J27" i="43"/>
  <c r="K27" i="43"/>
  <c r="L27" i="43"/>
  <c r="R27" i="43"/>
  <c r="T27" i="43"/>
  <c r="S27" i="43" s="1"/>
  <c r="U27" i="43"/>
  <c r="V27" i="43"/>
  <c r="G28" i="43"/>
  <c r="H28" i="43"/>
  <c r="J28" i="43"/>
  <c r="K28" i="43"/>
  <c r="L28" i="43"/>
  <c r="R28" i="43"/>
  <c r="T28" i="43"/>
  <c r="S28" i="43" s="1"/>
  <c r="U28" i="43"/>
  <c r="V28" i="43"/>
  <c r="G29" i="43"/>
  <c r="H29" i="43"/>
  <c r="J29" i="43"/>
  <c r="K29" i="43"/>
  <c r="L29" i="43"/>
  <c r="R29" i="43"/>
  <c r="T29" i="43"/>
  <c r="S29" i="43" s="1"/>
  <c r="U29" i="43"/>
  <c r="V29" i="43"/>
  <c r="G30" i="43"/>
  <c r="H30" i="43"/>
  <c r="J30" i="43"/>
  <c r="K30" i="43"/>
  <c r="L30" i="43"/>
  <c r="R30" i="43"/>
  <c r="T30" i="43"/>
  <c r="S30" i="43" s="1"/>
  <c r="U30" i="43"/>
  <c r="V30" i="43"/>
  <c r="G31" i="43"/>
  <c r="H31" i="43"/>
  <c r="J31" i="43"/>
  <c r="K31" i="43"/>
  <c r="L31" i="43"/>
  <c r="R31" i="43"/>
  <c r="T31" i="43"/>
  <c r="S31" i="43" s="1"/>
  <c r="U31" i="43"/>
  <c r="V31" i="43"/>
  <c r="G32" i="43"/>
  <c r="H32" i="43"/>
  <c r="J32" i="43"/>
  <c r="K32" i="43"/>
  <c r="L32" i="43"/>
  <c r="R32" i="43"/>
  <c r="T32" i="43"/>
  <c r="S32" i="43" s="1"/>
  <c r="U32" i="43"/>
  <c r="V32" i="43"/>
  <c r="G33" i="43"/>
  <c r="H33" i="43"/>
  <c r="J33" i="43"/>
  <c r="K33" i="43"/>
  <c r="L33" i="43"/>
  <c r="R33" i="43"/>
  <c r="T33" i="43"/>
  <c r="S33" i="43" s="1"/>
  <c r="U33" i="43"/>
  <c r="V33" i="43"/>
  <c r="G34" i="43"/>
  <c r="H34" i="43"/>
  <c r="J34" i="43"/>
  <c r="K34" i="43"/>
  <c r="L34" i="43"/>
  <c r="R34" i="43"/>
  <c r="T34" i="43"/>
  <c r="S34" i="43" s="1"/>
  <c r="U34" i="43"/>
  <c r="V34" i="43"/>
  <c r="G35" i="43"/>
  <c r="H35" i="43"/>
  <c r="J35" i="43"/>
  <c r="K35" i="43"/>
  <c r="L35" i="43"/>
  <c r="R35" i="43"/>
  <c r="T35" i="43"/>
  <c r="S35" i="43" s="1"/>
  <c r="U35" i="43"/>
  <c r="V35" i="43"/>
  <c r="G36" i="43"/>
  <c r="H36" i="43"/>
  <c r="J36" i="43"/>
  <c r="K36" i="43"/>
  <c r="L36" i="43"/>
  <c r="R36" i="43"/>
  <c r="T36" i="43"/>
  <c r="S36" i="43" s="1"/>
  <c r="U36" i="43"/>
  <c r="V36" i="43"/>
  <c r="G37" i="43"/>
  <c r="H37" i="43"/>
  <c r="J37" i="43"/>
  <c r="K37" i="43"/>
  <c r="L37" i="43"/>
  <c r="R37" i="43"/>
  <c r="T37" i="43"/>
  <c r="S37" i="43" s="1"/>
  <c r="U37" i="43"/>
  <c r="V37" i="43"/>
  <c r="G38" i="43"/>
  <c r="H38" i="43"/>
  <c r="J38" i="43"/>
  <c r="K38" i="43"/>
  <c r="L38" i="43"/>
  <c r="R38" i="43"/>
  <c r="T38" i="43"/>
  <c r="S38" i="43" s="1"/>
  <c r="U38" i="43"/>
  <c r="V38" i="43"/>
  <c r="G39" i="43"/>
  <c r="H39" i="43"/>
  <c r="J39" i="43"/>
  <c r="K39" i="43"/>
  <c r="L39" i="43"/>
  <c r="R39" i="43"/>
  <c r="T39" i="43"/>
  <c r="S39" i="43" s="1"/>
  <c r="U39" i="43"/>
  <c r="V39" i="43"/>
  <c r="G40" i="43"/>
  <c r="H40" i="43"/>
  <c r="J40" i="43"/>
  <c r="K40" i="43"/>
  <c r="L40" i="43"/>
  <c r="R40" i="43"/>
  <c r="T40" i="43"/>
  <c r="S40" i="43" s="1"/>
  <c r="U40" i="43"/>
  <c r="V40" i="43"/>
  <c r="G41" i="43"/>
  <c r="H41" i="43"/>
  <c r="J41" i="43"/>
  <c r="K41" i="43"/>
  <c r="L41" i="43"/>
  <c r="R41" i="43"/>
  <c r="T41" i="43"/>
  <c r="S41" i="43" s="1"/>
  <c r="U41" i="43"/>
  <c r="V41" i="43"/>
  <c r="G42" i="43"/>
  <c r="H42" i="43"/>
  <c r="J42" i="43"/>
  <c r="K42" i="43"/>
  <c r="L42" i="43"/>
  <c r="R42" i="43"/>
  <c r="T42" i="43"/>
  <c r="S42" i="43" s="1"/>
  <c r="U42" i="43"/>
  <c r="V42" i="43"/>
  <c r="G43" i="43"/>
  <c r="H43" i="43"/>
  <c r="J43" i="43"/>
  <c r="K43" i="43"/>
  <c r="L43" i="43"/>
  <c r="R43" i="43"/>
  <c r="T43" i="43"/>
  <c r="S43" i="43" s="1"/>
  <c r="U43" i="43"/>
  <c r="V43" i="43"/>
  <c r="G44" i="43"/>
  <c r="H44" i="43"/>
  <c r="J44" i="43"/>
  <c r="K44" i="43"/>
  <c r="L44" i="43"/>
  <c r="R44" i="43"/>
  <c r="T44" i="43"/>
  <c r="S44" i="43" s="1"/>
  <c r="U44" i="43"/>
  <c r="V44" i="43"/>
  <c r="G45" i="43"/>
  <c r="H45" i="43"/>
  <c r="J45" i="43"/>
  <c r="K45" i="43"/>
  <c r="L45" i="43"/>
  <c r="R45" i="43"/>
  <c r="T45" i="43"/>
  <c r="S45" i="43" s="1"/>
  <c r="U45" i="43"/>
  <c r="V45" i="43"/>
  <c r="G46" i="43"/>
  <c r="H46" i="43"/>
  <c r="J46" i="43"/>
  <c r="K46" i="43"/>
  <c r="L46" i="43"/>
  <c r="R46" i="43"/>
  <c r="T46" i="43"/>
  <c r="S46" i="43" s="1"/>
  <c r="U46" i="43"/>
  <c r="V46" i="43"/>
  <c r="G47" i="43"/>
  <c r="H47" i="43"/>
  <c r="J47" i="43"/>
  <c r="K47" i="43"/>
  <c r="L47" i="43"/>
  <c r="R47" i="43"/>
  <c r="T47" i="43"/>
  <c r="S47" i="43" s="1"/>
  <c r="U47" i="43"/>
  <c r="V47" i="43"/>
  <c r="G48" i="43"/>
  <c r="H48" i="43"/>
  <c r="J48" i="43"/>
  <c r="K48" i="43"/>
  <c r="L48" i="43"/>
  <c r="R48" i="43"/>
  <c r="T48" i="43"/>
  <c r="S48" i="43" s="1"/>
  <c r="U48" i="43"/>
  <c r="V48" i="43"/>
  <c r="G49" i="43"/>
  <c r="H49" i="43"/>
  <c r="J49" i="43"/>
  <c r="K49" i="43"/>
  <c r="L49" i="43"/>
  <c r="R49" i="43"/>
  <c r="T49" i="43"/>
  <c r="S49" i="43" s="1"/>
  <c r="U49" i="43"/>
  <c r="V49" i="43"/>
  <c r="G50" i="43"/>
  <c r="H50" i="43"/>
  <c r="J50" i="43"/>
  <c r="K50" i="43"/>
  <c r="L50" i="43"/>
  <c r="R50" i="43"/>
  <c r="T50" i="43"/>
  <c r="S50" i="43" s="1"/>
  <c r="U50" i="43"/>
  <c r="V50" i="43"/>
  <c r="G51" i="43"/>
  <c r="H51" i="43"/>
  <c r="J51" i="43"/>
  <c r="K51" i="43"/>
  <c r="L51" i="43"/>
  <c r="R51" i="43"/>
  <c r="T51" i="43"/>
  <c r="S51" i="43" s="1"/>
  <c r="U51" i="43"/>
  <c r="V51" i="43"/>
  <c r="G52" i="43"/>
  <c r="H52" i="43"/>
  <c r="J52" i="43"/>
  <c r="K52" i="43"/>
  <c r="L52" i="43"/>
  <c r="R52" i="43"/>
  <c r="T52" i="43"/>
  <c r="S52" i="43" s="1"/>
  <c r="U52" i="43"/>
  <c r="V52" i="43"/>
  <c r="G53" i="43"/>
  <c r="H53" i="43"/>
  <c r="J53" i="43"/>
  <c r="K53" i="43"/>
  <c r="L53" i="43"/>
  <c r="R53" i="43"/>
  <c r="T53" i="43"/>
  <c r="S53" i="43" s="1"/>
  <c r="U53" i="43"/>
  <c r="V53" i="43"/>
  <c r="G54" i="43"/>
  <c r="H54" i="43"/>
  <c r="J54" i="43"/>
  <c r="K54" i="43"/>
  <c r="L54" i="43"/>
  <c r="R54" i="43"/>
  <c r="T54" i="43"/>
  <c r="S54" i="43" s="1"/>
  <c r="U54" i="43"/>
  <c r="V54" i="43"/>
  <c r="G55" i="43"/>
  <c r="H55" i="43"/>
  <c r="J55" i="43"/>
  <c r="K55" i="43"/>
  <c r="L55" i="43"/>
  <c r="R55" i="43"/>
  <c r="T55" i="43"/>
  <c r="S55" i="43" s="1"/>
  <c r="U55" i="43"/>
  <c r="V55" i="43"/>
  <c r="G56" i="43"/>
  <c r="H56" i="43"/>
  <c r="J56" i="43"/>
  <c r="K56" i="43"/>
  <c r="L56" i="43"/>
  <c r="R56" i="43"/>
  <c r="T56" i="43"/>
  <c r="S56" i="43" s="1"/>
  <c r="U56" i="43"/>
  <c r="V56" i="43"/>
  <c r="G57" i="43"/>
  <c r="H57" i="43"/>
  <c r="J57" i="43"/>
  <c r="K57" i="43"/>
  <c r="L57" i="43"/>
  <c r="R57" i="43"/>
  <c r="T57" i="43"/>
  <c r="S57" i="43" s="1"/>
  <c r="U57" i="43"/>
  <c r="V57" i="43"/>
  <c r="G58" i="43"/>
  <c r="H58" i="43"/>
  <c r="J58" i="43"/>
  <c r="K58" i="43"/>
  <c r="L58" i="43"/>
  <c r="R58" i="43"/>
  <c r="T58" i="43"/>
  <c r="S58" i="43" s="1"/>
  <c r="U58" i="43"/>
  <c r="V58" i="43"/>
  <c r="G59" i="43"/>
  <c r="H59" i="43"/>
  <c r="J59" i="43"/>
  <c r="K59" i="43"/>
  <c r="L59" i="43"/>
  <c r="R59" i="43"/>
  <c r="T59" i="43"/>
  <c r="S59" i="43" s="1"/>
  <c r="U59" i="43"/>
  <c r="V59" i="43"/>
  <c r="G60" i="43"/>
  <c r="H60" i="43"/>
  <c r="J60" i="43"/>
  <c r="K60" i="43"/>
  <c r="L60" i="43"/>
  <c r="R60" i="43"/>
  <c r="T60" i="43"/>
  <c r="S60" i="43" s="1"/>
  <c r="U60" i="43"/>
  <c r="V60" i="43"/>
  <c r="E61" i="43"/>
  <c r="P10" i="43" s="1"/>
  <c r="F61" i="43"/>
  <c r="G61" i="43"/>
  <c r="H61" i="43"/>
  <c r="P2" i="43" s="1"/>
  <c r="J61" i="43"/>
  <c r="K61" i="43"/>
  <c r="L61" i="43"/>
  <c r="P3" i="43" s="1"/>
  <c r="Q61" i="43"/>
  <c r="R61" i="43"/>
  <c r="S61" i="43"/>
  <c r="T61" i="43"/>
  <c r="P6" i="43" s="1"/>
  <c r="P1" i="42"/>
  <c r="P8" i="42"/>
  <c r="D15" i="42"/>
  <c r="G17" i="42"/>
  <c r="H17" i="42"/>
  <c r="R17" i="42"/>
  <c r="G18" i="42"/>
  <c r="H18" i="42"/>
  <c r="J18" i="42"/>
  <c r="K18" i="42"/>
  <c r="L18" i="42"/>
  <c r="R18" i="42"/>
  <c r="T18" i="42"/>
  <c r="S18" i="42" s="1"/>
  <c r="U18" i="42"/>
  <c r="V18" i="42"/>
  <c r="G19" i="42"/>
  <c r="H19" i="42"/>
  <c r="J19" i="42"/>
  <c r="K19" i="42"/>
  <c r="L19" i="42"/>
  <c r="R19" i="42"/>
  <c r="T19" i="42"/>
  <c r="S19" i="42" s="1"/>
  <c r="U19" i="42"/>
  <c r="V19" i="42"/>
  <c r="G20" i="42"/>
  <c r="H20" i="42"/>
  <c r="J20" i="42"/>
  <c r="K20" i="42"/>
  <c r="L20" i="42"/>
  <c r="R20" i="42"/>
  <c r="T20" i="42"/>
  <c r="S20" i="42" s="1"/>
  <c r="U20" i="42"/>
  <c r="V20" i="42"/>
  <c r="G21" i="42"/>
  <c r="H21" i="42"/>
  <c r="J21" i="42"/>
  <c r="K21" i="42"/>
  <c r="L21" i="42"/>
  <c r="R21" i="42"/>
  <c r="T21" i="42"/>
  <c r="S21" i="42" s="1"/>
  <c r="U21" i="42"/>
  <c r="V21" i="42"/>
  <c r="G22" i="42"/>
  <c r="H22" i="42"/>
  <c r="J22" i="42"/>
  <c r="K22" i="42"/>
  <c r="L22" i="42"/>
  <c r="R22" i="42"/>
  <c r="T22" i="42"/>
  <c r="S22" i="42" s="1"/>
  <c r="U22" i="42"/>
  <c r="V22" i="42"/>
  <c r="G23" i="42"/>
  <c r="H23" i="42"/>
  <c r="J23" i="42"/>
  <c r="K23" i="42"/>
  <c r="L23" i="42"/>
  <c r="R23" i="42"/>
  <c r="T23" i="42"/>
  <c r="S23" i="42" s="1"/>
  <c r="U23" i="42"/>
  <c r="V23" i="42"/>
  <c r="G24" i="42"/>
  <c r="H24" i="42"/>
  <c r="J24" i="42"/>
  <c r="K24" i="42"/>
  <c r="L24" i="42"/>
  <c r="R24" i="42"/>
  <c r="T24" i="42"/>
  <c r="S24" i="42" s="1"/>
  <c r="U24" i="42"/>
  <c r="V24" i="42"/>
  <c r="G25" i="42"/>
  <c r="H25" i="42"/>
  <c r="J25" i="42"/>
  <c r="K25" i="42"/>
  <c r="L25" i="42"/>
  <c r="R25" i="42"/>
  <c r="T25" i="42"/>
  <c r="S25" i="42" s="1"/>
  <c r="U25" i="42"/>
  <c r="V25" i="42"/>
  <c r="G26" i="42"/>
  <c r="H26" i="42"/>
  <c r="J26" i="42"/>
  <c r="K26" i="42"/>
  <c r="L26" i="42"/>
  <c r="R26" i="42"/>
  <c r="T26" i="42"/>
  <c r="S26" i="42" s="1"/>
  <c r="U26" i="42"/>
  <c r="V26" i="42"/>
  <c r="G27" i="42"/>
  <c r="H27" i="42"/>
  <c r="J27" i="42"/>
  <c r="K27" i="42"/>
  <c r="L27" i="42"/>
  <c r="R27" i="42"/>
  <c r="T27" i="42"/>
  <c r="S27" i="42" s="1"/>
  <c r="U27" i="42"/>
  <c r="V27" i="42"/>
  <c r="G28" i="42"/>
  <c r="H28" i="42"/>
  <c r="J28" i="42"/>
  <c r="K28" i="42"/>
  <c r="L28" i="42"/>
  <c r="R28" i="42"/>
  <c r="T28" i="42"/>
  <c r="S28" i="42" s="1"/>
  <c r="U28" i="42"/>
  <c r="V28" i="42"/>
  <c r="G29" i="42"/>
  <c r="H29" i="42"/>
  <c r="J29" i="42"/>
  <c r="K29" i="42"/>
  <c r="L29" i="42"/>
  <c r="R29" i="42"/>
  <c r="T29" i="42"/>
  <c r="S29" i="42" s="1"/>
  <c r="U29" i="42"/>
  <c r="V29" i="42"/>
  <c r="G30" i="42"/>
  <c r="H30" i="42"/>
  <c r="J30" i="42"/>
  <c r="K30" i="42"/>
  <c r="L30" i="42"/>
  <c r="R30" i="42"/>
  <c r="T30" i="42"/>
  <c r="S30" i="42" s="1"/>
  <c r="U30" i="42"/>
  <c r="V30" i="42"/>
  <c r="G31" i="42"/>
  <c r="H31" i="42"/>
  <c r="J31" i="42"/>
  <c r="K31" i="42"/>
  <c r="L31" i="42"/>
  <c r="R31" i="42"/>
  <c r="T31" i="42"/>
  <c r="S31" i="42" s="1"/>
  <c r="U31" i="42"/>
  <c r="V31" i="42"/>
  <c r="G32" i="42"/>
  <c r="H32" i="42"/>
  <c r="J32" i="42"/>
  <c r="K32" i="42"/>
  <c r="L32" i="42"/>
  <c r="R32" i="42"/>
  <c r="T32" i="42"/>
  <c r="S32" i="42" s="1"/>
  <c r="U32" i="42"/>
  <c r="V32" i="42"/>
  <c r="G33" i="42"/>
  <c r="H33" i="42"/>
  <c r="J33" i="42"/>
  <c r="K33" i="42"/>
  <c r="L33" i="42"/>
  <c r="R33" i="42"/>
  <c r="T33" i="42"/>
  <c r="S33" i="42" s="1"/>
  <c r="U33" i="42"/>
  <c r="V33" i="42"/>
  <c r="G34" i="42"/>
  <c r="H34" i="42"/>
  <c r="J34" i="42"/>
  <c r="K34" i="42"/>
  <c r="L34" i="42"/>
  <c r="R34" i="42"/>
  <c r="T34" i="42"/>
  <c r="S34" i="42" s="1"/>
  <c r="U34" i="42"/>
  <c r="V34" i="42"/>
  <c r="G35" i="42"/>
  <c r="H35" i="42"/>
  <c r="J35" i="42"/>
  <c r="K35" i="42"/>
  <c r="L35" i="42"/>
  <c r="R35" i="42"/>
  <c r="T35" i="42"/>
  <c r="S35" i="42" s="1"/>
  <c r="U35" i="42"/>
  <c r="V35" i="42"/>
  <c r="G36" i="42"/>
  <c r="H36" i="42"/>
  <c r="J36" i="42"/>
  <c r="K36" i="42"/>
  <c r="L36" i="42"/>
  <c r="R36" i="42"/>
  <c r="T36" i="42"/>
  <c r="S36" i="42" s="1"/>
  <c r="U36" i="42"/>
  <c r="V36" i="42"/>
  <c r="G37" i="42"/>
  <c r="H37" i="42"/>
  <c r="J37" i="42"/>
  <c r="K37" i="42"/>
  <c r="L37" i="42"/>
  <c r="R37" i="42"/>
  <c r="T37" i="42"/>
  <c r="S37" i="42" s="1"/>
  <c r="U37" i="42"/>
  <c r="V37" i="42"/>
  <c r="G38" i="42"/>
  <c r="H38" i="42"/>
  <c r="J38" i="42"/>
  <c r="K38" i="42"/>
  <c r="L38" i="42"/>
  <c r="R38" i="42"/>
  <c r="T38" i="42"/>
  <c r="S38" i="42" s="1"/>
  <c r="U38" i="42"/>
  <c r="V38" i="42"/>
  <c r="G39" i="42"/>
  <c r="H39" i="42"/>
  <c r="J39" i="42"/>
  <c r="K39" i="42"/>
  <c r="L39" i="42"/>
  <c r="R39" i="42"/>
  <c r="T39" i="42"/>
  <c r="S39" i="42" s="1"/>
  <c r="U39" i="42"/>
  <c r="V39" i="42"/>
  <c r="G40" i="42"/>
  <c r="H40" i="42"/>
  <c r="J40" i="42"/>
  <c r="K40" i="42"/>
  <c r="L40" i="42"/>
  <c r="R40" i="42"/>
  <c r="T40" i="42"/>
  <c r="S40" i="42" s="1"/>
  <c r="U40" i="42"/>
  <c r="V40" i="42"/>
  <c r="G41" i="42"/>
  <c r="H41" i="42"/>
  <c r="J41" i="42"/>
  <c r="K41" i="42"/>
  <c r="L41" i="42"/>
  <c r="R41" i="42"/>
  <c r="T41" i="42"/>
  <c r="S41" i="42" s="1"/>
  <c r="U41" i="42"/>
  <c r="V41" i="42"/>
  <c r="G42" i="42"/>
  <c r="H42" i="42"/>
  <c r="J42" i="42"/>
  <c r="K42" i="42"/>
  <c r="L42" i="42"/>
  <c r="R42" i="42"/>
  <c r="T42" i="42"/>
  <c r="S42" i="42" s="1"/>
  <c r="U42" i="42"/>
  <c r="V42" i="42"/>
  <c r="G43" i="42"/>
  <c r="H43" i="42"/>
  <c r="J43" i="42"/>
  <c r="K43" i="42"/>
  <c r="L43" i="42"/>
  <c r="R43" i="42"/>
  <c r="T43" i="42"/>
  <c r="S43" i="42" s="1"/>
  <c r="U43" i="42"/>
  <c r="V43" i="42"/>
  <c r="G44" i="42"/>
  <c r="H44" i="42"/>
  <c r="J44" i="42"/>
  <c r="K44" i="42"/>
  <c r="L44" i="42"/>
  <c r="R44" i="42"/>
  <c r="T44" i="42"/>
  <c r="S44" i="42" s="1"/>
  <c r="U44" i="42"/>
  <c r="V44" i="42"/>
  <c r="G45" i="42"/>
  <c r="H45" i="42"/>
  <c r="J45" i="42"/>
  <c r="K45" i="42"/>
  <c r="L45" i="42"/>
  <c r="R45" i="42"/>
  <c r="T45" i="42"/>
  <c r="S45" i="42" s="1"/>
  <c r="U45" i="42"/>
  <c r="V45" i="42"/>
  <c r="G46" i="42"/>
  <c r="H46" i="42"/>
  <c r="J46" i="42"/>
  <c r="K46" i="42"/>
  <c r="L46" i="42"/>
  <c r="R46" i="42"/>
  <c r="T46" i="42"/>
  <c r="S46" i="42" s="1"/>
  <c r="U46" i="42"/>
  <c r="V46" i="42"/>
  <c r="G47" i="42"/>
  <c r="H47" i="42"/>
  <c r="J47" i="42"/>
  <c r="K47" i="42"/>
  <c r="L47" i="42"/>
  <c r="R47" i="42"/>
  <c r="T47" i="42"/>
  <c r="S47" i="42" s="1"/>
  <c r="U47" i="42"/>
  <c r="V47" i="42"/>
  <c r="G48" i="42"/>
  <c r="H48" i="42"/>
  <c r="J48" i="42"/>
  <c r="K48" i="42"/>
  <c r="L48" i="42"/>
  <c r="R48" i="42"/>
  <c r="T48" i="42"/>
  <c r="S48" i="42" s="1"/>
  <c r="U48" i="42"/>
  <c r="V48" i="42"/>
  <c r="G49" i="42"/>
  <c r="H49" i="42"/>
  <c r="J49" i="42"/>
  <c r="K49" i="42"/>
  <c r="L49" i="42"/>
  <c r="R49" i="42"/>
  <c r="T49" i="42"/>
  <c r="S49" i="42" s="1"/>
  <c r="U49" i="42"/>
  <c r="V49" i="42"/>
  <c r="G50" i="42"/>
  <c r="H50" i="42"/>
  <c r="J50" i="42"/>
  <c r="K50" i="42"/>
  <c r="L50" i="42"/>
  <c r="R50" i="42"/>
  <c r="T50" i="42"/>
  <c r="S50" i="42" s="1"/>
  <c r="U50" i="42"/>
  <c r="V50" i="42"/>
  <c r="G51" i="42"/>
  <c r="H51" i="42"/>
  <c r="J51" i="42"/>
  <c r="K51" i="42"/>
  <c r="L51" i="42"/>
  <c r="R51" i="42"/>
  <c r="T51" i="42"/>
  <c r="S51" i="42" s="1"/>
  <c r="U51" i="42"/>
  <c r="V51" i="42"/>
  <c r="G52" i="42"/>
  <c r="H52" i="42"/>
  <c r="J52" i="42"/>
  <c r="K52" i="42"/>
  <c r="L52" i="42"/>
  <c r="R52" i="42"/>
  <c r="T52" i="42"/>
  <c r="S52" i="42" s="1"/>
  <c r="U52" i="42"/>
  <c r="V52" i="42"/>
  <c r="G53" i="42"/>
  <c r="H53" i="42"/>
  <c r="J53" i="42"/>
  <c r="K53" i="42"/>
  <c r="L53" i="42"/>
  <c r="R53" i="42"/>
  <c r="T53" i="42"/>
  <c r="S53" i="42" s="1"/>
  <c r="U53" i="42"/>
  <c r="V53" i="42"/>
  <c r="G54" i="42"/>
  <c r="H54" i="42"/>
  <c r="J54" i="42"/>
  <c r="K54" i="42"/>
  <c r="L54" i="42"/>
  <c r="R54" i="42"/>
  <c r="T54" i="42"/>
  <c r="S54" i="42" s="1"/>
  <c r="U54" i="42"/>
  <c r="V54" i="42"/>
  <c r="G55" i="42"/>
  <c r="H55" i="42"/>
  <c r="J55" i="42"/>
  <c r="K55" i="42"/>
  <c r="L55" i="42"/>
  <c r="R55" i="42"/>
  <c r="T55" i="42"/>
  <c r="S55" i="42" s="1"/>
  <c r="U55" i="42"/>
  <c r="V55" i="42"/>
  <c r="G56" i="42"/>
  <c r="H56" i="42"/>
  <c r="J56" i="42"/>
  <c r="K56" i="42"/>
  <c r="L56" i="42"/>
  <c r="R56" i="42"/>
  <c r="T56" i="42"/>
  <c r="S56" i="42" s="1"/>
  <c r="U56" i="42"/>
  <c r="V56" i="42"/>
  <c r="G57" i="42"/>
  <c r="H57" i="42"/>
  <c r="J57" i="42"/>
  <c r="K57" i="42"/>
  <c r="L57" i="42"/>
  <c r="R57" i="42"/>
  <c r="T57" i="42"/>
  <c r="S57" i="42" s="1"/>
  <c r="U57" i="42"/>
  <c r="V57" i="42"/>
  <c r="G58" i="42"/>
  <c r="H58" i="42"/>
  <c r="J58" i="42"/>
  <c r="K58" i="42"/>
  <c r="L58" i="42"/>
  <c r="R58" i="42"/>
  <c r="T58" i="42"/>
  <c r="S58" i="42" s="1"/>
  <c r="U58" i="42"/>
  <c r="V58" i="42"/>
  <c r="G59" i="42"/>
  <c r="H59" i="42"/>
  <c r="J59" i="42"/>
  <c r="K59" i="42"/>
  <c r="L59" i="42"/>
  <c r="R59" i="42"/>
  <c r="T59" i="42"/>
  <c r="S59" i="42" s="1"/>
  <c r="U59" i="42"/>
  <c r="V59" i="42"/>
  <c r="G60" i="42"/>
  <c r="H60" i="42"/>
  <c r="J60" i="42"/>
  <c r="K60" i="42"/>
  <c r="L60" i="42"/>
  <c r="R60" i="42"/>
  <c r="T60" i="42"/>
  <c r="S60" i="42" s="1"/>
  <c r="U60" i="42"/>
  <c r="V60" i="42"/>
  <c r="E61" i="42"/>
  <c r="P10" i="42" s="1"/>
  <c r="F61" i="42"/>
  <c r="G61" i="42"/>
  <c r="H61" i="42"/>
  <c r="P2" i="42" s="1"/>
  <c r="J61" i="42"/>
  <c r="K61" i="42"/>
  <c r="L61" i="42"/>
  <c r="P3" i="42" s="1"/>
  <c r="Q61" i="42"/>
  <c r="R61" i="42"/>
  <c r="S61" i="42"/>
  <c r="T61" i="42"/>
  <c r="P6" i="42" s="1"/>
  <c r="P1" i="41"/>
  <c r="P8" i="41"/>
  <c r="D15" i="41"/>
  <c r="G17" i="41"/>
  <c r="H17" i="41"/>
  <c r="R17" i="41"/>
  <c r="G18" i="41"/>
  <c r="H18" i="41"/>
  <c r="J18" i="41"/>
  <c r="K18" i="41"/>
  <c r="L18" i="41"/>
  <c r="R18" i="41"/>
  <c r="T18" i="41"/>
  <c r="S18" i="41" s="1"/>
  <c r="U18" i="41"/>
  <c r="V18" i="41"/>
  <c r="G19" i="41"/>
  <c r="H19" i="41"/>
  <c r="J19" i="41"/>
  <c r="K19" i="41"/>
  <c r="L19" i="41"/>
  <c r="R19" i="41"/>
  <c r="T19" i="41"/>
  <c r="S19" i="41" s="1"/>
  <c r="U19" i="41"/>
  <c r="V19" i="41"/>
  <c r="G20" i="41"/>
  <c r="H20" i="41"/>
  <c r="J20" i="41"/>
  <c r="K20" i="41"/>
  <c r="L20" i="41"/>
  <c r="R20" i="41"/>
  <c r="T20" i="41"/>
  <c r="S20" i="41" s="1"/>
  <c r="U20" i="41"/>
  <c r="V20" i="41"/>
  <c r="G21" i="41"/>
  <c r="H21" i="41"/>
  <c r="J21" i="41"/>
  <c r="K21" i="41"/>
  <c r="L21" i="41"/>
  <c r="R21" i="41"/>
  <c r="T21" i="41"/>
  <c r="S21" i="41" s="1"/>
  <c r="U21" i="41"/>
  <c r="V21" i="41"/>
  <c r="G22" i="41"/>
  <c r="H22" i="41"/>
  <c r="J22" i="41"/>
  <c r="K22" i="41"/>
  <c r="L22" i="41"/>
  <c r="R22" i="41"/>
  <c r="T22" i="41"/>
  <c r="S22" i="41" s="1"/>
  <c r="U22" i="41"/>
  <c r="V22" i="41"/>
  <c r="G23" i="41"/>
  <c r="H23" i="41"/>
  <c r="J23" i="41"/>
  <c r="K23" i="41"/>
  <c r="L23" i="41"/>
  <c r="R23" i="41"/>
  <c r="T23" i="41"/>
  <c r="S23" i="41" s="1"/>
  <c r="U23" i="41"/>
  <c r="V23" i="41"/>
  <c r="G24" i="41"/>
  <c r="H24" i="41"/>
  <c r="J24" i="41"/>
  <c r="K24" i="41"/>
  <c r="L24" i="41"/>
  <c r="R24" i="41"/>
  <c r="T24" i="41"/>
  <c r="S24" i="41" s="1"/>
  <c r="U24" i="41"/>
  <c r="V24" i="41"/>
  <c r="G25" i="41"/>
  <c r="H25" i="41"/>
  <c r="J25" i="41"/>
  <c r="K25" i="41"/>
  <c r="L25" i="41"/>
  <c r="R25" i="41"/>
  <c r="T25" i="41"/>
  <c r="S25" i="41" s="1"/>
  <c r="U25" i="41"/>
  <c r="V25" i="41"/>
  <c r="G26" i="41"/>
  <c r="H26" i="41"/>
  <c r="J26" i="41"/>
  <c r="K26" i="41"/>
  <c r="L26" i="41"/>
  <c r="R26" i="41"/>
  <c r="T26" i="41"/>
  <c r="S26" i="41" s="1"/>
  <c r="U26" i="41"/>
  <c r="V26" i="41"/>
  <c r="G27" i="41"/>
  <c r="H27" i="41"/>
  <c r="J27" i="41"/>
  <c r="K27" i="41"/>
  <c r="L27" i="41"/>
  <c r="R27" i="41"/>
  <c r="T27" i="41"/>
  <c r="S27" i="41" s="1"/>
  <c r="U27" i="41"/>
  <c r="V27" i="41"/>
  <c r="G28" i="41"/>
  <c r="H28" i="41"/>
  <c r="J28" i="41"/>
  <c r="K28" i="41"/>
  <c r="L28" i="41"/>
  <c r="R28" i="41"/>
  <c r="T28" i="41"/>
  <c r="S28" i="41" s="1"/>
  <c r="U28" i="41"/>
  <c r="V28" i="41"/>
  <c r="G29" i="41"/>
  <c r="H29" i="41"/>
  <c r="J29" i="41"/>
  <c r="K29" i="41"/>
  <c r="L29" i="41"/>
  <c r="R29" i="41"/>
  <c r="T29" i="41"/>
  <c r="S29" i="41" s="1"/>
  <c r="U29" i="41"/>
  <c r="V29" i="41"/>
  <c r="G30" i="41"/>
  <c r="H30" i="41"/>
  <c r="J30" i="41"/>
  <c r="K30" i="41"/>
  <c r="L30" i="41"/>
  <c r="R30" i="41"/>
  <c r="T30" i="41"/>
  <c r="S30" i="41" s="1"/>
  <c r="U30" i="41"/>
  <c r="V30" i="41"/>
  <c r="G31" i="41"/>
  <c r="H31" i="41"/>
  <c r="J31" i="41"/>
  <c r="K31" i="41"/>
  <c r="L31" i="41"/>
  <c r="R31" i="41"/>
  <c r="T31" i="41"/>
  <c r="S31" i="41" s="1"/>
  <c r="U31" i="41"/>
  <c r="V31" i="41"/>
  <c r="G32" i="41"/>
  <c r="H32" i="41"/>
  <c r="J32" i="41"/>
  <c r="K32" i="41"/>
  <c r="L32" i="41"/>
  <c r="R32" i="41"/>
  <c r="T32" i="41"/>
  <c r="S32" i="41" s="1"/>
  <c r="U32" i="41"/>
  <c r="V32" i="41"/>
  <c r="G33" i="41"/>
  <c r="H33" i="41"/>
  <c r="J33" i="41"/>
  <c r="K33" i="41"/>
  <c r="L33" i="41"/>
  <c r="R33" i="41"/>
  <c r="T33" i="41"/>
  <c r="S33" i="41" s="1"/>
  <c r="U33" i="41"/>
  <c r="V33" i="41"/>
  <c r="G34" i="41"/>
  <c r="H34" i="41"/>
  <c r="J34" i="41"/>
  <c r="K34" i="41"/>
  <c r="L34" i="41"/>
  <c r="R34" i="41"/>
  <c r="T34" i="41"/>
  <c r="S34" i="41" s="1"/>
  <c r="U34" i="41"/>
  <c r="V34" i="41"/>
  <c r="G35" i="41"/>
  <c r="H35" i="41"/>
  <c r="J35" i="41"/>
  <c r="K35" i="41"/>
  <c r="L35" i="41"/>
  <c r="R35" i="41"/>
  <c r="T35" i="41"/>
  <c r="S35" i="41" s="1"/>
  <c r="U35" i="41"/>
  <c r="V35" i="41"/>
  <c r="G36" i="41"/>
  <c r="H36" i="41"/>
  <c r="J36" i="41"/>
  <c r="K36" i="41"/>
  <c r="L36" i="41"/>
  <c r="R36" i="41"/>
  <c r="T36" i="41"/>
  <c r="S36" i="41" s="1"/>
  <c r="U36" i="41"/>
  <c r="V36" i="41"/>
  <c r="G37" i="41"/>
  <c r="H37" i="41"/>
  <c r="J37" i="41"/>
  <c r="K37" i="41"/>
  <c r="L37" i="41"/>
  <c r="R37" i="41"/>
  <c r="T37" i="41"/>
  <c r="S37" i="41" s="1"/>
  <c r="U37" i="41"/>
  <c r="V37" i="41"/>
  <c r="G38" i="41"/>
  <c r="H38" i="41"/>
  <c r="J38" i="41"/>
  <c r="K38" i="41"/>
  <c r="L38" i="41"/>
  <c r="R38" i="41"/>
  <c r="T38" i="41"/>
  <c r="S38" i="41" s="1"/>
  <c r="U38" i="41"/>
  <c r="V38" i="41"/>
  <c r="G39" i="41"/>
  <c r="H39" i="41"/>
  <c r="J39" i="41"/>
  <c r="K39" i="41"/>
  <c r="L39" i="41"/>
  <c r="R39" i="41"/>
  <c r="T39" i="41"/>
  <c r="S39" i="41" s="1"/>
  <c r="U39" i="41"/>
  <c r="V39" i="41"/>
  <c r="G40" i="41"/>
  <c r="H40" i="41"/>
  <c r="J40" i="41"/>
  <c r="K40" i="41"/>
  <c r="L40" i="41"/>
  <c r="R40" i="41"/>
  <c r="T40" i="41"/>
  <c r="S40" i="41" s="1"/>
  <c r="U40" i="41"/>
  <c r="V40" i="41"/>
  <c r="G41" i="41"/>
  <c r="H41" i="41"/>
  <c r="J41" i="41"/>
  <c r="K41" i="41"/>
  <c r="L41" i="41"/>
  <c r="R41" i="41"/>
  <c r="T41" i="41"/>
  <c r="S41" i="41" s="1"/>
  <c r="U41" i="41"/>
  <c r="V41" i="41"/>
  <c r="G42" i="41"/>
  <c r="H42" i="41"/>
  <c r="J42" i="41"/>
  <c r="K42" i="41"/>
  <c r="L42" i="41"/>
  <c r="R42" i="41"/>
  <c r="T42" i="41"/>
  <c r="S42" i="41" s="1"/>
  <c r="U42" i="41"/>
  <c r="V42" i="41"/>
  <c r="G43" i="41"/>
  <c r="H43" i="41"/>
  <c r="J43" i="41"/>
  <c r="K43" i="41"/>
  <c r="L43" i="41"/>
  <c r="R43" i="41"/>
  <c r="T43" i="41"/>
  <c r="S43" i="41" s="1"/>
  <c r="U43" i="41"/>
  <c r="V43" i="41"/>
  <c r="G44" i="41"/>
  <c r="H44" i="41"/>
  <c r="J44" i="41"/>
  <c r="K44" i="41"/>
  <c r="L44" i="41"/>
  <c r="R44" i="41"/>
  <c r="T44" i="41"/>
  <c r="S44" i="41" s="1"/>
  <c r="U44" i="41"/>
  <c r="V44" i="41"/>
  <c r="G45" i="41"/>
  <c r="H45" i="41"/>
  <c r="J45" i="41"/>
  <c r="K45" i="41"/>
  <c r="L45" i="41"/>
  <c r="R45" i="41"/>
  <c r="T45" i="41"/>
  <c r="S45" i="41" s="1"/>
  <c r="U45" i="41"/>
  <c r="V45" i="41"/>
  <c r="G46" i="41"/>
  <c r="H46" i="41"/>
  <c r="J46" i="41"/>
  <c r="K46" i="41"/>
  <c r="L46" i="41"/>
  <c r="R46" i="41"/>
  <c r="T46" i="41"/>
  <c r="S46" i="41" s="1"/>
  <c r="U46" i="41"/>
  <c r="V46" i="41"/>
  <c r="G47" i="41"/>
  <c r="H47" i="41"/>
  <c r="J47" i="41"/>
  <c r="K47" i="41"/>
  <c r="L47" i="41"/>
  <c r="R47" i="41"/>
  <c r="T47" i="41"/>
  <c r="S47" i="41" s="1"/>
  <c r="U47" i="41"/>
  <c r="V47" i="41"/>
  <c r="G48" i="41"/>
  <c r="H48" i="41"/>
  <c r="J48" i="41"/>
  <c r="K48" i="41"/>
  <c r="L48" i="41"/>
  <c r="R48" i="41"/>
  <c r="T48" i="41"/>
  <c r="S48" i="41" s="1"/>
  <c r="U48" i="41"/>
  <c r="V48" i="41"/>
  <c r="G49" i="41"/>
  <c r="H49" i="41"/>
  <c r="J49" i="41"/>
  <c r="K49" i="41"/>
  <c r="L49" i="41"/>
  <c r="R49" i="41"/>
  <c r="T49" i="41"/>
  <c r="S49" i="41" s="1"/>
  <c r="U49" i="41"/>
  <c r="V49" i="41"/>
  <c r="G50" i="41"/>
  <c r="H50" i="41"/>
  <c r="J50" i="41"/>
  <c r="K50" i="41"/>
  <c r="L50" i="41"/>
  <c r="R50" i="41"/>
  <c r="T50" i="41"/>
  <c r="S50" i="41" s="1"/>
  <c r="U50" i="41"/>
  <c r="V50" i="41"/>
  <c r="G51" i="41"/>
  <c r="H51" i="41"/>
  <c r="J51" i="41"/>
  <c r="K51" i="41"/>
  <c r="L51" i="41"/>
  <c r="R51" i="41"/>
  <c r="T51" i="41"/>
  <c r="S51" i="41" s="1"/>
  <c r="U51" i="41"/>
  <c r="V51" i="41"/>
  <c r="G52" i="41"/>
  <c r="H52" i="41"/>
  <c r="J52" i="41"/>
  <c r="K52" i="41"/>
  <c r="L52" i="41"/>
  <c r="R52" i="41"/>
  <c r="T52" i="41"/>
  <c r="S52" i="41" s="1"/>
  <c r="U52" i="41"/>
  <c r="V52" i="41"/>
  <c r="G53" i="41"/>
  <c r="H53" i="41"/>
  <c r="J53" i="41"/>
  <c r="K53" i="41"/>
  <c r="L53" i="41"/>
  <c r="R53" i="41"/>
  <c r="T53" i="41"/>
  <c r="S53" i="41" s="1"/>
  <c r="U53" i="41"/>
  <c r="V53" i="41"/>
  <c r="G54" i="41"/>
  <c r="H54" i="41"/>
  <c r="J54" i="41"/>
  <c r="K54" i="41"/>
  <c r="L54" i="41"/>
  <c r="R54" i="41"/>
  <c r="T54" i="41"/>
  <c r="S54" i="41" s="1"/>
  <c r="U54" i="41"/>
  <c r="V54" i="41"/>
  <c r="G55" i="41"/>
  <c r="H55" i="41"/>
  <c r="J55" i="41"/>
  <c r="K55" i="41"/>
  <c r="L55" i="41"/>
  <c r="R55" i="41"/>
  <c r="T55" i="41"/>
  <c r="S55" i="41" s="1"/>
  <c r="U55" i="41"/>
  <c r="V55" i="41"/>
  <c r="G56" i="41"/>
  <c r="H56" i="41"/>
  <c r="J56" i="41"/>
  <c r="K56" i="41"/>
  <c r="L56" i="41"/>
  <c r="R56" i="41"/>
  <c r="T56" i="41"/>
  <c r="S56" i="41" s="1"/>
  <c r="U56" i="41"/>
  <c r="V56" i="41"/>
  <c r="G57" i="41"/>
  <c r="H57" i="41"/>
  <c r="J57" i="41"/>
  <c r="K57" i="41"/>
  <c r="L57" i="41"/>
  <c r="R57" i="41"/>
  <c r="T57" i="41"/>
  <c r="S57" i="41" s="1"/>
  <c r="U57" i="41"/>
  <c r="V57" i="41"/>
  <c r="G58" i="41"/>
  <c r="H58" i="41"/>
  <c r="J58" i="41"/>
  <c r="K58" i="41"/>
  <c r="L58" i="41"/>
  <c r="R58" i="41"/>
  <c r="T58" i="41"/>
  <c r="S58" i="41" s="1"/>
  <c r="U58" i="41"/>
  <c r="V58" i="41"/>
  <c r="G59" i="41"/>
  <c r="H59" i="41"/>
  <c r="J59" i="41"/>
  <c r="K59" i="41"/>
  <c r="L59" i="41"/>
  <c r="R59" i="41"/>
  <c r="T59" i="41"/>
  <c r="S59" i="41" s="1"/>
  <c r="U59" i="41"/>
  <c r="V59" i="41"/>
  <c r="G60" i="41"/>
  <c r="H60" i="41"/>
  <c r="J60" i="41"/>
  <c r="K60" i="41"/>
  <c r="L60" i="41"/>
  <c r="R60" i="41"/>
  <c r="T60" i="41"/>
  <c r="S60" i="41" s="1"/>
  <c r="U60" i="41"/>
  <c r="V60" i="41"/>
  <c r="E61" i="41"/>
  <c r="P10" i="41" s="1"/>
  <c r="F61" i="41"/>
  <c r="G61" i="41"/>
  <c r="H61" i="41"/>
  <c r="P2" i="41" s="1"/>
  <c r="J61" i="41"/>
  <c r="K61" i="41"/>
  <c r="L61" i="41"/>
  <c r="P3" i="41" s="1"/>
  <c r="Q61" i="41"/>
  <c r="R61" i="41"/>
  <c r="S61" i="41"/>
  <c r="T61" i="41"/>
  <c r="P6" i="41" s="1"/>
  <c r="Q61" i="40"/>
  <c r="F61" i="40"/>
  <c r="E61" i="40"/>
  <c r="K60" i="40"/>
  <c r="J60" i="40"/>
  <c r="L60" i="40" s="1"/>
  <c r="K59" i="40"/>
  <c r="J59" i="40"/>
  <c r="L59" i="40" s="1"/>
  <c r="K58" i="40"/>
  <c r="J58" i="40"/>
  <c r="L58" i="40" s="1"/>
  <c r="K57" i="40"/>
  <c r="J57" i="40"/>
  <c r="L57" i="40" s="1"/>
  <c r="K56" i="40"/>
  <c r="J56" i="40"/>
  <c r="L56" i="40" s="1"/>
  <c r="K55" i="40"/>
  <c r="J55" i="40"/>
  <c r="L55" i="40" s="1"/>
  <c r="K54" i="40"/>
  <c r="J54" i="40"/>
  <c r="L54" i="40" s="1"/>
  <c r="K53" i="40"/>
  <c r="J53" i="40"/>
  <c r="L53" i="40" s="1"/>
  <c r="K52" i="40"/>
  <c r="J52" i="40"/>
  <c r="L52" i="40" s="1"/>
  <c r="K51" i="40"/>
  <c r="J51" i="40"/>
  <c r="L51" i="40" s="1"/>
  <c r="K50" i="40"/>
  <c r="J50" i="40"/>
  <c r="L50" i="40" s="1"/>
  <c r="K49" i="40"/>
  <c r="J49" i="40"/>
  <c r="L49" i="40" s="1"/>
  <c r="K48" i="40"/>
  <c r="J48" i="40"/>
  <c r="L48" i="40" s="1"/>
  <c r="K47" i="40"/>
  <c r="J47" i="40"/>
  <c r="L47" i="40" s="1"/>
  <c r="K46" i="40"/>
  <c r="J46" i="40"/>
  <c r="L46" i="40" s="1"/>
  <c r="K45" i="40"/>
  <c r="J45" i="40"/>
  <c r="L45" i="40" s="1"/>
  <c r="K44" i="40"/>
  <c r="J44" i="40"/>
  <c r="L44" i="40" s="1"/>
  <c r="K43" i="40"/>
  <c r="J43" i="40"/>
  <c r="L43" i="40" s="1"/>
  <c r="K42" i="40"/>
  <c r="J42" i="40"/>
  <c r="L42" i="40" s="1"/>
  <c r="K41" i="40"/>
  <c r="J41" i="40"/>
  <c r="L41" i="40" s="1"/>
  <c r="K40" i="40"/>
  <c r="J40" i="40"/>
  <c r="L40" i="40" s="1"/>
  <c r="K39" i="40"/>
  <c r="J39" i="40"/>
  <c r="L39" i="40" s="1"/>
  <c r="K38" i="40"/>
  <c r="J38" i="40"/>
  <c r="L38" i="40" s="1"/>
  <c r="K37" i="40"/>
  <c r="J37" i="40"/>
  <c r="L37" i="40" s="1"/>
  <c r="K36" i="40"/>
  <c r="J36" i="40"/>
  <c r="L36" i="40" s="1"/>
  <c r="K35" i="40"/>
  <c r="J35" i="40"/>
  <c r="L35" i="40" s="1"/>
  <c r="K34" i="40"/>
  <c r="J34" i="40"/>
  <c r="L34" i="40" s="1"/>
  <c r="K33" i="40"/>
  <c r="J33" i="40"/>
  <c r="L33" i="40" s="1"/>
  <c r="K32" i="40"/>
  <c r="J32" i="40"/>
  <c r="L32" i="40" s="1"/>
  <c r="K31" i="40"/>
  <c r="J31" i="40"/>
  <c r="L31" i="40" s="1"/>
  <c r="K30" i="40"/>
  <c r="J30" i="40"/>
  <c r="L30" i="40" s="1"/>
  <c r="K29" i="40"/>
  <c r="J29" i="40"/>
  <c r="L29" i="40" s="1"/>
  <c r="K28" i="40"/>
  <c r="J28" i="40"/>
  <c r="L28" i="40" s="1"/>
  <c r="K27" i="40"/>
  <c r="J27" i="40"/>
  <c r="L27" i="40" s="1"/>
  <c r="K26" i="40"/>
  <c r="J26" i="40"/>
  <c r="L26" i="40" s="1"/>
  <c r="K25" i="40"/>
  <c r="J25" i="40"/>
  <c r="L25" i="40" s="1"/>
  <c r="K24" i="40"/>
  <c r="J24" i="40"/>
  <c r="L24" i="40" s="1"/>
  <c r="K23" i="40"/>
  <c r="J23" i="40"/>
  <c r="L23" i="40" s="1"/>
  <c r="K22" i="40"/>
  <c r="J22" i="40"/>
  <c r="L22" i="40" s="1"/>
  <c r="K21" i="40"/>
  <c r="J21" i="40"/>
  <c r="L21" i="40" s="1"/>
  <c r="K20" i="40"/>
  <c r="J20" i="40"/>
  <c r="L20" i="40" s="1"/>
  <c r="K19" i="40"/>
  <c r="J19" i="40"/>
  <c r="L19" i="40" s="1"/>
  <c r="K18" i="40"/>
  <c r="J18" i="40"/>
  <c r="R17" i="40"/>
  <c r="H17" i="40"/>
  <c r="G17" i="40"/>
  <c r="D15" i="40"/>
  <c r="P10" i="40"/>
  <c r="P1" i="40"/>
  <c r="P8" i="40" s="1"/>
  <c r="Q61" i="39"/>
  <c r="F61" i="39"/>
  <c r="E61" i="39"/>
  <c r="K60" i="39"/>
  <c r="J60" i="39"/>
  <c r="L60" i="39" s="1"/>
  <c r="K59" i="39"/>
  <c r="J59" i="39"/>
  <c r="L59" i="39" s="1"/>
  <c r="K58" i="39"/>
  <c r="J58" i="39"/>
  <c r="L58" i="39" s="1"/>
  <c r="K57" i="39"/>
  <c r="J57" i="39"/>
  <c r="L57" i="39" s="1"/>
  <c r="K56" i="39"/>
  <c r="J56" i="39"/>
  <c r="L56" i="39" s="1"/>
  <c r="K55" i="39"/>
  <c r="J55" i="39"/>
  <c r="L55" i="39" s="1"/>
  <c r="K54" i="39"/>
  <c r="J54" i="39"/>
  <c r="L54" i="39" s="1"/>
  <c r="K53" i="39"/>
  <c r="J53" i="39"/>
  <c r="L53" i="39" s="1"/>
  <c r="K52" i="39"/>
  <c r="J52" i="39"/>
  <c r="L52" i="39" s="1"/>
  <c r="K51" i="39"/>
  <c r="J51" i="39"/>
  <c r="L51" i="39" s="1"/>
  <c r="K50" i="39"/>
  <c r="J50" i="39"/>
  <c r="L50" i="39" s="1"/>
  <c r="K49" i="39"/>
  <c r="J49" i="39"/>
  <c r="L49" i="39" s="1"/>
  <c r="K48" i="39"/>
  <c r="J48" i="39"/>
  <c r="L48" i="39" s="1"/>
  <c r="K47" i="39"/>
  <c r="J47" i="39"/>
  <c r="L47" i="39" s="1"/>
  <c r="K46" i="39"/>
  <c r="J46" i="39"/>
  <c r="L46" i="39" s="1"/>
  <c r="K45" i="39"/>
  <c r="J45" i="39"/>
  <c r="L45" i="39" s="1"/>
  <c r="K44" i="39"/>
  <c r="J44" i="39"/>
  <c r="L44" i="39" s="1"/>
  <c r="K43" i="39"/>
  <c r="J43" i="39"/>
  <c r="L43" i="39" s="1"/>
  <c r="K42" i="39"/>
  <c r="J42" i="39"/>
  <c r="L42" i="39" s="1"/>
  <c r="K41" i="39"/>
  <c r="J41" i="39"/>
  <c r="L41" i="39" s="1"/>
  <c r="K40" i="39"/>
  <c r="J40" i="39"/>
  <c r="L40" i="39" s="1"/>
  <c r="K39" i="39"/>
  <c r="J39" i="39"/>
  <c r="L39" i="39" s="1"/>
  <c r="K38" i="39"/>
  <c r="J38" i="39"/>
  <c r="L38" i="39" s="1"/>
  <c r="K37" i="39"/>
  <c r="J37" i="39"/>
  <c r="L37" i="39" s="1"/>
  <c r="K36" i="39"/>
  <c r="J36" i="39"/>
  <c r="L36" i="39" s="1"/>
  <c r="K35" i="39"/>
  <c r="J35" i="39"/>
  <c r="L35" i="39" s="1"/>
  <c r="K34" i="39"/>
  <c r="J34" i="39"/>
  <c r="L34" i="39" s="1"/>
  <c r="K33" i="39"/>
  <c r="J33" i="39"/>
  <c r="L33" i="39" s="1"/>
  <c r="K32" i="39"/>
  <c r="J32" i="39"/>
  <c r="L32" i="39" s="1"/>
  <c r="K31" i="39"/>
  <c r="J31" i="39"/>
  <c r="L31" i="39" s="1"/>
  <c r="K30" i="39"/>
  <c r="J30" i="39"/>
  <c r="L30" i="39" s="1"/>
  <c r="K29" i="39"/>
  <c r="J29" i="39"/>
  <c r="L29" i="39" s="1"/>
  <c r="K28" i="39"/>
  <c r="J28" i="39"/>
  <c r="L28" i="39" s="1"/>
  <c r="K27" i="39"/>
  <c r="J27" i="39"/>
  <c r="L27" i="39" s="1"/>
  <c r="K26" i="39"/>
  <c r="J26" i="39"/>
  <c r="L26" i="39" s="1"/>
  <c r="K25" i="39"/>
  <c r="J25" i="39"/>
  <c r="L25" i="39" s="1"/>
  <c r="K24" i="39"/>
  <c r="J24" i="39"/>
  <c r="L24" i="39" s="1"/>
  <c r="K23" i="39"/>
  <c r="J23" i="39"/>
  <c r="L23" i="39" s="1"/>
  <c r="K22" i="39"/>
  <c r="J22" i="39"/>
  <c r="L22" i="39" s="1"/>
  <c r="K21" i="39"/>
  <c r="J21" i="39"/>
  <c r="L21" i="39" s="1"/>
  <c r="K20" i="39"/>
  <c r="J20" i="39"/>
  <c r="L20" i="39" s="1"/>
  <c r="K19" i="39"/>
  <c r="J19" i="39"/>
  <c r="L19" i="39" s="1"/>
  <c r="K18" i="39"/>
  <c r="J18" i="39"/>
  <c r="R17" i="39"/>
  <c r="H17" i="39"/>
  <c r="G17" i="39"/>
  <c r="D15" i="39"/>
  <c r="P10" i="39"/>
  <c r="P1" i="39"/>
  <c r="P8" i="39" s="1"/>
  <c r="Q61" i="38"/>
  <c r="F61" i="38"/>
  <c r="E61" i="38"/>
  <c r="K60" i="38"/>
  <c r="J60" i="38"/>
  <c r="L60" i="38" s="1"/>
  <c r="K59" i="38"/>
  <c r="J59" i="38"/>
  <c r="L59" i="38" s="1"/>
  <c r="K58" i="38"/>
  <c r="J58" i="38"/>
  <c r="L58" i="38" s="1"/>
  <c r="K57" i="38"/>
  <c r="J57" i="38"/>
  <c r="L57" i="38" s="1"/>
  <c r="K56" i="38"/>
  <c r="J56" i="38"/>
  <c r="L56" i="38" s="1"/>
  <c r="K55" i="38"/>
  <c r="J55" i="38"/>
  <c r="L55" i="38" s="1"/>
  <c r="K54" i="38"/>
  <c r="J54" i="38"/>
  <c r="L54" i="38" s="1"/>
  <c r="K53" i="38"/>
  <c r="J53" i="38"/>
  <c r="L53" i="38" s="1"/>
  <c r="K52" i="38"/>
  <c r="J52" i="38"/>
  <c r="L52" i="38" s="1"/>
  <c r="K51" i="38"/>
  <c r="J51" i="38"/>
  <c r="L51" i="38" s="1"/>
  <c r="K50" i="38"/>
  <c r="J50" i="38"/>
  <c r="L50" i="38" s="1"/>
  <c r="K49" i="38"/>
  <c r="J49" i="38"/>
  <c r="L49" i="38" s="1"/>
  <c r="K48" i="38"/>
  <c r="J48" i="38"/>
  <c r="L48" i="38" s="1"/>
  <c r="K47" i="38"/>
  <c r="J47" i="38"/>
  <c r="L47" i="38" s="1"/>
  <c r="K46" i="38"/>
  <c r="J46" i="38"/>
  <c r="L46" i="38" s="1"/>
  <c r="K45" i="38"/>
  <c r="J45" i="38"/>
  <c r="L45" i="38" s="1"/>
  <c r="K44" i="38"/>
  <c r="J44" i="38"/>
  <c r="L44" i="38" s="1"/>
  <c r="K43" i="38"/>
  <c r="J43" i="38"/>
  <c r="L43" i="38" s="1"/>
  <c r="K42" i="38"/>
  <c r="J42" i="38"/>
  <c r="L42" i="38" s="1"/>
  <c r="K41" i="38"/>
  <c r="J41" i="38"/>
  <c r="L41" i="38" s="1"/>
  <c r="K40" i="38"/>
  <c r="J40" i="38"/>
  <c r="L40" i="38" s="1"/>
  <c r="K39" i="38"/>
  <c r="J39" i="38"/>
  <c r="L39" i="38" s="1"/>
  <c r="K38" i="38"/>
  <c r="J38" i="38"/>
  <c r="L38" i="38" s="1"/>
  <c r="K37" i="38"/>
  <c r="J37" i="38"/>
  <c r="L37" i="38" s="1"/>
  <c r="K36" i="38"/>
  <c r="J36" i="38"/>
  <c r="L36" i="38" s="1"/>
  <c r="K35" i="38"/>
  <c r="J35" i="38"/>
  <c r="L35" i="38" s="1"/>
  <c r="K34" i="38"/>
  <c r="J34" i="38"/>
  <c r="L34" i="38" s="1"/>
  <c r="K33" i="38"/>
  <c r="J33" i="38"/>
  <c r="L33" i="38" s="1"/>
  <c r="K32" i="38"/>
  <c r="J32" i="38"/>
  <c r="L32" i="38" s="1"/>
  <c r="K31" i="38"/>
  <c r="J31" i="38"/>
  <c r="L31" i="38" s="1"/>
  <c r="K30" i="38"/>
  <c r="J30" i="38"/>
  <c r="L30" i="38" s="1"/>
  <c r="K29" i="38"/>
  <c r="J29" i="38"/>
  <c r="L29" i="38" s="1"/>
  <c r="K28" i="38"/>
  <c r="J28" i="38"/>
  <c r="L28" i="38" s="1"/>
  <c r="K27" i="38"/>
  <c r="J27" i="38"/>
  <c r="L27" i="38" s="1"/>
  <c r="K26" i="38"/>
  <c r="J26" i="38"/>
  <c r="L26" i="38" s="1"/>
  <c r="K25" i="38"/>
  <c r="J25" i="38"/>
  <c r="L25" i="38" s="1"/>
  <c r="K24" i="38"/>
  <c r="J24" i="38"/>
  <c r="L24" i="38" s="1"/>
  <c r="K23" i="38"/>
  <c r="J23" i="38"/>
  <c r="L23" i="38" s="1"/>
  <c r="K22" i="38"/>
  <c r="J22" i="38"/>
  <c r="L22" i="38" s="1"/>
  <c r="K21" i="38"/>
  <c r="J21" i="38"/>
  <c r="L21" i="38" s="1"/>
  <c r="K20" i="38"/>
  <c r="J20" i="38"/>
  <c r="L20" i="38" s="1"/>
  <c r="K19" i="38"/>
  <c r="J19" i="38"/>
  <c r="L19" i="38" s="1"/>
  <c r="K18" i="38"/>
  <c r="J18" i="38"/>
  <c r="R17" i="38"/>
  <c r="H17" i="38"/>
  <c r="G17" i="38"/>
  <c r="D15" i="38"/>
  <c r="P10" i="38"/>
  <c r="P1" i="38"/>
  <c r="P8" i="38" s="1"/>
  <c r="Q61" i="37"/>
  <c r="F61" i="37"/>
  <c r="E61" i="37"/>
  <c r="K60" i="37"/>
  <c r="J60" i="37"/>
  <c r="L60" i="37" s="1"/>
  <c r="K59" i="37"/>
  <c r="J59" i="37"/>
  <c r="L59" i="37" s="1"/>
  <c r="K58" i="37"/>
  <c r="J58" i="37"/>
  <c r="L58" i="37" s="1"/>
  <c r="K57" i="37"/>
  <c r="J57" i="37"/>
  <c r="L57" i="37" s="1"/>
  <c r="K56" i="37"/>
  <c r="J56" i="37"/>
  <c r="L56" i="37" s="1"/>
  <c r="K55" i="37"/>
  <c r="J55" i="37"/>
  <c r="L55" i="37" s="1"/>
  <c r="K54" i="37"/>
  <c r="J54" i="37"/>
  <c r="L54" i="37" s="1"/>
  <c r="K53" i="37"/>
  <c r="J53" i="37"/>
  <c r="L53" i="37" s="1"/>
  <c r="K52" i="37"/>
  <c r="J52" i="37"/>
  <c r="L52" i="37" s="1"/>
  <c r="K51" i="37"/>
  <c r="J51" i="37"/>
  <c r="L51" i="37" s="1"/>
  <c r="K50" i="37"/>
  <c r="J50" i="37"/>
  <c r="L50" i="37" s="1"/>
  <c r="K49" i="37"/>
  <c r="J49" i="37"/>
  <c r="L49" i="37" s="1"/>
  <c r="K48" i="37"/>
  <c r="J48" i="37"/>
  <c r="L48" i="37" s="1"/>
  <c r="K47" i="37"/>
  <c r="J47" i="37"/>
  <c r="L47" i="37" s="1"/>
  <c r="K46" i="37"/>
  <c r="J46" i="37"/>
  <c r="L46" i="37" s="1"/>
  <c r="K45" i="37"/>
  <c r="J45" i="37"/>
  <c r="L45" i="37" s="1"/>
  <c r="K44" i="37"/>
  <c r="J44" i="37"/>
  <c r="L44" i="37" s="1"/>
  <c r="K43" i="37"/>
  <c r="J43" i="37"/>
  <c r="L43" i="37" s="1"/>
  <c r="K42" i="37"/>
  <c r="J42" i="37"/>
  <c r="L42" i="37" s="1"/>
  <c r="K41" i="37"/>
  <c r="J41" i="37"/>
  <c r="L41" i="37" s="1"/>
  <c r="K40" i="37"/>
  <c r="J40" i="37"/>
  <c r="L40" i="37" s="1"/>
  <c r="K39" i="37"/>
  <c r="J39" i="37"/>
  <c r="L39" i="37" s="1"/>
  <c r="K38" i="37"/>
  <c r="J38" i="37"/>
  <c r="L38" i="37" s="1"/>
  <c r="K37" i="37"/>
  <c r="J37" i="37"/>
  <c r="L37" i="37" s="1"/>
  <c r="K36" i="37"/>
  <c r="J36" i="37"/>
  <c r="L36" i="37" s="1"/>
  <c r="K35" i="37"/>
  <c r="J35" i="37"/>
  <c r="L35" i="37" s="1"/>
  <c r="K34" i="37"/>
  <c r="J34" i="37"/>
  <c r="L34" i="37" s="1"/>
  <c r="K33" i="37"/>
  <c r="J33" i="37"/>
  <c r="L33" i="37" s="1"/>
  <c r="K32" i="37"/>
  <c r="J32" i="37"/>
  <c r="L32" i="37" s="1"/>
  <c r="K31" i="37"/>
  <c r="J31" i="37"/>
  <c r="L31" i="37" s="1"/>
  <c r="K30" i="37"/>
  <c r="J30" i="37"/>
  <c r="L30" i="37" s="1"/>
  <c r="K29" i="37"/>
  <c r="J29" i="37"/>
  <c r="L29" i="37" s="1"/>
  <c r="K28" i="37"/>
  <c r="J28" i="37"/>
  <c r="L28" i="37" s="1"/>
  <c r="K27" i="37"/>
  <c r="J27" i="37"/>
  <c r="L27" i="37" s="1"/>
  <c r="K26" i="37"/>
  <c r="J26" i="37"/>
  <c r="L26" i="37" s="1"/>
  <c r="K25" i="37"/>
  <c r="J25" i="37"/>
  <c r="L25" i="37" s="1"/>
  <c r="K24" i="37"/>
  <c r="J24" i="37"/>
  <c r="L24" i="37" s="1"/>
  <c r="K23" i="37"/>
  <c r="J23" i="37"/>
  <c r="L23" i="37" s="1"/>
  <c r="K22" i="37"/>
  <c r="J22" i="37"/>
  <c r="L22" i="37" s="1"/>
  <c r="K21" i="37"/>
  <c r="J21" i="37"/>
  <c r="L21" i="37" s="1"/>
  <c r="K20" i="37"/>
  <c r="J20" i="37"/>
  <c r="L20" i="37" s="1"/>
  <c r="K19" i="37"/>
  <c r="J19" i="37"/>
  <c r="L19" i="37" s="1"/>
  <c r="K18" i="37"/>
  <c r="J18" i="37"/>
  <c r="R17" i="37"/>
  <c r="H17" i="37"/>
  <c r="G17" i="37"/>
  <c r="D15" i="37"/>
  <c r="P10" i="37"/>
  <c r="P1" i="37"/>
  <c r="P8" i="37" s="1"/>
  <c r="Q61" i="36"/>
  <c r="F61" i="36"/>
  <c r="E61" i="36"/>
  <c r="K60" i="36"/>
  <c r="J60" i="36"/>
  <c r="L60" i="36" s="1"/>
  <c r="K59" i="36"/>
  <c r="J59" i="36"/>
  <c r="L59" i="36" s="1"/>
  <c r="K58" i="36"/>
  <c r="J58" i="36"/>
  <c r="L58" i="36" s="1"/>
  <c r="K57" i="36"/>
  <c r="J57" i="36"/>
  <c r="L57" i="36" s="1"/>
  <c r="K56" i="36"/>
  <c r="J56" i="36"/>
  <c r="L56" i="36" s="1"/>
  <c r="K55" i="36"/>
  <c r="J55" i="36"/>
  <c r="L55" i="36" s="1"/>
  <c r="K54" i="36"/>
  <c r="J54" i="36"/>
  <c r="L54" i="36" s="1"/>
  <c r="K53" i="36"/>
  <c r="J53" i="36"/>
  <c r="L53" i="36" s="1"/>
  <c r="K52" i="36"/>
  <c r="J52" i="36"/>
  <c r="L52" i="36" s="1"/>
  <c r="K51" i="36"/>
  <c r="J51" i="36"/>
  <c r="L51" i="36" s="1"/>
  <c r="K50" i="36"/>
  <c r="J50" i="36"/>
  <c r="L50" i="36" s="1"/>
  <c r="K49" i="36"/>
  <c r="J49" i="36"/>
  <c r="L49" i="36" s="1"/>
  <c r="K48" i="36"/>
  <c r="J48" i="36"/>
  <c r="L48" i="36" s="1"/>
  <c r="K47" i="36"/>
  <c r="J47" i="36"/>
  <c r="L47" i="36" s="1"/>
  <c r="K46" i="36"/>
  <c r="J46" i="36"/>
  <c r="L46" i="36" s="1"/>
  <c r="K45" i="36"/>
  <c r="J45" i="36"/>
  <c r="L45" i="36" s="1"/>
  <c r="K44" i="36"/>
  <c r="J44" i="36"/>
  <c r="L44" i="36" s="1"/>
  <c r="K43" i="36"/>
  <c r="J43" i="36"/>
  <c r="L43" i="36" s="1"/>
  <c r="K42" i="36"/>
  <c r="J42" i="36"/>
  <c r="L42" i="36" s="1"/>
  <c r="K41" i="36"/>
  <c r="J41" i="36"/>
  <c r="L41" i="36" s="1"/>
  <c r="K40" i="36"/>
  <c r="J40" i="36"/>
  <c r="L40" i="36" s="1"/>
  <c r="K39" i="36"/>
  <c r="J39" i="36"/>
  <c r="L39" i="36" s="1"/>
  <c r="K38" i="36"/>
  <c r="J38" i="36"/>
  <c r="L38" i="36" s="1"/>
  <c r="K37" i="36"/>
  <c r="J37" i="36"/>
  <c r="L37" i="36" s="1"/>
  <c r="K36" i="36"/>
  <c r="J36" i="36"/>
  <c r="L36" i="36" s="1"/>
  <c r="K35" i="36"/>
  <c r="J35" i="36"/>
  <c r="L35" i="36" s="1"/>
  <c r="K34" i="36"/>
  <c r="J34" i="36"/>
  <c r="L34" i="36" s="1"/>
  <c r="K33" i="36"/>
  <c r="J33" i="36"/>
  <c r="L33" i="36" s="1"/>
  <c r="K32" i="36"/>
  <c r="J32" i="36"/>
  <c r="L32" i="36" s="1"/>
  <c r="K31" i="36"/>
  <c r="J31" i="36"/>
  <c r="L31" i="36" s="1"/>
  <c r="K30" i="36"/>
  <c r="J30" i="36"/>
  <c r="L30" i="36" s="1"/>
  <c r="K29" i="36"/>
  <c r="J29" i="36"/>
  <c r="L29" i="36" s="1"/>
  <c r="K28" i="36"/>
  <c r="J28" i="36"/>
  <c r="L28" i="36" s="1"/>
  <c r="K27" i="36"/>
  <c r="J27" i="36"/>
  <c r="L27" i="36" s="1"/>
  <c r="K26" i="36"/>
  <c r="J26" i="36"/>
  <c r="L26" i="36" s="1"/>
  <c r="K25" i="36"/>
  <c r="J25" i="36"/>
  <c r="L25" i="36" s="1"/>
  <c r="K24" i="36"/>
  <c r="J24" i="36"/>
  <c r="L24" i="36" s="1"/>
  <c r="K23" i="36"/>
  <c r="J23" i="36"/>
  <c r="L23" i="36" s="1"/>
  <c r="K22" i="36"/>
  <c r="J22" i="36"/>
  <c r="L22" i="36" s="1"/>
  <c r="K21" i="36"/>
  <c r="J21" i="36"/>
  <c r="L21" i="36" s="1"/>
  <c r="K20" i="36"/>
  <c r="J20" i="36"/>
  <c r="L20" i="36" s="1"/>
  <c r="K19" i="36"/>
  <c r="J19" i="36"/>
  <c r="L19" i="36" s="1"/>
  <c r="K18" i="36"/>
  <c r="J18" i="36"/>
  <c r="R17" i="36"/>
  <c r="H17" i="36"/>
  <c r="G17" i="36"/>
  <c r="D15" i="36"/>
  <c r="P10" i="36"/>
  <c r="P1" i="36"/>
  <c r="P8" i="36" s="1"/>
  <c r="Q61" i="35"/>
  <c r="F61" i="35"/>
  <c r="E61" i="35"/>
  <c r="K60" i="35"/>
  <c r="J60" i="35"/>
  <c r="L60" i="35" s="1"/>
  <c r="K59" i="35"/>
  <c r="J59" i="35"/>
  <c r="L59" i="35" s="1"/>
  <c r="K58" i="35"/>
  <c r="J58" i="35"/>
  <c r="L58" i="35" s="1"/>
  <c r="K57" i="35"/>
  <c r="J57" i="35"/>
  <c r="L57" i="35" s="1"/>
  <c r="K56" i="35"/>
  <c r="J56" i="35"/>
  <c r="L56" i="35" s="1"/>
  <c r="K55" i="35"/>
  <c r="J55" i="35"/>
  <c r="L55" i="35" s="1"/>
  <c r="K54" i="35"/>
  <c r="J54" i="35"/>
  <c r="L54" i="35" s="1"/>
  <c r="K53" i="35"/>
  <c r="J53" i="35"/>
  <c r="L53" i="35" s="1"/>
  <c r="K52" i="35"/>
  <c r="J52" i="35"/>
  <c r="L52" i="35" s="1"/>
  <c r="K51" i="35"/>
  <c r="J51" i="35"/>
  <c r="L51" i="35" s="1"/>
  <c r="K50" i="35"/>
  <c r="J50" i="35"/>
  <c r="L50" i="35" s="1"/>
  <c r="K49" i="35"/>
  <c r="J49" i="35"/>
  <c r="L49" i="35" s="1"/>
  <c r="K48" i="35"/>
  <c r="J48" i="35"/>
  <c r="L48" i="35" s="1"/>
  <c r="K47" i="35"/>
  <c r="J47" i="35"/>
  <c r="L47" i="35" s="1"/>
  <c r="K46" i="35"/>
  <c r="J46" i="35"/>
  <c r="L46" i="35" s="1"/>
  <c r="K45" i="35"/>
  <c r="J45" i="35"/>
  <c r="L45" i="35" s="1"/>
  <c r="K44" i="35"/>
  <c r="J44" i="35"/>
  <c r="L44" i="35" s="1"/>
  <c r="K43" i="35"/>
  <c r="J43" i="35"/>
  <c r="L43" i="35" s="1"/>
  <c r="K42" i="35"/>
  <c r="J42" i="35"/>
  <c r="L42" i="35" s="1"/>
  <c r="K41" i="35"/>
  <c r="J41" i="35"/>
  <c r="L41" i="35" s="1"/>
  <c r="K40" i="35"/>
  <c r="J40" i="35"/>
  <c r="L40" i="35" s="1"/>
  <c r="K39" i="35"/>
  <c r="J39" i="35"/>
  <c r="L39" i="35" s="1"/>
  <c r="K38" i="35"/>
  <c r="J38" i="35"/>
  <c r="L38" i="35" s="1"/>
  <c r="K37" i="35"/>
  <c r="J37" i="35"/>
  <c r="L37" i="35" s="1"/>
  <c r="K36" i="35"/>
  <c r="J36" i="35"/>
  <c r="L36" i="35" s="1"/>
  <c r="K35" i="35"/>
  <c r="J35" i="35"/>
  <c r="L35" i="35" s="1"/>
  <c r="K34" i="35"/>
  <c r="J34" i="35"/>
  <c r="L34" i="35" s="1"/>
  <c r="K33" i="35"/>
  <c r="J33" i="35"/>
  <c r="L33" i="35" s="1"/>
  <c r="K32" i="35"/>
  <c r="J32" i="35"/>
  <c r="L32" i="35" s="1"/>
  <c r="K31" i="35"/>
  <c r="J31" i="35"/>
  <c r="L31" i="35" s="1"/>
  <c r="K30" i="35"/>
  <c r="J30" i="35"/>
  <c r="L30" i="35" s="1"/>
  <c r="K29" i="35"/>
  <c r="J29" i="35"/>
  <c r="L29" i="35" s="1"/>
  <c r="K28" i="35"/>
  <c r="J28" i="35"/>
  <c r="L28" i="35" s="1"/>
  <c r="K27" i="35"/>
  <c r="J27" i="35"/>
  <c r="L27" i="35" s="1"/>
  <c r="K26" i="35"/>
  <c r="J26" i="35"/>
  <c r="L26" i="35" s="1"/>
  <c r="K25" i="35"/>
  <c r="J25" i="35"/>
  <c r="L25" i="35" s="1"/>
  <c r="K24" i="35"/>
  <c r="J24" i="35"/>
  <c r="L24" i="35" s="1"/>
  <c r="K23" i="35"/>
  <c r="J23" i="35"/>
  <c r="L23" i="35" s="1"/>
  <c r="K22" i="35"/>
  <c r="J22" i="35"/>
  <c r="L22" i="35" s="1"/>
  <c r="K21" i="35"/>
  <c r="J21" i="35"/>
  <c r="L21" i="35" s="1"/>
  <c r="K20" i="35"/>
  <c r="J20" i="35"/>
  <c r="L20" i="35" s="1"/>
  <c r="K19" i="35"/>
  <c r="J19" i="35"/>
  <c r="L19" i="35" s="1"/>
  <c r="K18" i="35"/>
  <c r="J18" i="35"/>
  <c r="R17" i="35"/>
  <c r="H17" i="35"/>
  <c r="G17" i="35"/>
  <c r="D15" i="35"/>
  <c r="P10" i="35"/>
  <c r="P1" i="35"/>
  <c r="P8" i="35" s="1"/>
  <c r="Q61" i="34"/>
  <c r="F61" i="34"/>
  <c r="E61" i="34"/>
  <c r="K60" i="34"/>
  <c r="J60" i="34"/>
  <c r="L60" i="34" s="1"/>
  <c r="K59" i="34"/>
  <c r="J59" i="34"/>
  <c r="L59" i="34" s="1"/>
  <c r="K58" i="34"/>
  <c r="J58" i="34"/>
  <c r="L58" i="34" s="1"/>
  <c r="K57" i="34"/>
  <c r="J57" i="34"/>
  <c r="L57" i="34" s="1"/>
  <c r="K56" i="34"/>
  <c r="J56" i="34"/>
  <c r="L56" i="34" s="1"/>
  <c r="K55" i="34"/>
  <c r="J55" i="34"/>
  <c r="L55" i="34" s="1"/>
  <c r="K54" i="34"/>
  <c r="J54" i="34"/>
  <c r="L54" i="34" s="1"/>
  <c r="K53" i="34"/>
  <c r="J53" i="34"/>
  <c r="L53" i="34" s="1"/>
  <c r="K52" i="34"/>
  <c r="J52" i="34"/>
  <c r="L52" i="34" s="1"/>
  <c r="K51" i="34"/>
  <c r="J51" i="34"/>
  <c r="L51" i="34" s="1"/>
  <c r="K50" i="34"/>
  <c r="J50" i="34"/>
  <c r="L50" i="34" s="1"/>
  <c r="K49" i="34"/>
  <c r="J49" i="34"/>
  <c r="L49" i="34" s="1"/>
  <c r="K48" i="34"/>
  <c r="J48" i="34"/>
  <c r="L48" i="34" s="1"/>
  <c r="K47" i="34"/>
  <c r="J47" i="34"/>
  <c r="L47" i="34" s="1"/>
  <c r="K46" i="34"/>
  <c r="J46" i="34"/>
  <c r="L46" i="34" s="1"/>
  <c r="K45" i="34"/>
  <c r="J45" i="34"/>
  <c r="L45" i="34" s="1"/>
  <c r="K44" i="34"/>
  <c r="J44" i="34"/>
  <c r="L44" i="34" s="1"/>
  <c r="K43" i="34"/>
  <c r="J43" i="34"/>
  <c r="L43" i="34" s="1"/>
  <c r="K42" i="34"/>
  <c r="J42" i="34"/>
  <c r="L42" i="34" s="1"/>
  <c r="K41" i="34"/>
  <c r="J41" i="34"/>
  <c r="L41" i="34" s="1"/>
  <c r="K40" i="34"/>
  <c r="J40" i="34"/>
  <c r="L40" i="34" s="1"/>
  <c r="K39" i="34"/>
  <c r="J39" i="34"/>
  <c r="L39" i="34" s="1"/>
  <c r="K38" i="34"/>
  <c r="J38" i="34"/>
  <c r="L38" i="34" s="1"/>
  <c r="K37" i="34"/>
  <c r="J37" i="34"/>
  <c r="L37" i="34" s="1"/>
  <c r="K36" i="34"/>
  <c r="J36" i="34"/>
  <c r="L36" i="34" s="1"/>
  <c r="K35" i="34"/>
  <c r="J35" i="34"/>
  <c r="L35" i="34" s="1"/>
  <c r="K34" i="34"/>
  <c r="J34" i="34"/>
  <c r="L34" i="34" s="1"/>
  <c r="K33" i="34"/>
  <c r="J33" i="34"/>
  <c r="L33" i="34" s="1"/>
  <c r="K32" i="34"/>
  <c r="J32" i="34"/>
  <c r="L32" i="34" s="1"/>
  <c r="K31" i="34"/>
  <c r="J31" i="34"/>
  <c r="L31" i="34" s="1"/>
  <c r="K30" i="34"/>
  <c r="J30" i="34"/>
  <c r="L30" i="34" s="1"/>
  <c r="K29" i="34"/>
  <c r="J29" i="34"/>
  <c r="L29" i="34" s="1"/>
  <c r="K28" i="34"/>
  <c r="J28" i="34"/>
  <c r="L28" i="34" s="1"/>
  <c r="K27" i="34"/>
  <c r="J27" i="34"/>
  <c r="L27" i="34" s="1"/>
  <c r="K26" i="34"/>
  <c r="J26" i="34"/>
  <c r="L26" i="34" s="1"/>
  <c r="K25" i="34"/>
  <c r="J25" i="34"/>
  <c r="L25" i="34" s="1"/>
  <c r="K24" i="34"/>
  <c r="J24" i="34"/>
  <c r="L24" i="34" s="1"/>
  <c r="K23" i="34"/>
  <c r="J23" i="34"/>
  <c r="L23" i="34" s="1"/>
  <c r="K22" i="34"/>
  <c r="J22" i="34"/>
  <c r="L22" i="34" s="1"/>
  <c r="K21" i="34"/>
  <c r="J21" i="34"/>
  <c r="L21" i="34" s="1"/>
  <c r="K20" i="34"/>
  <c r="J20" i="34"/>
  <c r="L20" i="34" s="1"/>
  <c r="K19" i="34"/>
  <c r="J19" i="34"/>
  <c r="L19" i="34" s="1"/>
  <c r="K18" i="34"/>
  <c r="J18" i="34"/>
  <c r="R17" i="34"/>
  <c r="H17" i="34"/>
  <c r="G17" i="34"/>
  <c r="D15" i="34"/>
  <c r="P10" i="34"/>
  <c r="P1" i="34"/>
  <c r="P8" i="34" s="1"/>
  <c r="Q61" i="33"/>
  <c r="F61" i="33"/>
  <c r="E61" i="33"/>
  <c r="K60" i="33"/>
  <c r="J60" i="33"/>
  <c r="L60" i="33" s="1"/>
  <c r="K59" i="33"/>
  <c r="J59" i="33"/>
  <c r="L59" i="33" s="1"/>
  <c r="K58" i="33"/>
  <c r="J58" i="33"/>
  <c r="L58" i="33" s="1"/>
  <c r="K57" i="33"/>
  <c r="J57" i="33"/>
  <c r="L57" i="33" s="1"/>
  <c r="K56" i="33"/>
  <c r="J56" i="33"/>
  <c r="L56" i="33" s="1"/>
  <c r="K55" i="33"/>
  <c r="J55" i="33"/>
  <c r="L55" i="33" s="1"/>
  <c r="K54" i="33"/>
  <c r="J54" i="33"/>
  <c r="L54" i="33" s="1"/>
  <c r="K53" i="33"/>
  <c r="J53" i="33"/>
  <c r="L53" i="33" s="1"/>
  <c r="K52" i="33"/>
  <c r="J52" i="33"/>
  <c r="L52" i="33" s="1"/>
  <c r="K51" i="33"/>
  <c r="J51" i="33"/>
  <c r="L51" i="33" s="1"/>
  <c r="K50" i="33"/>
  <c r="J50" i="33"/>
  <c r="L50" i="33" s="1"/>
  <c r="K49" i="33"/>
  <c r="J49" i="33"/>
  <c r="L49" i="33" s="1"/>
  <c r="K48" i="33"/>
  <c r="J48" i="33"/>
  <c r="L48" i="33" s="1"/>
  <c r="K47" i="33"/>
  <c r="J47" i="33"/>
  <c r="L47" i="33" s="1"/>
  <c r="K46" i="33"/>
  <c r="J46" i="33"/>
  <c r="L46" i="33" s="1"/>
  <c r="K45" i="33"/>
  <c r="J45" i="33"/>
  <c r="L45" i="33" s="1"/>
  <c r="K44" i="33"/>
  <c r="J44" i="33"/>
  <c r="L44" i="33" s="1"/>
  <c r="K43" i="33"/>
  <c r="J43" i="33"/>
  <c r="L43" i="33" s="1"/>
  <c r="K42" i="33"/>
  <c r="J42" i="33"/>
  <c r="L42" i="33" s="1"/>
  <c r="K41" i="33"/>
  <c r="J41" i="33"/>
  <c r="L41" i="33" s="1"/>
  <c r="K40" i="33"/>
  <c r="J40" i="33"/>
  <c r="L40" i="33" s="1"/>
  <c r="K39" i="33"/>
  <c r="J39" i="33"/>
  <c r="L39" i="33" s="1"/>
  <c r="K38" i="33"/>
  <c r="J38" i="33"/>
  <c r="L38" i="33" s="1"/>
  <c r="K37" i="33"/>
  <c r="J37" i="33"/>
  <c r="L37" i="33" s="1"/>
  <c r="K36" i="33"/>
  <c r="J36" i="33"/>
  <c r="L36" i="33" s="1"/>
  <c r="K35" i="33"/>
  <c r="J35" i="33"/>
  <c r="L35" i="33" s="1"/>
  <c r="K34" i="33"/>
  <c r="J34" i="33"/>
  <c r="L34" i="33" s="1"/>
  <c r="K33" i="33"/>
  <c r="J33" i="33"/>
  <c r="L33" i="33" s="1"/>
  <c r="K32" i="33"/>
  <c r="J32" i="33"/>
  <c r="L32" i="33" s="1"/>
  <c r="K31" i="33"/>
  <c r="J31" i="33"/>
  <c r="L31" i="33" s="1"/>
  <c r="K30" i="33"/>
  <c r="J30" i="33"/>
  <c r="L30" i="33" s="1"/>
  <c r="K29" i="33"/>
  <c r="J29" i="33"/>
  <c r="L29" i="33" s="1"/>
  <c r="K28" i="33"/>
  <c r="J28" i="33"/>
  <c r="L28" i="33" s="1"/>
  <c r="K27" i="33"/>
  <c r="J27" i="33"/>
  <c r="L27" i="33" s="1"/>
  <c r="K26" i="33"/>
  <c r="J26" i="33"/>
  <c r="L26" i="33" s="1"/>
  <c r="K25" i="33"/>
  <c r="J25" i="33"/>
  <c r="L25" i="33" s="1"/>
  <c r="K24" i="33"/>
  <c r="J24" i="33"/>
  <c r="L24" i="33" s="1"/>
  <c r="K23" i="33"/>
  <c r="J23" i="33"/>
  <c r="L23" i="33" s="1"/>
  <c r="K22" i="33"/>
  <c r="J22" i="33"/>
  <c r="L22" i="33" s="1"/>
  <c r="K21" i="33"/>
  <c r="J21" i="33"/>
  <c r="L21" i="33" s="1"/>
  <c r="K20" i="33"/>
  <c r="J20" i="33"/>
  <c r="L20" i="33" s="1"/>
  <c r="K19" i="33"/>
  <c r="J19" i="33"/>
  <c r="L19" i="33" s="1"/>
  <c r="K18" i="33"/>
  <c r="J18" i="33"/>
  <c r="R17" i="33"/>
  <c r="H17" i="33"/>
  <c r="G17" i="33"/>
  <c r="D15" i="33"/>
  <c r="P10" i="33"/>
  <c r="P1" i="33"/>
  <c r="P8" i="33" s="1"/>
  <c r="Q61" i="32"/>
  <c r="F61" i="32"/>
  <c r="E61" i="32"/>
  <c r="K60" i="32"/>
  <c r="J60" i="32"/>
  <c r="L60" i="32" s="1"/>
  <c r="K59" i="32"/>
  <c r="J59" i="32"/>
  <c r="L59" i="32" s="1"/>
  <c r="K58" i="32"/>
  <c r="J58" i="32"/>
  <c r="L58" i="32" s="1"/>
  <c r="K57" i="32"/>
  <c r="J57" i="32"/>
  <c r="L57" i="32" s="1"/>
  <c r="K56" i="32"/>
  <c r="J56" i="32"/>
  <c r="L56" i="32" s="1"/>
  <c r="K55" i="32"/>
  <c r="J55" i="32"/>
  <c r="L55" i="32" s="1"/>
  <c r="K54" i="32"/>
  <c r="J54" i="32"/>
  <c r="L54" i="32" s="1"/>
  <c r="K53" i="32"/>
  <c r="J53" i="32"/>
  <c r="L53" i="32" s="1"/>
  <c r="K52" i="32"/>
  <c r="J52" i="32"/>
  <c r="L52" i="32" s="1"/>
  <c r="K51" i="32"/>
  <c r="J51" i="32"/>
  <c r="L51" i="32" s="1"/>
  <c r="K50" i="32"/>
  <c r="J50" i="32"/>
  <c r="L50" i="32" s="1"/>
  <c r="K49" i="32"/>
  <c r="J49" i="32"/>
  <c r="L49" i="32" s="1"/>
  <c r="K48" i="32"/>
  <c r="J48" i="32"/>
  <c r="L48" i="32" s="1"/>
  <c r="K47" i="32"/>
  <c r="J47" i="32"/>
  <c r="L47" i="32" s="1"/>
  <c r="K46" i="32"/>
  <c r="J46" i="32"/>
  <c r="L46" i="32" s="1"/>
  <c r="K45" i="32"/>
  <c r="J45" i="32"/>
  <c r="L45" i="32" s="1"/>
  <c r="K44" i="32"/>
  <c r="J44" i="32"/>
  <c r="L44" i="32" s="1"/>
  <c r="K43" i="32"/>
  <c r="J43" i="32"/>
  <c r="L43" i="32" s="1"/>
  <c r="K42" i="32"/>
  <c r="J42" i="32"/>
  <c r="L42" i="32" s="1"/>
  <c r="K41" i="32"/>
  <c r="J41" i="32"/>
  <c r="L41" i="32" s="1"/>
  <c r="K40" i="32"/>
  <c r="J40" i="32"/>
  <c r="L40" i="32" s="1"/>
  <c r="K39" i="32"/>
  <c r="J39" i="32"/>
  <c r="L39" i="32" s="1"/>
  <c r="K38" i="32"/>
  <c r="J38" i="32"/>
  <c r="L38" i="32" s="1"/>
  <c r="K37" i="32"/>
  <c r="J37" i="32"/>
  <c r="L37" i="32" s="1"/>
  <c r="K36" i="32"/>
  <c r="J36" i="32"/>
  <c r="L36" i="32" s="1"/>
  <c r="K35" i="32"/>
  <c r="J35" i="32"/>
  <c r="L35" i="32" s="1"/>
  <c r="K34" i="32"/>
  <c r="J34" i="32"/>
  <c r="L34" i="32" s="1"/>
  <c r="K33" i="32"/>
  <c r="J33" i="32"/>
  <c r="L33" i="32" s="1"/>
  <c r="K32" i="32"/>
  <c r="J32" i="32"/>
  <c r="L32" i="32" s="1"/>
  <c r="K31" i="32"/>
  <c r="J31" i="32"/>
  <c r="L31" i="32" s="1"/>
  <c r="K30" i="32"/>
  <c r="J30" i="32"/>
  <c r="L30" i="32" s="1"/>
  <c r="K29" i="32"/>
  <c r="J29" i="32"/>
  <c r="L29" i="32" s="1"/>
  <c r="K28" i="32"/>
  <c r="J28" i="32"/>
  <c r="L28" i="32" s="1"/>
  <c r="K27" i="32"/>
  <c r="J27" i="32"/>
  <c r="L27" i="32" s="1"/>
  <c r="K26" i="32"/>
  <c r="J26" i="32"/>
  <c r="L26" i="32" s="1"/>
  <c r="K25" i="32"/>
  <c r="J25" i="32"/>
  <c r="L25" i="32" s="1"/>
  <c r="K24" i="32"/>
  <c r="J24" i="32"/>
  <c r="L24" i="32" s="1"/>
  <c r="K23" i="32"/>
  <c r="J23" i="32"/>
  <c r="L23" i="32" s="1"/>
  <c r="K22" i="32"/>
  <c r="J22" i="32"/>
  <c r="L22" i="32" s="1"/>
  <c r="K21" i="32"/>
  <c r="J21" i="32"/>
  <c r="L21" i="32" s="1"/>
  <c r="K20" i="32"/>
  <c r="J20" i="32"/>
  <c r="L20" i="32" s="1"/>
  <c r="K19" i="32"/>
  <c r="J19" i="32"/>
  <c r="L19" i="32" s="1"/>
  <c r="K18" i="32"/>
  <c r="J18" i="32"/>
  <c r="R17" i="32"/>
  <c r="H17" i="32"/>
  <c r="G17" i="32"/>
  <c r="D15" i="32"/>
  <c r="P10" i="32"/>
  <c r="P1" i="32"/>
  <c r="P8" i="32" s="1"/>
  <c r="Q61" i="31"/>
  <c r="F61" i="31"/>
  <c r="E61" i="31"/>
  <c r="K60" i="31"/>
  <c r="J60" i="31"/>
  <c r="L60" i="31" s="1"/>
  <c r="K59" i="31"/>
  <c r="J59" i="31"/>
  <c r="L59" i="31" s="1"/>
  <c r="K58" i="31"/>
  <c r="J58" i="31"/>
  <c r="L58" i="31" s="1"/>
  <c r="K57" i="31"/>
  <c r="J57" i="31"/>
  <c r="L57" i="31" s="1"/>
  <c r="K56" i="31"/>
  <c r="J56" i="31"/>
  <c r="L56" i="31" s="1"/>
  <c r="K55" i="31"/>
  <c r="J55" i="31"/>
  <c r="L55" i="31" s="1"/>
  <c r="K54" i="31"/>
  <c r="J54" i="31"/>
  <c r="L54" i="31" s="1"/>
  <c r="K53" i="31"/>
  <c r="J53" i="31"/>
  <c r="L53" i="31" s="1"/>
  <c r="K52" i="31"/>
  <c r="J52" i="31"/>
  <c r="L52" i="31" s="1"/>
  <c r="K51" i="31"/>
  <c r="J51" i="31"/>
  <c r="L51" i="31" s="1"/>
  <c r="K50" i="31"/>
  <c r="J50" i="31"/>
  <c r="L50" i="31" s="1"/>
  <c r="K49" i="31"/>
  <c r="J49" i="31"/>
  <c r="L49" i="31" s="1"/>
  <c r="K48" i="31"/>
  <c r="J48" i="31"/>
  <c r="L48" i="31" s="1"/>
  <c r="K47" i="31"/>
  <c r="J47" i="31"/>
  <c r="L47" i="31" s="1"/>
  <c r="K46" i="31"/>
  <c r="J46" i="31"/>
  <c r="L46" i="31" s="1"/>
  <c r="K45" i="31"/>
  <c r="J45" i="31"/>
  <c r="L45" i="31" s="1"/>
  <c r="K44" i="31"/>
  <c r="J44" i="31"/>
  <c r="L44" i="31" s="1"/>
  <c r="K43" i="31"/>
  <c r="J43" i="31"/>
  <c r="L43" i="31" s="1"/>
  <c r="K42" i="31"/>
  <c r="J42" i="31"/>
  <c r="L42" i="31" s="1"/>
  <c r="K41" i="31"/>
  <c r="J41" i="31"/>
  <c r="L41" i="31" s="1"/>
  <c r="K40" i="31"/>
  <c r="J40" i="31"/>
  <c r="L40" i="31" s="1"/>
  <c r="K39" i="31"/>
  <c r="J39" i="31"/>
  <c r="L39" i="31" s="1"/>
  <c r="K38" i="31"/>
  <c r="J38" i="31"/>
  <c r="L38" i="31" s="1"/>
  <c r="K37" i="31"/>
  <c r="J37" i="31"/>
  <c r="L37" i="31" s="1"/>
  <c r="K36" i="31"/>
  <c r="J36" i="31"/>
  <c r="L36" i="31" s="1"/>
  <c r="K35" i="31"/>
  <c r="J35" i="31"/>
  <c r="L35" i="31" s="1"/>
  <c r="K34" i="31"/>
  <c r="J34" i="31"/>
  <c r="L34" i="31" s="1"/>
  <c r="K33" i="31"/>
  <c r="J33" i="31"/>
  <c r="L33" i="31" s="1"/>
  <c r="K32" i="31"/>
  <c r="J32" i="31"/>
  <c r="L32" i="31" s="1"/>
  <c r="K31" i="31"/>
  <c r="J31" i="31"/>
  <c r="L31" i="31" s="1"/>
  <c r="K30" i="31"/>
  <c r="J30" i="31"/>
  <c r="L30" i="31" s="1"/>
  <c r="K29" i="31"/>
  <c r="J29" i="31"/>
  <c r="L29" i="31" s="1"/>
  <c r="K28" i="31"/>
  <c r="J28" i="31"/>
  <c r="L28" i="31" s="1"/>
  <c r="K27" i="31"/>
  <c r="J27" i="31"/>
  <c r="L27" i="31" s="1"/>
  <c r="K26" i="31"/>
  <c r="J26" i="31"/>
  <c r="L26" i="31" s="1"/>
  <c r="K25" i="31"/>
  <c r="J25" i="31"/>
  <c r="L25" i="31" s="1"/>
  <c r="K24" i="31"/>
  <c r="J24" i="31"/>
  <c r="L24" i="31" s="1"/>
  <c r="K23" i="31"/>
  <c r="J23" i="31"/>
  <c r="L23" i="31" s="1"/>
  <c r="K22" i="31"/>
  <c r="J22" i="31"/>
  <c r="L22" i="31" s="1"/>
  <c r="K21" i="31"/>
  <c r="J21" i="31"/>
  <c r="L21" i="31" s="1"/>
  <c r="K20" i="31"/>
  <c r="J20" i="31"/>
  <c r="L20" i="31" s="1"/>
  <c r="K19" i="31"/>
  <c r="J19" i="31"/>
  <c r="L19" i="31" s="1"/>
  <c r="K18" i="31"/>
  <c r="J18" i="31"/>
  <c r="R17" i="31"/>
  <c r="H17" i="31"/>
  <c r="G17" i="31"/>
  <c r="D15" i="31"/>
  <c r="P10" i="31"/>
  <c r="P1" i="31"/>
  <c r="P8" i="31" s="1"/>
  <c r="Q61" i="30"/>
  <c r="F61" i="30"/>
  <c r="E61" i="30"/>
  <c r="K60" i="30"/>
  <c r="J60" i="30"/>
  <c r="L60" i="30" s="1"/>
  <c r="K59" i="30"/>
  <c r="J59" i="30"/>
  <c r="L59" i="30" s="1"/>
  <c r="K58" i="30"/>
  <c r="J58" i="30"/>
  <c r="L58" i="30" s="1"/>
  <c r="K57" i="30"/>
  <c r="J57" i="30"/>
  <c r="L57" i="30" s="1"/>
  <c r="K56" i="30"/>
  <c r="J56" i="30"/>
  <c r="L56" i="30" s="1"/>
  <c r="K55" i="30"/>
  <c r="J55" i="30"/>
  <c r="L55" i="30" s="1"/>
  <c r="K54" i="30"/>
  <c r="J54" i="30"/>
  <c r="L54" i="30" s="1"/>
  <c r="K53" i="30"/>
  <c r="J53" i="30"/>
  <c r="L53" i="30" s="1"/>
  <c r="K52" i="30"/>
  <c r="J52" i="30"/>
  <c r="L52" i="30" s="1"/>
  <c r="K51" i="30"/>
  <c r="J51" i="30"/>
  <c r="L51" i="30" s="1"/>
  <c r="K50" i="30"/>
  <c r="J50" i="30"/>
  <c r="L50" i="30" s="1"/>
  <c r="K49" i="30"/>
  <c r="J49" i="30"/>
  <c r="L49" i="30" s="1"/>
  <c r="K48" i="30"/>
  <c r="J48" i="30"/>
  <c r="L48" i="30" s="1"/>
  <c r="K47" i="30"/>
  <c r="J47" i="30"/>
  <c r="L47" i="30" s="1"/>
  <c r="K46" i="30"/>
  <c r="J46" i="30"/>
  <c r="L46" i="30" s="1"/>
  <c r="K45" i="30"/>
  <c r="J45" i="30"/>
  <c r="L45" i="30" s="1"/>
  <c r="K44" i="30"/>
  <c r="J44" i="30"/>
  <c r="L44" i="30" s="1"/>
  <c r="K43" i="30"/>
  <c r="J43" i="30"/>
  <c r="L43" i="30" s="1"/>
  <c r="K42" i="30"/>
  <c r="J42" i="30"/>
  <c r="L42" i="30" s="1"/>
  <c r="K41" i="30"/>
  <c r="J41" i="30"/>
  <c r="L41" i="30" s="1"/>
  <c r="K40" i="30"/>
  <c r="J40" i="30"/>
  <c r="L40" i="30" s="1"/>
  <c r="K39" i="30"/>
  <c r="J39" i="30"/>
  <c r="L39" i="30" s="1"/>
  <c r="K38" i="30"/>
  <c r="J38" i="30"/>
  <c r="L38" i="30" s="1"/>
  <c r="K37" i="30"/>
  <c r="J37" i="30"/>
  <c r="L37" i="30" s="1"/>
  <c r="K36" i="30"/>
  <c r="J36" i="30"/>
  <c r="L36" i="30" s="1"/>
  <c r="K35" i="30"/>
  <c r="J35" i="30"/>
  <c r="L35" i="30" s="1"/>
  <c r="K34" i="30"/>
  <c r="J34" i="30"/>
  <c r="L34" i="30" s="1"/>
  <c r="K33" i="30"/>
  <c r="J33" i="30"/>
  <c r="L33" i="30" s="1"/>
  <c r="K32" i="30"/>
  <c r="J32" i="30"/>
  <c r="L32" i="30" s="1"/>
  <c r="K31" i="30"/>
  <c r="J31" i="30"/>
  <c r="L31" i="30" s="1"/>
  <c r="K30" i="30"/>
  <c r="J30" i="30"/>
  <c r="L30" i="30" s="1"/>
  <c r="K29" i="30"/>
  <c r="J29" i="30"/>
  <c r="L29" i="30" s="1"/>
  <c r="K28" i="30"/>
  <c r="J28" i="30"/>
  <c r="L28" i="30" s="1"/>
  <c r="K27" i="30"/>
  <c r="J27" i="30"/>
  <c r="L27" i="30" s="1"/>
  <c r="K26" i="30"/>
  <c r="J26" i="30"/>
  <c r="L26" i="30" s="1"/>
  <c r="K25" i="30"/>
  <c r="J25" i="30"/>
  <c r="L25" i="30" s="1"/>
  <c r="K24" i="30"/>
  <c r="J24" i="30"/>
  <c r="L24" i="30" s="1"/>
  <c r="K23" i="30"/>
  <c r="J23" i="30"/>
  <c r="L23" i="30" s="1"/>
  <c r="K22" i="30"/>
  <c r="J22" i="30"/>
  <c r="L22" i="30" s="1"/>
  <c r="K21" i="30"/>
  <c r="J21" i="30"/>
  <c r="L21" i="30" s="1"/>
  <c r="K20" i="30"/>
  <c r="J20" i="30"/>
  <c r="L20" i="30" s="1"/>
  <c r="K19" i="30"/>
  <c r="J19" i="30"/>
  <c r="L19" i="30" s="1"/>
  <c r="K18" i="30"/>
  <c r="J18" i="30"/>
  <c r="R17" i="30"/>
  <c r="H17" i="30"/>
  <c r="G17" i="30"/>
  <c r="D15" i="30"/>
  <c r="P10" i="30"/>
  <c r="P1" i="30"/>
  <c r="P8" i="30" s="1"/>
  <c r="Q61" i="29"/>
  <c r="F61" i="29"/>
  <c r="E61" i="29"/>
  <c r="K60" i="29"/>
  <c r="J60" i="29"/>
  <c r="L60" i="29" s="1"/>
  <c r="K59" i="29"/>
  <c r="J59" i="29"/>
  <c r="L59" i="29" s="1"/>
  <c r="K58" i="29"/>
  <c r="J58" i="29"/>
  <c r="L58" i="29" s="1"/>
  <c r="K57" i="29"/>
  <c r="J57" i="29"/>
  <c r="L57" i="29" s="1"/>
  <c r="K56" i="29"/>
  <c r="J56" i="29"/>
  <c r="L56" i="29" s="1"/>
  <c r="K55" i="29"/>
  <c r="J55" i="29"/>
  <c r="L55" i="29" s="1"/>
  <c r="K54" i="29"/>
  <c r="J54" i="29"/>
  <c r="L54" i="29" s="1"/>
  <c r="K53" i="29"/>
  <c r="J53" i="29"/>
  <c r="L53" i="29" s="1"/>
  <c r="K52" i="29"/>
  <c r="J52" i="29"/>
  <c r="L52" i="29" s="1"/>
  <c r="K51" i="29"/>
  <c r="J51" i="29"/>
  <c r="L51" i="29" s="1"/>
  <c r="K50" i="29"/>
  <c r="J50" i="29"/>
  <c r="L50" i="29" s="1"/>
  <c r="K49" i="29"/>
  <c r="J49" i="29"/>
  <c r="L49" i="29" s="1"/>
  <c r="K48" i="29"/>
  <c r="J48" i="29"/>
  <c r="L48" i="29" s="1"/>
  <c r="K47" i="29"/>
  <c r="J47" i="29"/>
  <c r="L47" i="29" s="1"/>
  <c r="K46" i="29"/>
  <c r="J46" i="29"/>
  <c r="L46" i="29" s="1"/>
  <c r="K45" i="29"/>
  <c r="J45" i="29"/>
  <c r="L45" i="29" s="1"/>
  <c r="K44" i="29"/>
  <c r="J44" i="29"/>
  <c r="L44" i="29" s="1"/>
  <c r="K43" i="29"/>
  <c r="J43" i="29"/>
  <c r="L43" i="29" s="1"/>
  <c r="K42" i="29"/>
  <c r="J42" i="29"/>
  <c r="L42" i="29" s="1"/>
  <c r="K41" i="29"/>
  <c r="J41" i="29"/>
  <c r="L41" i="29" s="1"/>
  <c r="K40" i="29"/>
  <c r="J40" i="29"/>
  <c r="L40" i="29" s="1"/>
  <c r="K39" i="29"/>
  <c r="J39" i="29"/>
  <c r="L39" i="29" s="1"/>
  <c r="K38" i="29"/>
  <c r="J38" i="29"/>
  <c r="L38" i="29" s="1"/>
  <c r="K37" i="29"/>
  <c r="J37" i="29"/>
  <c r="L37" i="29" s="1"/>
  <c r="K36" i="29"/>
  <c r="J36" i="29"/>
  <c r="L36" i="29" s="1"/>
  <c r="K35" i="29"/>
  <c r="J35" i="29"/>
  <c r="L35" i="29" s="1"/>
  <c r="K34" i="29"/>
  <c r="J34" i="29"/>
  <c r="L34" i="29" s="1"/>
  <c r="K33" i="29"/>
  <c r="J33" i="29"/>
  <c r="L33" i="29" s="1"/>
  <c r="K32" i="29"/>
  <c r="J32" i="29"/>
  <c r="L32" i="29" s="1"/>
  <c r="K31" i="29"/>
  <c r="J31" i="29"/>
  <c r="L31" i="29" s="1"/>
  <c r="K30" i="29"/>
  <c r="J30" i="29"/>
  <c r="L30" i="29" s="1"/>
  <c r="K29" i="29"/>
  <c r="J29" i="29"/>
  <c r="L29" i="29" s="1"/>
  <c r="K28" i="29"/>
  <c r="J28" i="29"/>
  <c r="L28" i="29" s="1"/>
  <c r="K27" i="29"/>
  <c r="J27" i="29"/>
  <c r="L27" i="29" s="1"/>
  <c r="K26" i="29"/>
  <c r="J26" i="29"/>
  <c r="L26" i="29" s="1"/>
  <c r="K25" i="29"/>
  <c r="J25" i="29"/>
  <c r="L25" i="29" s="1"/>
  <c r="K24" i="29"/>
  <c r="J24" i="29"/>
  <c r="L24" i="29" s="1"/>
  <c r="K23" i="29"/>
  <c r="J23" i="29"/>
  <c r="L23" i="29" s="1"/>
  <c r="K22" i="29"/>
  <c r="J22" i="29"/>
  <c r="L22" i="29" s="1"/>
  <c r="K21" i="29"/>
  <c r="J21" i="29"/>
  <c r="L21" i="29" s="1"/>
  <c r="K20" i="29"/>
  <c r="J20" i="29"/>
  <c r="L20" i="29" s="1"/>
  <c r="K19" i="29"/>
  <c r="J19" i="29"/>
  <c r="L19" i="29" s="1"/>
  <c r="K18" i="29"/>
  <c r="J18" i="29"/>
  <c r="R17" i="29"/>
  <c r="H17" i="29"/>
  <c r="G17" i="29"/>
  <c r="D15" i="29"/>
  <c r="P10" i="29"/>
  <c r="P1" i="29"/>
  <c r="P8" i="29" s="1"/>
  <c r="Q61" i="28"/>
  <c r="F61" i="28"/>
  <c r="E61" i="28"/>
  <c r="K60" i="28"/>
  <c r="J60" i="28"/>
  <c r="L60" i="28" s="1"/>
  <c r="K59" i="28"/>
  <c r="J59" i="28"/>
  <c r="L59" i="28" s="1"/>
  <c r="K58" i="28"/>
  <c r="J58" i="28"/>
  <c r="L58" i="28" s="1"/>
  <c r="K57" i="28"/>
  <c r="J57" i="28"/>
  <c r="L57" i="28" s="1"/>
  <c r="K56" i="28"/>
  <c r="J56" i="28"/>
  <c r="L56" i="28" s="1"/>
  <c r="K55" i="28"/>
  <c r="J55" i="28"/>
  <c r="L55" i="28" s="1"/>
  <c r="K54" i="28"/>
  <c r="J54" i="28"/>
  <c r="L54" i="28" s="1"/>
  <c r="K53" i="28"/>
  <c r="J53" i="28"/>
  <c r="L53" i="28" s="1"/>
  <c r="K52" i="28"/>
  <c r="J52" i="28"/>
  <c r="L52" i="28" s="1"/>
  <c r="K51" i="28"/>
  <c r="J51" i="28"/>
  <c r="L51" i="28" s="1"/>
  <c r="K50" i="28"/>
  <c r="J50" i="28"/>
  <c r="L50" i="28" s="1"/>
  <c r="K49" i="28"/>
  <c r="J49" i="28"/>
  <c r="L49" i="28" s="1"/>
  <c r="K48" i="28"/>
  <c r="J48" i="28"/>
  <c r="L48" i="28" s="1"/>
  <c r="K47" i="28"/>
  <c r="J47" i="28"/>
  <c r="L47" i="28" s="1"/>
  <c r="K46" i="28"/>
  <c r="J46" i="28"/>
  <c r="L46" i="28" s="1"/>
  <c r="K45" i="28"/>
  <c r="J45" i="28"/>
  <c r="L45" i="28" s="1"/>
  <c r="K44" i="28"/>
  <c r="J44" i="28"/>
  <c r="L44" i="28" s="1"/>
  <c r="K43" i="28"/>
  <c r="J43" i="28"/>
  <c r="L43" i="28" s="1"/>
  <c r="K42" i="28"/>
  <c r="J42" i="28"/>
  <c r="L42" i="28" s="1"/>
  <c r="K41" i="28"/>
  <c r="J41" i="28"/>
  <c r="L41" i="28" s="1"/>
  <c r="K40" i="28"/>
  <c r="J40" i="28"/>
  <c r="L40" i="28" s="1"/>
  <c r="K39" i="28"/>
  <c r="J39" i="28"/>
  <c r="L39" i="28" s="1"/>
  <c r="K38" i="28"/>
  <c r="J38" i="28"/>
  <c r="L38" i="28" s="1"/>
  <c r="K37" i="28"/>
  <c r="J37" i="28"/>
  <c r="L37" i="28" s="1"/>
  <c r="K36" i="28"/>
  <c r="J36" i="28"/>
  <c r="L36" i="28" s="1"/>
  <c r="K35" i="28"/>
  <c r="J35" i="28"/>
  <c r="L35" i="28" s="1"/>
  <c r="K34" i="28"/>
  <c r="J34" i="28"/>
  <c r="L34" i="28" s="1"/>
  <c r="K33" i="28"/>
  <c r="J33" i="28"/>
  <c r="L33" i="28" s="1"/>
  <c r="K32" i="28"/>
  <c r="J32" i="28"/>
  <c r="L32" i="28" s="1"/>
  <c r="K31" i="28"/>
  <c r="J31" i="28"/>
  <c r="L31" i="28" s="1"/>
  <c r="K30" i="28"/>
  <c r="J30" i="28"/>
  <c r="L30" i="28" s="1"/>
  <c r="K29" i="28"/>
  <c r="J29" i="28"/>
  <c r="L29" i="28" s="1"/>
  <c r="K28" i="28"/>
  <c r="J28" i="28"/>
  <c r="L28" i="28" s="1"/>
  <c r="K27" i="28"/>
  <c r="J27" i="28"/>
  <c r="L27" i="28" s="1"/>
  <c r="K26" i="28"/>
  <c r="J26" i="28"/>
  <c r="L26" i="28" s="1"/>
  <c r="K25" i="28"/>
  <c r="J25" i="28"/>
  <c r="L25" i="28" s="1"/>
  <c r="K24" i="28"/>
  <c r="J24" i="28"/>
  <c r="L24" i="28" s="1"/>
  <c r="K23" i="28"/>
  <c r="J23" i="28"/>
  <c r="L23" i="28" s="1"/>
  <c r="K22" i="28"/>
  <c r="J22" i="28"/>
  <c r="L22" i="28" s="1"/>
  <c r="K21" i="28"/>
  <c r="J21" i="28"/>
  <c r="L21" i="28" s="1"/>
  <c r="K20" i="28"/>
  <c r="J20" i="28"/>
  <c r="L20" i="28" s="1"/>
  <c r="K19" i="28"/>
  <c r="J19" i="28"/>
  <c r="L19" i="28" s="1"/>
  <c r="K18" i="28"/>
  <c r="J18" i="28"/>
  <c r="R17" i="28"/>
  <c r="H17" i="28"/>
  <c r="G17" i="28"/>
  <c r="D15" i="28"/>
  <c r="P10" i="28"/>
  <c r="P1" i="28"/>
  <c r="P8" i="28" s="1"/>
  <c r="Q61" i="27"/>
  <c r="F61" i="27"/>
  <c r="E61" i="27"/>
  <c r="K60" i="27"/>
  <c r="J60" i="27"/>
  <c r="L60" i="27" s="1"/>
  <c r="K59" i="27"/>
  <c r="J59" i="27"/>
  <c r="L59" i="27" s="1"/>
  <c r="K58" i="27"/>
  <c r="J58" i="27"/>
  <c r="L58" i="27" s="1"/>
  <c r="K57" i="27"/>
  <c r="J57" i="27"/>
  <c r="L57" i="27" s="1"/>
  <c r="K56" i="27"/>
  <c r="J56" i="27"/>
  <c r="L56" i="27" s="1"/>
  <c r="K55" i="27"/>
  <c r="J55" i="27"/>
  <c r="L55" i="27" s="1"/>
  <c r="K54" i="27"/>
  <c r="J54" i="27"/>
  <c r="L54" i="27" s="1"/>
  <c r="K53" i="27"/>
  <c r="J53" i="27"/>
  <c r="L53" i="27" s="1"/>
  <c r="K52" i="27"/>
  <c r="J52" i="27"/>
  <c r="L52" i="27" s="1"/>
  <c r="K51" i="27"/>
  <c r="J51" i="27"/>
  <c r="L51" i="27" s="1"/>
  <c r="K50" i="27"/>
  <c r="J50" i="27"/>
  <c r="L50" i="27" s="1"/>
  <c r="K49" i="27"/>
  <c r="J49" i="27"/>
  <c r="L49" i="27" s="1"/>
  <c r="K48" i="27"/>
  <c r="J48" i="27"/>
  <c r="L48" i="27" s="1"/>
  <c r="K47" i="27"/>
  <c r="J47" i="27"/>
  <c r="L47" i="27" s="1"/>
  <c r="K46" i="27"/>
  <c r="J46" i="27"/>
  <c r="L46" i="27" s="1"/>
  <c r="K45" i="27"/>
  <c r="J45" i="27"/>
  <c r="L45" i="27" s="1"/>
  <c r="K44" i="27"/>
  <c r="J44" i="27"/>
  <c r="L44" i="27" s="1"/>
  <c r="K43" i="27"/>
  <c r="J43" i="27"/>
  <c r="L43" i="27" s="1"/>
  <c r="K42" i="27"/>
  <c r="J42" i="27"/>
  <c r="L42" i="27" s="1"/>
  <c r="K41" i="27"/>
  <c r="J41" i="27"/>
  <c r="L41" i="27" s="1"/>
  <c r="K40" i="27"/>
  <c r="J40" i="27"/>
  <c r="L40" i="27" s="1"/>
  <c r="K39" i="27"/>
  <c r="J39" i="27"/>
  <c r="L39" i="27" s="1"/>
  <c r="K38" i="27"/>
  <c r="J38" i="27"/>
  <c r="L38" i="27" s="1"/>
  <c r="K37" i="27"/>
  <c r="J37" i="27"/>
  <c r="L37" i="27" s="1"/>
  <c r="K36" i="27"/>
  <c r="J36" i="27"/>
  <c r="L36" i="27" s="1"/>
  <c r="K35" i="27"/>
  <c r="J35" i="27"/>
  <c r="L35" i="27" s="1"/>
  <c r="K34" i="27"/>
  <c r="J34" i="27"/>
  <c r="L34" i="27" s="1"/>
  <c r="K33" i="27"/>
  <c r="J33" i="27"/>
  <c r="L33" i="27" s="1"/>
  <c r="K32" i="27"/>
  <c r="J32" i="27"/>
  <c r="L32" i="27" s="1"/>
  <c r="K31" i="27"/>
  <c r="J31" i="27"/>
  <c r="L31" i="27" s="1"/>
  <c r="K30" i="27"/>
  <c r="J30" i="27"/>
  <c r="L30" i="27" s="1"/>
  <c r="K29" i="27"/>
  <c r="J29" i="27"/>
  <c r="L29" i="27" s="1"/>
  <c r="K28" i="27"/>
  <c r="J28" i="27"/>
  <c r="L28" i="27" s="1"/>
  <c r="K27" i="27"/>
  <c r="J27" i="27"/>
  <c r="L27" i="27" s="1"/>
  <c r="K26" i="27"/>
  <c r="J26" i="27"/>
  <c r="L26" i="27" s="1"/>
  <c r="K25" i="27"/>
  <c r="J25" i="27"/>
  <c r="L25" i="27" s="1"/>
  <c r="K24" i="27"/>
  <c r="J24" i="27"/>
  <c r="L24" i="27" s="1"/>
  <c r="K23" i="27"/>
  <c r="J23" i="27"/>
  <c r="L23" i="27" s="1"/>
  <c r="K22" i="27"/>
  <c r="J22" i="27"/>
  <c r="L22" i="27" s="1"/>
  <c r="K21" i="27"/>
  <c r="J21" i="27"/>
  <c r="L21" i="27" s="1"/>
  <c r="K20" i="27"/>
  <c r="J20" i="27"/>
  <c r="L20" i="27" s="1"/>
  <c r="K19" i="27"/>
  <c r="J19" i="27"/>
  <c r="L19" i="27" s="1"/>
  <c r="K18" i="27"/>
  <c r="J18" i="27"/>
  <c r="R17" i="27"/>
  <c r="H17" i="27"/>
  <c r="G17" i="27"/>
  <c r="D15" i="27"/>
  <c r="P10" i="27"/>
  <c r="P1" i="27"/>
  <c r="P8" i="27" s="1"/>
  <c r="Q61" i="26"/>
  <c r="F61" i="26"/>
  <c r="E61" i="26"/>
  <c r="K60" i="26"/>
  <c r="J60" i="26"/>
  <c r="L60" i="26" s="1"/>
  <c r="K59" i="26"/>
  <c r="J59" i="26"/>
  <c r="L59" i="26" s="1"/>
  <c r="K58" i="26"/>
  <c r="J58" i="26"/>
  <c r="L58" i="26" s="1"/>
  <c r="K57" i="26"/>
  <c r="J57" i="26"/>
  <c r="L57" i="26" s="1"/>
  <c r="K56" i="26"/>
  <c r="J56" i="26"/>
  <c r="L56" i="26" s="1"/>
  <c r="K55" i="26"/>
  <c r="J55" i="26"/>
  <c r="L55" i="26" s="1"/>
  <c r="K54" i="26"/>
  <c r="J54" i="26"/>
  <c r="L54" i="26" s="1"/>
  <c r="K53" i="26"/>
  <c r="J53" i="26"/>
  <c r="L53" i="26" s="1"/>
  <c r="K52" i="26"/>
  <c r="J52" i="26"/>
  <c r="L52" i="26" s="1"/>
  <c r="K51" i="26"/>
  <c r="J51" i="26"/>
  <c r="L51" i="26" s="1"/>
  <c r="K50" i="26"/>
  <c r="J50" i="26"/>
  <c r="L50" i="26" s="1"/>
  <c r="K49" i="26"/>
  <c r="J49" i="26"/>
  <c r="L49" i="26" s="1"/>
  <c r="K48" i="26"/>
  <c r="J48" i="26"/>
  <c r="L48" i="26" s="1"/>
  <c r="K47" i="26"/>
  <c r="J47" i="26"/>
  <c r="L47" i="26" s="1"/>
  <c r="K46" i="26"/>
  <c r="J46" i="26"/>
  <c r="L46" i="26" s="1"/>
  <c r="K45" i="26"/>
  <c r="J45" i="26"/>
  <c r="L45" i="26" s="1"/>
  <c r="K44" i="26"/>
  <c r="J44" i="26"/>
  <c r="L44" i="26" s="1"/>
  <c r="K43" i="26"/>
  <c r="J43" i="26"/>
  <c r="L43" i="26" s="1"/>
  <c r="K42" i="26"/>
  <c r="J42" i="26"/>
  <c r="L42" i="26" s="1"/>
  <c r="K41" i="26"/>
  <c r="J41" i="26"/>
  <c r="L41" i="26" s="1"/>
  <c r="K40" i="26"/>
  <c r="J40" i="26"/>
  <c r="L40" i="26" s="1"/>
  <c r="K39" i="26"/>
  <c r="J39" i="26"/>
  <c r="L39" i="26" s="1"/>
  <c r="K38" i="26"/>
  <c r="J38" i="26"/>
  <c r="L38" i="26" s="1"/>
  <c r="K37" i="26"/>
  <c r="J37" i="26"/>
  <c r="L37" i="26" s="1"/>
  <c r="K36" i="26"/>
  <c r="J36" i="26"/>
  <c r="L36" i="26" s="1"/>
  <c r="K35" i="26"/>
  <c r="J35" i="26"/>
  <c r="L35" i="26" s="1"/>
  <c r="K34" i="26"/>
  <c r="J34" i="26"/>
  <c r="L34" i="26" s="1"/>
  <c r="K33" i="26"/>
  <c r="J33" i="26"/>
  <c r="L33" i="26" s="1"/>
  <c r="K32" i="26"/>
  <c r="J32" i="26"/>
  <c r="L32" i="26" s="1"/>
  <c r="K31" i="26"/>
  <c r="J31" i="26"/>
  <c r="L31" i="26" s="1"/>
  <c r="K30" i="26"/>
  <c r="J30" i="26"/>
  <c r="L30" i="26" s="1"/>
  <c r="K29" i="26"/>
  <c r="J29" i="26"/>
  <c r="L29" i="26" s="1"/>
  <c r="K28" i="26"/>
  <c r="J28" i="26"/>
  <c r="L28" i="26" s="1"/>
  <c r="K27" i="26"/>
  <c r="J27" i="26"/>
  <c r="L27" i="26" s="1"/>
  <c r="K26" i="26"/>
  <c r="J26" i="26"/>
  <c r="L26" i="26" s="1"/>
  <c r="K25" i="26"/>
  <c r="J25" i="26"/>
  <c r="L25" i="26" s="1"/>
  <c r="K24" i="26"/>
  <c r="J24" i="26"/>
  <c r="L24" i="26" s="1"/>
  <c r="K23" i="26"/>
  <c r="J23" i="26"/>
  <c r="L23" i="26" s="1"/>
  <c r="K22" i="26"/>
  <c r="J22" i="26"/>
  <c r="L22" i="26" s="1"/>
  <c r="K21" i="26"/>
  <c r="J21" i="26"/>
  <c r="L21" i="26" s="1"/>
  <c r="K20" i="26"/>
  <c r="J20" i="26"/>
  <c r="L20" i="26" s="1"/>
  <c r="K19" i="26"/>
  <c r="J19" i="26"/>
  <c r="L19" i="26" s="1"/>
  <c r="K18" i="26"/>
  <c r="J18" i="26"/>
  <c r="R17" i="26"/>
  <c r="H17" i="26"/>
  <c r="G17" i="26"/>
  <c r="D15" i="26"/>
  <c r="P10" i="26"/>
  <c r="P1" i="26"/>
  <c r="P8" i="26" s="1"/>
  <c r="Q61" i="25"/>
  <c r="F61" i="25"/>
  <c r="E61" i="25"/>
  <c r="K60" i="25"/>
  <c r="J60" i="25"/>
  <c r="L60" i="25" s="1"/>
  <c r="K59" i="25"/>
  <c r="J59" i="25"/>
  <c r="L59" i="25" s="1"/>
  <c r="K58" i="25"/>
  <c r="J58" i="25"/>
  <c r="L58" i="25" s="1"/>
  <c r="K57" i="25"/>
  <c r="J57" i="25"/>
  <c r="L57" i="25" s="1"/>
  <c r="K56" i="25"/>
  <c r="J56" i="25"/>
  <c r="L56" i="25" s="1"/>
  <c r="K55" i="25"/>
  <c r="J55" i="25"/>
  <c r="L55" i="25" s="1"/>
  <c r="K54" i="25"/>
  <c r="J54" i="25"/>
  <c r="L54" i="25" s="1"/>
  <c r="K53" i="25"/>
  <c r="J53" i="25"/>
  <c r="L53" i="25" s="1"/>
  <c r="K52" i="25"/>
  <c r="J52" i="25"/>
  <c r="L52" i="25" s="1"/>
  <c r="K51" i="25"/>
  <c r="J51" i="25"/>
  <c r="L51" i="25" s="1"/>
  <c r="K50" i="25"/>
  <c r="J50" i="25"/>
  <c r="L50" i="25" s="1"/>
  <c r="K49" i="25"/>
  <c r="J49" i="25"/>
  <c r="L49" i="25" s="1"/>
  <c r="K48" i="25"/>
  <c r="J48" i="25"/>
  <c r="L48" i="25" s="1"/>
  <c r="K47" i="25"/>
  <c r="J47" i="25"/>
  <c r="L47" i="25" s="1"/>
  <c r="K46" i="25"/>
  <c r="J46" i="25"/>
  <c r="L46" i="25" s="1"/>
  <c r="K45" i="25"/>
  <c r="J45" i="25"/>
  <c r="L45" i="25" s="1"/>
  <c r="K44" i="25"/>
  <c r="J44" i="25"/>
  <c r="L44" i="25" s="1"/>
  <c r="K43" i="25"/>
  <c r="J43" i="25"/>
  <c r="L43" i="25" s="1"/>
  <c r="K42" i="25"/>
  <c r="J42" i="25"/>
  <c r="L42" i="25" s="1"/>
  <c r="K41" i="25"/>
  <c r="J41" i="25"/>
  <c r="L41" i="25" s="1"/>
  <c r="K40" i="25"/>
  <c r="J40" i="25"/>
  <c r="L40" i="25" s="1"/>
  <c r="K39" i="25"/>
  <c r="J39" i="25"/>
  <c r="L39" i="25" s="1"/>
  <c r="K38" i="25"/>
  <c r="J38" i="25"/>
  <c r="L38" i="25" s="1"/>
  <c r="K37" i="25"/>
  <c r="J37" i="25"/>
  <c r="L37" i="25" s="1"/>
  <c r="K36" i="25"/>
  <c r="J36" i="25"/>
  <c r="L36" i="25" s="1"/>
  <c r="K35" i="25"/>
  <c r="J35" i="25"/>
  <c r="L35" i="25" s="1"/>
  <c r="K34" i="25"/>
  <c r="J34" i="25"/>
  <c r="L34" i="25" s="1"/>
  <c r="K33" i="25"/>
  <c r="J33" i="25"/>
  <c r="L33" i="25" s="1"/>
  <c r="K32" i="25"/>
  <c r="J32" i="25"/>
  <c r="L32" i="25" s="1"/>
  <c r="K31" i="25"/>
  <c r="J31" i="25"/>
  <c r="L31" i="25" s="1"/>
  <c r="K30" i="25"/>
  <c r="J30" i="25"/>
  <c r="L30" i="25" s="1"/>
  <c r="K29" i="25"/>
  <c r="J29" i="25"/>
  <c r="L29" i="25" s="1"/>
  <c r="K28" i="25"/>
  <c r="J28" i="25"/>
  <c r="L28" i="25" s="1"/>
  <c r="K27" i="25"/>
  <c r="J27" i="25"/>
  <c r="L27" i="25" s="1"/>
  <c r="K26" i="25"/>
  <c r="J26" i="25"/>
  <c r="L26" i="25" s="1"/>
  <c r="K25" i="25"/>
  <c r="J25" i="25"/>
  <c r="L25" i="25" s="1"/>
  <c r="K24" i="25"/>
  <c r="J24" i="25"/>
  <c r="L24" i="25" s="1"/>
  <c r="K23" i="25"/>
  <c r="J23" i="25"/>
  <c r="L23" i="25" s="1"/>
  <c r="K22" i="25"/>
  <c r="J22" i="25"/>
  <c r="L22" i="25" s="1"/>
  <c r="K21" i="25"/>
  <c r="J21" i="25"/>
  <c r="L21" i="25" s="1"/>
  <c r="K20" i="25"/>
  <c r="J20" i="25"/>
  <c r="L20" i="25" s="1"/>
  <c r="K19" i="25"/>
  <c r="J19" i="25"/>
  <c r="L19" i="25" s="1"/>
  <c r="K18" i="25"/>
  <c r="J18" i="25"/>
  <c r="R17" i="25"/>
  <c r="H17" i="25"/>
  <c r="G17" i="25"/>
  <c r="D15" i="25"/>
  <c r="P10" i="25"/>
  <c r="P1" i="25"/>
  <c r="P8" i="25" s="1"/>
  <c r="Q61" i="24"/>
  <c r="F61" i="24"/>
  <c r="E61" i="24"/>
  <c r="K60" i="24"/>
  <c r="J60" i="24"/>
  <c r="L60" i="24" s="1"/>
  <c r="K59" i="24"/>
  <c r="J59" i="24"/>
  <c r="L59" i="24" s="1"/>
  <c r="K58" i="24"/>
  <c r="J58" i="24"/>
  <c r="L58" i="24" s="1"/>
  <c r="K57" i="24"/>
  <c r="J57" i="24"/>
  <c r="L57" i="24" s="1"/>
  <c r="K56" i="24"/>
  <c r="J56" i="24"/>
  <c r="L56" i="24" s="1"/>
  <c r="K55" i="24"/>
  <c r="J55" i="24"/>
  <c r="L55" i="24" s="1"/>
  <c r="K54" i="24"/>
  <c r="J54" i="24"/>
  <c r="L54" i="24" s="1"/>
  <c r="K53" i="24"/>
  <c r="J53" i="24"/>
  <c r="L53" i="24" s="1"/>
  <c r="K52" i="24"/>
  <c r="J52" i="24"/>
  <c r="L52" i="24" s="1"/>
  <c r="K51" i="24"/>
  <c r="J51" i="24"/>
  <c r="L51" i="24" s="1"/>
  <c r="K50" i="24"/>
  <c r="J50" i="24"/>
  <c r="L50" i="24" s="1"/>
  <c r="K49" i="24"/>
  <c r="J49" i="24"/>
  <c r="L49" i="24" s="1"/>
  <c r="K48" i="24"/>
  <c r="J48" i="24"/>
  <c r="L48" i="24" s="1"/>
  <c r="K47" i="24"/>
  <c r="J47" i="24"/>
  <c r="L47" i="24" s="1"/>
  <c r="K46" i="24"/>
  <c r="J46" i="24"/>
  <c r="L46" i="24" s="1"/>
  <c r="K45" i="24"/>
  <c r="J45" i="24"/>
  <c r="L45" i="24" s="1"/>
  <c r="K44" i="24"/>
  <c r="J44" i="24"/>
  <c r="L44" i="24" s="1"/>
  <c r="K43" i="24"/>
  <c r="J43" i="24"/>
  <c r="L43" i="24" s="1"/>
  <c r="K42" i="24"/>
  <c r="J42" i="24"/>
  <c r="L42" i="24" s="1"/>
  <c r="K41" i="24"/>
  <c r="J41" i="24"/>
  <c r="L41" i="24" s="1"/>
  <c r="K40" i="24"/>
  <c r="J40" i="24"/>
  <c r="L40" i="24" s="1"/>
  <c r="K39" i="24"/>
  <c r="J39" i="24"/>
  <c r="L39" i="24" s="1"/>
  <c r="K38" i="24"/>
  <c r="J38" i="24"/>
  <c r="L38" i="24" s="1"/>
  <c r="K37" i="24"/>
  <c r="J37" i="24"/>
  <c r="L37" i="24" s="1"/>
  <c r="K36" i="24"/>
  <c r="J36" i="24"/>
  <c r="L36" i="24" s="1"/>
  <c r="K35" i="24"/>
  <c r="J35" i="24"/>
  <c r="L35" i="24" s="1"/>
  <c r="K34" i="24"/>
  <c r="J34" i="24"/>
  <c r="L34" i="24" s="1"/>
  <c r="K33" i="24"/>
  <c r="J33" i="24"/>
  <c r="L33" i="24" s="1"/>
  <c r="K32" i="24"/>
  <c r="J32" i="24"/>
  <c r="L32" i="24" s="1"/>
  <c r="K31" i="24"/>
  <c r="J31" i="24"/>
  <c r="L31" i="24" s="1"/>
  <c r="K30" i="24"/>
  <c r="J30" i="24"/>
  <c r="L30" i="24" s="1"/>
  <c r="K29" i="24"/>
  <c r="J29" i="24"/>
  <c r="L29" i="24" s="1"/>
  <c r="K28" i="24"/>
  <c r="J28" i="24"/>
  <c r="L28" i="24" s="1"/>
  <c r="K27" i="24"/>
  <c r="J27" i="24"/>
  <c r="L27" i="24" s="1"/>
  <c r="K26" i="24"/>
  <c r="J26" i="24"/>
  <c r="L26" i="24" s="1"/>
  <c r="K25" i="24"/>
  <c r="J25" i="24"/>
  <c r="L25" i="24" s="1"/>
  <c r="K24" i="24"/>
  <c r="J24" i="24"/>
  <c r="L24" i="24" s="1"/>
  <c r="K23" i="24"/>
  <c r="J23" i="24"/>
  <c r="L23" i="24" s="1"/>
  <c r="K22" i="24"/>
  <c r="J22" i="24"/>
  <c r="L22" i="24" s="1"/>
  <c r="K21" i="24"/>
  <c r="J21" i="24"/>
  <c r="L21" i="24" s="1"/>
  <c r="K20" i="24"/>
  <c r="J20" i="24"/>
  <c r="L20" i="24" s="1"/>
  <c r="K19" i="24"/>
  <c r="J19" i="24"/>
  <c r="L19" i="24" s="1"/>
  <c r="K18" i="24"/>
  <c r="J18" i="24"/>
  <c r="R17" i="24"/>
  <c r="H17" i="24"/>
  <c r="G17" i="24"/>
  <c r="D15" i="24"/>
  <c r="P10" i="24"/>
  <c r="P1" i="24"/>
  <c r="P8" i="24" s="1"/>
  <c r="Q61" i="23"/>
  <c r="F61" i="23"/>
  <c r="E61" i="23"/>
  <c r="K60" i="23"/>
  <c r="J60" i="23"/>
  <c r="L60" i="23" s="1"/>
  <c r="K59" i="23"/>
  <c r="J59" i="23"/>
  <c r="L59" i="23" s="1"/>
  <c r="K58" i="23"/>
  <c r="J58" i="23"/>
  <c r="L58" i="23" s="1"/>
  <c r="K57" i="23"/>
  <c r="J57" i="23"/>
  <c r="L57" i="23" s="1"/>
  <c r="K56" i="23"/>
  <c r="J56" i="23"/>
  <c r="L56" i="23" s="1"/>
  <c r="K55" i="23"/>
  <c r="J55" i="23"/>
  <c r="L55" i="23" s="1"/>
  <c r="K54" i="23"/>
  <c r="J54" i="23"/>
  <c r="L54" i="23" s="1"/>
  <c r="K53" i="23"/>
  <c r="J53" i="23"/>
  <c r="L53" i="23" s="1"/>
  <c r="K52" i="23"/>
  <c r="J52" i="23"/>
  <c r="L52" i="23" s="1"/>
  <c r="K51" i="23"/>
  <c r="J51" i="23"/>
  <c r="L51" i="23" s="1"/>
  <c r="K50" i="23"/>
  <c r="J50" i="23"/>
  <c r="L50" i="23" s="1"/>
  <c r="K49" i="23"/>
  <c r="J49" i="23"/>
  <c r="L49" i="23" s="1"/>
  <c r="K48" i="23"/>
  <c r="J48" i="23"/>
  <c r="L48" i="23" s="1"/>
  <c r="K47" i="23"/>
  <c r="J47" i="23"/>
  <c r="L47" i="23" s="1"/>
  <c r="K46" i="23"/>
  <c r="J46" i="23"/>
  <c r="L46" i="23" s="1"/>
  <c r="K45" i="23"/>
  <c r="J45" i="23"/>
  <c r="L45" i="23" s="1"/>
  <c r="K44" i="23"/>
  <c r="J44" i="23"/>
  <c r="L44" i="23" s="1"/>
  <c r="K43" i="23"/>
  <c r="J43" i="23"/>
  <c r="L43" i="23" s="1"/>
  <c r="K42" i="23"/>
  <c r="J42" i="23"/>
  <c r="L42" i="23" s="1"/>
  <c r="K41" i="23"/>
  <c r="J41" i="23"/>
  <c r="L41" i="23" s="1"/>
  <c r="K40" i="23"/>
  <c r="J40" i="23"/>
  <c r="L40" i="23" s="1"/>
  <c r="K39" i="23"/>
  <c r="J39" i="23"/>
  <c r="L39" i="23" s="1"/>
  <c r="K38" i="23"/>
  <c r="J38" i="23"/>
  <c r="L38" i="23" s="1"/>
  <c r="K37" i="23"/>
  <c r="J37" i="23"/>
  <c r="L37" i="23" s="1"/>
  <c r="K36" i="23"/>
  <c r="J36" i="23"/>
  <c r="L36" i="23" s="1"/>
  <c r="K35" i="23"/>
  <c r="J35" i="23"/>
  <c r="L35" i="23" s="1"/>
  <c r="K34" i="23"/>
  <c r="J34" i="23"/>
  <c r="L34" i="23" s="1"/>
  <c r="K33" i="23"/>
  <c r="J33" i="23"/>
  <c r="L33" i="23" s="1"/>
  <c r="K32" i="23"/>
  <c r="J32" i="23"/>
  <c r="L32" i="23" s="1"/>
  <c r="K31" i="23"/>
  <c r="J31" i="23"/>
  <c r="L31" i="23" s="1"/>
  <c r="K30" i="23"/>
  <c r="J30" i="23"/>
  <c r="L30" i="23" s="1"/>
  <c r="K29" i="23"/>
  <c r="J29" i="23"/>
  <c r="L29" i="23" s="1"/>
  <c r="K28" i="23"/>
  <c r="J28" i="23"/>
  <c r="L28" i="23" s="1"/>
  <c r="K27" i="23"/>
  <c r="J27" i="23"/>
  <c r="L27" i="23" s="1"/>
  <c r="K26" i="23"/>
  <c r="J26" i="23"/>
  <c r="L26" i="23" s="1"/>
  <c r="K25" i="23"/>
  <c r="J25" i="23"/>
  <c r="L25" i="23" s="1"/>
  <c r="K24" i="23"/>
  <c r="J24" i="23"/>
  <c r="L24" i="23" s="1"/>
  <c r="K23" i="23"/>
  <c r="J23" i="23"/>
  <c r="L23" i="23" s="1"/>
  <c r="K22" i="23"/>
  <c r="J22" i="23"/>
  <c r="L22" i="23" s="1"/>
  <c r="K21" i="23"/>
  <c r="J21" i="23"/>
  <c r="L21" i="23" s="1"/>
  <c r="K20" i="23"/>
  <c r="J20" i="23"/>
  <c r="L20" i="23" s="1"/>
  <c r="K19" i="23"/>
  <c r="J19" i="23"/>
  <c r="L19" i="23" s="1"/>
  <c r="K18" i="23"/>
  <c r="J18" i="23"/>
  <c r="R17" i="23"/>
  <c r="H17" i="23"/>
  <c r="G17" i="23"/>
  <c r="D15" i="23"/>
  <c r="P10" i="23"/>
  <c r="P1" i="23"/>
  <c r="P8" i="23" s="1"/>
  <c r="Q61" i="22"/>
  <c r="F61" i="22"/>
  <c r="E61" i="22"/>
  <c r="K60" i="22"/>
  <c r="J60" i="22"/>
  <c r="L60" i="22" s="1"/>
  <c r="K59" i="22"/>
  <c r="J59" i="22"/>
  <c r="L59" i="22" s="1"/>
  <c r="K58" i="22"/>
  <c r="J58" i="22"/>
  <c r="L58" i="22" s="1"/>
  <c r="K57" i="22"/>
  <c r="J57" i="22"/>
  <c r="L57" i="22" s="1"/>
  <c r="K56" i="22"/>
  <c r="J56" i="22"/>
  <c r="L56" i="22" s="1"/>
  <c r="K55" i="22"/>
  <c r="J55" i="22"/>
  <c r="L55" i="22" s="1"/>
  <c r="K54" i="22"/>
  <c r="J54" i="22"/>
  <c r="L54" i="22" s="1"/>
  <c r="K53" i="22"/>
  <c r="J53" i="22"/>
  <c r="L53" i="22" s="1"/>
  <c r="K52" i="22"/>
  <c r="J52" i="22"/>
  <c r="L52" i="22" s="1"/>
  <c r="K51" i="22"/>
  <c r="J51" i="22"/>
  <c r="L51" i="22" s="1"/>
  <c r="K50" i="22"/>
  <c r="J50" i="22"/>
  <c r="L50" i="22" s="1"/>
  <c r="K49" i="22"/>
  <c r="J49" i="22"/>
  <c r="L49" i="22" s="1"/>
  <c r="K48" i="22"/>
  <c r="J48" i="22"/>
  <c r="L48" i="22" s="1"/>
  <c r="K47" i="22"/>
  <c r="J47" i="22"/>
  <c r="L47" i="22" s="1"/>
  <c r="K46" i="22"/>
  <c r="J46" i="22"/>
  <c r="L46" i="22" s="1"/>
  <c r="K45" i="22"/>
  <c r="J45" i="22"/>
  <c r="L45" i="22" s="1"/>
  <c r="K44" i="22"/>
  <c r="J44" i="22"/>
  <c r="L44" i="22" s="1"/>
  <c r="K43" i="22"/>
  <c r="J43" i="22"/>
  <c r="L43" i="22" s="1"/>
  <c r="K42" i="22"/>
  <c r="J42" i="22"/>
  <c r="L42" i="22" s="1"/>
  <c r="K41" i="22"/>
  <c r="J41" i="22"/>
  <c r="L41" i="22" s="1"/>
  <c r="K40" i="22"/>
  <c r="J40" i="22"/>
  <c r="L40" i="22" s="1"/>
  <c r="K39" i="22"/>
  <c r="J39" i="22"/>
  <c r="L39" i="22" s="1"/>
  <c r="K38" i="22"/>
  <c r="J38" i="22"/>
  <c r="L38" i="22" s="1"/>
  <c r="K37" i="22"/>
  <c r="J37" i="22"/>
  <c r="L37" i="22" s="1"/>
  <c r="K36" i="22"/>
  <c r="J36" i="22"/>
  <c r="L36" i="22" s="1"/>
  <c r="K35" i="22"/>
  <c r="J35" i="22"/>
  <c r="L35" i="22" s="1"/>
  <c r="K34" i="22"/>
  <c r="J34" i="22"/>
  <c r="L34" i="22" s="1"/>
  <c r="K33" i="22"/>
  <c r="J33" i="22"/>
  <c r="L33" i="22" s="1"/>
  <c r="K32" i="22"/>
  <c r="J32" i="22"/>
  <c r="L32" i="22" s="1"/>
  <c r="K31" i="22"/>
  <c r="J31" i="22"/>
  <c r="L31" i="22" s="1"/>
  <c r="K30" i="22"/>
  <c r="J30" i="22"/>
  <c r="L30" i="22" s="1"/>
  <c r="K29" i="22"/>
  <c r="J29" i="22"/>
  <c r="L29" i="22" s="1"/>
  <c r="K28" i="22"/>
  <c r="J28" i="22"/>
  <c r="L28" i="22" s="1"/>
  <c r="K27" i="22"/>
  <c r="J27" i="22"/>
  <c r="L27" i="22" s="1"/>
  <c r="K26" i="22"/>
  <c r="J26" i="22"/>
  <c r="L26" i="22" s="1"/>
  <c r="K25" i="22"/>
  <c r="J25" i="22"/>
  <c r="L25" i="22" s="1"/>
  <c r="K24" i="22"/>
  <c r="J24" i="22"/>
  <c r="L24" i="22" s="1"/>
  <c r="K23" i="22"/>
  <c r="J23" i="22"/>
  <c r="L23" i="22" s="1"/>
  <c r="K22" i="22"/>
  <c r="J22" i="22"/>
  <c r="L22" i="22" s="1"/>
  <c r="K21" i="22"/>
  <c r="J21" i="22"/>
  <c r="L21" i="22" s="1"/>
  <c r="K20" i="22"/>
  <c r="J20" i="22"/>
  <c r="L20" i="22" s="1"/>
  <c r="K19" i="22"/>
  <c r="J19" i="22"/>
  <c r="L19" i="22" s="1"/>
  <c r="K18" i="22"/>
  <c r="J18" i="22"/>
  <c r="R17" i="22"/>
  <c r="H17" i="22"/>
  <c r="G17" i="22"/>
  <c r="D15" i="22"/>
  <c r="P10" i="22"/>
  <c r="P1" i="22"/>
  <c r="P8" i="22" s="1"/>
  <c r="Q61" i="21"/>
  <c r="F61" i="21"/>
  <c r="E61" i="21"/>
  <c r="K60" i="21"/>
  <c r="J60" i="21"/>
  <c r="L60" i="21" s="1"/>
  <c r="K59" i="21"/>
  <c r="J59" i="21"/>
  <c r="L59" i="21" s="1"/>
  <c r="K58" i="21"/>
  <c r="J58" i="21"/>
  <c r="L58" i="21" s="1"/>
  <c r="K57" i="21"/>
  <c r="J57" i="21"/>
  <c r="L57" i="21" s="1"/>
  <c r="K56" i="21"/>
  <c r="J56" i="21"/>
  <c r="L56" i="21" s="1"/>
  <c r="K55" i="21"/>
  <c r="J55" i="21"/>
  <c r="L55" i="21" s="1"/>
  <c r="K54" i="21"/>
  <c r="J54" i="21"/>
  <c r="L54" i="21" s="1"/>
  <c r="K53" i="21"/>
  <c r="J53" i="21"/>
  <c r="L53" i="21" s="1"/>
  <c r="K52" i="21"/>
  <c r="J52" i="21"/>
  <c r="L52" i="21" s="1"/>
  <c r="K51" i="21"/>
  <c r="J51" i="21"/>
  <c r="L51" i="21" s="1"/>
  <c r="K50" i="21"/>
  <c r="J50" i="21"/>
  <c r="L50" i="21" s="1"/>
  <c r="K49" i="21"/>
  <c r="J49" i="21"/>
  <c r="L49" i="21" s="1"/>
  <c r="K48" i="21"/>
  <c r="J48" i="21"/>
  <c r="L48" i="21" s="1"/>
  <c r="K47" i="21"/>
  <c r="J47" i="21"/>
  <c r="L47" i="21" s="1"/>
  <c r="K46" i="21"/>
  <c r="J46" i="21"/>
  <c r="L46" i="21" s="1"/>
  <c r="K45" i="21"/>
  <c r="J45" i="21"/>
  <c r="L45" i="21" s="1"/>
  <c r="K44" i="21"/>
  <c r="J44" i="21"/>
  <c r="L44" i="21" s="1"/>
  <c r="K43" i="21"/>
  <c r="J43" i="21"/>
  <c r="L43" i="21" s="1"/>
  <c r="K42" i="21"/>
  <c r="J42" i="21"/>
  <c r="L42" i="21" s="1"/>
  <c r="K41" i="21"/>
  <c r="J41" i="21"/>
  <c r="L41" i="21" s="1"/>
  <c r="K40" i="21"/>
  <c r="J40" i="21"/>
  <c r="L40" i="21" s="1"/>
  <c r="K39" i="21"/>
  <c r="J39" i="21"/>
  <c r="L39" i="21" s="1"/>
  <c r="K38" i="21"/>
  <c r="J38" i="21"/>
  <c r="L38" i="21" s="1"/>
  <c r="K37" i="21"/>
  <c r="J37" i="21"/>
  <c r="L37" i="21" s="1"/>
  <c r="K36" i="21"/>
  <c r="J36" i="21"/>
  <c r="L36" i="21" s="1"/>
  <c r="K35" i="21"/>
  <c r="J35" i="21"/>
  <c r="L35" i="21" s="1"/>
  <c r="K34" i="21"/>
  <c r="J34" i="21"/>
  <c r="L34" i="21" s="1"/>
  <c r="K33" i="21"/>
  <c r="J33" i="21"/>
  <c r="L33" i="21" s="1"/>
  <c r="K32" i="21"/>
  <c r="J32" i="21"/>
  <c r="L32" i="21" s="1"/>
  <c r="K31" i="21"/>
  <c r="J31" i="21"/>
  <c r="L31" i="21" s="1"/>
  <c r="K30" i="21"/>
  <c r="J30" i="21"/>
  <c r="L30" i="21" s="1"/>
  <c r="K29" i="21"/>
  <c r="J29" i="21"/>
  <c r="L29" i="21" s="1"/>
  <c r="K28" i="21"/>
  <c r="J28" i="21"/>
  <c r="L28" i="21" s="1"/>
  <c r="K27" i="21"/>
  <c r="J27" i="21"/>
  <c r="L27" i="21" s="1"/>
  <c r="K26" i="21"/>
  <c r="J26" i="21"/>
  <c r="L26" i="21" s="1"/>
  <c r="K25" i="21"/>
  <c r="J25" i="21"/>
  <c r="L25" i="21" s="1"/>
  <c r="K24" i="21"/>
  <c r="J24" i="21"/>
  <c r="L24" i="21" s="1"/>
  <c r="K23" i="21"/>
  <c r="J23" i="21"/>
  <c r="L23" i="21" s="1"/>
  <c r="K22" i="21"/>
  <c r="J22" i="21"/>
  <c r="L22" i="21" s="1"/>
  <c r="K21" i="21"/>
  <c r="J21" i="21"/>
  <c r="L21" i="21" s="1"/>
  <c r="K20" i="21"/>
  <c r="J20" i="21"/>
  <c r="L20" i="21" s="1"/>
  <c r="K19" i="21"/>
  <c r="J19" i="21"/>
  <c r="L19" i="21" s="1"/>
  <c r="K18" i="21"/>
  <c r="J18" i="21"/>
  <c r="R17" i="21"/>
  <c r="H17" i="21"/>
  <c r="G17" i="21"/>
  <c r="D15" i="21"/>
  <c r="P10" i="21"/>
  <c r="P1" i="21"/>
  <c r="P8" i="21" s="1"/>
  <c r="Q61" i="20"/>
  <c r="F61" i="20"/>
  <c r="E61" i="20"/>
  <c r="K60" i="20"/>
  <c r="J60" i="20"/>
  <c r="L60" i="20" s="1"/>
  <c r="K59" i="20"/>
  <c r="J59" i="20"/>
  <c r="L59" i="20" s="1"/>
  <c r="K58" i="20"/>
  <c r="J58" i="20"/>
  <c r="L58" i="20" s="1"/>
  <c r="K57" i="20"/>
  <c r="J57" i="20"/>
  <c r="L57" i="20" s="1"/>
  <c r="K56" i="20"/>
  <c r="J56" i="20"/>
  <c r="L56" i="20" s="1"/>
  <c r="K55" i="20"/>
  <c r="J55" i="20"/>
  <c r="L55" i="20" s="1"/>
  <c r="K54" i="20"/>
  <c r="J54" i="20"/>
  <c r="L54" i="20" s="1"/>
  <c r="K53" i="20"/>
  <c r="J53" i="20"/>
  <c r="L53" i="20" s="1"/>
  <c r="K52" i="20"/>
  <c r="J52" i="20"/>
  <c r="L52" i="20" s="1"/>
  <c r="K51" i="20"/>
  <c r="J51" i="20"/>
  <c r="L51" i="20" s="1"/>
  <c r="K50" i="20"/>
  <c r="J50" i="20"/>
  <c r="L50" i="20" s="1"/>
  <c r="K49" i="20"/>
  <c r="J49" i="20"/>
  <c r="L49" i="20" s="1"/>
  <c r="K48" i="20"/>
  <c r="J48" i="20"/>
  <c r="L48" i="20" s="1"/>
  <c r="K47" i="20"/>
  <c r="J47" i="20"/>
  <c r="L47" i="20" s="1"/>
  <c r="K46" i="20"/>
  <c r="J46" i="20"/>
  <c r="L46" i="20" s="1"/>
  <c r="K45" i="20"/>
  <c r="J45" i="20"/>
  <c r="L45" i="20" s="1"/>
  <c r="K44" i="20"/>
  <c r="J44" i="20"/>
  <c r="L44" i="20" s="1"/>
  <c r="K43" i="20"/>
  <c r="J43" i="20"/>
  <c r="L43" i="20" s="1"/>
  <c r="K42" i="20"/>
  <c r="J42" i="20"/>
  <c r="L42" i="20" s="1"/>
  <c r="K41" i="20"/>
  <c r="J41" i="20"/>
  <c r="L41" i="20" s="1"/>
  <c r="K40" i="20"/>
  <c r="J40" i="20"/>
  <c r="L40" i="20" s="1"/>
  <c r="K39" i="20"/>
  <c r="J39" i="20"/>
  <c r="L39" i="20" s="1"/>
  <c r="K38" i="20"/>
  <c r="J38" i="20"/>
  <c r="L38" i="20" s="1"/>
  <c r="K37" i="20"/>
  <c r="J37" i="20"/>
  <c r="L37" i="20" s="1"/>
  <c r="K36" i="20"/>
  <c r="J36" i="20"/>
  <c r="L36" i="20" s="1"/>
  <c r="K35" i="20"/>
  <c r="J35" i="20"/>
  <c r="L35" i="20" s="1"/>
  <c r="K34" i="20"/>
  <c r="J34" i="20"/>
  <c r="L34" i="20" s="1"/>
  <c r="K33" i="20"/>
  <c r="J33" i="20"/>
  <c r="L33" i="20" s="1"/>
  <c r="K32" i="20"/>
  <c r="J32" i="20"/>
  <c r="L32" i="20" s="1"/>
  <c r="K31" i="20"/>
  <c r="J31" i="20"/>
  <c r="L31" i="20" s="1"/>
  <c r="K30" i="20"/>
  <c r="J30" i="20"/>
  <c r="L30" i="20" s="1"/>
  <c r="K29" i="20"/>
  <c r="J29" i="20"/>
  <c r="L29" i="20" s="1"/>
  <c r="K28" i="20"/>
  <c r="J28" i="20"/>
  <c r="L28" i="20" s="1"/>
  <c r="K27" i="20"/>
  <c r="J27" i="20"/>
  <c r="L27" i="20" s="1"/>
  <c r="K26" i="20"/>
  <c r="J26" i="20"/>
  <c r="L26" i="20" s="1"/>
  <c r="K25" i="20"/>
  <c r="J25" i="20"/>
  <c r="L25" i="20" s="1"/>
  <c r="K24" i="20"/>
  <c r="J24" i="20"/>
  <c r="L24" i="20" s="1"/>
  <c r="K23" i="20"/>
  <c r="J23" i="20"/>
  <c r="L23" i="20" s="1"/>
  <c r="K22" i="20"/>
  <c r="J22" i="20"/>
  <c r="L22" i="20" s="1"/>
  <c r="K21" i="20"/>
  <c r="J21" i="20"/>
  <c r="L21" i="20" s="1"/>
  <c r="K20" i="20"/>
  <c r="J20" i="20"/>
  <c r="L20" i="20" s="1"/>
  <c r="K19" i="20"/>
  <c r="J19" i="20"/>
  <c r="L19" i="20" s="1"/>
  <c r="K18" i="20"/>
  <c r="J18" i="20"/>
  <c r="R17" i="20"/>
  <c r="H17" i="20"/>
  <c r="G17" i="20"/>
  <c r="D15" i="20"/>
  <c r="P10" i="20"/>
  <c r="P1" i="20"/>
  <c r="P8" i="20" s="1"/>
  <c r="Q61" i="19"/>
  <c r="F61" i="19"/>
  <c r="E61" i="19"/>
  <c r="K60" i="19"/>
  <c r="J60" i="19"/>
  <c r="L60" i="19" s="1"/>
  <c r="K59" i="19"/>
  <c r="J59" i="19"/>
  <c r="L59" i="19" s="1"/>
  <c r="K58" i="19"/>
  <c r="J58" i="19"/>
  <c r="L58" i="19" s="1"/>
  <c r="K57" i="19"/>
  <c r="J57" i="19"/>
  <c r="L57" i="19" s="1"/>
  <c r="K56" i="19"/>
  <c r="J56" i="19"/>
  <c r="L56" i="19" s="1"/>
  <c r="K55" i="19"/>
  <c r="J55" i="19"/>
  <c r="L55" i="19" s="1"/>
  <c r="K54" i="19"/>
  <c r="J54" i="19"/>
  <c r="L54" i="19" s="1"/>
  <c r="K53" i="19"/>
  <c r="J53" i="19"/>
  <c r="L53" i="19" s="1"/>
  <c r="K52" i="19"/>
  <c r="J52" i="19"/>
  <c r="L52" i="19" s="1"/>
  <c r="K51" i="19"/>
  <c r="J51" i="19"/>
  <c r="L51" i="19" s="1"/>
  <c r="K50" i="19"/>
  <c r="J50" i="19"/>
  <c r="L50" i="19" s="1"/>
  <c r="K49" i="19"/>
  <c r="J49" i="19"/>
  <c r="L49" i="19" s="1"/>
  <c r="K48" i="19"/>
  <c r="J48" i="19"/>
  <c r="L48" i="19" s="1"/>
  <c r="K47" i="19"/>
  <c r="J47" i="19"/>
  <c r="L47" i="19" s="1"/>
  <c r="K46" i="19"/>
  <c r="J46" i="19"/>
  <c r="L46" i="19" s="1"/>
  <c r="K45" i="19"/>
  <c r="J45" i="19"/>
  <c r="L45" i="19" s="1"/>
  <c r="K44" i="19"/>
  <c r="J44" i="19"/>
  <c r="L44" i="19" s="1"/>
  <c r="K43" i="19"/>
  <c r="J43" i="19"/>
  <c r="L43" i="19" s="1"/>
  <c r="K42" i="19"/>
  <c r="J42" i="19"/>
  <c r="L42" i="19" s="1"/>
  <c r="K41" i="19"/>
  <c r="J41" i="19"/>
  <c r="L41" i="19" s="1"/>
  <c r="K40" i="19"/>
  <c r="J40" i="19"/>
  <c r="L40" i="19" s="1"/>
  <c r="K39" i="19"/>
  <c r="J39" i="19"/>
  <c r="L39" i="19" s="1"/>
  <c r="K38" i="19"/>
  <c r="J38" i="19"/>
  <c r="L38" i="19" s="1"/>
  <c r="K37" i="19"/>
  <c r="J37" i="19"/>
  <c r="L37" i="19" s="1"/>
  <c r="K36" i="19"/>
  <c r="J36" i="19"/>
  <c r="L36" i="19" s="1"/>
  <c r="K35" i="19"/>
  <c r="J35" i="19"/>
  <c r="L35" i="19" s="1"/>
  <c r="K34" i="19"/>
  <c r="J34" i="19"/>
  <c r="L34" i="19" s="1"/>
  <c r="K33" i="19"/>
  <c r="J33" i="19"/>
  <c r="L33" i="19" s="1"/>
  <c r="K32" i="19"/>
  <c r="J32" i="19"/>
  <c r="L32" i="19" s="1"/>
  <c r="K31" i="19"/>
  <c r="J31" i="19"/>
  <c r="L31" i="19" s="1"/>
  <c r="K30" i="19"/>
  <c r="J30" i="19"/>
  <c r="L30" i="19" s="1"/>
  <c r="K29" i="19"/>
  <c r="J29" i="19"/>
  <c r="L29" i="19" s="1"/>
  <c r="K28" i="19"/>
  <c r="J28" i="19"/>
  <c r="L28" i="19" s="1"/>
  <c r="K27" i="19"/>
  <c r="J27" i="19"/>
  <c r="L27" i="19" s="1"/>
  <c r="K26" i="19"/>
  <c r="J26" i="19"/>
  <c r="L26" i="19" s="1"/>
  <c r="K25" i="19"/>
  <c r="J25" i="19"/>
  <c r="L25" i="19" s="1"/>
  <c r="K24" i="19"/>
  <c r="J24" i="19"/>
  <c r="L24" i="19" s="1"/>
  <c r="K23" i="19"/>
  <c r="J23" i="19"/>
  <c r="L23" i="19" s="1"/>
  <c r="K22" i="19"/>
  <c r="J22" i="19"/>
  <c r="L22" i="19" s="1"/>
  <c r="K21" i="19"/>
  <c r="J21" i="19"/>
  <c r="L21" i="19" s="1"/>
  <c r="K20" i="19"/>
  <c r="J20" i="19"/>
  <c r="L20" i="19" s="1"/>
  <c r="K19" i="19"/>
  <c r="J19" i="19"/>
  <c r="L19" i="19" s="1"/>
  <c r="K18" i="19"/>
  <c r="J18" i="19"/>
  <c r="R17" i="19"/>
  <c r="H17" i="19"/>
  <c r="G17" i="19"/>
  <c r="D15" i="19"/>
  <c r="P10" i="19"/>
  <c r="P1" i="19"/>
  <c r="P8" i="19" s="1"/>
  <c r="Q61" i="18"/>
  <c r="F61" i="18"/>
  <c r="E61" i="18"/>
  <c r="K60" i="18"/>
  <c r="J60" i="18"/>
  <c r="L60" i="18" s="1"/>
  <c r="K59" i="18"/>
  <c r="J59" i="18"/>
  <c r="L59" i="18" s="1"/>
  <c r="K58" i="18"/>
  <c r="J58" i="18"/>
  <c r="L58" i="18" s="1"/>
  <c r="K57" i="18"/>
  <c r="J57" i="18"/>
  <c r="L57" i="18" s="1"/>
  <c r="K56" i="18"/>
  <c r="J56" i="18"/>
  <c r="L56" i="18" s="1"/>
  <c r="K55" i="18"/>
  <c r="J55" i="18"/>
  <c r="L55" i="18" s="1"/>
  <c r="K54" i="18"/>
  <c r="J54" i="18"/>
  <c r="L54" i="18" s="1"/>
  <c r="K53" i="18"/>
  <c r="J53" i="18"/>
  <c r="L53" i="18" s="1"/>
  <c r="K52" i="18"/>
  <c r="J52" i="18"/>
  <c r="L52" i="18" s="1"/>
  <c r="K51" i="18"/>
  <c r="J51" i="18"/>
  <c r="L51" i="18" s="1"/>
  <c r="K50" i="18"/>
  <c r="J50" i="18"/>
  <c r="L50" i="18" s="1"/>
  <c r="K49" i="18"/>
  <c r="J49" i="18"/>
  <c r="L49" i="18" s="1"/>
  <c r="K48" i="18"/>
  <c r="J48" i="18"/>
  <c r="L48" i="18" s="1"/>
  <c r="K47" i="18"/>
  <c r="J47" i="18"/>
  <c r="L47" i="18" s="1"/>
  <c r="K46" i="18"/>
  <c r="J46" i="18"/>
  <c r="L46" i="18" s="1"/>
  <c r="K45" i="18"/>
  <c r="J45" i="18"/>
  <c r="L45" i="18" s="1"/>
  <c r="K44" i="18"/>
  <c r="J44" i="18"/>
  <c r="L44" i="18" s="1"/>
  <c r="K43" i="18"/>
  <c r="J43" i="18"/>
  <c r="L43" i="18" s="1"/>
  <c r="K42" i="18"/>
  <c r="J42" i="18"/>
  <c r="L42" i="18" s="1"/>
  <c r="K41" i="18"/>
  <c r="J41" i="18"/>
  <c r="L41" i="18" s="1"/>
  <c r="K40" i="18"/>
  <c r="J40" i="18"/>
  <c r="L40" i="18" s="1"/>
  <c r="K39" i="18"/>
  <c r="J39" i="18"/>
  <c r="L39" i="18" s="1"/>
  <c r="K38" i="18"/>
  <c r="J38" i="18"/>
  <c r="L38" i="18" s="1"/>
  <c r="K37" i="18"/>
  <c r="J37" i="18"/>
  <c r="L37" i="18" s="1"/>
  <c r="K36" i="18"/>
  <c r="J36" i="18"/>
  <c r="L36" i="18" s="1"/>
  <c r="K35" i="18"/>
  <c r="J35" i="18"/>
  <c r="L35" i="18" s="1"/>
  <c r="K34" i="18"/>
  <c r="J34" i="18"/>
  <c r="L34" i="18" s="1"/>
  <c r="K33" i="18"/>
  <c r="J33" i="18"/>
  <c r="L33" i="18" s="1"/>
  <c r="K32" i="18"/>
  <c r="J32" i="18"/>
  <c r="L32" i="18" s="1"/>
  <c r="K31" i="18"/>
  <c r="J31" i="18"/>
  <c r="L31" i="18" s="1"/>
  <c r="K30" i="18"/>
  <c r="J30" i="18"/>
  <c r="L30" i="18" s="1"/>
  <c r="K29" i="18"/>
  <c r="J29" i="18"/>
  <c r="L29" i="18" s="1"/>
  <c r="K28" i="18"/>
  <c r="J28" i="18"/>
  <c r="L28" i="18" s="1"/>
  <c r="K27" i="18"/>
  <c r="J27" i="18"/>
  <c r="L27" i="18" s="1"/>
  <c r="K26" i="18"/>
  <c r="J26" i="18"/>
  <c r="L26" i="18" s="1"/>
  <c r="K25" i="18"/>
  <c r="J25" i="18"/>
  <c r="L25" i="18" s="1"/>
  <c r="K24" i="18"/>
  <c r="J24" i="18"/>
  <c r="L24" i="18" s="1"/>
  <c r="K23" i="18"/>
  <c r="J23" i="18"/>
  <c r="L23" i="18" s="1"/>
  <c r="K22" i="18"/>
  <c r="J22" i="18"/>
  <c r="L22" i="18" s="1"/>
  <c r="K21" i="18"/>
  <c r="J21" i="18"/>
  <c r="L21" i="18" s="1"/>
  <c r="K20" i="18"/>
  <c r="J20" i="18"/>
  <c r="L20" i="18" s="1"/>
  <c r="K19" i="18"/>
  <c r="J19" i="18"/>
  <c r="L19" i="18" s="1"/>
  <c r="K18" i="18"/>
  <c r="J18" i="18"/>
  <c r="R17" i="18"/>
  <c r="H17" i="18"/>
  <c r="G17" i="18"/>
  <c r="D15" i="18"/>
  <c r="P10" i="18"/>
  <c r="P1" i="18"/>
  <c r="P8" i="18" s="1"/>
  <c r="G19" i="7"/>
  <c r="Q61" i="17"/>
  <c r="F61" i="17"/>
  <c r="E61" i="17"/>
  <c r="K60" i="17"/>
  <c r="J60" i="17"/>
  <c r="L60" i="17" s="1"/>
  <c r="K59" i="17"/>
  <c r="J59" i="17"/>
  <c r="L59" i="17" s="1"/>
  <c r="K58" i="17"/>
  <c r="J58" i="17"/>
  <c r="L58" i="17" s="1"/>
  <c r="K57" i="17"/>
  <c r="J57" i="17"/>
  <c r="L57" i="17" s="1"/>
  <c r="K56" i="17"/>
  <c r="J56" i="17"/>
  <c r="L56" i="17" s="1"/>
  <c r="K55" i="17"/>
  <c r="J55" i="17"/>
  <c r="L55" i="17" s="1"/>
  <c r="K54" i="17"/>
  <c r="J54" i="17"/>
  <c r="L54" i="17" s="1"/>
  <c r="K53" i="17"/>
  <c r="J53" i="17"/>
  <c r="L53" i="17" s="1"/>
  <c r="K52" i="17"/>
  <c r="J52" i="17"/>
  <c r="L52" i="17" s="1"/>
  <c r="K51" i="17"/>
  <c r="J51" i="17"/>
  <c r="L51" i="17" s="1"/>
  <c r="K50" i="17"/>
  <c r="J50" i="17"/>
  <c r="L50" i="17" s="1"/>
  <c r="K49" i="17"/>
  <c r="J49" i="17"/>
  <c r="L49" i="17" s="1"/>
  <c r="K48" i="17"/>
  <c r="J48" i="17"/>
  <c r="L48" i="17" s="1"/>
  <c r="K47" i="17"/>
  <c r="J47" i="17"/>
  <c r="L47" i="17" s="1"/>
  <c r="K46" i="17"/>
  <c r="J46" i="17"/>
  <c r="L46" i="17" s="1"/>
  <c r="K45" i="17"/>
  <c r="J45" i="17"/>
  <c r="L45" i="17" s="1"/>
  <c r="K44" i="17"/>
  <c r="J44" i="17"/>
  <c r="L44" i="17" s="1"/>
  <c r="K43" i="17"/>
  <c r="J43" i="17"/>
  <c r="L43" i="17" s="1"/>
  <c r="K42" i="17"/>
  <c r="J42" i="17"/>
  <c r="L42" i="17" s="1"/>
  <c r="K41" i="17"/>
  <c r="J41" i="17"/>
  <c r="L41" i="17" s="1"/>
  <c r="K40" i="17"/>
  <c r="J40" i="17"/>
  <c r="L40" i="17" s="1"/>
  <c r="K39" i="17"/>
  <c r="J39" i="17"/>
  <c r="L39" i="17" s="1"/>
  <c r="K38" i="17"/>
  <c r="J38" i="17"/>
  <c r="L38" i="17" s="1"/>
  <c r="K37" i="17"/>
  <c r="J37" i="17"/>
  <c r="L37" i="17" s="1"/>
  <c r="K36" i="17"/>
  <c r="J36" i="17"/>
  <c r="L36" i="17" s="1"/>
  <c r="K35" i="17"/>
  <c r="J35" i="17"/>
  <c r="L35" i="17" s="1"/>
  <c r="K34" i="17"/>
  <c r="J34" i="17"/>
  <c r="L34" i="17" s="1"/>
  <c r="K33" i="17"/>
  <c r="J33" i="17"/>
  <c r="L33" i="17" s="1"/>
  <c r="K32" i="17"/>
  <c r="J32" i="17"/>
  <c r="L32" i="17" s="1"/>
  <c r="K31" i="17"/>
  <c r="J31" i="17"/>
  <c r="L31" i="17" s="1"/>
  <c r="K30" i="17"/>
  <c r="J30" i="17"/>
  <c r="L30" i="17" s="1"/>
  <c r="K29" i="17"/>
  <c r="J29" i="17"/>
  <c r="L29" i="17" s="1"/>
  <c r="K28" i="17"/>
  <c r="J28" i="17"/>
  <c r="L28" i="17" s="1"/>
  <c r="K27" i="17"/>
  <c r="J27" i="17"/>
  <c r="L27" i="17" s="1"/>
  <c r="K26" i="17"/>
  <c r="J26" i="17"/>
  <c r="L26" i="17" s="1"/>
  <c r="K25" i="17"/>
  <c r="J25" i="17"/>
  <c r="L25" i="17" s="1"/>
  <c r="K24" i="17"/>
  <c r="J24" i="17"/>
  <c r="L24" i="17" s="1"/>
  <c r="K23" i="17"/>
  <c r="J23" i="17"/>
  <c r="L23" i="17" s="1"/>
  <c r="K22" i="17"/>
  <c r="J22" i="17"/>
  <c r="L22" i="17" s="1"/>
  <c r="K21" i="17"/>
  <c r="J21" i="17"/>
  <c r="L21" i="17" s="1"/>
  <c r="K20" i="17"/>
  <c r="J20" i="17"/>
  <c r="L20" i="17" s="1"/>
  <c r="K19" i="17"/>
  <c r="J19" i="17"/>
  <c r="L19" i="17" s="1"/>
  <c r="K18" i="17"/>
  <c r="J18" i="17"/>
  <c r="R17" i="17"/>
  <c r="H17" i="17"/>
  <c r="G17" i="17"/>
  <c r="D15" i="17"/>
  <c r="P10" i="17"/>
  <c r="P1" i="17"/>
  <c r="P8" i="17" s="1"/>
  <c r="Q61" i="16"/>
  <c r="F61" i="16"/>
  <c r="E61" i="16"/>
  <c r="K60" i="16"/>
  <c r="J60" i="16"/>
  <c r="L60" i="16" s="1"/>
  <c r="K59" i="16"/>
  <c r="J59" i="16"/>
  <c r="L59" i="16" s="1"/>
  <c r="K58" i="16"/>
  <c r="J58" i="16"/>
  <c r="L58" i="16" s="1"/>
  <c r="K57" i="16"/>
  <c r="J57" i="16"/>
  <c r="L57" i="16" s="1"/>
  <c r="K56" i="16"/>
  <c r="J56" i="16"/>
  <c r="L56" i="16" s="1"/>
  <c r="K55" i="16"/>
  <c r="J55" i="16"/>
  <c r="L55" i="16" s="1"/>
  <c r="K54" i="16"/>
  <c r="J54" i="16"/>
  <c r="L54" i="16" s="1"/>
  <c r="K53" i="16"/>
  <c r="J53" i="16"/>
  <c r="L53" i="16" s="1"/>
  <c r="K52" i="16"/>
  <c r="J52" i="16"/>
  <c r="L52" i="16" s="1"/>
  <c r="K51" i="16"/>
  <c r="J51" i="16"/>
  <c r="L51" i="16" s="1"/>
  <c r="K50" i="16"/>
  <c r="J50" i="16"/>
  <c r="L50" i="16" s="1"/>
  <c r="K49" i="16"/>
  <c r="J49" i="16"/>
  <c r="L49" i="16" s="1"/>
  <c r="K48" i="16"/>
  <c r="J48" i="16"/>
  <c r="L48" i="16" s="1"/>
  <c r="K47" i="16"/>
  <c r="J47" i="16"/>
  <c r="L47" i="16" s="1"/>
  <c r="K46" i="16"/>
  <c r="J46" i="16"/>
  <c r="L46" i="16" s="1"/>
  <c r="K45" i="16"/>
  <c r="J45" i="16"/>
  <c r="L45" i="16" s="1"/>
  <c r="K44" i="16"/>
  <c r="J44" i="16"/>
  <c r="L44" i="16" s="1"/>
  <c r="K43" i="16"/>
  <c r="J43" i="16"/>
  <c r="L43" i="16" s="1"/>
  <c r="K42" i="16"/>
  <c r="J42" i="16"/>
  <c r="L42" i="16" s="1"/>
  <c r="K41" i="16"/>
  <c r="J41" i="16"/>
  <c r="L41" i="16" s="1"/>
  <c r="K40" i="16"/>
  <c r="J40" i="16"/>
  <c r="L40" i="16" s="1"/>
  <c r="K39" i="16"/>
  <c r="J39" i="16"/>
  <c r="L39" i="16" s="1"/>
  <c r="K38" i="16"/>
  <c r="J38" i="16"/>
  <c r="L38" i="16" s="1"/>
  <c r="K37" i="16"/>
  <c r="J37" i="16"/>
  <c r="L37" i="16" s="1"/>
  <c r="K36" i="16"/>
  <c r="J36" i="16"/>
  <c r="L36" i="16" s="1"/>
  <c r="K35" i="16"/>
  <c r="J35" i="16"/>
  <c r="L35" i="16" s="1"/>
  <c r="K34" i="16"/>
  <c r="J34" i="16"/>
  <c r="L34" i="16" s="1"/>
  <c r="K33" i="16"/>
  <c r="J33" i="16"/>
  <c r="L33" i="16" s="1"/>
  <c r="K32" i="16"/>
  <c r="J32" i="16"/>
  <c r="L32" i="16" s="1"/>
  <c r="K31" i="16"/>
  <c r="J31" i="16"/>
  <c r="L31" i="16" s="1"/>
  <c r="K30" i="16"/>
  <c r="J30" i="16"/>
  <c r="L30" i="16" s="1"/>
  <c r="K29" i="16"/>
  <c r="J29" i="16"/>
  <c r="L29" i="16" s="1"/>
  <c r="K28" i="16"/>
  <c r="J28" i="16"/>
  <c r="L28" i="16" s="1"/>
  <c r="K27" i="16"/>
  <c r="J27" i="16"/>
  <c r="L27" i="16" s="1"/>
  <c r="K26" i="16"/>
  <c r="J26" i="16"/>
  <c r="L26" i="16" s="1"/>
  <c r="K25" i="16"/>
  <c r="J25" i="16"/>
  <c r="L25" i="16" s="1"/>
  <c r="K24" i="16"/>
  <c r="J24" i="16"/>
  <c r="L24" i="16" s="1"/>
  <c r="K23" i="16"/>
  <c r="J23" i="16"/>
  <c r="L23" i="16" s="1"/>
  <c r="K22" i="16"/>
  <c r="J22" i="16"/>
  <c r="L22" i="16" s="1"/>
  <c r="K21" i="16"/>
  <c r="J21" i="16"/>
  <c r="L21" i="16" s="1"/>
  <c r="K20" i="16"/>
  <c r="J20" i="16"/>
  <c r="L20" i="16" s="1"/>
  <c r="K19" i="16"/>
  <c r="J19" i="16"/>
  <c r="L19" i="16" s="1"/>
  <c r="K18" i="16"/>
  <c r="J18" i="16"/>
  <c r="R17" i="16"/>
  <c r="H17" i="16"/>
  <c r="G17" i="16"/>
  <c r="D15" i="16"/>
  <c r="P10" i="16"/>
  <c r="P1" i="16"/>
  <c r="P8" i="16" s="1"/>
  <c r="Q61" i="15"/>
  <c r="F61" i="15"/>
  <c r="E61" i="15"/>
  <c r="K60" i="15"/>
  <c r="J60" i="15"/>
  <c r="L60" i="15" s="1"/>
  <c r="K59" i="15"/>
  <c r="J59" i="15"/>
  <c r="L59" i="15" s="1"/>
  <c r="K58" i="15"/>
  <c r="J58" i="15"/>
  <c r="L58" i="15" s="1"/>
  <c r="K57" i="15"/>
  <c r="J57" i="15"/>
  <c r="L57" i="15" s="1"/>
  <c r="K56" i="15"/>
  <c r="J56" i="15"/>
  <c r="L56" i="15" s="1"/>
  <c r="K55" i="15"/>
  <c r="J55" i="15"/>
  <c r="L55" i="15" s="1"/>
  <c r="K54" i="15"/>
  <c r="J54" i="15"/>
  <c r="L54" i="15" s="1"/>
  <c r="K53" i="15"/>
  <c r="J53" i="15"/>
  <c r="L53" i="15" s="1"/>
  <c r="K52" i="15"/>
  <c r="J52" i="15"/>
  <c r="L52" i="15" s="1"/>
  <c r="K51" i="15"/>
  <c r="J51" i="15"/>
  <c r="L51" i="15" s="1"/>
  <c r="K50" i="15"/>
  <c r="J50" i="15"/>
  <c r="L50" i="15" s="1"/>
  <c r="K49" i="15"/>
  <c r="J49" i="15"/>
  <c r="L49" i="15" s="1"/>
  <c r="K48" i="15"/>
  <c r="J48" i="15"/>
  <c r="L48" i="15" s="1"/>
  <c r="K47" i="15"/>
  <c r="J47" i="15"/>
  <c r="L47" i="15" s="1"/>
  <c r="K46" i="15"/>
  <c r="J46" i="15"/>
  <c r="L46" i="15" s="1"/>
  <c r="K45" i="15"/>
  <c r="J45" i="15"/>
  <c r="L45" i="15" s="1"/>
  <c r="K44" i="15"/>
  <c r="J44" i="15"/>
  <c r="L44" i="15" s="1"/>
  <c r="K43" i="15"/>
  <c r="J43" i="15"/>
  <c r="L43" i="15" s="1"/>
  <c r="K42" i="15"/>
  <c r="J42" i="15"/>
  <c r="L42" i="15" s="1"/>
  <c r="K41" i="15"/>
  <c r="J41" i="15"/>
  <c r="L41" i="15" s="1"/>
  <c r="K40" i="15"/>
  <c r="J40" i="15"/>
  <c r="L40" i="15" s="1"/>
  <c r="K39" i="15"/>
  <c r="J39" i="15"/>
  <c r="L39" i="15" s="1"/>
  <c r="K38" i="15"/>
  <c r="J38" i="15"/>
  <c r="L38" i="15" s="1"/>
  <c r="K37" i="15"/>
  <c r="J37" i="15"/>
  <c r="L37" i="15" s="1"/>
  <c r="K36" i="15"/>
  <c r="J36" i="15"/>
  <c r="L36" i="15" s="1"/>
  <c r="K35" i="15"/>
  <c r="J35" i="15"/>
  <c r="L35" i="15" s="1"/>
  <c r="K34" i="15"/>
  <c r="J34" i="15"/>
  <c r="L34" i="15" s="1"/>
  <c r="K33" i="15"/>
  <c r="J33" i="15"/>
  <c r="L33" i="15" s="1"/>
  <c r="K32" i="15"/>
  <c r="J32" i="15"/>
  <c r="L32" i="15" s="1"/>
  <c r="K31" i="15"/>
  <c r="J31" i="15"/>
  <c r="L31" i="15" s="1"/>
  <c r="K30" i="15"/>
  <c r="J30" i="15"/>
  <c r="L30" i="15" s="1"/>
  <c r="K29" i="15"/>
  <c r="J29" i="15"/>
  <c r="L29" i="15" s="1"/>
  <c r="K28" i="15"/>
  <c r="J28" i="15"/>
  <c r="L28" i="15" s="1"/>
  <c r="K27" i="15"/>
  <c r="J27" i="15"/>
  <c r="L27" i="15" s="1"/>
  <c r="K26" i="15"/>
  <c r="J26" i="15"/>
  <c r="L26" i="15" s="1"/>
  <c r="K25" i="15"/>
  <c r="J25" i="15"/>
  <c r="L25" i="15" s="1"/>
  <c r="K24" i="15"/>
  <c r="J24" i="15"/>
  <c r="L24" i="15" s="1"/>
  <c r="K23" i="15"/>
  <c r="J23" i="15"/>
  <c r="L23" i="15" s="1"/>
  <c r="K22" i="15"/>
  <c r="J22" i="15"/>
  <c r="L22" i="15" s="1"/>
  <c r="K21" i="15"/>
  <c r="J21" i="15"/>
  <c r="L21" i="15" s="1"/>
  <c r="K20" i="15"/>
  <c r="J20" i="15"/>
  <c r="L20" i="15" s="1"/>
  <c r="K19" i="15"/>
  <c r="J19" i="15"/>
  <c r="L19" i="15" s="1"/>
  <c r="K18" i="15"/>
  <c r="J18" i="15"/>
  <c r="R17" i="15"/>
  <c r="H17" i="15"/>
  <c r="G17" i="15"/>
  <c r="D15" i="15"/>
  <c r="P10" i="15"/>
  <c r="P1" i="15"/>
  <c r="P8" i="15" s="1"/>
  <c r="Q61" i="14"/>
  <c r="F61" i="14"/>
  <c r="E61" i="14"/>
  <c r="K60" i="14"/>
  <c r="J60" i="14"/>
  <c r="L60" i="14" s="1"/>
  <c r="K59" i="14"/>
  <c r="J59" i="14"/>
  <c r="L59" i="14" s="1"/>
  <c r="K58" i="14"/>
  <c r="J58" i="14"/>
  <c r="L58" i="14" s="1"/>
  <c r="K57" i="14"/>
  <c r="J57" i="14"/>
  <c r="L57" i="14" s="1"/>
  <c r="K56" i="14"/>
  <c r="J56" i="14"/>
  <c r="L56" i="14" s="1"/>
  <c r="K55" i="14"/>
  <c r="J55" i="14"/>
  <c r="L55" i="14" s="1"/>
  <c r="K54" i="14"/>
  <c r="J54" i="14"/>
  <c r="L54" i="14" s="1"/>
  <c r="K53" i="14"/>
  <c r="J53" i="14"/>
  <c r="L53" i="14" s="1"/>
  <c r="K52" i="14"/>
  <c r="J52" i="14"/>
  <c r="L52" i="14" s="1"/>
  <c r="K51" i="14"/>
  <c r="J51" i="14"/>
  <c r="L51" i="14" s="1"/>
  <c r="K50" i="14"/>
  <c r="J50" i="14"/>
  <c r="L50" i="14" s="1"/>
  <c r="K49" i="14"/>
  <c r="J49" i="14"/>
  <c r="L49" i="14" s="1"/>
  <c r="K48" i="14"/>
  <c r="J48" i="14"/>
  <c r="L48" i="14" s="1"/>
  <c r="K47" i="14"/>
  <c r="J47" i="14"/>
  <c r="L47" i="14" s="1"/>
  <c r="K46" i="14"/>
  <c r="J46" i="14"/>
  <c r="L46" i="14" s="1"/>
  <c r="K45" i="14"/>
  <c r="J45" i="14"/>
  <c r="L45" i="14" s="1"/>
  <c r="K44" i="14"/>
  <c r="J44" i="14"/>
  <c r="L44" i="14" s="1"/>
  <c r="K43" i="14"/>
  <c r="J43" i="14"/>
  <c r="L43" i="14" s="1"/>
  <c r="K42" i="14"/>
  <c r="J42" i="14"/>
  <c r="L42" i="14" s="1"/>
  <c r="K41" i="14"/>
  <c r="J41" i="14"/>
  <c r="L41" i="14" s="1"/>
  <c r="K40" i="14"/>
  <c r="J40" i="14"/>
  <c r="L40" i="14" s="1"/>
  <c r="K39" i="14"/>
  <c r="J39" i="14"/>
  <c r="L39" i="14" s="1"/>
  <c r="K38" i="14"/>
  <c r="J38" i="14"/>
  <c r="L38" i="14" s="1"/>
  <c r="K37" i="14"/>
  <c r="J37" i="14"/>
  <c r="L37" i="14" s="1"/>
  <c r="K36" i="14"/>
  <c r="J36" i="14"/>
  <c r="L36" i="14" s="1"/>
  <c r="K35" i="14"/>
  <c r="J35" i="14"/>
  <c r="L35" i="14" s="1"/>
  <c r="K34" i="14"/>
  <c r="J34" i="14"/>
  <c r="L34" i="14" s="1"/>
  <c r="K33" i="14"/>
  <c r="J33" i="14"/>
  <c r="L33" i="14" s="1"/>
  <c r="K32" i="14"/>
  <c r="J32" i="14"/>
  <c r="L32" i="14" s="1"/>
  <c r="K31" i="14"/>
  <c r="J31" i="14"/>
  <c r="L31" i="14" s="1"/>
  <c r="K30" i="14"/>
  <c r="J30" i="14"/>
  <c r="L30" i="14" s="1"/>
  <c r="K29" i="14"/>
  <c r="J29" i="14"/>
  <c r="L29" i="14" s="1"/>
  <c r="K28" i="14"/>
  <c r="J28" i="14"/>
  <c r="L28" i="14" s="1"/>
  <c r="K27" i="14"/>
  <c r="J27" i="14"/>
  <c r="L27" i="14" s="1"/>
  <c r="K26" i="14"/>
  <c r="J26" i="14"/>
  <c r="L26" i="14" s="1"/>
  <c r="K25" i="14"/>
  <c r="J25" i="14"/>
  <c r="L25" i="14" s="1"/>
  <c r="K24" i="14"/>
  <c r="J24" i="14"/>
  <c r="L24" i="14" s="1"/>
  <c r="K23" i="14"/>
  <c r="J23" i="14"/>
  <c r="L23" i="14" s="1"/>
  <c r="K22" i="14"/>
  <c r="J22" i="14"/>
  <c r="L22" i="14" s="1"/>
  <c r="K21" i="14"/>
  <c r="J21" i="14"/>
  <c r="L21" i="14" s="1"/>
  <c r="K20" i="14"/>
  <c r="J20" i="14"/>
  <c r="L20" i="14" s="1"/>
  <c r="K19" i="14"/>
  <c r="J19" i="14"/>
  <c r="L19" i="14" s="1"/>
  <c r="K18" i="14"/>
  <c r="J18" i="14"/>
  <c r="R17" i="14"/>
  <c r="H17" i="14"/>
  <c r="G17" i="14"/>
  <c r="D15" i="14"/>
  <c r="P10" i="14"/>
  <c r="P1" i="14"/>
  <c r="P8" i="14" s="1"/>
  <c r="Q61" i="13"/>
  <c r="F61" i="13"/>
  <c r="E61" i="13"/>
  <c r="K60" i="13"/>
  <c r="J60" i="13"/>
  <c r="L60" i="13" s="1"/>
  <c r="K59" i="13"/>
  <c r="J59" i="13"/>
  <c r="L59" i="13" s="1"/>
  <c r="K58" i="13"/>
  <c r="J58" i="13"/>
  <c r="L58" i="13" s="1"/>
  <c r="K57" i="13"/>
  <c r="J57" i="13"/>
  <c r="L57" i="13" s="1"/>
  <c r="K56" i="13"/>
  <c r="J56" i="13"/>
  <c r="L56" i="13" s="1"/>
  <c r="K55" i="13"/>
  <c r="J55" i="13"/>
  <c r="L55" i="13" s="1"/>
  <c r="K54" i="13"/>
  <c r="J54" i="13"/>
  <c r="L54" i="13" s="1"/>
  <c r="K53" i="13"/>
  <c r="J53" i="13"/>
  <c r="L53" i="13" s="1"/>
  <c r="K52" i="13"/>
  <c r="J52" i="13"/>
  <c r="L52" i="13" s="1"/>
  <c r="K51" i="13"/>
  <c r="J51" i="13"/>
  <c r="L51" i="13" s="1"/>
  <c r="K50" i="13"/>
  <c r="J50" i="13"/>
  <c r="L50" i="13" s="1"/>
  <c r="K49" i="13"/>
  <c r="J49" i="13"/>
  <c r="L49" i="13" s="1"/>
  <c r="K48" i="13"/>
  <c r="J48" i="13"/>
  <c r="L48" i="13" s="1"/>
  <c r="K47" i="13"/>
  <c r="J47" i="13"/>
  <c r="L47" i="13" s="1"/>
  <c r="K46" i="13"/>
  <c r="J46" i="13"/>
  <c r="L46" i="13" s="1"/>
  <c r="K45" i="13"/>
  <c r="J45" i="13"/>
  <c r="L45" i="13" s="1"/>
  <c r="K44" i="13"/>
  <c r="J44" i="13"/>
  <c r="L44" i="13" s="1"/>
  <c r="K43" i="13"/>
  <c r="J43" i="13"/>
  <c r="L43" i="13" s="1"/>
  <c r="K42" i="13"/>
  <c r="J42" i="13"/>
  <c r="L42" i="13" s="1"/>
  <c r="K41" i="13"/>
  <c r="J41" i="13"/>
  <c r="L41" i="13" s="1"/>
  <c r="K40" i="13"/>
  <c r="J40" i="13"/>
  <c r="L40" i="13" s="1"/>
  <c r="K39" i="13"/>
  <c r="J39" i="13"/>
  <c r="L39" i="13" s="1"/>
  <c r="K38" i="13"/>
  <c r="J38" i="13"/>
  <c r="L38" i="13" s="1"/>
  <c r="K37" i="13"/>
  <c r="J37" i="13"/>
  <c r="L37" i="13" s="1"/>
  <c r="K36" i="13"/>
  <c r="J36" i="13"/>
  <c r="L36" i="13" s="1"/>
  <c r="K35" i="13"/>
  <c r="J35" i="13"/>
  <c r="L35" i="13" s="1"/>
  <c r="K34" i="13"/>
  <c r="J34" i="13"/>
  <c r="L34" i="13" s="1"/>
  <c r="K33" i="13"/>
  <c r="J33" i="13"/>
  <c r="L33" i="13" s="1"/>
  <c r="K32" i="13"/>
  <c r="J32" i="13"/>
  <c r="L32" i="13" s="1"/>
  <c r="K31" i="13"/>
  <c r="J31" i="13"/>
  <c r="L31" i="13" s="1"/>
  <c r="K30" i="13"/>
  <c r="J30" i="13"/>
  <c r="L30" i="13" s="1"/>
  <c r="K29" i="13"/>
  <c r="J29" i="13"/>
  <c r="L29" i="13" s="1"/>
  <c r="K28" i="13"/>
  <c r="J28" i="13"/>
  <c r="L28" i="13" s="1"/>
  <c r="K27" i="13"/>
  <c r="J27" i="13"/>
  <c r="L27" i="13" s="1"/>
  <c r="K26" i="13"/>
  <c r="J26" i="13"/>
  <c r="L26" i="13" s="1"/>
  <c r="K25" i="13"/>
  <c r="J25" i="13"/>
  <c r="L25" i="13" s="1"/>
  <c r="K24" i="13"/>
  <c r="J24" i="13"/>
  <c r="L24" i="13" s="1"/>
  <c r="K23" i="13"/>
  <c r="J23" i="13"/>
  <c r="L23" i="13" s="1"/>
  <c r="K22" i="13"/>
  <c r="J22" i="13"/>
  <c r="L22" i="13" s="1"/>
  <c r="K21" i="13"/>
  <c r="J21" i="13"/>
  <c r="L21" i="13" s="1"/>
  <c r="K20" i="13"/>
  <c r="J20" i="13"/>
  <c r="L20" i="13" s="1"/>
  <c r="K19" i="13"/>
  <c r="J19" i="13"/>
  <c r="L19" i="13" s="1"/>
  <c r="K18" i="13"/>
  <c r="J18" i="13"/>
  <c r="R17" i="13"/>
  <c r="H17" i="13"/>
  <c r="G17" i="13"/>
  <c r="D15" i="13"/>
  <c r="P10" i="13"/>
  <c r="P1" i="13"/>
  <c r="P8" i="13" s="1"/>
  <c r="Q61" i="12"/>
  <c r="F61" i="12"/>
  <c r="E61" i="12"/>
  <c r="K60" i="12"/>
  <c r="J60" i="12"/>
  <c r="L60" i="12" s="1"/>
  <c r="K59" i="12"/>
  <c r="J59" i="12"/>
  <c r="L59" i="12" s="1"/>
  <c r="K58" i="12"/>
  <c r="J58" i="12"/>
  <c r="L58" i="12" s="1"/>
  <c r="K57" i="12"/>
  <c r="J57" i="12"/>
  <c r="L57" i="12" s="1"/>
  <c r="K56" i="12"/>
  <c r="J56" i="12"/>
  <c r="L56" i="12" s="1"/>
  <c r="K55" i="12"/>
  <c r="J55" i="12"/>
  <c r="L55" i="12" s="1"/>
  <c r="K54" i="12"/>
  <c r="J54" i="12"/>
  <c r="L54" i="12" s="1"/>
  <c r="K53" i="12"/>
  <c r="J53" i="12"/>
  <c r="L53" i="12" s="1"/>
  <c r="K52" i="12"/>
  <c r="J52" i="12"/>
  <c r="L52" i="12" s="1"/>
  <c r="K51" i="12"/>
  <c r="J51" i="12"/>
  <c r="L51" i="12" s="1"/>
  <c r="K50" i="12"/>
  <c r="J50" i="12"/>
  <c r="L50" i="12" s="1"/>
  <c r="K49" i="12"/>
  <c r="J49" i="12"/>
  <c r="L49" i="12" s="1"/>
  <c r="K48" i="12"/>
  <c r="J48" i="12"/>
  <c r="L48" i="12" s="1"/>
  <c r="K47" i="12"/>
  <c r="J47" i="12"/>
  <c r="L47" i="12" s="1"/>
  <c r="K46" i="12"/>
  <c r="J46" i="12"/>
  <c r="L46" i="12" s="1"/>
  <c r="K45" i="12"/>
  <c r="J45" i="12"/>
  <c r="L45" i="12" s="1"/>
  <c r="K44" i="12"/>
  <c r="J44" i="12"/>
  <c r="L44" i="12" s="1"/>
  <c r="K43" i="12"/>
  <c r="J43" i="12"/>
  <c r="L43" i="12" s="1"/>
  <c r="K42" i="12"/>
  <c r="J42" i="12"/>
  <c r="L42" i="12" s="1"/>
  <c r="K41" i="12"/>
  <c r="J41" i="12"/>
  <c r="L41" i="12" s="1"/>
  <c r="K40" i="12"/>
  <c r="J40" i="12"/>
  <c r="L40" i="12" s="1"/>
  <c r="K39" i="12"/>
  <c r="J39" i="12"/>
  <c r="L39" i="12" s="1"/>
  <c r="K38" i="12"/>
  <c r="J38" i="12"/>
  <c r="L38" i="12" s="1"/>
  <c r="K37" i="12"/>
  <c r="J37" i="12"/>
  <c r="L37" i="12" s="1"/>
  <c r="K36" i="12"/>
  <c r="J36" i="12"/>
  <c r="L36" i="12" s="1"/>
  <c r="K35" i="12"/>
  <c r="J35" i="12"/>
  <c r="L35" i="12" s="1"/>
  <c r="K34" i="12"/>
  <c r="J34" i="12"/>
  <c r="L34" i="12" s="1"/>
  <c r="K33" i="12"/>
  <c r="J33" i="12"/>
  <c r="L33" i="12" s="1"/>
  <c r="K32" i="12"/>
  <c r="J32" i="12"/>
  <c r="L32" i="12" s="1"/>
  <c r="K31" i="12"/>
  <c r="J31" i="12"/>
  <c r="L31" i="12" s="1"/>
  <c r="K30" i="12"/>
  <c r="J30" i="12"/>
  <c r="L30" i="12" s="1"/>
  <c r="K29" i="12"/>
  <c r="J29" i="12"/>
  <c r="L29" i="12" s="1"/>
  <c r="K28" i="12"/>
  <c r="J28" i="12"/>
  <c r="L28" i="12" s="1"/>
  <c r="K27" i="12"/>
  <c r="J27" i="12"/>
  <c r="L27" i="12" s="1"/>
  <c r="K26" i="12"/>
  <c r="J26" i="12"/>
  <c r="L26" i="12" s="1"/>
  <c r="K25" i="12"/>
  <c r="J25" i="12"/>
  <c r="L25" i="12" s="1"/>
  <c r="K24" i="12"/>
  <c r="J24" i="12"/>
  <c r="L24" i="12" s="1"/>
  <c r="K23" i="12"/>
  <c r="J23" i="12"/>
  <c r="L23" i="12" s="1"/>
  <c r="K22" i="12"/>
  <c r="J22" i="12"/>
  <c r="L22" i="12" s="1"/>
  <c r="K21" i="12"/>
  <c r="J21" i="12"/>
  <c r="L21" i="12" s="1"/>
  <c r="K20" i="12"/>
  <c r="J20" i="12"/>
  <c r="L20" i="12" s="1"/>
  <c r="K19" i="12"/>
  <c r="J19" i="12"/>
  <c r="L19" i="12" s="1"/>
  <c r="K18" i="12"/>
  <c r="J18" i="12"/>
  <c r="R17" i="12"/>
  <c r="H17" i="12"/>
  <c r="G17" i="12"/>
  <c r="D15" i="12"/>
  <c r="P10" i="12"/>
  <c r="P1" i="12"/>
  <c r="P8" i="12" s="1"/>
  <c r="Q61" i="11"/>
  <c r="F61" i="11"/>
  <c r="E61" i="11"/>
  <c r="K60" i="11"/>
  <c r="J60" i="11"/>
  <c r="L60" i="11" s="1"/>
  <c r="K59" i="11"/>
  <c r="J59" i="11"/>
  <c r="L59" i="11" s="1"/>
  <c r="K58" i="11"/>
  <c r="J58" i="11"/>
  <c r="L58" i="11" s="1"/>
  <c r="K57" i="11"/>
  <c r="J57" i="11"/>
  <c r="L57" i="11" s="1"/>
  <c r="K56" i="11"/>
  <c r="J56" i="11"/>
  <c r="L56" i="11" s="1"/>
  <c r="K55" i="11"/>
  <c r="J55" i="11"/>
  <c r="L55" i="11" s="1"/>
  <c r="K54" i="11"/>
  <c r="J54" i="11"/>
  <c r="L54" i="11" s="1"/>
  <c r="K53" i="11"/>
  <c r="J53" i="11"/>
  <c r="L53" i="11" s="1"/>
  <c r="K52" i="11"/>
  <c r="J52" i="11"/>
  <c r="L52" i="11" s="1"/>
  <c r="K51" i="11"/>
  <c r="J51" i="11"/>
  <c r="L51" i="11" s="1"/>
  <c r="K50" i="11"/>
  <c r="J50" i="11"/>
  <c r="L50" i="11" s="1"/>
  <c r="K49" i="11"/>
  <c r="J49" i="11"/>
  <c r="L49" i="11" s="1"/>
  <c r="K48" i="11"/>
  <c r="J48" i="11"/>
  <c r="L48" i="11" s="1"/>
  <c r="K47" i="11"/>
  <c r="J47" i="11"/>
  <c r="L47" i="11" s="1"/>
  <c r="K46" i="11"/>
  <c r="J46" i="11"/>
  <c r="L46" i="11" s="1"/>
  <c r="K45" i="11"/>
  <c r="J45" i="11"/>
  <c r="L45" i="11" s="1"/>
  <c r="K44" i="11"/>
  <c r="J44" i="11"/>
  <c r="L44" i="11" s="1"/>
  <c r="K43" i="11"/>
  <c r="J43" i="11"/>
  <c r="L43" i="11" s="1"/>
  <c r="K42" i="11"/>
  <c r="J42" i="11"/>
  <c r="L42" i="11" s="1"/>
  <c r="K41" i="11"/>
  <c r="J41" i="11"/>
  <c r="L41" i="11" s="1"/>
  <c r="K40" i="11"/>
  <c r="J40" i="11"/>
  <c r="L40" i="11" s="1"/>
  <c r="K39" i="11"/>
  <c r="J39" i="11"/>
  <c r="L39" i="11" s="1"/>
  <c r="K38" i="11"/>
  <c r="J38" i="11"/>
  <c r="L38" i="11" s="1"/>
  <c r="K37" i="11"/>
  <c r="J37" i="11"/>
  <c r="L37" i="11" s="1"/>
  <c r="K36" i="11"/>
  <c r="J36" i="11"/>
  <c r="L36" i="11" s="1"/>
  <c r="K35" i="11"/>
  <c r="J35" i="11"/>
  <c r="L35" i="11" s="1"/>
  <c r="K34" i="11"/>
  <c r="J34" i="11"/>
  <c r="L34" i="11" s="1"/>
  <c r="K33" i="11"/>
  <c r="J33" i="11"/>
  <c r="L33" i="11" s="1"/>
  <c r="K32" i="11"/>
  <c r="J32" i="11"/>
  <c r="L32" i="11" s="1"/>
  <c r="K31" i="11"/>
  <c r="J31" i="11"/>
  <c r="L31" i="11" s="1"/>
  <c r="K30" i="11"/>
  <c r="J30" i="11"/>
  <c r="L30" i="11" s="1"/>
  <c r="K29" i="11"/>
  <c r="J29" i="11"/>
  <c r="L29" i="11" s="1"/>
  <c r="K28" i="11"/>
  <c r="J28" i="11"/>
  <c r="L28" i="11" s="1"/>
  <c r="K27" i="11"/>
  <c r="J27" i="11"/>
  <c r="L27" i="11" s="1"/>
  <c r="K26" i="11"/>
  <c r="J26" i="11"/>
  <c r="L26" i="11" s="1"/>
  <c r="K25" i="11"/>
  <c r="J25" i="11"/>
  <c r="L25" i="11" s="1"/>
  <c r="K24" i="11"/>
  <c r="J24" i="11"/>
  <c r="L24" i="11" s="1"/>
  <c r="K23" i="11"/>
  <c r="J23" i="11"/>
  <c r="L23" i="11" s="1"/>
  <c r="K22" i="11"/>
  <c r="J22" i="11"/>
  <c r="L22" i="11" s="1"/>
  <c r="K21" i="11"/>
  <c r="J21" i="11"/>
  <c r="L21" i="11" s="1"/>
  <c r="K20" i="11"/>
  <c r="J20" i="11"/>
  <c r="L20" i="11" s="1"/>
  <c r="K19" i="11"/>
  <c r="J19" i="11"/>
  <c r="L19" i="11" s="1"/>
  <c r="K18" i="11"/>
  <c r="J18" i="11"/>
  <c r="R17" i="11"/>
  <c r="H17" i="11"/>
  <c r="G17" i="11"/>
  <c r="D15" i="11"/>
  <c r="P10" i="11"/>
  <c r="P1" i="11"/>
  <c r="P8" i="11" s="1"/>
  <c r="Q61" i="10"/>
  <c r="F61" i="10"/>
  <c r="E61" i="10"/>
  <c r="K60" i="10"/>
  <c r="J60" i="10"/>
  <c r="L60" i="10" s="1"/>
  <c r="K59" i="10"/>
  <c r="J59" i="10"/>
  <c r="L59" i="10" s="1"/>
  <c r="K58" i="10"/>
  <c r="J58" i="10"/>
  <c r="L58" i="10" s="1"/>
  <c r="K57" i="10"/>
  <c r="J57" i="10"/>
  <c r="L57" i="10" s="1"/>
  <c r="K56" i="10"/>
  <c r="J56" i="10"/>
  <c r="L56" i="10" s="1"/>
  <c r="K55" i="10"/>
  <c r="J55" i="10"/>
  <c r="L55" i="10" s="1"/>
  <c r="K54" i="10"/>
  <c r="J54" i="10"/>
  <c r="L54" i="10" s="1"/>
  <c r="K53" i="10"/>
  <c r="J53" i="10"/>
  <c r="L53" i="10" s="1"/>
  <c r="K52" i="10"/>
  <c r="J52" i="10"/>
  <c r="L52" i="10" s="1"/>
  <c r="K51" i="10"/>
  <c r="J51" i="10"/>
  <c r="L51" i="10" s="1"/>
  <c r="K50" i="10"/>
  <c r="J50" i="10"/>
  <c r="L50" i="10" s="1"/>
  <c r="K49" i="10"/>
  <c r="J49" i="10"/>
  <c r="L49" i="10" s="1"/>
  <c r="K48" i="10"/>
  <c r="J48" i="10"/>
  <c r="L48" i="10" s="1"/>
  <c r="K47" i="10"/>
  <c r="J47" i="10"/>
  <c r="L47" i="10" s="1"/>
  <c r="K46" i="10"/>
  <c r="J46" i="10"/>
  <c r="L46" i="10" s="1"/>
  <c r="K45" i="10"/>
  <c r="J45" i="10"/>
  <c r="L45" i="10" s="1"/>
  <c r="K44" i="10"/>
  <c r="J44" i="10"/>
  <c r="L44" i="10" s="1"/>
  <c r="K43" i="10"/>
  <c r="J43" i="10"/>
  <c r="L43" i="10" s="1"/>
  <c r="K42" i="10"/>
  <c r="J42" i="10"/>
  <c r="L42" i="10" s="1"/>
  <c r="K41" i="10"/>
  <c r="J41" i="10"/>
  <c r="L41" i="10" s="1"/>
  <c r="K40" i="10"/>
  <c r="J40" i="10"/>
  <c r="L40" i="10" s="1"/>
  <c r="K39" i="10"/>
  <c r="J39" i="10"/>
  <c r="L39" i="10" s="1"/>
  <c r="K38" i="10"/>
  <c r="J38" i="10"/>
  <c r="L38" i="10" s="1"/>
  <c r="K37" i="10"/>
  <c r="J37" i="10"/>
  <c r="L37" i="10" s="1"/>
  <c r="K36" i="10"/>
  <c r="J36" i="10"/>
  <c r="L36" i="10" s="1"/>
  <c r="K35" i="10"/>
  <c r="J35" i="10"/>
  <c r="L35" i="10" s="1"/>
  <c r="K34" i="10"/>
  <c r="J34" i="10"/>
  <c r="L34" i="10" s="1"/>
  <c r="K33" i="10"/>
  <c r="J33" i="10"/>
  <c r="L33" i="10" s="1"/>
  <c r="K32" i="10"/>
  <c r="J32" i="10"/>
  <c r="L32" i="10" s="1"/>
  <c r="K31" i="10"/>
  <c r="J31" i="10"/>
  <c r="L31" i="10" s="1"/>
  <c r="K30" i="10"/>
  <c r="J30" i="10"/>
  <c r="L30" i="10" s="1"/>
  <c r="K29" i="10"/>
  <c r="J29" i="10"/>
  <c r="L29" i="10" s="1"/>
  <c r="K28" i="10"/>
  <c r="J28" i="10"/>
  <c r="L28" i="10" s="1"/>
  <c r="K27" i="10"/>
  <c r="J27" i="10"/>
  <c r="L27" i="10" s="1"/>
  <c r="K26" i="10"/>
  <c r="J26" i="10"/>
  <c r="L26" i="10" s="1"/>
  <c r="K25" i="10"/>
  <c r="J25" i="10"/>
  <c r="L25" i="10" s="1"/>
  <c r="K24" i="10"/>
  <c r="J24" i="10"/>
  <c r="L24" i="10" s="1"/>
  <c r="K23" i="10"/>
  <c r="J23" i="10"/>
  <c r="L23" i="10" s="1"/>
  <c r="K22" i="10"/>
  <c r="J22" i="10"/>
  <c r="L22" i="10" s="1"/>
  <c r="K21" i="10"/>
  <c r="J21" i="10"/>
  <c r="L21" i="10" s="1"/>
  <c r="K20" i="10"/>
  <c r="J20" i="10"/>
  <c r="L20" i="10" s="1"/>
  <c r="K19" i="10"/>
  <c r="J19" i="10"/>
  <c r="L19" i="10" s="1"/>
  <c r="K18" i="10"/>
  <c r="J18" i="10"/>
  <c r="R17" i="10"/>
  <c r="H17" i="10"/>
  <c r="G17" i="10"/>
  <c r="D15" i="10"/>
  <c r="P10" i="10"/>
  <c r="P1" i="10"/>
  <c r="P8" i="10" s="1"/>
  <c r="Q61" i="9"/>
  <c r="F61" i="9"/>
  <c r="E61" i="9"/>
  <c r="K60" i="9"/>
  <c r="J60" i="9"/>
  <c r="L60" i="9" s="1"/>
  <c r="K59" i="9"/>
  <c r="J59" i="9"/>
  <c r="L59" i="9" s="1"/>
  <c r="K58" i="9"/>
  <c r="J58" i="9"/>
  <c r="L58" i="9" s="1"/>
  <c r="K57" i="9"/>
  <c r="J57" i="9"/>
  <c r="L57" i="9" s="1"/>
  <c r="K56" i="9"/>
  <c r="J56" i="9"/>
  <c r="L56" i="9" s="1"/>
  <c r="K55" i="9"/>
  <c r="J55" i="9"/>
  <c r="L55" i="9" s="1"/>
  <c r="K54" i="9"/>
  <c r="J54" i="9"/>
  <c r="L54" i="9" s="1"/>
  <c r="K53" i="9"/>
  <c r="J53" i="9"/>
  <c r="L53" i="9" s="1"/>
  <c r="K52" i="9"/>
  <c r="J52" i="9"/>
  <c r="L52" i="9" s="1"/>
  <c r="K51" i="9"/>
  <c r="J51" i="9"/>
  <c r="L51" i="9" s="1"/>
  <c r="K50" i="9"/>
  <c r="J50" i="9"/>
  <c r="L50" i="9" s="1"/>
  <c r="K49" i="9"/>
  <c r="J49" i="9"/>
  <c r="L49" i="9" s="1"/>
  <c r="K48" i="9"/>
  <c r="J48" i="9"/>
  <c r="L48" i="9" s="1"/>
  <c r="K47" i="9"/>
  <c r="J47" i="9"/>
  <c r="L47" i="9" s="1"/>
  <c r="K46" i="9"/>
  <c r="J46" i="9"/>
  <c r="L46" i="9" s="1"/>
  <c r="K45" i="9"/>
  <c r="J45" i="9"/>
  <c r="L45" i="9" s="1"/>
  <c r="K44" i="9"/>
  <c r="J44" i="9"/>
  <c r="L44" i="9" s="1"/>
  <c r="K43" i="9"/>
  <c r="J43" i="9"/>
  <c r="L43" i="9" s="1"/>
  <c r="K42" i="9"/>
  <c r="J42" i="9"/>
  <c r="L42" i="9" s="1"/>
  <c r="K41" i="9"/>
  <c r="J41" i="9"/>
  <c r="L41" i="9" s="1"/>
  <c r="K40" i="9"/>
  <c r="J40" i="9"/>
  <c r="L40" i="9" s="1"/>
  <c r="K39" i="9"/>
  <c r="J39" i="9"/>
  <c r="L39" i="9" s="1"/>
  <c r="K38" i="9"/>
  <c r="J38" i="9"/>
  <c r="L38" i="9" s="1"/>
  <c r="K37" i="9"/>
  <c r="J37" i="9"/>
  <c r="L37" i="9" s="1"/>
  <c r="K36" i="9"/>
  <c r="J36" i="9"/>
  <c r="L36" i="9" s="1"/>
  <c r="K35" i="9"/>
  <c r="J35" i="9"/>
  <c r="L35" i="9" s="1"/>
  <c r="K34" i="9"/>
  <c r="J34" i="9"/>
  <c r="L34" i="9" s="1"/>
  <c r="K33" i="9"/>
  <c r="J33" i="9"/>
  <c r="L33" i="9" s="1"/>
  <c r="K32" i="9"/>
  <c r="J32" i="9"/>
  <c r="L32" i="9" s="1"/>
  <c r="K31" i="9"/>
  <c r="J31" i="9"/>
  <c r="L31" i="9" s="1"/>
  <c r="K30" i="9"/>
  <c r="J30" i="9"/>
  <c r="L30" i="9" s="1"/>
  <c r="K29" i="9"/>
  <c r="J29" i="9"/>
  <c r="L29" i="9" s="1"/>
  <c r="K28" i="9"/>
  <c r="J28" i="9"/>
  <c r="L28" i="9" s="1"/>
  <c r="K27" i="9"/>
  <c r="J27" i="9"/>
  <c r="L27" i="9" s="1"/>
  <c r="K26" i="9"/>
  <c r="J26" i="9"/>
  <c r="L26" i="9" s="1"/>
  <c r="K25" i="9"/>
  <c r="J25" i="9"/>
  <c r="L25" i="9" s="1"/>
  <c r="K24" i="9"/>
  <c r="J24" i="9"/>
  <c r="L24" i="9" s="1"/>
  <c r="K23" i="9"/>
  <c r="J23" i="9"/>
  <c r="L23" i="9" s="1"/>
  <c r="K22" i="9"/>
  <c r="J22" i="9"/>
  <c r="L22" i="9" s="1"/>
  <c r="K21" i="9"/>
  <c r="J21" i="9"/>
  <c r="L21" i="9" s="1"/>
  <c r="K20" i="9"/>
  <c r="J20" i="9"/>
  <c r="L20" i="9" s="1"/>
  <c r="K19" i="9"/>
  <c r="J19" i="9"/>
  <c r="L19" i="9" s="1"/>
  <c r="K18" i="9"/>
  <c r="J18" i="9"/>
  <c r="R17" i="9"/>
  <c r="H17" i="9"/>
  <c r="G17" i="9"/>
  <c r="D15" i="9"/>
  <c r="P10" i="9"/>
  <c r="P1" i="9"/>
  <c r="P8" i="9" s="1"/>
  <c r="Q61" i="8"/>
  <c r="F61" i="8"/>
  <c r="E61" i="8"/>
  <c r="K60" i="8"/>
  <c r="J60" i="8"/>
  <c r="L60" i="8" s="1"/>
  <c r="K59" i="8"/>
  <c r="J59" i="8"/>
  <c r="L59" i="8" s="1"/>
  <c r="K58" i="8"/>
  <c r="J58" i="8"/>
  <c r="L58" i="8" s="1"/>
  <c r="K57" i="8"/>
  <c r="J57" i="8"/>
  <c r="L57" i="8" s="1"/>
  <c r="K56" i="8"/>
  <c r="J56" i="8"/>
  <c r="L56" i="8" s="1"/>
  <c r="K55" i="8"/>
  <c r="J55" i="8"/>
  <c r="L55" i="8" s="1"/>
  <c r="K54" i="8"/>
  <c r="J54" i="8"/>
  <c r="L54" i="8" s="1"/>
  <c r="K53" i="8"/>
  <c r="J53" i="8"/>
  <c r="L53" i="8" s="1"/>
  <c r="K52" i="8"/>
  <c r="J52" i="8"/>
  <c r="L52" i="8" s="1"/>
  <c r="K51" i="8"/>
  <c r="J51" i="8"/>
  <c r="L51" i="8" s="1"/>
  <c r="K50" i="8"/>
  <c r="J50" i="8"/>
  <c r="L50" i="8" s="1"/>
  <c r="K49" i="8"/>
  <c r="J49" i="8"/>
  <c r="L49" i="8" s="1"/>
  <c r="K48" i="8"/>
  <c r="J48" i="8"/>
  <c r="L48" i="8" s="1"/>
  <c r="K47" i="8"/>
  <c r="J47" i="8"/>
  <c r="L47" i="8" s="1"/>
  <c r="K46" i="8"/>
  <c r="J46" i="8"/>
  <c r="L46" i="8" s="1"/>
  <c r="K45" i="8"/>
  <c r="J45" i="8"/>
  <c r="L45" i="8" s="1"/>
  <c r="K44" i="8"/>
  <c r="J44" i="8"/>
  <c r="L44" i="8" s="1"/>
  <c r="K43" i="8"/>
  <c r="J43" i="8"/>
  <c r="L43" i="8" s="1"/>
  <c r="K42" i="8"/>
  <c r="J42" i="8"/>
  <c r="L42" i="8" s="1"/>
  <c r="K41" i="8"/>
  <c r="J41" i="8"/>
  <c r="L41" i="8" s="1"/>
  <c r="K40" i="8"/>
  <c r="J40" i="8"/>
  <c r="L40" i="8" s="1"/>
  <c r="K39" i="8"/>
  <c r="J39" i="8"/>
  <c r="L39" i="8" s="1"/>
  <c r="K38" i="8"/>
  <c r="J38" i="8"/>
  <c r="L38" i="8" s="1"/>
  <c r="K37" i="8"/>
  <c r="J37" i="8"/>
  <c r="L37" i="8" s="1"/>
  <c r="K36" i="8"/>
  <c r="J36" i="8"/>
  <c r="L36" i="8" s="1"/>
  <c r="K35" i="8"/>
  <c r="J35" i="8"/>
  <c r="L35" i="8" s="1"/>
  <c r="K34" i="8"/>
  <c r="J34" i="8"/>
  <c r="L34" i="8" s="1"/>
  <c r="K33" i="8"/>
  <c r="J33" i="8"/>
  <c r="L33" i="8" s="1"/>
  <c r="K32" i="8"/>
  <c r="J32" i="8"/>
  <c r="L32" i="8" s="1"/>
  <c r="K31" i="8"/>
  <c r="J31" i="8"/>
  <c r="L31" i="8" s="1"/>
  <c r="K30" i="8"/>
  <c r="J30" i="8"/>
  <c r="L30" i="8" s="1"/>
  <c r="K29" i="8"/>
  <c r="J29" i="8"/>
  <c r="L29" i="8" s="1"/>
  <c r="K28" i="8"/>
  <c r="J28" i="8"/>
  <c r="L28" i="8" s="1"/>
  <c r="K27" i="8"/>
  <c r="J27" i="8"/>
  <c r="L27" i="8" s="1"/>
  <c r="K26" i="8"/>
  <c r="J26" i="8"/>
  <c r="L26" i="8" s="1"/>
  <c r="K25" i="8"/>
  <c r="J25" i="8"/>
  <c r="L25" i="8" s="1"/>
  <c r="K24" i="8"/>
  <c r="J24" i="8"/>
  <c r="L24" i="8" s="1"/>
  <c r="K23" i="8"/>
  <c r="J23" i="8"/>
  <c r="L23" i="8" s="1"/>
  <c r="K22" i="8"/>
  <c r="J22" i="8"/>
  <c r="L22" i="8" s="1"/>
  <c r="K21" i="8"/>
  <c r="J21" i="8"/>
  <c r="L21" i="8" s="1"/>
  <c r="K20" i="8"/>
  <c r="J20" i="8"/>
  <c r="L20" i="8" s="1"/>
  <c r="K19" i="8"/>
  <c r="J19" i="8"/>
  <c r="L19" i="8" s="1"/>
  <c r="K18" i="8"/>
  <c r="J18" i="8"/>
  <c r="R17" i="8"/>
  <c r="H17" i="8"/>
  <c r="G17" i="8"/>
  <c r="D15" i="8"/>
  <c r="P10" i="8"/>
  <c r="P1" i="8"/>
  <c r="P8" i="8" s="1"/>
  <c r="P1" i="7"/>
  <c r="P8" i="7"/>
  <c r="D15" i="7"/>
  <c r="G17" i="7"/>
  <c r="H17" i="7"/>
  <c r="R17" i="7"/>
  <c r="G18" i="7"/>
  <c r="H18" i="7"/>
  <c r="J18" i="7"/>
  <c r="K18" i="7"/>
  <c r="L18" i="7"/>
  <c r="R18" i="7"/>
  <c r="T18" i="7"/>
  <c r="S18" i="7" s="1"/>
  <c r="U18" i="7"/>
  <c r="V18" i="7"/>
  <c r="H19" i="7"/>
  <c r="J19" i="7"/>
  <c r="K19" i="7"/>
  <c r="L19" i="7"/>
  <c r="R19" i="7"/>
  <c r="T19" i="7"/>
  <c r="S19" i="7" s="1"/>
  <c r="U19" i="7"/>
  <c r="V19" i="7"/>
  <c r="G20" i="7"/>
  <c r="H20" i="7"/>
  <c r="J20" i="7"/>
  <c r="K20" i="7"/>
  <c r="L20" i="7"/>
  <c r="R20" i="7"/>
  <c r="T20" i="7"/>
  <c r="S20" i="7" s="1"/>
  <c r="U20" i="7"/>
  <c r="V20" i="7"/>
  <c r="G21" i="7"/>
  <c r="H21" i="7"/>
  <c r="J21" i="7"/>
  <c r="K21" i="7"/>
  <c r="L21" i="7"/>
  <c r="R21" i="7"/>
  <c r="T21" i="7"/>
  <c r="S21" i="7" s="1"/>
  <c r="U21" i="7"/>
  <c r="V21" i="7"/>
  <c r="G22" i="7"/>
  <c r="H22" i="7"/>
  <c r="J22" i="7"/>
  <c r="K22" i="7"/>
  <c r="L22" i="7"/>
  <c r="R22" i="7"/>
  <c r="T22" i="7"/>
  <c r="S22" i="7" s="1"/>
  <c r="U22" i="7"/>
  <c r="V22" i="7"/>
  <c r="G23" i="7"/>
  <c r="H23" i="7"/>
  <c r="J23" i="7"/>
  <c r="K23" i="7"/>
  <c r="L23" i="7"/>
  <c r="R23" i="7"/>
  <c r="T23" i="7"/>
  <c r="S23" i="7" s="1"/>
  <c r="U23" i="7"/>
  <c r="V23" i="7"/>
  <c r="G24" i="7"/>
  <c r="H24" i="7"/>
  <c r="J24" i="7"/>
  <c r="K24" i="7"/>
  <c r="L24" i="7"/>
  <c r="R24" i="7"/>
  <c r="T24" i="7"/>
  <c r="S24" i="7" s="1"/>
  <c r="U24" i="7"/>
  <c r="V24" i="7"/>
  <c r="G25" i="7"/>
  <c r="H25" i="7"/>
  <c r="J25" i="7"/>
  <c r="K25" i="7"/>
  <c r="L25" i="7"/>
  <c r="R25" i="7"/>
  <c r="T25" i="7"/>
  <c r="S25" i="7" s="1"/>
  <c r="U25" i="7"/>
  <c r="V25" i="7"/>
  <c r="G26" i="7"/>
  <c r="H26" i="7"/>
  <c r="J26" i="7"/>
  <c r="K26" i="7"/>
  <c r="L26" i="7"/>
  <c r="R26" i="7"/>
  <c r="T26" i="7"/>
  <c r="S26" i="7" s="1"/>
  <c r="U26" i="7"/>
  <c r="V26" i="7"/>
  <c r="G27" i="7"/>
  <c r="H27" i="7"/>
  <c r="J27" i="7"/>
  <c r="K27" i="7"/>
  <c r="L27" i="7"/>
  <c r="R27" i="7"/>
  <c r="T27" i="7"/>
  <c r="S27" i="7" s="1"/>
  <c r="U27" i="7"/>
  <c r="V27" i="7"/>
  <c r="G28" i="7"/>
  <c r="H28" i="7"/>
  <c r="J28" i="7"/>
  <c r="K28" i="7"/>
  <c r="L28" i="7"/>
  <c r="R28" i="7"/>
  <c r="T28" i="7"/>
  <c r="S28" i="7" s="1"/>
  <c r="U28" i="7"/>
  <c r="V28" i="7"/>
  <c r="G29" i="7"/>
  <c r="H29" i="7"/>
  <c r="J29" i="7"/>
  <c r="K29" i="7"/>
  <c r="L29" i="7"/>
  <c r="R29" i="7"/>
  <c r="T29" i="7"/>
  <c r="S29" i="7" s="1"/>
  <c r="U29" i="7"/>
  <c r="V29" i="7"/>
  <c r="G30" i="7"/>
  <c r="H30" i="7"/>
  <c r="J30" i="7"/>
  <c r="K30" i="7"/>
  <c r="L30" i="7"/>
  <c r="R30" i="7"/>
  <c r="T30" i="7"/>
  <c r="S30" i="7" s="1"/>
  <c r="U30" i="7"/>
  <c r="V30" i="7"/>
  <c r="G31" i="7"/>
  <c r="H31" i="7"/>
  <c r="J31" i="7"/>
  <c r="K31" i="7"/>
  <c r="L31" i="7"/>
  <c r="R31" i="7"/>
  <c r="T31" i="7"/>
  <c r="S31" i="7" s="1"/>
  <c r="U31" i="7"/>
  <c r="V31" i="7"/>
  <c r="G32" i="7"/>
  <c r="H32" i="7"/>
  <c r="J32" i="7"/>
  <c r="K32" i="7"/>
  <c r="L32" i="7"/>
  <c r="R32" i="7"/>
  <c r="T32" i="7"/>
  <c r="S32" i="7" s="1"/>
  <c r="U32" i="7"/>
  <c r="V32" i="7"/>
  <c r="G33" i="7"/>
  <c r="H33" i="7"/>
  <c r="J33" i="7"/>
  <c r="K33" i="7"/>
  <c r="L33" i="7"/>
  <c r="R33" i="7"/>
  <c r="T33" i="7"/>
  <c r="S33" i="7" s="1"/>
  <c r="U33" i="7"/>
  <c r="V33" i="7"/>
  <c r="G34" i="7"/>
  <c r="H34" i="7"/>
  <c r="J34" i="7"/>
  <c r="K34" i="7"/>
  <c r="L34" i="7"/>
  <c r="R34" i="7"/>
  <c r="T34" i="7"/>
  <c r="S34" i="7" s="1"/>
  <c r="U34" i="7"/>
  <c r="V34" i="7"/>
  <c r="G35" i="7"/>
  <c r="H35" i="7"/>
  <c r="J35" i="7"/>
  <c r="K35" i="7"/>
  <c r="L35" i="7"/>
  <c r="R35" i="7"/>
  <c r="T35" i="7"/>
  <c r="S35" i="7" s="1"/>
  <c r="U35" i="7"/>
  <c r="V35" i="7"/>
  <c r="G36" i="7"/>
  <c r="H36" i="7"/>
  <c r="J36" i="7"/>
  <c r="K36" i="7"/>
  <c r="L36" i="7"/>
  <c r="R36" i="7"/>
  <c r="T36" i="7"/>
  <c r="S36" i="7" s="1"/>
  <c r="U36" i="7"/>
  <c r="V36" i="7"/>
  <c r="G37" i="7"/>
  <c r="H37" i="7"/>
  <c r="J37" i="7"/>
  <c r="K37" i="7"/>
  <c r="L37" i="7"/>
  <c r="R37" i="7"/>
  <c r="T37" i="7"/>
  <c r="S37" i="7" s="1"/>
  <c r="U37" i="7"/>
  <c r="V37" i="7"/>
  <c r="G38" i="7"/>
  <c r="H38" i="7"/>
  <c r="J38" i="7"/>
  <c r="K38" i="7"/>
  <c r="L38" i="7"/>
  <c r="R38" i="7"/>
  <c r="T38" i="7"/>
  <c r="S38" i="7" s="1"/>
  <c r="U38" i="7"/>
  <c r="V38" i="7"/>
  <c r="G39" i="7"/>
  <c r="H39" i="7"/>
  <c r="J39" i="7"/>
  <c r="K39" i="7"/>
  <c r="L39" i="7"/>
  <c r="R39" i="7"/>
  <c r="T39" i="7"/>
  <c r="S39" i="7" s="1"/>
  <c r="U39" i="7"/>
  <c r="V39" i="7"/>
  <c r="G40" i="7"/>
  <c r="H40" i="7"/>
  <c r="J40" i="7"/>
  <c r="K40" i="7"/>
  <c r="L40" i="7"/>
  <c r="R40" i="7"/>
  <c r="T40" i="7"/>
  <c r="S40" i="7" s="1"/>
  <c r="U40" i="7"/>
  <c r="V40" i="7"/>
  <c r="G41" i="7"/>
  <c r="H41" i="7"/>
  <c r="J41" i="7"/>
  <c r="K41" i="7"/>
  <c r="L41" i="7"/>
  <c r="R41" i="7"/>
  <c r="T41" i="7"/>
  <c r="S41" i="7" s="1"/>
  <c r="U41" i="7"/>
  <c r="V41" i="7"/>
  <c r="G42" i="7"/>
  <c r="H42" i="7"/>
  <c r="J42" i="7"/>
  <c r="K42" i="7"/>
  <c r="L42" i="7"/>
  <c r="R42" i="7"/>
  <c r="T42" i="7"/>
  <c r="S42" i="7" s="1"/>
  <c r="U42" i="7"/>
  <c r="V42" i="7"/>
  <c r="G43" i="7"/>
  <c r="H43" i="7"/>
  <c r="J43" i="7"/>
  <c r="K43" i="7"/>
  <c r="L43" i="7"/>
  <c r="R43" i="7"/>
  <c r="T43" i="7"/>
  <c r="S43" i="7" s="1"/>
  <c r="U43" i="7"/>
  <c r="V43" i="7"/>
  <c r="G44" i="7"/>
  <c r="H44" i="7"/>
  <c r="J44" i="7"/>
  <c r="K44" i="7"/>
  <c r="L44" i="7"/>
  <c r="R44" i="7"/>
  <c r="T44" i="7"/>
  <c r="S44" i="7" s="1"/>
  <c r="U44" i="7"/>
  <c r="V44" i="7"/>
  <c r="G45" i="7"/>
  <c r="H45" i="7"/>
  <c r="J45" i="7"/>
  <c r="K45" i="7"/>
  <c r="L45" i="7"/>
  <c r="R45" i="7"/>
  <c r="T45" i="7"/>
  <c r="S45" i="7" s="1"/>
  <c r="U45" i="7"/>
  <c r="V45" i="7"/>
  <c r="G46" i="7"/>
  <c r="H46" i="7"/>
  <c r="J46" i="7"/>
  <c r="K46" i="7"/>
  <c r="L46" i="7"/>
  <c r="R46" i="7"/>
  <c r="T46" i="7"/>
  <c r="S46" i="7" s="1"/>
  <c r="U46" i="7"/>
  <c r="V46" i="7"/>
  <c r="G47" i="7"/>
  <c r="H47" i="7"/>
  <c r="J47" i="7"/>
  <c r="K47" i="7"/>
  <c r="L47" i="7"/>
  <c r="R47" i="7"/>
  <c r="T47" i="7"/>
  <c r="S47" i="7" s="1"/>
  <c r="U47" i="7"/>
  <c r="V47" i="7"/>
  <c r="G48" i="7"/>
  <c r="H48" i="7"/>
  <c r="J48" i="7"/>
  <c r="K48" i="7"/>
  <c r="L48" i="7"/>
  <c r="R48" i="7"/>
  <c r="T48" i="7"/>
  <c r="S48" i="7" s="1"/>
  <c r="U48" i="7"/>
  <c r="V48" i="7"/>
  <c r="G49" i="7"/>
  <c r="H49" i="7"/>
  <c r="J49" i="7"/>
  <c r="K49" i="7"/>
  <c r="L49" i="7"/>
  <c r="R49" i="7"/>
  <c r="T49" i="7"/>
  <c r="S49" i="7" s="1"/>
  <c r="U49" i="7"/>
  <c r="V49" i="7"/>
  <c r="G50" i="7"/>
  <c r="H50" i="7"/>
  <c r="J50" i="7"/>
  <c r="K50" i="7"/>
  <c r="L50" i="7"/>
  <c r="R50" i="7"/>
  <c r="T50" i="7"/>
  <c r="S50" i="7" s="1"/>
  <c r="U50" i="7"/>
  <c r="V50" i="7"/>
  <c r="G51" i="7"/>
  <c r="H51" i="7"/>
  <c r="J51" i="7"/>
  <c r="K51" i="7"/>
  <c r="L51" i="7"/>
  <c r="R51" i="7"/>
  <c r="T51" i="7"/>
  <c r="S51" i="7" s="1"/>
  <c r="U51" i="7"/>
  <c r="V51" i="7"/>
  <c r="G52" i="7"/>
  <c r="H52" i="7"/>
  <c r="J52" i="7"/>
  <c r="K52" i="7"/>
  <c r="L52" i="7"/>
  <c r="R52" i="7"/>
  <c r="T52" i="7"/>
  <c r="S52" i="7" s="1"/>
  <c r="U52" i="7"/>
  <c r="V52" i="7"/>
  <c r="G53" i="7"/>
  <c r="H53" i="7"/>
  <c r="J53" i="7"/>
  <c r="K53" i="7"/>
  <c r="L53" i="7"/>
  <c r="R53" i="7"/>
  <c r="T53" i="7"/>
  <c r="S53" i="7" s="1"/>
  <c r="U53" i="7"/>
  <c r="V53" i="7"/>
  <c r="G54" i="7"/>
  <c r="H54" i="7"/>
  <c r="J54" i="7"/>
  <c r="K54" i="7"/>
  <c r="L54" i="7"/>
  <c r="R54" i="7"/>
  <c r="T54" i="7"/>
  <c r="S54" i="7" s="1"/>
  <c r="U54" i="7"/>
  <c r="V54" i="7"/>
  <c r="G55" i="7"/>
  <c r="H55" i="7"/>
  <c r="J55" i="7"/>
  <c r="K55" i="7"/>
  <c r="L55" i="7"/>
  <c r="R55" i="7"/>
  <c r="T55" i="7"/>
  <c r="S55" i="7" s="1"/>
  <c r="U55" i="7"/>
  <c r="V55" i="7"/>
  <c r="G56" i="7"/>
  <c r="H56" i="7"/>
  <c r="J56" i="7"/>
  <c r="K56" i="7"/>
  <c r="L56" i="7"/>
  <c r="R56" i="7"/>
  <c r="T56" i="7"/>
  <c r="S56" i="7" s="1"/>
  <c r="U56" i="7"/>
  <c r="V56" i="7"/>
  <c r="G57" i="7"/>
  <c r="H57" i="7"/>
  <c r="J57" i="7"/>
  <c r="K57" i="7"/>
  <c r="L57" i="7"/>
  <c r="R57" i="7"/>
  <c r="T57" i="7"/>
  <c r="S57" i="7" s="1"/>
  <c r="U57" i="7"/>
  <c r="V57" i="7"/>
  <c r="G58" i="7"/>
  <c r="H58" i="7"/>
  <c r="J58" i="7"/>
  <c r="K58" i="7"/>
  <c r="L58" i="7"/>
  <c r="R58" i="7"/>
  <c r="T58" i="7"/>
  <c r="S58" i="7" s="1"/>
  <c r="U58" i="7"/>
  <c r="V58" i="7"/>
  <c r="G59" i="7"/>
  <c r="H59" i="7"/>
  <c r="J59" i="7"/>
  <c r="K59" i="7"/>
  <c r="L59" i="7"/>
  <c r="R59" i="7"/>
  <c r="T59" i="7"/>
  <c r="S59" i="7" s="1"/>
  <c r="U59" i="7"/>
  <c r="V59" i="7"/>
  <c r="G60" i="7"/>
  <c r="H60" i="7"/>
  <c r="J60" i="7"/>
  <c r="K60" i="7"/>
  <c r="L60" i="7"/>
  <c r="R60" i="7"/>
  <c r="T60" i="7"/>
  <c r="S60" i="7" s="1"/>
  <c r="U60" i="7"/>
  <c r="V60" i="7"/>
  <c r="E61" i="7"/>
  <c r="P10" i="7" s="1"/>
  <c r="F61" i="7"/>
  <c r="G61" i="7"/>
  <c r="H61" i="7"/>
  <c r="P2" i="7" s="1"/>
  <c r="J61" i="7"/>
  <c r="K61" i="7"/>
  <c r="L61" i="7"/>
  <c r="P3" i="7" s="1"/>
  <c r="Q61" i="7"/>
  <c r="R61" i="7"/>
  <c r="S61" i="7"/>
  <c r="T61" i="7"/>
  <c r="P6" i="7" s="1"/>
  <c r="Q61" i="6"/>
  <c r="F61" i="6"/>
  <c r="E61" i="6"/>
  <c r="P10" i="6" s="1"/>
  <c r="K60" i="6"/>
  <c r="J60" i="6"/>
  <c r="L60" i="6" s="1"/>
  <c r="G60" i="6"/>
  <c r="K59" i="6"/>
  <c r="J59" i="6"/>
  <c r="L59" i="6" s="1"/>
  <c r="G59" i="6"/>
  <c r="R58" i="6"/>
  <c r="U58" i="6" s="1"/>
  <c r="K58" i="6"/>
  <c r="J58" i="6"/>
  <c r="L58" i="6" s="1"/>
  <c r="T58" i="6" s="1"/>
  <c r="S58" i="6" s="1"/>
  <c r="G58" i="6"/>
  <c r="K57" i="6"/>
  <c r="L57" i="6" s="1"/>
  <c r="J57" i="6"/>
  <c r="K56" i="6"/>
  <c r="J56" i="6"/>
  <c r="L56" i="6" s="1"/>
  <c r="K55" i="6"/>
  <c r="J55" i="6"/>
  <c r="L55" i="6" s="1"/>
  <c r="G55" i="6"/>
  <c r="K54" i="6"/>
  <c r="J54" i="6"/>
  <c r="L54" i="6" s="1"/>
  <c r="G54" i="6"/>
  <c r="K53" i="6"/>
  <c r="J53" i="6"/>
  <c r="L53" i="6" s="1"/>
  <c r="G53" i="6"/>
  <c r="R52" i="6"/>
  <c r="U52" i="6" s="1"/>
  <c r="K52" i="6"/>
  <c r="J52" i="6"/>
  <c r="L52" i="6" s="1"/>
  <c r="T52" i="6" s="1"/>
  <c r="S52" i="6" s="1"/>
  <c r="G52" i="6"/>
  <c r="K51" i="6"/>
  <c r="L51" i="6" s="1"/>
  <c r="J51" i="6"/>
  <c r="K50" i="6"/>
  <c r="V50" i="6" s="1"/>
  <c r="J50" i="6"/>
  <c r="L50" i="6" s="1"/>
  <c r="T50" i="6" s="1"/>
  <c r="S50" i="6" s="1"/>
  <c r="K49" i="6"/>
  <c r="J49" i="6"/>
  <c r="L49" i="6" s="1"/>
  <c r="G49" i="6"/>
  <c r="K48" i="6"/>
  <c r="J48" i="6"/>
  <c r="L48" i="6" s="1"/>
  <c r="G48" i="6"/>
  <c r="K47" i="6"/>
  <c r="J47" i="6"/>
  <c r="L47" i="6" s="1"/>
  <c r="G47" i="6"/>
  <c r="R46" i="6"/>
  <c r="U46" i="6" s="1"/>
  <c r="K46" i="6"/>
  <c r="J46" i="6"/>
  <c r="L46" i="6" s="1"/>
  <c r="T46" i="6" s="1"/>
  <c r="S46" i="6" s="1"/>
  <c r="G46" i="6"/>
  <c r="K45" i="6"/>
  <c r="L45" i="6" s="1"/>
  <c r="J45" i="6"/>
  <c r="K44" i="6"/>
  <c r="J44" i="6"/>
  <c r="L44" i="6" s="1"/>
  <c r="K43" i="6"/>
  <c r="J43" i="6"/>
  <c r="L43" i="6" s="1"/>
  <c r="G43" i="6"/>
  <c r="K42" i="6"/>
  <c r="J42" i="6"/>
  <c r="L42" i="6" s="1"/>
  <c r="G42" i="6"/>
  <c r="K41" i="6"/>
  <c r="J41" i="6"/>
  <c r="L41" i="6" s="1"/>
  <c r="G41" i="6"/>
  <c r="R40" i="6"/>
  <c r="V40" i="6" s="1"/>
  <c r="K40" i="6"/>
  <c r="J40" i="6"/>
  <c r="L40" i="6" s="1"/>
  <c r="T40" i="6" s="1"/>
  <c r="S40" i="6" s="1"/>
  <c r="G40" i="6"/>
  <c r="K39" i="6"/>
  <c r="L39" i="6" s="1"/>
  <c r="J39" i="6"/>
  <c r="K38" i="6"/>
  <c r="J38" i="6"/>
  <c r="L38" i="6" s="1"/>
  <c r="K37" i="6"/>
  <c r="J37" i="6"/>
  <c r="L37" i="6" s="1"/>
  <c r="G37" i="6"/>
  <c r="K36" i="6"/>
  <c r="J36" i="6"/>
  <c r="L36" i="6" s="1"/>
  <c r="G36" i="6"/>
  <c r="K35" i="6"/>
  <c r="J35" i="6"/>
  <c r="L35" i="6" s="1"/>
  <c r="G35" i="6"/>
  <c r="R34" i="6"/>
  <c r="V34" i="6" s="1"/>
  <c r="K34" i="6"/>
  <c r="J34" i="6"/>
  <c r="L34" i="6" s="1"/>
  <c r="T34" i="6" s="1"/>
  <c r="S34" i="6" s="1"/>
  <c r="G34" i="6"/>
  <c r="K33" i="6"/>
  <c r="L33" i="6" s="1"/>
  <c r="J33" i="6"/>
  <c r="K32" i="6"/>
  <c r="J32" i="6"/>
  <c r="L32" i="6" s="1"/>
  <c r="K31" i="6"/>
  <c r="J31" i="6"/>
  <c r="L31" i="6" s="1"/>
  <c r="G31" i="6"/>
  <c r="K30" i="6"/>
  <c r="J30" i="6"/>
  <c r="L30" i="6" s="1"/>
  <c r="G30" i="6"/>
  <c r="K29" i="6"/>
  <c r="J29" i="6"/>
  <c r="L29" i="6" s="1"/>
  <c r="G29" i="6"/>
  <c r="R28" i="6"/>
  <c r="U28" i="6" s="1"/>
  <c r="K28" i="6"/>
  <c r="J28" i="6"/>
  <c r="L28" i="6" s="1"/>
  <c r="T28" i="6" s="1"/>
  <c r="S28" i="6" s="1"/>
  <c r="G28" i="6"/>
  <c r="K27" i="6"/>
  <c r="L27" i="6" s="1"/>
  <c r="J27" i="6"/>
  <c r="K26" i="6"/>
  <c r="J26" i="6"/>
  <c r="L26" i="6" s="1"/>
  <c r="K25" i="6"/>
  <c r="J25" i="6"/>
  <c r="L25" i="6" s="1"/>
  <c r="G25" i="6"/>
  <c r="L24" i="6"/>
  <c r="K24" i="6"/>
  <c r="J24" i="6"/>
  <c r="G24" i="6"/>
  <c r="K23" i="6"/>
  <c r="J23" i="6"/>
  <c r="L23" i="6" s="1"/>
  <c r="G23" i="6"/>
  <c r="R22" i="6"/>
  <c r="U22" i="6" s="1"/>
  <c r="K22" i="6"/>
  <c r="J22" i="6"/>
  <c r="L22" i="6" s="1"/>
  <c r="T22" i="6" s="1"/>
  <c r="S22" i="6" s="1"/>
  <c r="G22" i="6"/>
  <c r="K21" i="6"/>
  <c r="L21" i="6" s="1"/>
  <c r="J21" i="6"/>
  <c r="K20" i="6"/>
  <c r="J20" i="6"/>
  <c r="L20" i="6" s="1"/>
  <c r="K19" i="6"/>
  <c r="J19" i="6"/>
  <c r="L19" i="6" s="1"/>
  <c r="G19" i="6"/>
  <c r="L18" i="6"/>
  <c r="K18" i="6"/>
  <c r="J18" i="6"/>
  <c r="J61" i="6" s="1"/>
  <c r="G18" i="6"/>
  <c r="R17" i="6"/>
  <c r="R50" i="6" s="1"/>
  <c r="H17" i="6"/>
  <c r="H36" i="6" s="1"/>
  <c r="G17" i="6"/>
  <c r="H20" i="6" s="1"/>
  <c r="D15" i="6"/>
  <c r="G56" i="6" s="1"/>
  <c r="P8" i="6"/>
  <c r="P1" i="6"/>
  <c r="Q61" i="5"/>
  <c r="F61" i="5"/>
  <c r="E61" i="5"/>
  <c r="K60" i="5"/>
  <c r="J60" i="5"/>
  <c r="L60" i="5" s="1"/>
  <c r="H60" i="5"/>
  <c r="G60" i="5"/>
  <c r="R59" i="5"/>
  <c r="L59" i="5"/>
  <c r="T59" i="5" s="1"/>
  <c r="S59" i="5" s="1"/>
  <c r="K59" i="5"/>
  <c r="V59" i="5" s="1"/>
  <c r="J59" i="5"/>
  <c r="H59" i="5"/>
  <c r="G59" i="5"/>
  <c r="K58" i="5"/>
  <c r="J58" i="5"/>
  <c r="L58" i="5" s="1"/>
  <c r="K57" i="5"/>
  <c r="J57" i="5"/>
  <c r="L57" i="5" s="1"/>
  <c r="H57" i="5"/>
  <c r="G57" i="5"/>
  <c r="R56" i="5"/>
  <c r="U56" i="5" s="1"/>
  <c r="L56" i="5"/>
  <c r="T56" i="5" s="1"/>
  <c r="S56" i="5" s="1"/>
  <c r="K56" i="5"/>
  <c r="V56" i="5" s="1"/>
  <c r="J56" i="5"/>
  <c r="R55" i="5"/>
  <c r="K55" i="5"/>
  <c r="V55" i="5" s="1"/>
  <c r="J55" i="5"/>
  <c r="L55" i="5" s="1"/>
  <c r="T55" i="5" s="1"/>
  <c r="S55" i="5" s="1"/>
  <c r="K54" i="5"/>
  <c r="J54" i="5"/>
  <c r="L54" i="5" s="1"/>
  <c r="H54" i="5"/>
  <c r="G54" i="5"/>
  <c r="R53" i="5"/>
  <c r="V53" i="5" s="1"/>
  <c r="L53" i="5"/>
  <c r="T53" i="5" s="1"/>
  <c r="S53" i="5" s="1"/>
  <c r="K53" i="5"/>
  <c r="J53" i="5"/>
  <c r="H53" i="5"/>
  <c r="G53" i="5"/>
  <c r="K52" i="5"/>
  <c r="J52" i="5"/>
  <c r="L52" i="5" s="1"/>
  <c r="K51" i="5"/>
  <c r="J51" i="5"/>
  <c r="L51" i="5" s="1"/>
  <c r="H51" i="5"/>
  <c r="G51" i="5"/>
  <c r="R50" i="5"/>
  <c r="U50" i="5" s="1"/>
  <c r="L50" i="5"/>
  <c r="T50" i="5" s="1"/>
  <c r="S50" i="5" s="1"/>
  <c r="K50" i="5"/>
  <c r="V50" i="5" s="1"/>
  <c r="J50" i="5"/>
  <c r="R49" i="5"/>
  <c r="K49" i="5"/>
  <c r="U49" i="5" s="1"/>
  <c r="J49" i="5"/>
  <c r="L49" i="5" s="1"/>
  <c r="T49" i="5" s="1"/>
  <c r="S49" i="5" s="1"/>
  <c r="K48" i="5"/>
  <c r="J48" i="5"/>
  <c r="L48" i="5" s="1"/>
  <c r="H48" i="5"/>
  <c r="G48" i="5"/>
  <c r="R47" i="5"/>
  <c r="V47" i="5" s="1"/>
  <c r="L47" i="5"/>
  <c r="T47" i="5" s="1"/>
  <c r="S47" i="5" s="1"/>
  <c r="K47" i="5"/>
  <c r="J47" i="5"/>
  <c r="H47" i="5"/>
  <c r="G47" i="5"/>
  <c r="K46" i="5"/>
  <c r="J46" i="5"/>
  <c r="L46" i="5" s="1"/>
  <c r="K45" i="5"/>
  <c r="J45" i="5"/>
  <c r="L45" i="5" s="1"/>
  <c r="H45" i="5"/>
  <c r="G45" i="5"/>
  <c r="R44" i="5"/>
  <c r="U44" i="5" s="1"/>
  <c r="L44" i="5"/>
  <c r="T44" i="5" s="1"/>
  <c r="S44" i="5" s="1"/>
  <c r="K44" i="5"/>
  <c r="V44" i="5" s="1"/>
  <c r="J44" i="5"/>
  <c r="R43" i="5"/>
  <c r="K43" i="5"/>
  <c r="V43" i="5" s="1"/>
  <c r="J43" i="5"/>
  <c r="L43" i="5" s="1"/>
  <c r="T43" i="5" s="1"/>
  <c r="S43" i="5" s="1"/>
  <c r="K42" i="5"/>
  <c r="J42" i="5"/>
  <c r="L42" i="5" s="1"/>
  <c r="H42" i="5"/>
  <c r="G42" i="5"/>
  <c r="R41" i="5"/>
  <c r="V41" i="5" s="1"/>
  <c r="L41" i="5"/>
  <c r="T41" i="5" s="1"/>
  <c r="S41" i="5" s="1"/>
  <c r="K41" i="5"/>
  <c r="J41" i="5"/>
  <c r="H41" i="5"/>
  <c r="G41" i="5"/>
  <c r="K40" i="5"/>
  <c r="J40" i="5"/>
  <c r="L40" i="5" s="1"/>
  <c r="K39" i="5"/>
  <c r="J39" i="5"/>
  <c r="L39" i="5" s="1"/>
  <c r="H39" i="5"/>
  <c r="G39" i="5"/>
  <c r="R38" i="5"/>
  <c r="U38" i="5" s="1"/>
  <c r="L38" i="5"/>
  <c r="T38" i="5" s="1"/>
  <c r="S38" i="5" s="1"/>
  <c r="K38" i="5"/>
  <c r="V38" i="5" s="1"/>
  <c r="J38" i="5"/>
  <c r="R37" i="5"/>
  <c r="K37" i="5"/>
  <c r="U37" i="5" s="1"/>
  <c r="J37" i="5"/>
  <c r="L37" i="5" s="1"/>
  <c r="T37" i="5" s="1"/>
  <c r="S37" i="5" s="1"/>
  <c r="K36" i="5"/>
  <c r="J36" i="5"/>
  <c r="L36" i="5" s="1"/>
  <c r="H36" i="5"/>
  <c r="G36" i="5"/>
  <c r="R35" i="5"/>
  <c r="V35" i="5" s="1"/>
  <c r="L35" i="5"/>
  <c r="T35" i="5" s="1"/>
  <c r="S35" i="5" s="1"/>
  <c r="K35" i="5"/>
  <c r="J35" i="5"/>
  <c r="H35" i="5"/>
  <c r="G35" i="5"/>
  <c r="K34" i="5"/>
  <c r="J34" i="5"/>
  <c r="L34" i="5" s="1"/>
  <c r="L33" i="5"/>
  <c r="K33" i="5"/>
  <c r="J33" i="5"/>
  <c r="H33" i="5"/>
  <c r="G33" i="5"/>
  <c r="R32" i="5"/>
  <c r="U32" i="5" s="1"/>
  <c r="L32" i="5"/>
  <c r="T32" i="5" s="1"/>
  <c r="S32" i="5" s="1"/>
  <c r="K32" i="5"/>
  <c r="J32" i="5"/>
  <c r="R31" i="5"/>
  <c r="K31" i="5"/>
  <c r="J31" i="5"/>
  <c r="L31" i="5" s="1"/>
  <c r="T31" i="5" s="1"/>
  <c r="S31" i="5" s="1"/>
  <c r="K30" i="5"/>
  <c r="J30" i="5"/>
  <c r="L30" i="5" s="1"/>
  <c r="H30" i="5"/>
  <c r="G30" i="5"/>
  <c r="R29" i="5"/>
  <c r="U29" i="5" s="1"/>
  <c r="L29" i="5"/>
  <c r="T29" i="5" s="1"/>
  <c r="S29" i="5" s="1"/>
  <c r="K29" i="5"/>
  <c r="V29" i="5" s="1"/>
  <c r="J29" i="5"/>
  <c r="H29" i="5"/>
  <c r="G29" i="5"/>
  <c r="K28" i="5"/>
  <c r="J28" i="5"/>
  <c r="L28" i="5" s="1"/>
  <c r="L27" i="5"/>
  <c r="K27" i="5"/>
  <c r="J27" i="5"/>
  <c r="H27" i="5"/>
  <c r="G27" i="5"/>
  <c r="R26" i="5"/>
  <c r="U26" i="5" s="1"/>
  <c r="L26" i="5"/>
  <c r="T26" i="5" s="1"/>
  <c r="S26" i="5" s="1"/>
  <c r="K26" i="5"/>
  <c r="V26" i="5" s="1"/>
  <c r="J26" i="5"/>
  <c r="R25" i="5"/>
  <c r="K25" i="5"/>
  <c r="J25" i="5"/>
  <c r="L25" i="5" s="1"/>
  <c r="T25" i="5" s="1"/>
  <c r="S25" i="5" s="1"/>
  <c r="G25" i="5"/>
  <c r="K24" i="5"/>
  <c r="J24" i="5"/>
  <c r="L24" i="5" s="1"/>
  <c r="H24" i="5"/>
  <c r="G24" i="5"/>
  <c r="R23" i="5"/>
  <c r="V23" i="5" s="1"/>
  <c r="L23" i="5"/>
  <c r="T23" i="5" s="1"/>
  <c r="S23" i="5" s="1"/>
  <c r="K23" i="5"/>
  <c r="J23" i="5"/>
  <c r="H23" i="5"/>
  <c r="G23" i="5"/>
  <c r="K22" i="5"/>
  <c r="J22" i="5"/>
  <c r="L22" i="5" s="1"/>
  <c r="G22" i="5"/>
  <c r="L21" i="5"/>
  <c r="K21" i="5"/>
  <c r="J21" i="5"/>
  <c r="H21" i="5"/>
  <c r="G21" i="5"/>
  <c r="R20" i="5"/>
  <c r="U20" i="5" s="1"/>
  <c r="L20" i="5"/>
  <c r="T20" i="5" s="1"/>
  <c r="S20" i="5" s="1"/>
  <c r="K20" i="5"/>
  <c r="V20" i="5" s="1"/>
  <c r="J20" i="5"/>
  <c r="R19" i="5"/>
  <c r="K19" i="5"/>
  <c r="J19" i="5"/>
  <c r="G19" i="5"/>
  <c r="K18" i="5"/>
  <c r="J18" i="5"/>
  <c r="L18" i="5" s="1"/>
  <c r="H18" i="5"/>
  <c r="G18" i="5"/>
  <c r="R17" i="5"/>
  <c r="R60" i="5" s="1"/>
  <c r="H17" i="5"/>
  <c r="H58" i="5" s="1"/>
  <c r="G17" i="5"/>
  <c r="D15" i="5"/>
  <c r="G58" i="5" s="1"/>
  <c r="P10" i="5"/>
  <c r="P8" i="5"/>
  <c r="P1" i="5"/>
  <c r="Q61" i="4"/>
  <c r="F61" i="4"/>
  <c r="E61" i="4"/>
  <c r="P10" i="4" s="1"/>
  <c r="K60" i="4"/>
  <c r="J60" i="4"/>
  <c r="L60" i="4" s="1"/>
  <c r="L59" i="4"/>
  <c r="K59" i="4"/>
  <c r="J59" i="4"/>
  <c r="L58" i="4"/>
  <c r="K58" i="4"/>
  <c r="J58" i="4"/>
  <c r="K57" i="4"/>
  <c r="J57" i="4"/>
  <c r="L57" i="4" s="1"/>
  <c r="K56" i="4"/>
  <c r="J56" i="4"/>
  <c r="L56" i="4" s="1"/>
  <c r="K55" i="4"/>
  <c r="J55" i="4"/>
  <c r="L55" i="4" s="1"/>
  <c r="K54" i="4"/>
  <c r="J54" i="4"/>
  <c r="L54" i="4" s="1"/>
  <c r="K53" i="4"/>
  <c r="J53" i="4"/>
  <c r="L53" i="4" s="1"/>
  <c r="K52" i="4"/>
  <c r="L52" i="4" s="1"/>
  <c r="J52" i="4"/>
  <c r="K51" i="4"/>
  <c r="J51" i="4"/>
  <c r="L51" i="4" s="1"/>
  <c r="K50" i="4"/>
  <c r="J50" i="4"/>
  <c r="K49" i="4"/>
  <c r="J49" i="4"/>
  <c r="L49" i="4" s="1"/>
  <c r="K48" i="4"/>
  <c r="J48" i="4"/>
  <c r="L48" i="4" s="1"/>
  <c r="L47" i="4"/>
  <c r="K47" i="4"/>
  <c r="J47" i="4"/>
  <c r="L46" i="4"/>
  <c r="K46" i="4"/>
  <c r="J46" i="4"/>
  <c r="K45" i="4"/>
  <c r="J45" i="4"/>
  <c r="L45" i="4" s="1"/>
  <c r="K44" i="4"/>
  <c r="J44" i="4"/>
  <c r="K43" i="4"/>
  <c r="J43" i="4"/>
  <c r="L43" i="4" s="1"/>
  <c r="K42" i="4"/>
  <c r="J42" i="4"/>
  <c r="L42" i="4" s="1"/>
  <c r="K41" i="4"/>
  <c r="J41" i="4"/>
  <c r="K40" i="4"/>
  <c r="L40" i="4" s="1"/>
  <c r="J40" i="4"/>
  <c r="K39" i="4"/>
  <c r="J39" i="4"/>
  <c r="L39" i="4" s="1"/>
  <c r="K38" i="4"/>
  <c r="J38" i="4"/>
  <c r="L38" i="4" s="1"/>
  <c r="K37" i="4"/>
  <c r="J37" i="4"/>
  <c r="L37" i="4" s="1"/>
  <c r="K36" i="4"/>
  <c r="J36" i="4"/>
  <c r="L36" i="4" s="1"/>
  <c r="K35" i="4"/>
  <c r="J35" i="4"/>
  <c r="L35" i="4" s="1"/>
  <c r="K34" i="4"/>
  <c r="J34" i="4"/>
  <c r="K33" i="4"/>
  <c r="J33" i="4"/>
  <c r="L33" i="4" s="1"/>
  <c r="K32" i="4"/>
  <c r="J32" i="4"/>
  <c r="L32" i="4" s="1"/>
  <c r="K31" i="4"/>
  <c r="J31" i="4"/>
  <c r="L31" i="4" s="1"/>
  <c r="K30" i="4"/>
  <c r="J30" i="4"/>
  <c r="K29" i="4"/>
  <c r="J29" i="4"/>
  <c r="K28" i="4"/>
  <c r="J28" i="4"/>
  <c r="K27" i="4"/>
  <c r="J27" i="4"/>
  <c r="L27" i="4" s="1"/>
  <c r="K26" i="4"/>
  <c r="J26" i="4"/>
  <c r="K25" i="4"/>
  <c r="J25" i="4"/>
  <c r="K24" i="4"/>
  <c r="J24" i="4"/>
  <c r="K23" i="4"/>
  <c r="J23" i="4"/>
  <c r="R22" i="4"/>
  <c r="K22" i="4"/>
  <c r="L22" i="4" s="1"/>
  <c r="T22" i="4" s="1"/>
  <c r="S22" i="4" s="1"/>
  <c r="J22" i="4"/>
  <c r="K21" i="4"/>
  <c r="J21" i="4"/>
  <c r="L21" i="4" s="1"/>
  <c r="K20" i="4"/>
  <c r="J20" i="4"/>
  <c r="K19" i="4"/>
  <c r="J19" i="4"/>
  <c r="L19" i="4" s="1"/>
  <c r="K18" i="4"/>
  <c r="J18" i="4"/>
  <c r="R17" i="4"/>
  <c r="H17" i="4"/>
  <c r="H32" i="4" s="1"/>
  <c r="G17" i="4"/>
  <c r="H37" i="4" s="1"/>
  <c r="D15" i="4"/>
  <c r="P8" i="4"/>
  <c r="P1" i="4"/>
  <c r="V21" i="65" l="1"/>
  <c r="U19" i="65"/>
  <c r="L20" i="65"/>
  <c r="U25" i="65"/>
  <c r="U33" i="65"/>
  <c r="U41" i="65"/>
  <c r="L46" i="65"/>
  <c r="T46" i="65" s="1"/>
  <c r="S46" i="65" s="1"/>
  <c r="L48" i="65"/>
  <c r="V52" i="65"/>
  <c r="L52" i="65"/>
  <c r="U18" i="65"/>
  <c r="T56" i="65"/>
  <c r="S56" i="65" s="1"/>
  <c r="V18" i="65"/>
  <c r="U20" i="65"/>
  <c r="V29" i="65"/>
  <c r="V37" i="65"/>
  <c r="V45" i="65"/>
  <c r="U52" i="65"/>
  <c r="G54" i="65"/>
  <c r="G56" i="65"/>
  <c r="G58" i="65"/>
  <c r="V60" i="65"/>
  <c r="L22" i="65"/>
  <c r="V24" i="65"/>
  <c r="L24" i="65"/>
  <c r="L26" i="65"/>
  <c r="V28" i="65"/>
  <c r="L28" i="65"/>
  <c r="L30" i="65"/>
  <c r="V32" i="65"/>
  <c r="L32" i="65"/>
  <c r="L34" i="65"/>
  <c r="V36" i="65"/>
  <c r="L36" i="65"/>
  <c r="L38" i="65"/>
  <c r="V40" i="65"/>
  <c r="L40" i="65"/>
  <c r="L42" i="65"/>
  <c r="V44" i="65"/>
  <c r="L44" i="65"/>
  <c r="L50" i="65"/>
  <c r="G59" i="65"/>
  <c r="G57" i="65"/>
  <c r="G55" i="65"/>
  <c r="G53" i="65"/>
  <c r="G51" i="65"/>
  <c r="G49" i="65"/>
  <c r="G47" i="65"/>
  <c r="G45" i="65"/>
  <c r="G43" i="65"/>
  <c r="G41" i="65"/>
  <c r="G39" i="65"/>
  <c r="G37" i="65"/>
  <c r="G35" i="65"/>
  <c r="G33" i="65"/>
  <c r="G31" i="65"/>
  <c r="G29" i="65"/>
  <c r="G27" i="65"/>
  <c r="G25" i="65"/>
  <c r="G23" i="65"/>
  <c r="G21" i="65"/>
  <c r="G52" i="65"/>
  <c r="G50" i="65"/>
  <c r="G48" i="65"/>
  <c r="G46" i="65"/>
  <c r="G44" i="65"/>
  <c r="G42" i="65"/>
  <c r="G40" i="65"/>
  <c r="G38" i="65"/>
  <c r="G36" i="65"/>
  <c r="G34" i="65"/>
  <c r="G32" i="65"/>
  <c r="G30" i="65"/>
  <c r="G28" i="65"/>
  <c r="G26" i="65"/>
  <c r="G24" i="65"/>
  <c r="G22" i="65"/>
  <c r="G20" i="65"/>
  <c r="G19" i="65"/>
  <c r="G18" i="65"/>
  <c r="T18" i="65"/>
  <c r="L19" i="65"/>
  <c r="T19" i="65" s="1"/>
  <c r="S19" i="65" s="1"/>
  <c r="L21" i="65"/>
  <c r="L23" i="65"/>
  <c r="L25" i="65"/>
  <c r="L27" i="65"/>
  <c r="T27" i="65" s="1"/>
  <c r="S27" i="65" s="1"/>
  <c r="L29" i="65"/>
  <c r="L31" i="65"/>
  <c r="L33" i="65"/>
  <c r="L35" i="65"/>
  <c r="T35" i="65" s="1"/>
  <c r="S35" i="65" s="1"/>
  <c r="L37" i="65"/>
  <c r="L39" i="65"/>
  <c r="L41" i="65"/>
  <c r="L43" i="65"/>
  <c r="T43" i="65" s="1"/>
  <c r="S43" i="65" s="1"/>
  <c r="L45" i="65"/>
  <c r="L47" i="65"/>
  <c r="L49" i="65"/>
  <c r="L51" i="65"/>
  <c r="T51" i="65" s="1"/>
  <c r="S51" i="65" s="1"/>
  <c r="L53" i="65"/>
  <c r="H59" i="65"/>
  <c r="H57" i="65"/>
  <c r="H55" i="65"/>
  <c r="J61" i="65"/>
  <c r="R19" i="65"/>
  <c r="R61" i="65" s="1"/>
  <c r="R21" i="65"/>
  <c r="U21" i="65" s="1"/>
  <c r="R23" i="65"/>
  <c r="V23" i="65" s="1"/>
  <c r="R25" i="65"/>
  <c r="V25" i="65" s="1"/>
  <c r="R27" i="65"/>
  <c r="U27" i="65" s="1"/>
  <c r="R29" i="65"/>
  <c r="U29" i="65" s="1"/>
  <c r="R31" i="65"/>
  <c r="V31" i="65" s="1"/>
  <c r="R33" i="65"/>
  <c r="V33" i="65" s="1"/>
  <c r="R35" i="65"/>
  <c r="U35" i="65" s="1"/>
  <c r="R37" i="65"/>
  <c r="U37" i="65" s="1"/>
  <c r="R39" i="65"/>
  <c r="V39" i="65" s="1"/>
  <c r="R41" i="65"/>
  <c r="V41" i="65" s="1"/>
  <c r="R43" i="65"/>
  <c r="U43" i="65" s="1"/>
  <c r="R45" i="65"/>
  <c r="U45" i="65" s="1"/>
  <c r="R47" i="65"/>
  <c r="V47" i="65" s="1"/>
  <c r="R49" i="65"/>
  <c r="V49" i="65" s="1"/>
  <c r="R51" i="65"/>
  <c r="U51" i="65" s="1"/>
  <c r="R53" i="65"/>
  <c r="V53" i="65" s="1"/>
  <c r="H54" i="65"/>
  <c r="R54" i="65"/>
  <c r="T54" i="65" s="1"/>
  <c r="S54" i="65" s="1"/>
  <c r="V55" i="65"/>
  <c r="H56" i="65"/>
  <c r="R56" i="65"/>
  <c r="H58" i="65"/>
  <c r="R58" i="65"/>
  <c r="V59" i="65"/>
  <c r="H60" i="65"/>
  <c r="R59" i="65"/>
  <c r="T59" i="65" s="1"/>
  <c r="S59" i="65" s="1"/>
  <c r="R57" i="65"/>
  <c r="T57" i="65" s="1"/>
  <c r="S57" i="65" s="1"/>
  <c r="R55" i="65"/>
  <c r="T55" i="65" s="1"/>
  <c r="S55" i="65" s="1"/>
  <c r="K61" i="65"/>
  <c r="H19" i="65"/>
  <c r="H61" i="65" s="1"/>
  <c r="P2" i="65" s="1"/>
  <c r="H20" i="65"/>
  <c r="R20" i="65"/>
  <c r="V20" i="65" s="1"/>
  <c r="H21" i="65"/>
  <c r="H22" i="65"/>
  <c r="R22" i="65"/>
  <c r="U22" i="65" s="1"/>
  <c r="H23" i="65"/>
  <c r="H24" i="65"/>
  <c r="R24" i="65"/>
  <c r="U24" i="65" s="1"/>
  <c r="H25" i="65"/>
  <c r="H26" i="65"/>
  <c r="R26" i="65"/>
  <c r="V26" i="65" s="1"/>
  <c r="H27" i="65"/>
  <c r="H28" i="65"/>
  <c r="R28" i="65"/>
  <c r="U28" i="65" s="1"/>
  <c r="H29" i="65"/>
  <c r="H30" i="65"/>
  <c r="R30" i="65"/>
  <c r="U30" i="65" s="1"/>
  <c r="H31" i="65"/>
  <c r="H32" i="65"/>
  <c r="R32" i="65"/>
  <c r="U32" i="65" s="1"/>
  <c r="H33" i="65"/>
  <c r="H34" i="65"/>
  <c r="R34" i="65"/>
  <c r="U34" i="65" s="1"/>
  <c r="H35" i="65"/>
  <c r="H36" i="65"/>
  <c r="R36" i="65"/>
  <c r="U36" i="65" s="1"/>
  <c r="H37" i="65"/>
  <c r="H38" i="65"/>
  <c r="R38" i="65"/>
  <c r="U38" i="65" s="1"/>
  <c r="H39" i="65"/>
  <c r="H40" i="65"/>
  <c r="R40" i="65"/>
  <c r="U40" i="65" s="1"/>
  <c r="H41" i="65"/>
  <c r="H42" i="65"/>
  <c r="R42" i="65"/>
  <c r="V42" i="65" s="1"/>
  <c r="H43" i="65"/>
  <c r="H44" i="65"/>
  <c r="R44" i="65"/>
  <c r="U44" i="65" s="1"/>
  <c r="H45" i="65"/>
  <c r="H46" i="65"/>
  <c r="R46" i="65"/>
  <c r="U46" i="65" s="1"/>
  <c r="H47" i="65"/>
  <c r="H48" i="65"/>
  <c r="R48" i="65"/>
  <c r="V48" i="65" s="1"/>
  <c r="H49" i="65"/>
  <c r="H50" i="65"/>
  <c r="R50" i="65"/>
  <c r="V50" i="65" s="1"/>
  <c r="H51" i="65"/>
  <c r="H52" i="65"/>
  <c r="R52" i="65"/>
  <c r="H53" i="65"/>
  <c r="L21" i="64"/>
  <c r="L23" i="64"/>
  <c r="L25" i="64"/>
  <c r="L27" i="64"/>
  <c r="T27" i="64" s="1"/>
  <c r="S27" i="64" s="1"/>
  <c r="L29" i="64"/>
  <c r="L31" i="64"/>
  <c r="L33" i="64"/>
  <c r="L35" i="64"/>
  <c r="T35" i="64" s="1"/>
  <c r="S35" i="64" s="1"/>
  <c r="L37" i="64"/>
  <c r="L39" i="64"/>
  <c r="L41" i="64"/>
  <c r="L43" i="64"/>
  <c r="L45" i="64"/>
  <c r="L18" i="64"/>
  <c r="L19" i="64"/>
  <c r="L20" i="64"/>
  <c r="T20" i="64" s="1"/>
  <c r="S20" i="64" s="1"/>
  <c r="L22" i="64"/>
  <c r="L24" i="64"/>
  <c r="L26" i="64"/>
  <c r="L28" i="64"/>
  <c r="T28" i="64" s="1"/>
  <c r="S28" i="64" s="1"/>
  <c r="L30" i="64"/>
  <c r="L32" i="64"/>
  <c r="L34" i="64"/>
  <c r="L36" i="64"/>
  <c r="L38" i="64"/>
  <c r="L40" i="64"/>
  <c r="L42" i="64"/>
  <c r="L44" i="64"/>
  <c r="T44" i="64" s="1"/>
  <c r="S44" i="64" s="1"/>
  <c r="L46" i="64"/>
  <c r="G46" i="64"/>
  <c r="G45" i="64"/>
  <c r="G44" i="64"/>
  <c r="G43" i="64"/>
  <c r="G42" i="64"/>
  <c r="G41" i="64"/>
  <c r="G40" i="64"/>
  <c r="G39" i="64"/>
  <c r="G38" i="64"/>
  <c r="G37" i="64"/>
  <c r="G36" i="64"/>
  <c r="G35" i="64"/>
  <c r="G34" i="64"/>
  <c r="G33" i="64"/>
  <c r="G32" i="64"/>
  <c r="G31" i="64"/>
  <c r="G30" i="64"/>
  <c r="G29" i="64"/>
  <c r="G28" i="64"/>
  <c r="G27" i="64"/>
  <c r="G26" i="64"/>
  <c r="G25" i="64"/>
  <c r="G24" i="64"/>
  <c r="G23" i="64"/>
  <c r="G22" i="64"/>
  <c r="G21" i="64"/>
  <c r="G20" i="64"/>
  <c r="G19" i="64"/>
  <c r="G18" i="64"/>
  <c r="H46" i="64"/>
  <c r="H45" i="64"/>
  <c r="H44" i="64"/>
  <c r="H43" i="64"/>
  <c r="H42" i="64"/>
  <c r="H41" i="64"/>
  <c r="H40" i="64"/>
  <c r="H39" i="64"/>
  <c r="H38" i="64"/>
  <c r="H37" i="64"/>
  <c r="H36" i="64"/>
  <c r="H35" i="64"/>
  <c r="H34" i="64"/>
  <c r="H33" i="64"/>
  <c r="H32" i="64"/>
  <c r="H31" i="64"/>
  <c r="H30" i="64"/>
  <c r="H29" i="64"/>
  <c r="H28" i="64"/>
  <c r="H27" i="64"/>
  <c r="H26" i="64"/>
  <c r="H25" i="64"/>
  <c r="H24" i="64"/>
  <c r="H23" i="64"/>
  <c r="H22" i="64"/>
  <c r="H21" i="64"/>
  <c r="H20" i="64"/>
  <c r="H19" i="64"/>
  <c r="H18" i="64"/>
  <c r="R46" i="64"/>
  <c r="U46" i="64" s="1"/>
  <c r="R45" i="64"/>
  <c r="U45" i="64" s="1"/>
  <c r="R44" i="64"/>
  <c r="R43" i="64"/>
  <c r="R42" i="64"/>
  <c r="V42" i="64" s="1"/>
  <c r="R41" i="64"/>
  <c r="U41" i="64" s="1"/>
  <c r="R40" i="64"/>
  <c r="R39" i="64"/>
  <c r="R38" i="64"/>
  <c r="V38" i="64" s="1"/>
  <c r="R37" i="64"/>
  <c r="U37" i="64" s="1"/>
  <c r="R36" i="64"/>
  <c r="R35" i="64"/>
  <c r="R34" i="64"/>
  <c r="V34" i="64" s="1"/>
  <c r="R33" i="64"/>
  <c r="U33" i="64" s="1"/>
  <c r="R32" i="64"/>
  <c r="R31" i="64"/>
  <c r="R30" i="64"/>
  <c r="T30" i="64" s="1"/>
  <c r="S30" i="64" s="1"/>
  <c r="R29" i="64"/>
  <c r="U29" i="64" s="1"/>
  <c r="R28" i="64"/>
  <c r="R27" i="64"/>
  <c r="R26" i="64"/>
  <c r="U26" i="64" s="1"/>
  <c r="R25" i="64"/>
  <c r="U25" i="64" s="1"/>
  <c r="R24" i="64"/>
  <c r="U24" i="64" s="1"/>
  <c r="R23" i="64"/>
  <c r="R22" i="64"/>
  <c r="U22" i="64" s="1"/>
  <c r="R21" i="64"/>
  <c r="V21" i="64" s="1"/>
  <c r="R20" i="64"/>
  <c r="U20" i="64" s="1"/>
  <c r="R19" i="64"/>
  <c r="R18" i="64"/>
  <c r="J47" i="64"/>
  <c r="K47" i="64"/>
  <c r="V19" i="64"/>
  <c r="U19" i="64"/>
  <c r="T21" i="64"/>
  <c r="S21" i="64" s="1"/>
  <c r="V22" i="64"/>
  <c r="T23" i="64"/>
  <c r="S23" i="64" s="1"/>
  <c r="V23" i="64"/>
  <c r="U23" i="64"/>
  <c r="T24" i="64"/>
  <c r="S24" i="64" s="1"/>
  <c r="V24" i="64"/>
  <c r="V26" i="64"/>
  <c r="V27" i="64"/>
  <c r="U27" i="64"/>
  <c r="V28" i="64"/>
  <c r="U28" i="64"/>
  <c r="V29" i="64"/>
  <c r="T31" i="64"/>
  <c r="S31" i="64" s="1"/>
  <c r="V31" i="64"/>
  <c r="U31" i="64"/>
  <c r="T32" i="64"/>
  <c r="S32" i="64" s="1"/>
  <c r="V32" i="64"/>
  <c r="U32" i="64"/>
  <c r="V33" i="64"/>
  <c r="U34" i="64"/>
  <c r="V35" i="64"/>
  <c r="U35" i="64"/>
  <c r="T36" i="64"/>
  <c r="S36" i="64" s="1"/>
  <c r="V36" i="64"/>
  <c r="U36" i="64"/>
  <c r="V37" i="64"/>
  <c r="T38" i="64"/>
  <c r="S38" i="64" s="1"/>
  <c r="T39" i="64"/>
  <c r="S39" i="64" s="1"/>
  <c r="V39" i="64"/>
  <c r="U39" i="64"/>
  <c r="T40" i="64"/>
  <c r="S40" i="64" s="1"/>
  <c r="V40" i="64"/>
  <c r="U40" i="64"/>
  <c r="V41" i="64"/>
  <c r="T43" i="64"/>
  <c r="S43" i="64" s="1"/>
  <c r="V43" i="64"/>
  <c r="U43" i="64"/>
  <c r="V44" i="64"/>
  <c r="U44" i="64"/>
  <c r="V45" i="64"/>
  <c r="V46" i="64"/>
  <c r="P7" i="62"/>
  <c r="V14" i="62"/>
  <c r="P9" i="62" s="1"/>
  <c r="P4" i="62"/>
  <c r="P5" i="62"/>
  <c r="P7" i="63"/>
  <c r="V14" i="63"/>
  <c r="P9" i="63" s="1"/>
  <c r="P4" i="63"/>
  <c r="P5" i="63"/>
  <c r="P7" i="61"/>
  <c r="V14" i="61"/>
  <c r="P9" i="61" s="1"/>
  <c r="P4" i="61"/>
  <c r="P5" i="61"/>
  <c r="P7" i="60"/>
  <c r="V14" i="60"/>
  <c r="P9" i="60" s="1"/>
  <c r="P4" i="60"/>
  <c r="P5" i="60"/>
  <c r="P7" i="59"/>
  <c r="V14" i="59"/>
  <c r="P9" i="59" s="1"/>
  <c r="P4" i="59"/>
  <c r="P5" i="59"/>
  <c r="P7" i="58"/>
  <c r="V14" i="58"/>
  <c r="P9" i="58" s="1"/>
  <c r="P4" i="58"/>
  <c r="P5" i="58"/>
  <c r="P7" i="57"/>
  <c r="V14" i="57"/>
  <c r="P9" i="57" s="1"/>
  <c r="P4" i="57"/>
  <c r="P5" i="57"/>
  <c r="P7" i="56"/>
  <c r="V14" i="56"/>
  <c r="P9" i="56" s="1"/>
  <c r="P4" i="56"/>
  <c r="P5" i="56"/>
  <c r="P7" i="55"/>
  <c r="V14" i="55"/>
  <c r="P9" i="55" s="1"/>
  <c r="P4" i="55"/>
  <c r="P5" i="55"/>
  <c r="P7" i="54"/>
  <c r="V14" i="54"/>
  <c r="P9" i="54" s="1"/>
  <c r="P4" i="54"/>
  <c r="P5" i="54"/>
  <c r="G18" i="53"/>
  <c r="G20" i="53"/>
  <c r="G21" i="53"/>
  <c r="G22" i="53"/>
  <c r="G23" i="53"/>
  <c r="G24" i="53"/>
  <c r="G25" i="53"/>
  <c r="G26" i="53"/>
  <c r="G28" i="53"/>
  <c r="G29" i="53"/>
  <c r="G30" i="53"/>
  <c r="G31" i="53"/>
  <c r="G32" i="53"/>
  <c r="G33" i="53"/>
  <c r="G34" i="53"/>
  <c r="G35" i="53"/>
  <c r="G36" i="53"/>
  <c r="G37" i="53"/>
  <c r="G38" i="53"/>
  <c r="G39" i="53"/>
  <c r="G40" i="53"/>
  <c r="G41" i="53"/>
  <c r="G42" i="53"/>
  <c r="G43" i="53"/>
  <c r="G44" i="53"/>
  <c r="G45" i="53"/>
  <c r="G46" i="53"/>
  <c r="G47" i="53"/>
  <c r="G48" i="53"/>
  <c r="G49" i="53"/>
  <c r="G50" i="53"/>
  <c r="G51" i="53"/>
  <c r="G52" i="53"/>
  <c r="G53" i="53"/>
  <c r="G54" i="53"/>
  <c r="G55" i="53"/>
  <c r="G56" i="53"/>
  <c r="G57" i="53"/>
  <c r="G58" i="53"/>
  <c r="G59" i="53"/>
  <c r="G60" i="53"/>
  <c r="P7" i="53"/>
  <c r="V14" i="53"/>
  <c r="P9" i="53" s="1"/>
  <c r="P4" i="53"/>
  <c r="P5" i="53"/>
  <c r="H60" i="52"/>
  <c r="H59" i="52"/>
  <c r="H58" i="52"/>
  <c r="H57" i="52"/>
  <c r="H56" i="52"/>
  <c r="H55" i="52"/>
  <c r="H54" i="52"/>
  <c r="H53" i="52"/>
  <c r="H52" i="52"/>
  <c r="H51" i="52"/>
  <c r="H50" i="52"/>
  <c r="H49" i="52"/>
  <c r="H48" i="52"/>
  <c r="H47" i="52"/>
  <c r="H46" i="52"/>
  <c r="H45" i="52"/>
  <c r="H44" i="52"/>
  <c r="H43" i="52"/>
  <c r="H42" i="52"/>
  <c r="H41" i="52"/>
  <c r="H40" i="52"/>
  <c r="H39" i="52"/>
  <c r="H38" i="52"/>
  <c r="H37" i="52"/>
  <c r="H36" i="52"/>
  <c r="H35" i="52"/>
  <c r="H34" i="52"/>
  <c r="H33" i="52"/>
  <c r="H32" i="52"/>
  <c r="H31" i="52"/>
  <c r="H30" i="52"/>
  <c r="H29" i="52"/>
  <c r="H28" i="52"/>
  <c r="H27" i="52"/>
  <c r="H26" i="52"/>
  <c r="H25" i="52"/>
  <c r="H24" i="52"/>
  <c r="H23" i="52"/>
  <c r="H22" i="52"/>
  <c r="H21" i="52"/>
  <c r="H20" i="52"/>
  <c r="H19" i="52"/>
  <c r="H18" i="52"/>
  <c r="H61" i="52" s="1"/>
  <c r="P2" i="52" s="1"/>
  <c r="R60" i="52"/>
  <c r="R59" i="52"/>
  <c r="R58" i="52"/>
  <c r="R57" i="52"/>
  <c r="R56" i="52"/>
  <c r="R55" i="52"/>
  <c r="R54" i="52"/>
  <c r="R53" i="52"/>
  <c r="R52" i="52"/>
  <c r="R51" i="52"/>
  <c r="R50" i="52"/>
  <c r="R49" i="52"/>
  <c r="R48" i="52"/>
  <c r="R47" i="52"/>
  <c r="R46" i="52"/>
  <c r="R45" i="52"/>
  <c r="R44" i="52"/>
  <c r="R43" i="52"/>
  <c r="R42" i="52"/>
  <c r="R41" i="52"/>
  <c r="R40" i="52"/>
  <c r="R39" i="52"/>
  <c r="R38" i="52"/>
  <c r="R37" i="52"/>
  <c r="R36" i="52"/>
  <c r="R35" i="52"/>
  <c r="R34" i="52"/>
  <c r="R33" i="52"/>
  <c r="R32" i="52"/>
  <c r="R31" i="52"/>
  <c r="R30" i="52"/>
  <c r="R29" i="52"/>
  <c r="R28" i="52"/>
  <c r="R27" i="52"/>
  <c r="R26" i="52"/>
  <c r="R25" i="52"/>
  <c r="R24" i="52"/>
  <c r="R23" i="52"/>
  <c r="R22" i="52"/>
  <c r="R21" i="52"/>
  <c r="R20" i="52"/>
  <c r="R19" i="52"/>
  <c r="R18" i="52"/>
  <c r="R61" i="52" s="1"/>
  <c r="J61" i="52"/>
  <c r="L18" i="52"/>
  <c r="V18" i="52"/>
  <c r="U18" i="52"/>
  <c r="T19" i="52"/>
  <c r="S19" i="52" s="1"/>
  <c r="V19" i="52"/>
  <c r="U19" i="52"/>
  <c r="T20" i="52"/>
  <c r="S20" i="52" s="1"/>
  <c r="V20" i="52"/>
  <c r="U20" i="52"/>
  <c r="T21" i="52"/>
  <c r="S21" i="52" s="1"/>
  <c r="V21" i="52"/>
  <c r="U21" i="52"/>
  <c r="T22" i="52"/>
  <c r="S22" i="52" s="1"/>
  <c r="V22" i="52"/>
  <c r="U22" i="52"/>
  <c r="T23" i="52"/>
  <c r="S23" i="52" s="1"/>
  <c r="V23" i="52"/>
  <c r="U23" i="52"/>
  <c r="T24" i="52"/>
  <c r="S24" i="52" s="1"/>
  <c r="V24" i="52"/>
  <c r="U24" i="52"/>
  <c r="T25" i="52"/>
  <c r="S25" i="52" s="1"/>
  <c r="V25" i="52"/>
  <c r="U25" i="52"/>
  <c r="T26" i="52"/>
  <c r="S26" i="52" s="1"/>
  <c r="V26" i="52"/>
  <c r="U26" i="52"/>
  <c r="T27" i="52"/>
  <c r="S27" i="52" s="1"/>
  <c r="V27" i="52"/>
  <c r="U27" i="52"/>
  <c r="G61" i="52"/>
  <c r="K28" i="52"/>
  <c r="L28" i="52"/>
  <c r="T28" i="52" s="1"/>
  <c r="S28" i="52" s="1"/>
  <c r="V29" i="52"/>
  <c r="U29" i="52"/>
  <c r="L29" i="52"/>
  <c r="T29" i="52" s="1"/>
  <c r="S29" i="52" s="1"/>
  <c r="V30" i="52"/>
  <c r="U30" i="52"/>
  <c r="L30" i="52"/>
  <c r="T30" i="52" s="1"/>
  <c r="S30" i="52" s="1"/>
  <c r="V31" i="52"/>
  <c r="U31" i="52"/>
  <c r="L31" i="52"/>
  <c r="T31" i="52" s="1"/>
  <c r="S31" i="52" s="1"/>
  <c r="V32" i="52"/>
  <c r="U32" i="52"/>
  <c r="L32" i="52"/>
  <c r="T32" i="52" s="1"/>
  <c r="S32" i="52" s="1"/>
  <c r="V33" i="52"/>
  <c r="U33" i="52"/>
  <c r="L33" i="52"/>
  <c r="T33" i="52" s="1"/>
  <c r="S33" i="52" s="1"/>
  <c r="V34" i="52"/>
  <c r="U34" i="52"/>
  <c r="L34" i="52"/>
  <c r="T34" i="52" s="1"/>
  <c r="S34" i="52" s="1"/>
  <c r="V35" i="52"/>
  <c r="U35" i="52"/>
  <c r="L35" i="52"/>
  <c r="T35" i="52" s="1"/>
  <c r="S35" i="52" s="1"/>
  <c r="V36" i="52"/>
  <c r="U36" i="52"/>
  <c r="L36" i="52"/>
  <c r="T36" i="52" s="1"/>
  <c r="S36" i="52" s="1"/>
  <c r="V37" i="52"/>
  <c r="U37" i="52"/>
  <c r="L37" i="52"/>
  <c r="T37" i="52" s="1"/>
  <c r="S37" i="52" s="1"/>
  <c r="V38" i="52"/>
  <c r="U38" i="52"/>
  <c r="L38" i="52"/>
  <c r="T38" i="52" s="1"/>
  <c r="S38" i="52" s="1"/>
  <c r="V39" i="52"/>
  <c r="U39" i="52"/>
  <c r="L39" i="52"/>
  <c r="T39" i="52" s="1"/>
  <c r="S39" i="52" s="1"/>
  <c r="V40" i="52"/>
  <c r="U40" i="52"/>
  <c r="L40" i="52"/>
  <c r="T40" i="52" s="1"/>
  <c r="S40" i="52" s="1"/>
  <c r="V41" i="52"/>
  <c r="U41" i="52"/>
  <c r="L41" i="52"/>
  <c r="T41" i="52" s="1"/>
  <c r="S41" i="52" s="1"/>
  <c r="V42" i="52"/>
  <c r="U42" i="52"/>
  <c r="L42" i="52"/>
  <c r="T42" i="52" s="1"/>
  <c r="S42" i="52" s="1"/>
  <c r="V43" i="52"/>
  <c r="U43" i="52"/>
  <c r="L43" i="52"/>
  <c r="T43" i="52" s="1"/>
  <c r="S43" i="52" s="1"/>
  <c r="V44" i="52"/>
  <c r="U44" i="52"/>
  <c r="L44" i="52"/>
  <c r="T44" i="52" s="1"/>
  <c r="S44" i="52" s="1"/>
  <c r="V45" i="52"/>
  <c r="U45" i="52"/>
  <c r="L45" i="52"/>
  <c r="T45" i="52" s="1"/>
  <c r="S45" i="52" s="1"/>
  <c r="V46" i="52"/>
  <c r="U46" i="52"/>
  <c r="L46" i="52"/>
  <c r="T46" i="52" s="1"/>
  <c r="S46" i="52" s="1"/>
  <c r="V47" i="52"/>
  <c r="U47" i="52"/>
  <c r="L47" i="52"/>
  <c r="T47" i="52" s="1"/>
  <c r="S47" i="52" s="1"/>
  <c r="V48" i="52"/>
  <c r="U48" i="52"/>
  <c r="L48" i="52"/>
  <c r="T48" i="52" s="1"/>
  <c r="S48" i="52" s="1"/>
  <c r="V49" i="52"/>
  <c r="U49" i="52"/>
  <c r="L49" i="52"/>
  <c r="T49" i="52" s="1"/>
  <c r="S49" i="52" s="1"/>
  <c r="V50" i="52"/>
  <c r="U50" i="52"/>
  <c r="L50" i="52"/>
  <c r="T50" i="52" s="1"/>
  <c r="S50" i="52" s="1"/>
  <c r="V51" i="52"/>
  <c r="U51" i="52"/>
  <c r="L51" i="52"/>
  <c r="T51" i="52" s="1"/>
  <c r="S51" i="52" s="1"/>
  <c r="V52" i="52"/>
  <c r="U52" i="52"/>
  <c r="L52" i="52"/>
  <c r="T52" i="52" s="1"/>
  <c r="S52" i="52" s="1"/>
  <c r="V53" i="52"/>
  <c r="U53" i="52"/>
  <c r="L53" i="52"/>
  <c r="T53" i="52" s="1"/>
  <c r="S53" i="52" s="1"/>
  <c r="V54" i="52"/>
  <c r="U54" i="52"/>
  <c r="L54" i="52"/>
  <c r="T54" i="52" s="1"/>
  <c r="S54" i="52" s="1"/>
  <c r="V55" i="52"/>
  <c r="U55" i="52"/>
  <c r="L55" i="52"/>
  <c r="T55" i="52" s="1"/>
  <c r="S55" i="52" s="1"/>
  <c r="V56" i="52"/>
  <c r="U56" i="52"/>
  <c r="L56" i="52"/>
  <c r="T56" i="52" s="1"/>
  <c r="S56" i="52" s="1"/>
  <c r="V57" i="52"/>
  <c r="U57" i="52"/>
  <c r="L57" i="52"/>
  <c r="T57" i="52" s="1"/>
  <c r="S57" i="52" s="1"/>
  <c r="V58" i="52"/>
  <c r="U58" i="52"/>
  <c r="L58" i="52"/>
  <c r="T58" i="52" s="1"/>
  <c r="S58" i="52" s="1"/>
  <c r="V59" i="52"/>
  <c r="U59" i="52"/>
  <c r="L59" i="52"/>
  <c r="T59" i="52" s="1"/>
  <c r="S59" i="52" s="1"/>
  <c r="V60" i="52"/>
  <c r="U60" i="52"/>
  <c r="L60" i="52"/>
  <c r="T60" i="52" s="1"/>
  <c r="S60" i="52" s="1"/>
  <c r="P7" i="51"/>
  <c r="V14" i="51"/>
  <c r="P9" i="51" s="1"/>
  <c r="P4" i="51"/>
  <c r="P5" i="51"/>
  <c r="P7" i="50"/>
  <c r="V14" i="50"/>
  <c r="P9" i="50" s="1"/>
  <c r="P4" i="50"/>
  <c r="P5" i="50"/>
  <c r="P7" i="46"/>
  <c r="V14" i="46"/>
  <c r="P9" i="46" s="1"/>
  <c r="P4" i="46"/>
  <c r="P5" i="46"/>
  <c r="P7" i="47"/>
  <c r="V14" i="47"/>
  <c r="P9" i="47" s="1"/>
  <c r="P4" i="47"/>
  <c r="P5" i="47"/>
  <c r="P7" i="48"/>
  <c r="V14" i="48"/>
  <c r="P9" i="48" s="1"/>
  <c r="P4" i="48"/>
  <c r="P5" i="48"/>
  <c r="P7" i="45"/>
  <c r="V14" i="45"/>
  <c r="P9" i="45" s="1"/>
  <c r="P4" i="45"/>
  <c r="P5" i="45"/>
  <c r="P7" i="44"/>
  <c r="V14" i="44"/>
  <c r="P9" i="44" s="1"/>
  <c r="P4" i="44"/>
  <c r="P5" i="44"/>
  <c r="P7" i="43"/>
  <c r="V14" i="43"/>
  <c r="P9" i="43" s="1"/>
  <c r="P4" i="43"/>
  <c r="P5" i="43"/>
  <c r="P7" i="42"/>
  <c r="V14" i="42"/>
  <c r="P9" i="42" s="1"/>
  <c r="P4" i="42"/>
  <c r="P5" i="42"/>
  <c r="P7" i="41"/>
  <c r="V14" i="41"/>
  <c r="P9" i="41" s="1"/>
  <c r="P4" i="41"/>
  <c r="P5" i="41"/>
  <c r="G60" i="40"/>
  <c r="G59" i="40"/>
  <c r="G58" i="40"/>
  <c r="G57" i="40"/>
  <c r="G56" i="40"/>
  <c r="G55" i="40"/>
  <c r="G54" i="40"/>
  <c r="G53" i="40"/>
  <c r="G52" i="40"/>
  <c r="G51" i="40"/>
  <c r="G50" i="40"/>
  <c r="G49" i="40"/>
  <c r="G48" i="40"/>
  <c r="G47" i="40"/>
  <c r="G46" i="40"/>
  <c r="G45" i="40"/>
  <c r="G44" i="40"/>
  <c r="G43" i="40"/>
  <c r="G42" i="40"/>
  <c r="G41" i="40"/>
  <c r="G40" i="40"/>
  <c r="G39" i="40"/>
  <c r="G38" i="40"/>
  <c r="G37" i="40"/>
  <c r="G36" i="40"/>
  <c r="G35" i="40"/>
  <c r="G34" i="40"/>
  <c r="G33" i="40"/>
  <c r="G32" i="40"/>
  <c r="G31" i="40"/>
  <c r="G30" i="40"/>
  <c r="G29" i="40"/>
  <c r="G28" i="40"/>
  <c r="G27" i="40"/>
  <c r="G26" i="40"/>
  <c r="G25" i="40"/>
  <c r="G24" i="40"/>
  <c r="G23" i="40"/>
  <c r="G22" i="40"/>
  <c r="G21" i="40"/>
  <c r="G20" i="40"/>
  <c r="G19" i="40"/>
  <c r="G18" i="40"/>
  <c r="G61" i="40" s="1"/>
  <c r="H60" i="40"/>
  <c r="H59" i="40"/>
  <c r="H58" i="40"/>
  <c r="H57" i="40"/>
  <c r="H56" i="40"/>
  <c r="H55" i="40"/>
  <c r="H54" i="40"/>
  <c r="H53" i="40"/>
  <c r="H52" i="40"/>
  <c r="H51" i="40"/>
  <c r="H50" i="40"/>
  <c r="H49" i="40"/>
  <c r="H48" i="40"/>
  <c r="H47" i="40"/>
  <c r="H46" i="40"/>
  <c r="H45" i="40"/>
  <c r="H44" i="40"/>
  <c r="H43" i="40"/>
  <c r="H42" i="40"/>
  <c r="H41" i="40"/>
  <c r="H40" i="40"/>
  <c r="H39" i="40"/>
  <c r="H38" i="40"/>
  <c r="H37" i="40"/>
  <c r="H36" i="40"/>
  <c r="H35" i="40"/>
  <c r="H34" i="40"/>
  <c r="H33" i="40"/>
  <c r="H32" i="40"/>
  <c r="H31" i="40"/>
  <c r="H30" i="40"/>
  <c r="H29" i="40"/>
  <c r="H28" i="40"/>
  <c r="H27" i="40"/>
  <c r="H26" i="40"/>
  <c r="H25" i="40"/>
  <c r="H24" i="40"/>
  <c r="H23" i="40"/>
  <c r="H22" i="40"/>
  <c r="H21" i="40"/>
  <c r="H20" i="40"/>
  <c r="H19" i="40"/>
  <c r="H18" i="40"/>
  <c r="H61" i="40" s="1"/>
  <c r="P2" i="40" s="1"/>
  <c r="R60" i="40"/>
  <c r="R59" i="40"/>
  <c r="R58" i="40"/>
  <c r="R57" i="40"/>
  <c r="R56" i="40"/>
  <c r="R55" i="40"/>
  <c r="R54" i="40"/>
  <c r="R53" i="40"/>
  <c r="R52" i="40"/>
  <c r="R51" i="40"/>
  <c r="R50" i="40"/>
  <c r="R49" i="40"/>
  <c r="R48" i="40"/>
  <c r="R47" i="40"/>
  <c r="R46" i="40"/>
  <c r="R45" i="40"/>
  <c r="R44" i="40"/>
  <c r="R43" i="40"/>
  <c r="R42" i="40"/>
  <c r="R41" i="40"/>
  <c r="R40" i="40"/>
  <c r="R39" i="40"/>
  <c r="R38" i="40"/>
  <c r="R37" i="40"/>
  <c r="R36" i="40"/>
  <c r="R35" i="40"/>
  <c r="R34" i="40"/>
  <c r="R33" i="40"/>
  <c r="R32" i="40"/>
  <c r="R31" i="40"/>
  <c r="R30" i="40"/>
  <c r="R29" i="40"/>
  <c r="R28" i="40"/>
  <c r="R27" i="40"/>
  <c r="R26" i="40"/>
  <c r="R25" i="40"/>
  <c r="R24" i="40"/>
  <c r="R23" i="40"/>
  <c r="R22" i="40"/>
  <c r="R21" i="40"/>
  <c r="R20" i="40"/>
  <c r="R19" i="40"/>
  <c r="R18" i="40"/>
  <c r="R61" i="40" s="1"/>
  <c r="J61" i="40"/>
  <c r="L18" i="40"/>
  <c r="K61" i="40"/>
  <c r="V18" i="40"/>
  <c r="U18" i="40"/>
  <c r="T19" i="40"/>
  <c r="S19" i="40" s="1"/>
  <c r="V19" i="40"/>
  <c r="U19" i="40"/>
  <c r="T20" i="40"/>
  <c r="S20" i="40" s="1"/>
  <c r="V20" i="40"/>
  <c r="U20" i="40"/>
  <c r="T21" i="40"/>
  <c r="S21" i="40" s="1"/>
  <c r="V21" i="40"/>
  <c r="U21" i="40"/>
  <c r="T22" i="40"/>
  <c r="S22" i="40" s="1"/>
  <c r="V22" i="40"/>
  <c r="U22" i="40"/>
  <c r="T23" i="40"/>
  <c r="S23" i="40" s="1"/>
  <c r="V23" i="40"/>
  <c r="U23" i="40"/>
  <c r="T24" i="40"/>
  <c r="S24" i="40" s="1"/>
  <c r="V24" i="40"/>
  <c r="U24" i="40"/>
  <c r="T25" i="40"/>
  <c r="S25" i="40" s="1"/>
  <c r="V25" i="40"/>
  <c r="U25" i="40"/>
  <c r="T26" i="40"/>
  <c r="S26" i="40" s="1"/>
  <c r="V26" i="40"/>
  <c r="U26" i="40"/>
  <c r="T27" i="40"/>
  <c r="S27" i="40" s="1"/>
  <c r="V27" i="40"/>
  <c r="U27" i="40"/>
  <c r="T28" i="40"/>
  <c r="S28" i="40" s="1"/>
  <c r="V28" i="40"/>
  <c r="U28" i="40"/>
  <c r="T29" i="40"/>
  <c r="S29" i="40" s="1"/>
  <c r="V29" i="40"/>
  <c r="U29" i="40"/>
  <c r="T30" i="40"/>
  <c r="S30" i="40" s="1"/>
  <c r="V30" i="40"/>
  <c r="U30" i="40"/>
  <c r="T31" i="40"/>
  <c r="S31" i="40" s="1"/>
  <c r="V31" i="40"/>
  <c r="U31" i="40"/>
  <c r="T32" i="40"/>
  <c r="S32" i="40" s="1"/>
  <c r="V32" i="40"/>
  <c r="U32" i="40"/>
  <c r="T33" i="40"/>
  <c r="S33" i="40" s="1"/>
  <c r="V33" i="40"/>
  <c r="U33" i="40"/>
  <c r="T34" i="40"/>
  <c r="S34" i="40" s="1"/>
  <c r="V34" i="40"/>
  <c r="U34" i="40"/>
  <c r="T35" i="40"/>
  <c r="S35" i="40" s="1"/>
  <c r="V35" i="40"/>
  <c r="U35" i="40"/>
  <c r="T36" i="40"/>
  <c r="S36" i="40" s="1"/>
  <c r="V36" i="40"/>
  <c r="U36" i="40"/>
  <c r="T37" i="40"/>
  <c r="S37" i="40" s="1"/>
  <c r="V37" i="40"/>
  <c r="U37" i="40"/>
  <c r="T38" i="40"/>
  <c r="S38" i="40" s="1"/>
  <c r="V38" i="40"/>
  <c r="U38" i="40"/>
  <c r="T39" i="40"/>
  <c r="S39" i="40" s="1"/>
  <c r="V39" i="40"/>
  <c r="U39" i="40"/>
  <c r="T40" i="40"/>
  <c r="S40" i="40" s="1"/>
  <c r="V40" i="40"/>
  <c r="U40" i="40"/>
  <c r="T41" i="40"/>
  <c r="S41" i="40" s="1"/>
  <c r="V41" i="40"/>
  <c r="U41" i="40"/>
  <c r="T42" i="40"/>
  <c r="S42" i="40" s="1"/>
  <c r="V42" i="40"/>
  <c r="U42" i="40"/>
  <c r="T43" i="40"/>
  <c r="S43" i="40" s="1"/>
  <c r="V43" i="40"/>
  <c r="U43" i="40"/>
  <c r="T44" i="40"/>
  <c r="S44" i="40" s="1"/>
  <c r="V44" i="40"/>
  <c r="U44" i="40"/>
  <c r="T45" i="40"/>
  <c r="S45" i="40" s="1"/>
  <c r="V45" i="40"/>
  <c r="U45" i="40"/>
  <c r="T46" i="40"/>
  <c r="S46" i="40" s="1"/>
  <c r="V46" i="40"/>
  <c r="U46" i="40"/>
  <c r="T47" i="40"/>
  <c r="S47" i="40" s="1"/>
  <c r="V47" i="40"/>
  <c r="U47" i="40"/>
  <c r="T48" i="40"/>
  <c r="S48" i="40" s="1"/>
  <c r="V48" i="40"/>
  <c r="U48" i="40"/>
  <c r="T49" i="40"/>
  <c r="S49" i="40" s="1"/>
  <c r="V49" i="40"/>
  <c r="U49" i="40"/>
  <c r="T50" i="40"/>
  <c r="S50" i="40" s="1"/>
  <c r="V50" i="40"/>
  <c r="U50" i="40"/>
  <c r="T51" i="40"/>
  <c r="S51" i="40" s="1"/>
  <c r="V51" i="40"/>
  <c r="U51" i="40"/>
  <c r="T52" i="40"/>
  <c r="S52" i="40" s="1"/>
  <c r="V52" i="40"/>
  <c r="U52" i="40"/>
  <c r="T53" i="40"/>
  <c r="S53" i="40" s="1"/>
  <c r="V53" i="40"/>
  <c r="U53" i="40"/>
  <c r="T54" i="40"/>
  <c r="S54" i="40" s="1"/>
  <c r="V54" i="40"/>
  <c r="U54" i="40"/>
  <c r="T55" i="40"/>
  <c r="S55" i="40" s="1"/>
  <c r="V55" i="40"/>
  <c r="U55" i="40"/>
  <c r="T56" i="40"/>
  <c r="S56" i="40" s="1"/>
  <c r="V56" i="40"/>
  <c r="U56" i="40"/>
  <c r="T57" i="40"/>
  <c r="S57" i="40" s="1"/>
  <c r="V57" i="40"/>
  <c r="U57" i="40"/>
  <c r="T58" i="40"/>
  <c r="S58" i="40" s="1"/>
  <c r="V58" i="40"/>
  <c r="U58" i="40"/>
  <c r="T59" i="40"/>
  <c r="S59" i="40" s="1"/>
  <c r="V59" i="40"/>
  <c r="U59" i="40"/>
  <c r="T60" i="40"/>
  <c r="S60" i="40" s="1"/>
  <c r="V60" i="40"/>
  <c r="U60" i="40"/>
  <c r="G60" i="39"/>
  <c r="G59" i="39"/>
  <c r="G58" i="39"/>
  <c r="G57" i="39"/>
  <c r="G56" i="39"/>
  <c r="G55" i="39"/>
  <c r="G54" i="39"/>
  <c r="G53" i="39"/>
  <c r="G52" i="39"/>
  <c r="G51" i="39"/>
  <c r="G50" i="39"/>
  <c r="G49" i="39"/>
  <c r="G48" i="39"/>
  <c r="G47" i="39"/>
  <c r="G46" i="39"/>
  <c r="G45" i="39"/>
  <c r="G44" i="39"/>
  <c r="G43" i="39"/>
  <c r="G42" i="39"/>
  <c r="G41" i="39"/>
  <c r="G40" i="39"/>
  <c r="G39" i="39"/>
  <c r="G38" i="39"/>
  <c r="G37" i="39"/>
  <c r="G36" i="39"/>
  <c r="G35" i="39"/>
  <c r="G34" i="39"/>
  <c r="G33" i="39"/>
  <c r="G32" i="39"/>
  <c r="G31" i="39"/>
  <c r="G30" i="39"/>
  <c r="G29" i="39"/>
  <c r="G28" i="39"/>
  <c r="G27" i="39"/>
  <c r="G26" i="39"/>
  <c r="G25" i="39"/>
  <c r="G24" i="39"/>
  <c r="G23" i="39"/>
  <c r="G22" i="39"/>
  <c r="G21" i="39"/>
  <c r="G20" i="39"/>
  <c r="G19" i="39"/>
  <c r="G18" i="39"/>
  <c r="G61" i="39" s="1"/>
  <c r="H60" i="39"/>
  <c r="H59" i="39"/>
  <c r="H58" i="39"/>
  <c r="H57" i="39"/>
  <c r="H56" i="39"/>
  <c r="H55" i="39"/>
  <c r="H54" i="39"/>
  <c r="H53" i="39"/>
  <c r="H52" i="39"/>
  <c r="H51" i="39"/>
  <c r="H50" i="39"/>
  <c r="H49" i="39"/>
  <c r="H48" i="39"/>
  <c r="H47" i="39"/>
  <c r="H46" i="39"/>
  <c r="H45" i="39"/>
  <c r="H44" i="39"/>
  <c r="H43" i="39"/>
  <c r="H42" i="39"/>
  <c r="H41" i="39"/>
  <c r="H40" i="39"/>
  <c r="H39" i="39"/>
  <c r="H38" i="39"/>
  <c r="H37" i="39"/>
  <c r="H36" i="39"/>
  <c r="H35" i="39"/>
  <c r="H34" i="39"/>
  <c r="H33" i="39"/>
  <c r="H32" i="39"/>
  <c r="H31" i="39"/>
  <c r="H30" i="39"/>
  <c r="H29" i="39"/>
  <c r="H28" i="39"/>
  <c r="H27" i="39"/>
  <c r="H26" i="39"/>
  <c r="H25" i="39"/>
  <c r="H24" i="39"/>
  <c r="H23" i="39"/>
  <c r="H22" i="39"/>
  <c r="H21" i="39"/>
  <c r="H20" i="39"/>
  <c r="H19" i="39"/>
  <c r="H18" i="39"/>
  <c r="H61" i="39" s="1"/>
  <c r="P2" i="39" s="1"/>
  <c r="R60" i="39"/>
  <c r="R59" i="39"/>
  <c r="R58" i="39"/>
  <c r="R57" i="39"/>
  <c r="R56" i="39"/>
  <c r="R55" i="39"/>
  <c r="R54" i="39"/>
  <c r="R53" i="39"/>
  <c r="R52" i="39"/>
  <c r="R51" i="39"/>
  <c r="R50" i="39"/>
  <c r="R49" i="39"/>
  <c r="R48" i="39"/>
  <c r="R47" i="39"/>
  <c r="R46" i="39"/>
  <c r="R45" i="39"/>
  <c r="R44" i="39"/>
  <c r="R43" i="39"/>
  <c r="R42" i="39"/>
  <c r="R41" i="39"/>
  <c r="R40" i="39"/>
  <c r="R39" i="39"/>
  <c r="R38" i="39"/>
  <c r="R37" i="39"/>
  <c r="R36" i="39"/>
  <c r="R35" i="39"/>
  <c r="R34" i="39"/>
  <c r="R33" i="39"/>
  <c r="R32" i="39"/>
  <c r="R31" i="39"/>
  <c r="R30" i="39"/>
  <c r="R29" i="39"/>
  <c r="R28" i="39"/>
  <c r="R27" i="39"/>
  <c r="R26" i="39"/>
  <c r="R25" i="39"/>
  <c r="R24" i="39"/>
  <c r="R23" i="39"/>
  <c r="R22" i="39"/>
  <c r="R21" i="39"/>
  <c r="R20" i="39"/>
  <c r="R19" i="39"/>
  <c r="R18" i="39"/>
  <c r="R61" i="39" s="1"/>
  <c r="J61" i="39"/>
  <c r="L18" i="39"/>
  <c r="K61" i="39"/>
  <c r="V18" i="39"/>
  <c r="U18" i="39"/>
  <c r="T19" i="39"/>
  <c r="S19" i="39" s="1"/>
  <c r="V19" i="39"/>
  <c r="U19" i="39"/>
  <c r="T20" i="39"/>
  <c r="S20" i="39" s="1"/>
  <c r="V20" i="39"/>
  <c r="U20" i="39"/>
  <c r="T21" i="39"/>
  <c r="S21" i="39" s="1"/>
  <c r="V21" i="39"/>
  <c r="U21" i="39"/>
  <c r="T22" i="39"/>
  <c r="S22" i="39" s="1"/>
  <c r="V22" i="39"/>
  <c r="U22" i="39"/>
  <c r="T23" i="39"/>
  <c r="S23" i="39" s="1"/>
  <c r="V23" i="39"/>
  <c r="U23" i="39"/>
  <c r="T24" i="39"/>
  <c r="S24" i="39" s="1"/>
  <c r="V24" i="39"/>
  <c r="U24" i="39"/>
  <c r="T25" i="39"/>
  <c r="S25" i="39" s="1"/>
  <c r="V25" i="39"/>
  <c r="U25" i="39"/>
  <c r="T26" i="39"/>
  <c r="S26" i="39" s="1"/>
  <c r="V26" i="39"/>
  <c r="U26" i="39"/>
  <c r="T27" i="39"/>
  <c r="S27" i="39" s="1"/>
  <c r="V27" i="39"/>
  <c r="U27" i="39"/>
  <c r="T28" i="39"/>
  <c r="S28" i="39" s="1"/>
  <c r="V28" i="39"/>
  <c r="U28" i="39"/>
  <c r="T29" i="39"/>
  <c r="S29" i="39" s="1"/>
  <c r="V29" i="39"/>
  <c r="U29" i="39"/>
  <c r="T30" i="39"/>
  <c r="S30" i="39" s="1"/>
  <c r="V30" i="39"/>
  <c r="U30" i="39"/>
  <c r="T31" i="39"/>
  <c r="S31" i="39" s="1"/>
  <c r="V31" i="39"/>
  <c r="U31" i="39"/>
  <c r="T32" i="39"/>
  <c r="S32" i="39" s="1"/>
  <c r="V32" i="39"/>
  <c r="U32" i="39"/>
  <c r="T33" i="39"/>
  <c r="S33" i="39" s="1"/>
  <c r="V33" i="39"/>
  <c r="U33" i="39"/>
  <c r="T34" i="39"/>
  <c r="S34" i="39" s="1"/>
  <c r="V34" i="39"/>
  <c r="U34" i="39"/>
  <c r="T35" i="39"/>
  <c r="S35" i="39" s="1"/>
  <c r="V35" i="39"/>
  <c r="U35" i="39"/>
  <c r="T36" i="39"/>
  <c r="S36" i="39" s="1"/>
  <c r="V36" i="39"/>
  <c r="U36" i="39"/>
  <c r="T37" i="39"/>
  <c r="S37" i="39" s="1"/>
  <c r="V37" i="39"/>
  <c r="U37" i="39"/>
  <c r="T38" i="39"/>
  <c r="S38" i="39" s="1"/>
  <c r="V38" i="39"/>
  <c r="U38" i="39"/>
  <c r="T39" i="39"/>
  <c r="S39" i="39" s="1"/>
  <c r="V39" i="39"/>
  <c r="U39" i="39"/>
  <c r="T40" i="39"/>
  <c r="S40" i="39" s="1"/>
  <c r="V40" i="39"/>
  <c r="U40" i="39"/>
  <c r="T41" i="39"/>
  <c r="S41" i="39" s="1"/>
  <c r="V41" i="39"/>
  <c r="U41" i="39"/>
  <c r="T42" i="39"/>
  <c r="S42" i="39" s="1"/>
  <c r="V42" i="39"/>
  <c r="U42" i="39"/>
  <c r="T43" i="39"/>
  <c r="S43" i="39" s="1"/>
  <c r="V43" i="39"/>
  <c r="U43" i="39"/>
  <c r="T44" i="39"/>
  <c r="S44" i="39" s="1"/>
  <c r="V44" i="39"/>
  <c r="U44" i="39"/>
  <c r="T45" i="39"/>
  <c r="S45" i="39" s="1"/>
  <c r="V45" i="39"/>
  <c r="U45" i="39"/>
  <c r="T46" i="39"/>
  <c r="S46" i="39" s="1"/>
  <c r="V46" i="39"/>
  <c r="U46" i="39"/>
  <c r="T47" i="39"/>
  <c r="S47" i="39" s="1"/>
  <c r="V47" i="39"/>
  <c r="U47" i="39"/>
  <c r="T48" i="39"/>
  <c r="S48" i="39" s="1"/>
  <c r="V48" i="39"/>
  <c r="U48" i="39"/>
  <c r="T49" i="39"/>
  <c r="S49" i="39" s="1"/>
  <c r="V49" i="39"/>
  <c r="U49" i="39"/>
  <c r="T50" i="39"/>
  <c r="S50" i="39" s="1"/>
  <c r="V50" i="39"/>
  <c r="U50" i="39"/>
  <c r="T51" i="39"/>
  <c r="S51" i="39" s="1"/>
  <c r="V51" i="39"/>
  <c r="U51" i="39"/>
  <c r="T52" i="39"/>
  <c r="S52" i="39" s="1"/>
  <c r="V52" i="39"/>
  <c r="U52" i="39"/>
  <c r="T53" i="39"/>
  <c r="S53" i="39" s="1"/>
  <c r="V53" i="39"/>
  <c r="U53" i="39"/>
  <c r="T54" i="39"/>
  <c r="S54" i="39" s="1"/>
  <c r="V54" i="39"/>
  <c r="U54" i="39"/>
  <c r="T55" i="39"/>
  <c r="S55" i="39" s="1"/>
  <c r="V55" i="39"/>
  <c r="U55" i="39"/>
  <c r="T56" i="39"/>
  <c r="S56" i="39" s="1"/>
  <c r="V56" i="39"/>
  <c r="U56" i="39"/>
  <c r="T57" i="39"/>
  <c r="S57" i="39" s="1"/>
  <c r="V57" i="39"/>
  <c r="U57" i="39"/>
  <c r="T58" i="39"/>
  <c r="S58" i="39" s="1"/>
  <c r="V58" i="39"/>
  <c r="U58" i="39"/>
  <c r="T59" i="39"/>
  <c r="S59" i="39" s="1"/>
  <c r="V59" i="39"/>
  <c r="U59" i="39"/>
  <c r="T60" i="39"/>
  <c r="S60" i="39" s="1"/>
  <c r="V60" i="39"/>
  <c r="U60" i="39"/>
  <c r="G60" i="38"/>
  <c r="G59" i="38"/>
  <c r="G58" i="38"/>
  <c r="G57" i="38"/>
  <c r="G56" i="38"/>
  <c r="G55" i="38"/>
  <c r="G54" i="38"/>
  <c r="G53" i="38"/>
  <c r="G52" i="38"/>
  <c r="G51" i="38"/>
  <c r="G50" i="38"/>
  <c r="G49" i="38"/>
  <c r="G48" i="38"/>
  <c r="G47" i="38"/>
  <c r="G46" i="38"/>
  <c r="G45" i="38"/>
  <c r="G44" i="38"/>
  <c r="G43" i="38"/>
  <c r="G42" i="38"/>
  <c r="G41" i="38"/>
  <c r="G40" i="38"/>
  <c r="G39" i="38"/>
  <c r="G38" i="38"/>
  <c r="G37" i="38"/>
  <c r="G36" i="38"/>
  <c r="G35" i="38"/>
  <c r="G34" i="38"/>
  <c r="G33" i="38"/>
  <c r="G32" i="38"/>
  <c r="G31" i="38"/>
  <c r="G30" i="38"/>
  <c r="G29" i="38"/>
  <c r="G28" i="38"/>
  <c r="G27" i="38"/>
  <c r="G26" i="38"/>
  <c r="G25" i="38"/>
  <c r="G24" i="38"/>
  <c r="G23" i="38"/>
  <c r="G22" i="38"/>
  <c r="G21" i="38"/>
  <c r="G20" i="38"/>
  <c r="G19" i="38"/>
  <c r="G18" i="38"/>
  <c r="G61" i="38" s="1"/>
  <c r="H60" i="38"/>
  <c r="H59" i="38"/>
  <c r="H58" i="38"/>
  <c r="H57" i="38"/>
  <c r="H56" i="38"/>
  <c r="H55" i="38"/>
  <c r="H54" i="38"/>
  <c r="H53" i="38"/>
  <c r="H52" i="38"/>
  <c r="H51" i="38"/>
  <c r="H50" i="38"/>
  <c r="H49" i="38"/>
  <c r="H48" i="38"/>
  <c r="H47" i="38"/>
  <c r="H46" i="38"/>
  <c r="H45" i="38"/>
  <c r="H44" i="38"/>
  <c r="H43" i="38"/>
  <c r="H42" i="38"/>
  <c r="H41" i="38"/>
  <c r="H40" i="38"/>
  <c r="H39" i="38"/>
  <c r="H38" i="38"/>
  <c r="H37" i="38"/>
  <c r="H36" i="38"/>
  <c r="H35" i="38"/>
  <c r="H34" i="38"/>
  <c r="H33" i="38"/>
  <c r="H32" i="38"/>
  <c r="H31" i="38"/>
  <c r="H30" i="38"/>
  <c r="H29" i="38"/>
  <c r="H28" i="38"/>
  <c r="H27" i="38"/>
  <c r="H26" i="38"/>
  <c r="H25" i="38"/>
  <c r="H24" i="38"/>
  <c r="H23" i="38"/>
  <c r="H22" i="38"/>
  <c r="H21" i="38"/>
  <c r="H20" i="38"/>
  <c r="H19" i="38"/>
  <c r="H18" i="38"/>
  <c r="H61" i="38" s="1"/>
  <c r="P2" i="38" s="1"/>
  <c r="R60" i="38"/>
  <c r="R59" i="38"/>
  <c r="R58" i="38"/>
  <c r="R57" i="38"/>
  <c r="R56" i="38"/>
  <c r="R55" i="38"/>
  <c r="R54" i="38"/>
  <c r="R53" i="38"/>
  <c r="R52" i="38"/>
  <c r="R51" i="38"/>
  <c r="R50" i="38"/>
  <c r="R49" i="38"/>
  <c r="R48" i="38"/>
  <c r="R47" i="38"/>
  <c r="R46" i="38"/>
  <c r="R45" i="38"/>
  <c r="R44" i="38"/>
  <c r="R43" i="38"/>
  <c r="R42" i="38"/>
  <c r="R41" i="38"/>
  <c r="R40" i="38"/>
  <c r="R39" i="38"/>
  <c r="R38" i="38"/>
  <c r="R37" i="38"/>
  <c r="R36" i="38"/>
  <c r="R35" i="38"/>
  <c r="R34" i="38"/>
  <c r="R33" i="38"/>
  <c r="R32" i="38"/>
  <c r="R31" i="38"/>
  <c r="R30" i="38"/>
  <c r="R29" i="38"/>
  <c r="R28" i="38"/>
  <c r="R27" i="38"/>
  <c r="R26" i="38"/>
  <c r="R25" i="38"/>
  <c r="R24" i="38"/>
  <c r="R23" i="38"/>
  <c r="R22" i="38"/>
  <c r="R21" i="38"/>
  <c r="R20" i="38"/>
  <c r="R19" i="38"/>
  <c r="R18" i="38"/>
  <c r="R61" i="38" s="1"/>
  <c r="J61" i="38"/>
  <c r="L18" i="38"/>
  <c r="K61" i="38"/>
  <c r="V18" i="38"/>
  <c r="U18" i="38"/>
  <c r="T19" i="38"/>
  <c r="S19" i="38" s="1"/>
  <c r="V19" i="38"/>
  <c r="U19" i="38"/>
  <c r="T20" i="38"/>
  <c r="S20" i="38" s="1"/>
  <c r="V20" i="38"/>
  <c r="U20" i="38"/>
  <c r="T21" i="38"/>
  <c r="S21" i="38" s="1"/>
  <c r="V21" i="38"/>
  <c r="U21" i="38"/>
  <c r="T22" i="38"/>
  <c r="S22" i="38" s="1"/>
  <c r="V22" i="38"/>
  <c r="U22" i="38"/>
  <c r="T23" i="38"/>
  <c r="S23" i="38" s="1"/>
  <c r="V23" i="38"/>
  <c r="U23" i="38"/>
  <c r="T24" i="38"/>
  <c r="S24" i="38" s="1"/>
  <c r="V24" i="38"/>
  <c r="U24" i="38"/>
  <c r="T25" i="38"/>
  <c r="S25" i="38" s="1"/>
  <c r="V25" i="38"/>
  <c r="U25" i="38"/>
  <c r="T26" i="38"/>
  <c r="S26" i="38" s="1"/>
  <c r="V26" i="38"/>
  <c r="U26" i="38"/>
  <c r="T27" i="38"/>
  <c r="S27" i="38" s="1"/>
  <c r="V27" i="38"/>
  <c r="U27" i="38"/>
  <c r="T28" i="38"/>
  <c r="S28" i="38" s="1"/>
  <c r="V28" i="38"/>
  <c r="U28" i="38"/>
  <c r="T29" i="38"/>
  <c r="S29" i="38" s="1"/>
  <c r="V29" i="38"/>
  <c r="U29" i="38"/>
  <c r="T30" i="38"/>
  <c r="S30" i="38" s="1"/>
  <c r="V30" i="38"/>
  <c r="U30" i="38"/>
  <c r="T31" i="38"/>
  <c r="S31" i="38" s="1"/>
  <c r="V31" i="38"/>
  <c r="U31" i="38"/>
  <c r="T32" i="38"/>
  <c r="S32" i="38" s="1"/>
  <c r="V32" i="38"/>
  <c r="U32" i="38"/>
  <c r="T33" i="38"/>
  <c r="S33" i="38" s="1"/>
  <c r="V33" i="38"/>
  <c r="U33" i="38"/>
  <c r="T34" i="38"/>
  <c r="S34" i="38" s="1"/>
  <c r="V34" i="38"/>
  <c r="U34" i="38"/>
  <c r="T35" i="38"/>
  <c r="S35" i="38" s="1"/>
  <c r="V35" i="38"/>
  <c r="U35" i="38"/>
  <c r="T36" i="38"/>
  <c r="S36" i="38" s="1"/>
  <c r="V36" i="38"/>
  <c r="U36" i="38"/>
  <c r="T37" i="38"/>
  <c r="S37" i="38" s="1"/>
  <c r="V37" i="38"/>
  <c r="U37" i="38"/>
  <c r="T38" i="38"/>
  <c r="S38" i="38" s="1"/>
  <c r="V38" i="38"/>
  <c r="U38" i="38"/>
  <c r="T39" i="38"/>
  <c r="S39" i="38" s="1"/>
  <c r="V39" i="38"/>
  <c r="U39" i="38"/>
  <c r="T40" i="38"/>
  <c r="S40" i="38" s="1"/>
  <c r="V40" i="38"/>
  <c r="U40" i="38"/>
  <c r="T41" i="38"/>
  <c r="S41" i="38" s="1"/>
  <c r="V41" i="38"/>
  <c r="U41" i="38"/>
  <c r="T42" i="38"/>
  <c r="S42" i="38" s="1"/>
  <c r="V42" i="38"/>
  <c r="U42" i="38"/>
  <c r="T43" i="38"/>
  <c r="S43" i="38" s="1"/>
  <c r="V43" i="38"/>
  <c r="U43" i="38"/>
  <c r="T44" i="38"/>
  <c r="S44" i="38" s="1"/>
  <c r="V44" i="38"/>
  <c r="U44" i="38"/>
  <c r="T45" i="38"/>
  <c r="S45" i="38" s="1"/>
  <c r="V45" i="38"/>
  <c r="U45" i="38"/>
  <c r="T46" i="38"/>
  <c r="S46" i="38" s="1"/>
  <c r="V46" i="38"/>
  <c r="U46" i="38"/>
  <c r="T47" i="38"/>
  <c r="S47" i="38" s="1"/>
  <c r="V47" i="38"/>
  <c r="U47" i="38"/>
  <c r="T48" i="38"/>
  <c r="S48" i="38" s="1"/>
  <c r="V48" i="38"/>
  <c r="U48" i="38"/>
  <c r="T49" i="38"/>
  <c r="S49" i="38" s="1"/>
  <c r="V49" i="38"/>
  <c r="U49" i="38"/>
  <c r="T50" i="38"/>
  <c r="S50" i="38" s="1"/>
  <c r="V50" i="38"/>
  <c r="U50" i="38"/>
  <c r="T51" i="38"/>
  <c r="S51" i="38" s="1"/>
  <c r="V51" i="38"/>
  <c r="U51" i="38"/>
  <c r="T52" i="38"/>
  <c r="S52" i="38" s="1"/>
  <c r="V52" i="38"/>
  <c r="U52" i="38"/>
  <c r="T53" i="38"/>
  <c r="S53" i="38" s="1"/>
  <c r="V53" i="38"/>
  <c r="U53" i="38"/>
  <c r="T54" i="38"/>
  <c r="S54" i="38" s="1"/>
  <c r="V54" i="38"/>
  <c r="U54" i="38"/>
  <c r="T55" i="38"/>
  <c r="S55" i="38" s="1"/>
  <c r="V55" i="38"/>
  <c r="U55" i="38"/>
  <c r="T56" i="38"/>
  <c r="S56" i="38" s="1"/>
  <c r="V56" i="38"/>
  <c r="U56" i="38"/>
  <c r="T57" i="38"/>
  <c r="S57" i="38" s="1"/>
  <c r="V57" i="38"/>
  <c r="U57" i="38"/>
  <c r="T58" i="38"/>
  <c r="S58" i="38" s="1"/>
  <c r="V58" i="38"/>
  <c r="U58" i="38"/>
  <c r="T59" i="38"/>
  <c r="S59" i="38" s="1"/>
  <c r="V59" i="38"/>
  <c r="U59" i="38"/>
  <c r="T60" i="38"/>
  <c r="S60" i="38" s="1"/>
  <c r="V60" i="38"/>
  <c r="U60" i="38"/>
  <c r="G60" i="37"/>
  <c r="G59" i="37"/>
  <c r="G58" i="37"/>
  <c r="G57" i="37"/>
  <c r="G56" i="37"/>
  <c r="G55" i="37"/>
  <c r="G54" i="37"/>
  <c r="G53" i="37"/>
  <c r="G52" i="37"/>
  <c r="G51" i="37"/>
  <c r="G50" i="37"/>
  <c r="G49" i="37"/>
  <c r="G48" i="37"/>
  <c r="G47" i="37"/>
  <c r="G46" i="37"/>
  <c r="G45" i="37"/>
  <c r="G44" i="37"/>
  <c r="G43" i="37"/>
  <c r="G42" i="37"/>
  <c r="G41" i="37"/>
  <c r="G40" i="37"/>
  <c r="G39" i="37"/>
  <c r="G38" i="37"/>
  <c r="G37" i="37"/>
  <c r="G36" i="37"/>
  <c r="G35" i="37"/>
  <c r="G34" i="37"/>
  <c r="G33" i="37"/>
  <c r="G32" i="37"/>
  <c r="G31" i="37"/>
  <c r="G30" i="37"/>
  <c r="G29" i="37"/>
  <c r="G28" i="37"/>
  <c r="G27" i="37"/>
  <c r="G26" i="37"/>
  <c r="G25" i="37"/>
  <c r="G24" i="37"/>
  <c r="G23" i="37"/>
  <c r="G22" i="37"/>
  <c r="G21" i="37"/>
  <c r="G20" i="37"/>
  <c r="G19" i="37"/>
  <c r="G18" i="37"/>
  <c r="G61" i="37" s="1"/>
  <c r="H60" i="37"/>
  <c r="H59" i="37"/>
  <c r="H58" i="37"/>
  <c r="H57" i="37"/>
  <c r="H56" i="37"/>
  <c r="H55" i="37"/>
  <c r="H54" i="37"/>
  <c r="H53" i="37"/>
  <c r="H52" i="37"/>
  <c r="H51" i="37"/>
  <c r="H50" i="37"/>
  <c r="H49" i="37"/>
  <c r="H48" i="37"/>
  <c r="H47" i="37"/>
  <c r="H46" i="37"/>
  <c r="H45" i="37"/>
  <c r="H44" i="37"/>
  <c r="H43" i="37"/>
  <c r="H42" i="37"/>
  <c r="H41" i="37"/>
  <c r="H40" i="37"/>
  <c r="H39" i="37"/>
  <c r="H38" i="37"/>
  <c r="H37" i="37"/>
  <c r="H36" i="37"/>
  <c r="H35" i="37"/>
  <c r="H34" i="37"/>
  <c r="H33" i="37"/>
  <c r="H32" i="37"/>
  <c r="H31" i="37"/>
  <c r="H30" i="37"/>
  <c r="H29" i="37"/>
  <c r="H28" i="37"/>
  <c r="H27" i="37"/>
  <c r="H26" i="37"/>
  <c r="H25" i="37"/>
  <c r="H24" i="37"/>
  <c r="H23" i="37"/>
  <c r="H22" i="37"/>
  <c r="H21" i="37"/>
  <c r="H20" i="37"/>
  <c r="H19" i="37"/>
  <c r="H18" i="37"/>
  <c r="H61" i="37" s="1"/>
  <c r="P2" i="37" s="1"/>
  <c r="R60" i="37"/>
  <c r="R59" i="37"/>
  <c r="R58" i="37"/>
  <c r="R57" i="37"/>
  <c r="R56" i="37"/>
  <c r="R55" i="37"/>
  <c r="R54" i="37"/>
  <c r="R53" i="37"/>
  <c r="R52" i="37"/>
  <c r="R51" i="37"/>
  <c r="R50" i="37"/>
  <c r="R49" i="37"/>
  <c r="R48" i="37"/>
  <c r="R47" i="37"/>
  <c r="R46" i="37"/>
  <c r="R45" i="37"/>
  <c r="R44" i="37"/>
  <c r="R43" i="37"/>
  <c r="R42" i="37"/>
  <c r="R41" i="37"/>
  <c r="R40" i="37"/>
  <c r="R39" i="37"/>
  <c r="R38" i="37"/>
  <c r="R37" i="37"/>
  <c r="R36" i="37"/>
  <c r="R35" i="37"/>
  <c r="R34" i="37"/>
  <c r="R33" i="37"/>
  <c r="R32" i="37"/>
  <c r="R31" i="37"/>
  <c r="R30" i="37"/>
  <c r="R29" i="37"/>
  <c r="R28" i="37"/>
  <c r="R27" i="37"/>
  <c r="R26" i="37"/>
  <c r="R25" i="37"/>
  <c r="R24" i="37"/>
  <c r="R23" i="37"/>
  <c r="R22" i="37"/>
  <c r="R21" i="37"/>
  <c r="R20" i="37"/>
  <c r="R19" i="37"/>
  <c r="R18" i="37"/>
  <c r="R61" i="37" s="1"/>
  <c r="J61" i="37"/>
  <c r="L18" i="37"/>
  <c r="K61" i="37"/>
  <c r="V18" i="37"/>
  <c r="U18" i="37"/>
  <c r="T19" i="37"/>
  <c r="S19" i="37" s="1"/>
  <c r="V19" i="37"/>
  <c r="U19" i="37"/>
  <c r="T20" i="37"/>
  <c r="S20" i="37" s="1"/>
  <c r="V20" i="37"/>
  <c r="U20" i="37"/>
  <c r="T21" i="37"/>
  <c r="S21" i="37" s="1"/>
  <c r="V21" i="37"/>
  <c r="U21" i="37"/>
  <c r="T22" i="37"/>
  <c r="S22" i="37" s="1"/>
  <c r="V22" i="37"/>
  <c r="U22" i="37"/>
  <c r="T23" i="37"/>
  <c r="S23" i="37" s="1"/>
  <c r="V23" i="37"/>
  <c r="U23" i="37"/>
  <c r="T24" i="37"/>
  <c r="S24" i="37" s="1"/>
  <c r="V24" i="37"/>
  <c r="U24" i="37"/>
  <c r="T25" i="37"/>
  <c r="S25" i="37" s="1"/>
  <c r="V25" i="37"/>
  <c r="U25" i="37"/>
  <c r="T26" i="37"/>
  <c r="S26" i="37" s="1"/>
  <c r="V26" i="37"/>
  <c r="U26" i="37"/>
  <c r="T27" i="37"/>
  <c r="S27" i="37" s="1"/>
  <c r="V27" i="37"/>
  <c r="U27" i="37"/>
  <c r="T28" i="37"/>
  <c r="S28" i="37" s="1"/>
  <c r="V28" i="37"/>
  <c r="U28" i="37"/>
  <c r="T29" i="37"/>
  <c r="S29" i="37" s="1"/>
  <c r="V29" i="37"/>
  <c r="U29" i="37"/>
  <c r="T30" i="37"/>
  <c r="S30" i="37" s="1"/>
  <c r="V30" i="37"/>
  <c r="U30" i="37"/>
  <c r="T31" i="37"/>
  <c r="S31" i="37" s="1"/>
  <c r="V31" i="37"/>
  <c r="U31" i="37"/>
  <c r="T32" i="37"/>
  <c r="S32" i="37" s="1"/>
  <c r="V32" i="37"/>
  <c r="U32" i="37"/>
  <c r="T33" i="37"/>
  <c r="S33" i="37" s="1"/>
  <c r="V33" i="37"/>
  <c r="U33" i="37"/>
  <c r="T34" i="37"/>
  <c r="S34" i="37" s="1"/>
  <c r="V34" i="37"/>
  <c r="U34" i="37"/>
  <c r="T35" i="37"/>
  <c r="S35" i="37" s="1"/>
  <c r="V35" i="37"/>
  <c r="U35" i="37"/>
  <c r="T36" i="37"/>
  <c r="S36" i="37" s="1"/>
  <c r="V36" i="37"/>
  <c r="U36" i="37"/>
  <c r="T37" i="37"/>
  <c r="S37" i="37" s="1"/>
  <c r="V37" i="37"/>
  <c r="U37" i="37"/>
  <c r="T38" i="37"/>
  <c r="S38" i="37" s="1"/>
  <c r="V38" i="37"/>
  <c r="U38" i="37"/>
  <c r="T39" i="37"/>
  <c r="S39" i="37" s="1"/>
  <c r="V39" i="37"/>
  <c r="U39" i="37"/>
  <c r="T40" i="37"/>
  <c r="S40" i="37" s="1"/>
  <c r="V40" i="37"/>
  <c r="U40" i="37"/>
  <c r="T41" i="37"/>
  <c r="S41" i="37" s="1"/>
  <c r="V41" i="37"/>
  <c r="U41" i="37"/>
  <c r="T42" i="37"/>
  <c r="S42" i="37" s="1"/>
  <c r="V42" i="37"/>
  <c r="U42" i="37"/>
  <c r="T43" i="37"/>
  <c r="S43" i="37" s="1"/>
  <c r="V43" i="37"/>
  <c r="U43" i="37"/>
  <c r="T44" i="37"/>
  <c r="S44" i="37" s="1"/>
  <c r="V44" i="37"/>
  <c r="U44" i="37"/>
  <c r="T45" i="37"/>
  <c r="S45" i="37" s="1"/>
  <c r="V45" i="37"/>
  <c r="U45" i="37"/>
  <c r="T46" i="37"/>
  <c r="S46" i="37" s="1"/>
  <c r="V46" i="37"/>
  <c r="U46" i="37"/>
  <c r="T47" i="37"/>
  <c r="S47" i="37" s="1"/>
  <c r="V47" i="37"/>
  <c r="U47" i="37"/>
  <c r="T48" i="37"/>
  <c r="S48" i="37" s="1"/>
  <c r="V48" i="37"/>
  <c r="U48" i="37"/>
  <c r="T49" i="37"/>
  <c r="S49" i="37" s="1"/>
  <c r="V49" i="37"/>
  <c r="U49" i="37"/>
  <c r="T50" i="37"/>
  <c r="S50" i="37" s="1"/>
  <c r="V50" i="37"/>
  <c r="U50" i="37"/>
  <c r="T51" i="37"/>
  <c r="S51" i="37" s="1"/>
  <c r="V51" i="37"/>
  <c r="U51" i="37"/>
  <c r="T52" i="37"/>
  <c r="S52" i="37" s="1"/>
  <c r="V52" i="37"/>
  <c r="U52" i="37"/>
  <c r="T53" i="37"/>
  <c r="S53" i="37" s="1"/>
  <c r="V53" i="37"/>
  <c r="U53" i="37"/>
  <c r="T54" i="37"/>
  <c r="S54" i="37" s="1"/>
  <c r="V54" i="37"/>
  <c r="U54" i="37"/>
  <c r="T55" i="37"/>
  <c r="S55" i="37" s="1"/>
  <c r="V55" i="37"/>
  <c r="U55" i="37"/>
  <c r="T56" i="37"/>
  <c r="S56" i="37" s="1"/>
  <c r="V56" i="37"/>
  <c r="U56" i="37"/>
  <c r="T57" i="37"/>
  <c r="S57" i="37" s="1"/>
  <c r="V57" i="37"/>
  <c r="U57" i="37"/>
  <c r="T58" i="37"/>
  <c r="S58" i="37" s="1"/>
  <c r="V58" i="37"/>
  <c r="U58" i="37"/>
  <c r="T59" i="37"/>
  <c r="S59" i="37" s="1"/>
  <c r="V59" i="37"/>
  <c r="U59" i="37"/>
  <c r="T60" i="37"/>
  <c r="S60" i="37" s="1"/>
  <c r="V60" i="37"/>
  <c r="U60" i="37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61" i="36" s="1"/>
  <c r="H60" i="36"/>
  <c r="H59" i="36"/>
  <c r="H58" i="36"/>
  <c r="H57" i="36"/>
  <c r="H56" i="36"/>
  <c r="H55" i="36"/>
  <c r="H54" i="36"/>
  <c r="H53" i="36"/>
  <c r="H52" i="36"/>
  <c r="H51" i="36"/>
  <c r="H50" i="36"/>
  <c r="H49" i="36"/>
  <c r="H48" i="36"/>
  <c r="H47" i="36"/>
  <c r="H46" i="36"/>
  <c r="H45" i="36"/>
  <c r="H44" i="36"/>
  <c r="H43" i="36"/>
  <c r="H42" i="36"/>
  <c r="H41" i="36"/>
  <c r="H40" i="36"/>
  <c r="H39" i="36"/>
  <c r="H38" i="36"/>
  <c r="H37" i="36"/>
  <c r="H36" i="36"/>
  <c r="H35" i="36"/>
  <c r="H34" i="36"/>
  <c r="H33" i="36"/>
  <c r="H32" i="36"/>
  <c r="H31" i="36"/>
  <c r="H30" i="36"/>
  <c r="H29" i="36"/>
  <c r="H28" i="36"/>
  <c r="H27" i="36"/>
  <c r="H26" i="36"/>
  <c r="H25" i="36"/>
  <c r="H24" i="36"/>
  <c r="H23" i="36"/>
  <c r="H22" i="36"/>
  <c r="H21" i="36"/>
  <c r="H20" i="36"/>
  <c r="H19" i="36"/>
  <c r="H18" i="36"/>
  <c r="H61" i="36" s="1"/>
  <c r="P2" i="36" s="1"/>
  <c r="R60" i="36"/>
  <c r="R59" i="36"/>
  <c r="R58" i="36"/>
  <c r="R57" i="36"/>
  <c r="R56" i="36"/>
  <c r="R55" i="36"/>
  <c r="R54" i="36"/>
  <c r="R53" i="36"/>
  <c r="R52" i="36"/>
  <c r="R51" i="36"/>
  <c r="R50" i="36"/>
  <c r="R49" i="36"/>
  <c r="R48" i="36"/>
  <c r="R47" i="36"/>
  <c r="R46" i="36"/>
  <c r="R45" i="36"/>
  <c r="R44" i="36"/>
  <c r="R43" i="36"/>
  <c r="R42" i="36"/>
  <c r="R41" i="36"/>
  <c r="R40" i="36"/>
  <c r="R39" i="36"/>
  <c r="R38" i="36"/>
  <c r="R37" i="36"/>
  <c r="R36" i="36"/>
  <c r="R35" i="36"/>
  <c r="R34" i="36"/>
  <c r="R33" i="36"/>
  <c r="R32" i="36"/>
  <c r="R31" i="36"/>
  <c r="R30" i="36"/>
  <c r="R29" i="36"/>
  <c r="R28" i="36"/>
  <c r="R27" i="36"/>
  <c r="R26" i="36"/>
  <c r="R25" i="36"/>
  <c r="R24" i="36"/>
  <c r="R23" i="36"/>
  <c r="R22" i="36"/>
  <c r="R21" i="36"/>
  <c r="R20" i="36"/>
  <c r="R19" i="36"/>
  <c r="R18" i="36"/>
  <c r="R61" i="36" s="1"/>
  <c r="J61" i="36"/>
  <c r="L18" i="36"/>
  <c r="K61" i="36"/>
  <c r="V18" i="36"/>
  <c r="U18" i="36"/>
  <c r="T19" i="36"/>
  <c r="S19" i="36" s="1"/>
  <c r="V19" i="36"/>
  <c r="U19" i="36"/>
  <c r="T20" i="36"/>
  <c r="S20" i="36" s="1"/>
  <c r="V20" i="36"/>
  <c r="U20" i="36"/>
  <c r="T21" i="36"/>
  <c r="S21" i="36" s="1"/>
  <c r="V21" i="36"/>
  <c r="U21" i="36"/>
  <c r="T22" i="36"/>
  <c r="S22" i="36" s="1"/>
  <c r="V22" i="36"/>
  <c r="U22" i="36"/>
  <c r="T23" i="36"/>
  <c r="S23" i="36" s="1"/>
  <c r="V23" i="36"/>
  <c r="U23" i="36"/>
  <c r="T24" i="36"/>
  <c r="S24" i="36" s="1"/>
  <c r="V24" i="36"/>
  <c r="U24" i="36"/>
  <c r="T25" i="36"/>
  <c r="S25" i="36" s="1"/>
  <c r="V25" i="36"/>
  <c r="U25" i="36"/>
  <c r="T26" i="36"/>
  <c r="S26" i="36" s="1"/>
  <c r="V26" i="36"/>
  <c r="U26" i="36"/>
  <c r="T27" i="36"/>
  <c r="S27" i="36" s="1"/>
  <c r="V27" i="36"/>
  <c r="U27" i="36"/>
  <c r="T28" i="36"/>
  <c r="S28" i="36" s="1"/>
  <c r="V28" i="36"/>
  <c r="U28" i="36"/>
  <c r="T29" i="36"/>
  <c r="S29" i="36" s="1"/>
  <c r="V29" i="36"/>
  <c r="U29" i="36"/>
  <c r="T30" i="36"/>
  <c r="S30" i="36" s="1"/>
  <c r="V30" i="36"/>
  <c r="U30" i="36"/>
  <c r="T31" i="36"/>
  <c r="S31" i="36" s="1"/>
  <c r="V31" i="36"/>
  <c r="U31" i="36"/>
  <c r="T32" i="36"/>
  <c r="S32" i="36" s="1"/>
  <c r="V32" i="36"/>
  <c r="U32" i="36"/>
  <c r="T33" i="36"/>
  <c r="S33" i="36" s="1"/>
  <c r="V33" i="36"/>
  <c r="U33" i="36"/>
  <c r="T34" i="36"/>
  <c r="S34" i="36" s="1"/>
  <c r="V34" i="36"/>
  <c r="U34" i="36"/>
  <c r="T35" i="36"/>
  <c r="S35" i="36" s="1"/>
  <c r="V35" i="36"/>
  <c r="U35" i="36"/>
  <c r="T36" i="36"/>
  <c r="S36" i="36" s="1"/>
  <c r="V36" i="36"/>
  <c r="U36" i="36"/>
  <c r="T37" i="36"/>
  <c r="S37" i="36" s="1"/>
  <c r="V37" i="36"/>
  <c r="U37" i="36"/>
  <c r="T38" i="36"/>
  <c r="S38" i="36" s="1"/>
  <c r="V38" i="36"/>
  <c r="U38" i="36"/>
  <c r="T39" i="36"/>
  <c r="S39" i="36" s="1"/>
  <c r="V39" i="36"/>
  <c r="U39" i="36"/>
  <c r="T40" i="36"/>
  <c r="S40" i="36" s="1"/>
  <c r="V40" i="36"/>
  <c r="U40" i="36"/>
  <c r="T41" i="36"/>
  <c r="S41" i="36" s="1"/>
  <c r="V41" i="36"/>
  <c r="U41" i="36"/>
  <c r="T42" i="36"/>
  <c r="S42" i="36" s="1"/>
  <c r="V42" i="36"/>
  <c r="U42" i="36"/>
  <c r="T43" i="36"/>
  <c r="S43" i="36" s="1"/>
  <c r="V43" i="36"/>
  <c r="U43" i="36"/>
  <c r="T44" i="36"/>
  <c r="S44" i="36" s="1"/>
  <c r="V44" i="36"/>
  <c r="U44" i="36"/>
  <c r="T45" i="36"/>
  <c r="S45" i="36" s="1"/>
  <c r="V45" i="36"/>
  <c r="U45" i="36"/>
  <c r="T46" i="36"/>
  <c r="S46" i="36" s="1"/>
  <c r="V46" i="36"/>
  <c r="U46" i="36"/>
  <c r="T47" i="36"/>
  <c r="S47" i="36" s="1"/>
  <c r="V47" i="36"/>
  <c r="U47" i="36"/>
  <c r="T48" i="36"/>
  <c r="S48" i="36" s="1"/>
  <c r="V48" i="36"/>
  <c r="U48" i="36"/>
  <c r="T49" i="36"/>
  <c r="S49" i="36" s="1"/>
  <c r="V49" i="36"/>
  <c r="U49" i="36"/>
  <c r="T50" i="36"/>
  <c r="S50" i="36" s="1"/>
  <c r="V50" i="36"/>
  <c r="U50" i="36"/>
  <c r="T51" i="36"/>
  <c r="S51" i="36" s="1"/>
  <c r="V51" i="36"/>
  <c r="U51" i="36"/>
  <c r="T52" i="36"/>
  <c r="S52" i="36" s="1"/>
  <c r="V52" i="36"/>
  <c r="U52" i="36"/>
  <c r="T53" i="36"/>
  <c r="S53" i="36" s="1"/>
  <c r="V53" i="36"/>
  <c r="U53" i="36"/>
  <c r="T54" i="36"/>
  <c r="S54" i="36" s="1"/>
  <c r="V54" i="36"/>
  <c r="U54" i="36"/>
  <c r="T55" i="36"/>
  <c r="S55" i="36" s="1"/>
  <c r="V55" i="36"/>
  <c r="U55" i="36"/>
  <c r="T56" i="36"/>
  <c r="S56" i="36" s="1"/>
  <c r="V56" i="36"/>
  <c r="U56" i="36"/>
  <c r="T57" i="36"/>
  <c r="S57" i="36" s="1"/>
  <c r="V57" i="36"/>
  <c r="U57" i="36"/>
  <c r="T58" i="36"/>
  <c r="S58" i="36" s="1"/>
  <c r="V58" i="36"/>
  <c r="U58" i="36"/>
  <c r="T59" i="36"/>
  <c r="S59" i="36" s="1"/>
  <c r="V59" i="36"/>
  <c r="U59" i="36"/>
  <c r="T60" i="36"/>
  <c r="S60" i="36" s="1"/>
  <c r="V60" i="36"/>
  <c r="U60" i="36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61" i="35" s="1"/>
  <c r="H60" i="35"/>
  <c r="H59" i="35"/>
  <c r="H58" i="35"/>
  <c r="H57" i="35"/>
  <c r="H56" i="35"/>
  <c r="H55" i="35"/>
  <c r="H54" i="35"/>
  <c r="H53" i="35"/>
  <c r="H52" i="35"/>
  <c r="H51" i="35"/>
  <c r="H50" i="35"/>
  <c r="H49" i="35"/>
  <c r="H48" i="35"/>
  <c r="H47" i="35"/>
  <c r="H46" i="35"/>
  <c r="H45" i="35"/>
  <c r="H44" i="35"/>
  <c r="H43" i="35"/>
  <c r="H42" i="35"/>
  <c r="H41" i="35"/>
  <c r="H40" i="35"/>
  <c r="H39" i="35"/>
  <c r="H38" i="35"/>
  <c r="H37" i="35"/>
  <c r="H36" i="35"/>
  <c r="H35" i="35"/>
  <c r="H34" i="35"/>
  <c r="H33" i="35"/>
  <c r="H32" i="35"/>
  <c r="H31" i="35"/>
  <c r="H30" i="35"/>
  <c r="H29" i="35"/>
  <c r="H28" i="35"/>
  <c r="H27" i="35"/>
  <c r="H26" i="35"/>
  <c r="H25" i="35"/>
  <c r="H24" i="35"/>
  <c r="H23" i="35"/>
  <c r="H22" i="35"/>
  <c r="H21" i="35"/>
  <c r="H20" i="35"/>
  <c r="H19" i="35"/>
  <c r="H18" i="35"/>
  <c r="H61" i="35" s="1"/>
  <c r="P2" i="35" s="1"/>
  <c r="R60" i="35"/>
  <c r="R59" i="35"/>
  <c r="R58" i="35"/>
  <c r="R57" i="35"/>
  <c r="R56" i="35"/>
  <c r="R55" i="35"/>
  <c r="R54" i="35"/>
  <c r="R53" i="35"/>
  <c r="R52" i="35"/>
  <c r="R51" i="35"/>
  <c r="R50" i="35"/>
  <c r="R49" i="35"/>
  <c r="R48" i="35"/>
  <c r="R47" i="35"/>
  <c r="R46" i="35"/>
  <c r="R45" i="35"/>
  <c r="R44" i="35"/>
  <c r="R43" i="35"/>
  <c r="R42" i="35"/>
  <c r="R41" i="35"/>
  <c r="R40" i="35"/>
  <c r="R39" i="35"/>
  <c r="R38" i="35"/>
  <c r="R37" i="35"/>
  <c r="R36" i="35"/>
  <c r="R35" i="35"/>
  <c r="R34" i="35"/>
  <c r="R33" i="35"/>
  <c r="R32" i="35"/>
  <c r="R31" i="35"/>
  <c r="R30" i="35"/>
  <c r="R29" i="35"/>
  <c r="R28" i="35"/>
  <c r="R27" i="35"/>
  <c r="R26" i="35"/>
  <c r="R25" i="35"/>
  <c r="R24" i="35"/>
  <c r="R23" i="35"/>
  <c r="R22" i="35"/>
  <c r="R21" i="35"/>
  <c r="R20" i="35"/>
  <c r="R19" i="35"/>
  <c r="R18" i="35"/>
  <c r="R61" i="35" s="1"/>
  <c r="J61" i="35"/>
  <c r="L18" i="35"/>
  <c r="K61" i="35"/>
  <c r="V18" i="35"/>
  <c r="U18" i="35"/>
  <c r="T19" i="35"/>
  <c r="S19" i="35" s="1"/>
  <c r="V19" i="35"/>
  <c r="U19" i="35"/>
  <c r="T20" i="35"/>
  <c r="S20" i="35" s="1"/>
  <c r="V20" i="35"/>
  <c r="U20" i="35"/>
  <c r="T21" i="35"/>
  <c r="S21" i="35" s="1"/>
  <c r="V21" i="35"/>
  <c r="U21" i="35"/>
  <c r="T22" i="35"/>
  <c r="S22" i="35" s="1"/>
  <c r="V22" i="35"/>
  <c r="U22" i="35"/>
  <c r="T23" i="35"/>
  <c r="S23" i="35" s="1"/>
  <c r="V23" i="35"/>
  <c r="U23" i="35"/>
  <c r="T24" i="35"/>
  <c r="S24" i="35" s="1"/>
  <c r="V24" i="35"/>
  <c r="U24" i="35"/>
  <c r="T25" i="35"/>
  <c r="S25" i="35" s="1"/>
  <c r="V25" i="35"/>
  <c r="U25" i="35"/>
  <c r="T26" i="35"/>
  <c r="S26" i="35" s="1"/>
  <c r="V26" i="35"/>
  <c r="U26" i="35"/>
  <c r="T27" i="35"/>
  <c r="S27" i="35" s="1"/>
  <c r="V27" i="35"/>
  <c r="U27" i="35"/>
  <c r="T28" i="35"/>
  <c r="S28" i="35" s="1"/>
  <c r="V28" i="35"/>
  <c r="U28" i="35"/>
  <c r="T29" i="35"/>
  <c r="S29" i="35" s="1"/>
  <c r="V29" i="35"/>
  <c r="U29" i="35"/>
  <c r="T30" i="35"/>
  <c r="S30" i="35" s="1"/>
  <c r="V30" i="35"/>
  <c r="U30" i="35"/>
  <c r="T31" i="35"/>
  <c r="S31" i="35" s="1"/>
  <c r="V31" i="35"/>
  <c r="U31" i="35"/>
  <c r="T32" i="35"/>
  <c r="S32" i="35" s="1"/>
  <c r="V32" i="35"/>
  <c r="U32" i="35"/>
  <c r="T33" i="35"/>
  <c r="S33" i="35" s="1"/>
  <c r="V33" i="35"/>
  <c r="U33" i="35"/>
  <c r="T34" i="35"/>
  <c r="S34" i="35" s="1"/>
  <c r="V34" i="35"/>
  <c r="U34" i="35"/>
  <c r="T35" i="35"/>
  <c r="S35" i="35" s="1"/>
  <c r="V35" i="35"/>
  <c r="U35" i="35"/>
  <c r="T36" i="35"/>
  <c r="S36" i="35" s="1"/>
  <c r="V36" i="35"/>
  <c r="U36" i="35"/>
  <c r="T37" i="35"/>
  <c r="S37" i="35" s="1"/>
  <c r="V37" i="35"/>
  <c r="U37" i="35"/>
  <c r="T38" i="35"/>
  <c r="S38" i="35" s="1"/>
  <c r="V38" i="35"/>
  <c r="U38" i="35"/>
  <c r="T39" i="35"/>
  <c r="S39" i="35" s="1"/>
  <c r="V39" i="35"/>
  <c r="U39" i="35"/>
  <c r="T40" i="35"/>
  <c r="S40" i="35" s="1"/>
  <c r="V40" i="35"/>
  <c r="U40" i="35"/>
  <c r="T41" i="35"/>
  <c r="S41" i="35" s="1"/>
  <c r="V41" i="35"/>
  <c r="U41" i="35"/>
  <c r="T42" i="35"/>
  <c r="S42" i="35" s="1"/>
  <c r="V42" i="35"/>
  <c r="U42" i="35"/>
  <c r="T43" i="35"/>
  <c r="S43" i="35" s="1"/>
  <c r="V43" i="35"/>
  <c r="U43" i="35"/>
  <c r="T44" i="35"/>
  <c r="S44" i="35" s="1"/>
  <c r="V44" i="35"/>
  <c r="U44" i="35"/>
  <c r="T45" i="35"/>
  <c r="S45" i="35" s="1"/>
  <c r="V45" i="35"/>
  <c r="U45" i="35"/>
  <c r="T46" i="35"/>
  <c r="S46" i="35" s="1"/>
  <c r="V46" i="35"/>
  <c r="U46" i="35"/>
  <c r="T47" i="35"/>
  <c r="S47" i="35" s="1"/>
  <c r="V47" i="35"/>
  <c r="U47" i="35"/>
  <c r="T48" i="35"/>
  <c r="S48" i="35" s="1"/>
  <c r="V48" i="35"/>
  <c r="U48" i="35"/>
  <c r="T49" i="35"/>
  <c r="S49" i="35" s="1"/>
  <c r="V49" i="35"/>
  <c r="U49" i="35"/>
  <c r="T50" i="35"/>
  <c r="S50" i="35" s="1"/>
  <c r="V50" i="35"/>
  <c r="U50" i="35"/>
  <c r="T51" i="35"/>
  <c r="S51" i="35" s="1"/>
  <c r="V51" i="35"/>
  <c r="U51" i="35"/>
  <c r="T52" i="35"/>
  <c r="S52" i="35" s="1"/>
  <c r="V52" i="35"/>
  <c r="U52" i="35"/>
  <c r="T53" i="35"/>
  <c r="S53" i="35" s="1"/>
  <c r="V53" i="35"/>
  <c r="U53" i="35"/>
  <c r="T54" i="35"/>
  <c r="S54" i="35" s="1"/>
  <c r="V54" i="35"/>
  <c r="U54" i="35"/>
  <c r="T55" i="35"/>
  <c r="S55" i="35" s="1"/>
  <c r="V55" i="35"/>
  <c r="U55" i="35"/>
  <c r="T56" i="35"/>
  <c r="S56" i="35" s="1"/>
  <c r="V56" i="35"/>
  <c r="U56" i="35"/>
  <c r="T57" i="35"/>
  <c r="S57" i="35" s="1"/>
  <c r="V57" i="35"/>
  <c r="U57" i="35"/>
  <c r="T58" i="35"/>
  <c r="S58" i="35" s="1"/>
  <c r="V58" i="35"/>
  <c r="U58" i="35"/>
  <c r="T59" i="35"/>
  <c r="S59" i="35" s="1"/>
  <c r="V59" i="35"/>
  <c r="U59" i="35"/>
  <c r="T60" i="35"/>
  <c r="S60" i="35" s="1"/>
  <c r="V60" i="35"/>
  <c r="U60" i="35"/>
  <c r="G60" i="34"/>
  <c r="G59" i="34"/>
  <c r="G58" i="34"/>
  <c r="G57" i="34"/>
  <c r="G56" i="34"/>
  <c r="G55" i="34"/>
  <c r="G54" i="34"/>
  <c r="G53" i="34"/>
  <c r="G52" i="34"/>
  <c r="G51" i="34"/>
  <c r="G50" i="34"/>
  <c r="G49" i="34"/>
  <c r="G48" i="34"/>
  <c r="G47" i="34"/>
  <c r="G46" i="34"/>
  <c r="G45" i="34"/>
  <c r="G44" i="34"/>
  <c r="G43" i="34"/>
  <c r="G42" i="34"/>
  <c r="G41" i="34"/>
  <c r="G40" i="34"/>
  <c r="G39" i="34"/>
  <c r="G38" i="34"/>
  <c r="G37" i="34"/>
  <c r="G36" i="34"/>
  <c r="G35" i="34"/>
  <c r="G34" i="34"/>
  <c r="G33" i="34"/>
  <c r="G32" i="34"/>
  <c r="G31" i="34"/>
  <c r="G30" i="34"/>
  <c r="G29" i="34"/>
  <c r="G28" i="34"/>
  <c r="G27" i="34"/>
  <c r="G26" i="34"/>
  <c r="G25" i="34"/>
  <c r="G24" i="34"/>
  <c r="G23" i="34"/>
  <c r="G22" i="34"/>
  <c r="G21" i="34"/>
  <c r="G20" i="34"/>
  <c r="G19" i="34"/>
  <c r="G18" i="34"/>
  <c r="G61" i="34" s="1"/>
  <c r="H60" i="34"/>
  <c r="H59" i="34"/>
  <c r="H58" i="34"/>
  <c r="H57" i="34"/>
  <c r="H56" i="34"/>
  <c r="H55" i="34"/>
  <c r="H54" i="34"/>
  <c r="H53" i="34"/>
  <c r="H52" i="34"/>
  <c r="H51" i="34"/>
  <c r="H50" i="34"/>
  <c r="H49" i="34"/>
  <c r="H48" i="34"/>
  <c r="H47" i="34"/>
  <c r="H46" i="34"/>
  <c r="H45" i="34"/>
  <c r="H44" i="34"/>
  <c r="H43" i="34"/>
  <c r="H42" i="34"/>
  <c r="H41" i="34"/>
  <c r="H40" i="34"/>
  <c r="H39" i="34"/>
  <c r="H38" i="34"/>
  <c r="H37" i="34"/>
  <c r="H36" i="34"/>
  <c r="H35" i="34"/>
  <c r="H34" i="34"/>
  <c r="H33" i="34"/>
  <c r="H32" i="34"/>
  <c r="H31" i="34"/>
  <c r="H30" i="34"/>
  <c r="H29" i="34"/>
  <c r="H28" i="34"/>
  <c r="H27" i="34"/>
  <c r="H26" i="34"/>
  <c r="H25" i="34"/>
  <c r="H24" i="34"/>
  <c r="H23" i="34"/>
  <c r="H22" i="34"/>
  <c r="H21" i="34"/>
  <c r="H20" i="34"/>
  <c r="H19" i="34"/>
  <c r="H18" i="34"/>
  <c r="H61" i="34" s="1"/>
  <c r="P2" i="34" s="1"/>
  <c r="R60" i="34"/>
  <c r="R59" i="34"/>
  <c r="R58" i="34"/>
  <c r="R57" i="34"/>
  <c r="R56" i="34"/>
  <c r="R55" i="34"/>
  <c r="R54" i="34"/>
  <c r="R53" i="34"/>
  <c r="R52" i="34"/>
  <c r="R51" i="34"/>
  <c r="R50" i="34"/>
  <c r="R49" i="34"/>
  <c r="R48" i="34"/>
  <c r="R47" i="34"/>
  <c r="R46" i="34"/>
  <c r="R45" i="34"/>
  <c r="R44" i="34"/>
  <c r="R43" i="34"/>
  <c r="R42" i="34"/>
  <c r="R41" i="34"/>
  <c r="R40" i="34"/>
  <c r="R39" i="34"/>
  <c r="R38" i="34"/>
  <c r="R37" i="34"/>
  <c r="R36" i="34"/>
  <c r="R35" i="34"/>
  <c r="R34" i="34"/>
  <c r="R33" i="34"/>
  <c r="R32" i="34"/>
  <c r="R31" i="34"/>
  <c r="R30" i="34"/>
  <c r="R29" i="34"/>
  <c r="R28" i="34"/>
  <c r="R27" i="34"/>
  <c r="R26" i="34"/>
  <c r="R25" i="34"/>
  <c r="R24" i="34"/>
  <c r="R23" i="34"/>
  <c r="R22" i="34"/>
  <c r="R21" i="34"/>
  <c r="R20" i="34"/>
  <c r="R19" i="34"/>
  <c r="R18" i="34"/>
  <c r="R61" i="34" s="1"/>
  <c r="J61" i="34"/>
  <c r="L18" i="34"/>
  <c r="K61" i="34"/>
  <c r="V18" i="34"/>
  <c r="U18" i="34"/>
  <c r="T19" i="34"/>
  <c r="S19" i="34" s="1"/>
  <c r="V19" i="34"/>
  <c r="U19" i="34"/>
  <c r="T20" i="34"/>
  <c r="S20" i="34" s="1"/>
  <c r="V20" i="34"/>
  <c r="U20" i="34"/>
  <c r="T21" i="34"/>
  <c r="S21" i="34" s="1"/>
  <c r="V21" i="34"/>
  <c r="U21" i="34"/>
  <c r="T22" i="34"/>
  <c r="S22" i="34" s="1"/>
  <c r="V22" i="34"/>
  <c r="U22" i="34"/>
  <c r="T23" i="34"/>
  <c r="S23" i="34" s="1"/>
  <c r="V23" i="34"/>
  <c r="U23" i="34"/>
  <c r="T24" i="34"/>
  <c r="S24" i="34" s="1"/>
  <c r="V24" i="34"/>
  <c r="U24" i="34"/>
  <c r="T25" i="34"/>
  <c r="S25" i="34" s="1"/>
  <c r="V25" i="34"/>
  <c r="U25" i="34"/>
  <c r="T26" i="34"/>
  <c r="S26" i="34" s="1"/>
  <c r="V26" i="34"/>
  <c r="U26" i="34"/>
  <c r="T27" i="34"/>
  <c r="S27" i="34" s="1"/>
  <c r="V27" i="34"/>
  <c r="U27" i="34"/>
  <c r="T28" i="34"/>
  <c r="S28" i="34" s="1"/>
  <c r="V28" i="34"/>
  <c r="U28" i="34"/>
  <c r="T29" i="34"/>
  <c r="S29" i="34" s="1"/>
  <c r="V29" i="34"/>
  <c r="U29" i="34"/>
  <c r="T30" i="34"/>
  <c r="S30" i="34" s="1"/>
  <c r="V30" i="34"/>
  <c r="U30" i="34"/>
  <c r="T31" i="34"/>
  <c r="S31" i="34" s="1"/>
  <c r="V31" i="34"/>
  <c r="U31" i="34"/>
  <c r="T32" i="34"/>
  <c r="S32" i="34" s="1"/>
  <c r="V32" i="34"/>
  <c r="U32" i="34"/>
  <c r="T33" i="34"/>
  <c r="S33" i="34" s="1"/>
  <c r="V33" i="34"/>
  <c r="U33" i="34"/>
  <c r="T34" i="34"/>
  <c r="S34" i="34" s="1"/>
  <c r="V34" i="34"/>
  <c r="U34" i="34"/>
  <c r="T35" i="34"/>
  <c r="S35" i="34" s="1"/>
  <c r="V35" i="34"/>
  <c r="U35" i="34"/>
  <c r="T36" i="34"/>
  <c r="S36" i="34" s="1"/>
  <c r="V36" i="34"/>
  <c r="U36" i="34"/>
  <c r="T37" i="34"/>
  <c r="S37" i="34" s="1"/>
  <c r="V37" i="34"/>
  <c r="U37" i="34"/>
  <c r="T38" i="34"/>
  <c r="S38" i="34" s="1"/>
  <c r="V38" i="34"/>
  <c r="U38" i="34"/>
  <c r="T39" i="34"/>
  <c r="S39" i="34" s="1"/>
  <c r="V39" i="34"/>
  <c r="U39" i="34"/>
  <c r="T40" i="34"/>
  <c r="S40" i="34" s="1"/>
  <c r="V40" i="34"/>
  <c r="U40" i="34"/>
  <c r="T41" i="34"/>
  <c r="S41" i="34" s="1"/>
  <c r="V41" i="34"/>
  <c r="U41" i="34"/>
  <c r="T42" i="34"/>
  <c r="S42" i="34" s="1"/>
  <c r="V42" i="34"/>
  <c r="U42" i="34"/>
  <c r="T43" i="34"/>
  <c r="S43" i="34" s="1"/>
  <c r="V43" i="34"/>
  <c r="U43" i="34"/>
  <c r="T44" i="34"/>
  <c r="S44" i="34" s="1"/>
  <c r="V44" i="34"/>
  <c r="U44" i="34"/>
  <c r="T45" i="34"/>
  <c r="S45" i="34" s="1"/>
  <c r="V45" i="34"/>
  <c r="U45" i="34"/>
  <c r="T46" i="34"/>
  <c r="S46" i="34" s="1"/>
  <c r="V46" i="34"/>
  <c r="U46" i="34"/>
  <c r="T47" i="34"/>
  <c r="S47" i="34" s="1"/>
  <c r="V47" i="34"/>
  <c r="U47" i="34"/>
  <c r="T48" i="34"/>
  <c r="S48" i="34" s="1"/>
  <c r="V48" i="34"/>
  <c r="U48" i="34"/>
  <c r="T49" i="34"/>
  <c r="S49" i="34" s="1"/>
  <c r="V49" i="34"/>
  <c r="U49" i="34"/>
  <c r="T50" i="34"/>
  <c r="S50" i="34" s="1"/>
  <c r="V50" i="34"/>
  <c r="U50" i="34"/>
  <c r="T51" i="34"/>
  <c r="S51" i="34" s="1"/>
  <c r="V51" i="34"/>
  <c r="U51" i="34"/>
  <c r="T52" i="34"/>
  <c r="S52" i="34" s="1"/>
  <c r="V52" i="34"/>
  <c r="U52" i="34"/>
  <c r="T53" i="34"/>
  <c r="S53" i="34" s="1"/>
  <c r="V53" i="34"/>
  <c r="U53" i="34"/>
  <c r="T54" i="34"/>
  <c r="S54" i="34" s="1"/>
  <c r="V54" i="34"/>
  <c r="U54" i="34"/>
  <c r="T55" i="34"/>
  <c r="S55" i="34" s="1"/>
  <c r="V55" i="34"/>
  <c r="U55" i="34"/>
  <c r="T56" i="34"/>
  <c r="S56" i="34" s="1"/>
  <c r="V56" i="34"/>
  <c r="U56" i="34"/>
  <c r="T57" i="34"/>
  <c r="S57" i="34" s="1"/>
  <c r="V57" i="34"/>
  <c r="U57" i="34"/>
  <c r="T58" i="34"/>
  <c r="S58" i="34" s="1"/>
  <c r="V58" i="34"/>
  <c r="U58" i="34"/>
  <c r="T59" i="34"/>
  <c r="S59" i="34" s="1"/>
  <c r="V59" i="34"/>
  <c r="U59" i="34"/>
  <c r="T60" i="34"/>
  <c r="S60" i="34" s="1"/>
  <c r="V60" i="34"/>
  <c r="U60" i="34"/>
  <c r="G60" i="33"/>
  <c r="G59" i="33"/>
  <c r="G58" i="33"/>
  <c r="G57" i="33"/>
  <c r="G56" i="33"/>
  <c r="G55" i="33"/>
  <c r="G54" i="33"/>
  <c r="G53" i="33"/>
  <c r="G52" i="33"/>
  <c r="G51" i="33"/>
  <c r="G50" i="33"/>
  <c r="G49" i="33"/>
  <c r="G48" i="33"/>
  <c r="G47" i="33"/>
  <c r="G46" i="33"/>
  <c r="G45" i="33"/>
  <c r="G44" i="33"/>
  <c r="G43" i="33"/>
  <c r="G42" i="33"/>
  <c r="G41" i="33"/>
  <c r="G40" i="33"/>
  <c r="G39" i="33"/>
  <c r="G38" i="33"/>
  <c r="G37" i="33"/>
  <c r="G36" i="33"/>
  <c r="G35" i="33"/>
  <c r="G34" i="33"/>
  <c r="G33" i="33"/>
  <c r="G32" i="33"/>
  <c r="G31" i="33"/>
  <c r="G30" i="33"/>
  <c r="G29" i="33"/>
  <c r="G28" i="33"/>
  <c r="G27" i="33"/>
  <c r="G26" i="33"/>
  <c r="G25" i="33"/>
  <c r="G24" i="33"/>
  <c r="G23" i="33"/>
  <c r="G22" i="33"/>
  <c r="G21" i="33"/>
  <c r="G20" i="33"/>
  <c r="G19" i="33"/>
  <c r="G18" i="33"/>
  <c r="G61" i="33" s="1"/>
  <c r="H60" i="33"/>
  <c r="H59" i="33"/>
  <c r="H58" i="33"/>
  <c r="H57" i="33"/>
  <c r="H56" i="33"/>
  <c r="H55" i="33"/>
  <c r="H54" i="33"/>
  <c r="H53" i="33"/>
  <c r="H52" i="33"/>
  <c r="H51" i="33"/>
  <c r="H50" i="33"/>
  <c r="H49" i="33"/>
  <c r="H48" i="33"/>
  <c r="H47" i="33"/>
  <c r="H46" i="33"/>
  <c r="H45" i="33"/>
  <c r="H44" i="33"/>
  <c r="H43" i="33"/>
  <c r="H42" i="33"/>
  <c r="H41" i="33"/>
  <c r="H40" i="33"/>
  <c r="H39" i="33"/>
  <c r="H38" i="33"/>
  <c r="H37" i="33"/>
  <c r="H36" i="33"/>
  <c r="H35" i="33"/>
  <c r="H34" i="33"/>
  <c r="H33" i="33"/>
  <c r="H32" i="33"/>
  <c r="H31" i="33"/>
  <c r="H30" i="33"/>
  <c r="H29" i="33"/>
  <c r="H28" i="33"/>
  <c r="H27" i="33"/>
  <c r="H26" i="33"/>
  <c r="H25" i="33"/>
  <c r="H24" i="33"/>
  <c r="H23" i="33"/>
  <c r="H22" i="33"/>
  <c r="H21" i="33"/>
  <c r="H20" i="33"/>
  <c r="H19" i="33"/>
  <c r="H18" i="33"/>
  <c r="H61" i="33" s="1"/>
  <c r="P2" i="33" s="1"/>
  <c r="R60" i="33"/>
  <c r="R59" i="33"/>
  <c r="R58" i="33"/>
  <c r="R57" i="33"/>
  <c r="R56" i="33"/>
  <c r="R55" i="33"/>
  <c r="R54" i="33"/>
  <c r="R53" i="33"/>
  <c r="R52" i="33"/>
  <c r="R51" i="33"/>
  <c r="R50" i="33"/>
  <c r="R49" i="33"/>
  <c r="R48" i="33"/>
  <c r="R47" i="33"/>
  <c r="R46" i="33"/>
  <c r="R45" i="33"/>
  <c r="R44" i="33"/>
  <c r="R43" i="33"/>
  <c r="R42" i="33"/>
  <c r="R41" i="33"/>
  <c r="R40" i="33"/>
  <c r="R39" i="33"/>
  <c r="R38" i="33"/>
  <c r="R37" i="33"/>
  <c r="R36" i="33"/>
  <c r="R35" i="33"/>
  <c r="R34" i="33"/>
  <c r="R33" i="33"/>
  <c r="R32" i="33"/>
  <c r="R31" i="33"/>
  <c r="R30" i="33"/>
  <c r="R29" i="33"/>
  <c r="R28" i="33"/>
  <c r="R27" i="33"/>
  <c r="R26" i="33"/>
  <c r="R25" i="33"/>
  <c r="R24" i="33"/>
  <c r="R23" i="33"/>
  <c r="R22" i="33"/>
  <c r="R21" i="33"/>
  <c r="R20" i="33"/>
  <c r="R19" i="33"/>
  <c r="R18" i="33"/>
  <c r="R61" i="33" s="1"/>
  <c r="J61" i="33"/>
  <c r="L18" i="33"/>
  <c r="K61" i="33"/>
  <c r="V18" i="33"/>
  <c r="U18" i="33"/>
  <c r="T19" i="33"/>
  <c r="S19" i="33" s="1"/>
  <c r="V19" i="33"/>
  <c r="U19" i="33"/>
  <c r="T20" i="33"/>
  <c r="S20" i="33" s="1"/>
  <c r="V20" i="33"/>
  <c r="U20" i="33"/>
  <c r="T21" i="33"/>
  <c r="S21" i="33" s="1"/>
  <c r="V21" i="33"/>
  <c r="U21" i="33"/>
  <c r="T22" i="33"/>
  <c r="S22" i="33" s="1"/>
  <c r="V22" i="33"/>
  <c r="U22" i="33"/>
  <c r="T23" i="33"/>
  <c r="S23" i="33" s="1"/>
  <c r="V23" i="33"/>
  <c r="U23" i="33"/>
  <c r="T24" i="33"/>
  <c r="S24" i="33" s="1"/>
  <c r="V24" i="33"/>
  <c r="U24" i="33"/>
  <c r="T25" i="33"/>
  <c r="S25" i="33" s="1"/>
  <c r="V25" i="33"/>
  <c r="U25" i="33"/>
  <c r="T26" i="33"/>
  <c r="S26" i="33" s="1"/>
  <c r="V26" i="33"/>
  <c r="U26" i="33"/>
  <c r="T27" i="33"/>
  <c r="S27" i="33" s="1"/>
  <c r="V27" i="33"/>
  <c r="U27" i="33"/>
  <c r="T28" i="33"/>
  <c r="S28" i="33" s="1"/>
  <c r="V28" i="33"/>
  <c r="U28" i="33"/>
  <c r="T29" i="33"/>
  <c r="S29" i="33" s="1"/>
  <c r="V29" i="33"/>
  <c r="U29" i="33"/>
  <c r="T30" i="33"/>
  <c r="S30" i="33" s="1"/>
  <c r="V30" i="33"/>
  <c r="U30" i="33"/>
  <c r="T31" i="33"/>
  <c r="S31" i="33" s="1"/>
  <c r="V31" i="33"/>
  <c r="U31" i="33"/>
  <c r="T32" i="33"/>
  <c r="S32" i="33" s="1"/>
  <c r="V32" i="33"/>
  <c r="U32" i="33"/>
  <c r="T33" i="33"/>
  <c r="S33" i="33" s="1"/>
  <c r="V33" i="33"/>
  <c r="U33" i="33"/>
  <c r="T34" i="33"/>
  <c r="S34" i="33" s="1"/>
  <c r="V34" i="33"/>
  <c r="U34" i="33"/>
  <c r="T35" i="33"/>
  <c r="S35" i="33" s="1"/>
  <c r="V35" i="33"/>
  <c r="U35" i="33"/>
  <c r="T36" i="33"/>
  <c r="S36" i="33" s="1"/>
  <c r="V36" i="33"/>
  <c r="U36" i="33"/>
  <c r="T37" i="33"/>
  <c r="S37" i="33" s="1"/>
  <c r="V37" i="33"/>
  <c r="U37" i="33"/>
  <c r="T38" i="33"/>
  <c r="S38" i="33" s="1"/>
  <c r="V38" i="33"/>
  <c r="U38" i="33"/>
  <c r="T39" i="33"/>
  <c r="S39" i="33" s="1"/>
  <c r="V39" i="33"/>
  <c r="U39" i="33"/>
  <c r="T40" i="33"/>
  <c r="S40" i="33" s="1"/>
  <c r="V40" i="33"/>
  <c r="U40" i="33"/>
  <c r="T41" i="33"/>
  <c r="S41" i="33" s="1"/>
  <c r="V41" i="33"/>
  <c r="U41" i="33"/>
  <c r="T42" i="33"/>
  <c r="S42" i="33" s="1"/>
  <c r="V42" i="33"/>
  <c r="U42" i="33"/>
  <c r="T43" i="33"/>
  <c r="S43" i="33" s="1"/>
  <c r="V43" i="33"/>
  <c r="U43" i="33"/>
  <c r="T44" i="33"/>
  <c r="S44" i="33" s="1"/>
  <c r="V44" i="33"/>
  <c r="U44" i="33"/>
  <c r="T45" i="33"/>
  <c r="S45" i="33" s="1"/>
  <c r="V45" i="33"/>
  <c r="U45" i="33"/>
  <c r="T46" i="33"/>
  <c r="S46" i="33" s="1"/>
  <c r="V46" i="33"/>
  <c r="U46" i="33"/>
  <c r="T47" i="33"/>
  <c r="S47" i="33" s="1"/>
  <c r="V47" i="33"/>
  <c r="U47" i="33"/>
  <c r="T48" i="33"/>
  <c r="S48" i="33" s="1"/>
  <c r="V48" i="33"/>
  <c r="U48" i="33"/>
  <c r="T49" i="33"/>
  <c r="S49" i="33" s="1"/>
  <c r="V49" i="33"/>
  <c r="U49" i="33"/>
  <c r="T50" i="33"/>
  <c r="S50" i="33" s="1"/>
  <c r="V50" i="33"/>
  <c r="U50" i="33"/>
  <c r="T51" i="33"/>
  <c r="S51" i="33" s="1"/>
  <c r="V51" i="33"/>
  <c r="U51" i="33"/>
  <c r="T52" i="33"/>
  <c r="S52" i="33" s="1"/>
  <c r="V52" i="33"/>
  <c r="U52" i="33"/>
  <c r="T53" i="33"/>
  <c r="S53" i="33" s="1"/>
  <c r="V53" i="33"/>
  <c r="U53" i="33"/>
  <c r="T54" i="33"/>
  <c r="S54" i="33" s="1"/>
  <c r="V54" i="33"/>
  <c r="U54" i="33"/>
  <c r="T55" i="33"/>
  <c r="S55" i="33" s="1"/>
  <c r="V55" i="33"/>
  <c r="U55" i="33"/>
  <c r="T56" i="33"/>
  <c r="S56" i="33" s="1"/>
  <c r="V56" i="33"/>
  <c r="U56" i="33"/>
  <c r="T57" i="33"/>
  <c r="S57" i="33" s="1"/>
  <c r="V57" i="33"/>
  <c r="U57" i="33"/>
  <c r="T58" i="33"/>
  <c r="S58" i="33" s="1"/>
  <c r="V58" i="33"/>
  <c r="U58" i="33"/>
  <c r="T59" i="33"/>
  <c r="S59" i="33" s="1"/>
  <c r="V59" i="33"/>
  <c r="U59" i="33"/>
  <c r="T60" i="33"/>
  <c r="S60" i="33" s="1"/>
  <c r="V60" i="33"/>
  <c r="U60" i="33"/>
  <c r="G60" i="32"/>
  <c r="G59" i="32"/>
  <c r="G58" i="32"/>
  <c r="G57" i="32"/>
  <c r="G56" i="32"/>
  <c r="G55" i="32"/>
  <c r="G54" i="32"/>
  <c r="G53" i="32"/>
  <c r="G52" i="32"/>
  <c r="G51" i="32"/>
  <c r="G50" i="32"/>
  <c r="G49" i="32"/>
  <c r="G48" i="32"/>
  <c r="G47" i="32"/>
  <c r="G46" i="32"/>
  <c r="G45" i="32"/>
  <c r="G44" i="32"/>
  <c r="G43" i="32"/>
  <c r="G42" i="32"/>
  <c r="G41" i="32"/>
  <c r="G40" i="32"/>
  <c r="G39" i="32"/>
  <c r="G38" i="32"/>
  <c r="G37" i="32"/>
  <c r="G36" i="32"/>
  <c r="G35" i="32"/>
  <c r="G34" i="32"/>
  <c r="G33" i="32"/>
  <c r="G32" i="32"/>
  <c r="G31" i="32"/>
  <c r="G30" i="32"/>
  <c r="G29" i="32"/>
  <c r="G28" i="32"/>
  <c r="G27" i="32"/>
  <c r="G26" i="32"/>
  <c r="G25" i="32"/>
  <c r="G24" i="32"/>
  <c r="G23" i="32"/>
  <c r="G22" i="32"/>
  <c r="G21" i="32"/>
  <c r="G20" i="32"/>
  <c r="G19" i="32"/>
  <c r="G18" i="32"/>
  <c r="G61" i="32" s="1"/>
  <c r="H60" i="32"/>
  <c r="H59" i="32"/>
  <c r="H58" i="32"/>
  <c r="H57" i="32"/>
  <c r="H56" i="32"/>
  <c r="H55" i="32"/>
  <c r="H54" i="32"/>
  <c r="H53" i="32"/>
  <c r="H52" i="32"/>
  <c r="H51" i="32"/>
  <c r="H50" i="32"/>
  <c r="H49" i="32"/>
  <c r="H48" i="32"/>
  <c r="H47" i="32"/>
  <c r="H46" i="32"/>
  <c r="H45" i="32"/>
  <c r="H44" i="32"/>
  <c r="H43" i="32"/>
  <c r="H42" i="32"/>
  <c r="H41" i="32"/>
  <c r="H40" i="32"/>
  <c r="H39" i="32"/>
  <c r="H38" i="32"/>
  <c r="H37" i="32"/>
  <c r="H36" i="32"/>
  <c r="H35" i="32"/>
  <c r="H34" i="32"/>
  <c r="H33" i="32"/>
  <c r="H32" i="32"/>
  <c r="H31" i="32"/>
  <c r="H30" i="32"/>
  <c r="H29" i="32"/>
  <c r="H28" i="32"/>
  <c r="H27" i="32"/>
  <c r="H26" i="32"/>
  <c r="H25" i="32"/>
  <c r="H24" i="32"/>
  <c r="H23" i="32"/>
  <c r="H22" i="32"/>
  <c r="H21" i="32"/>
  <c r="H20" i="32"/>
  <c r="H19" i="32"/>
  <c r="H18" i="32"/>
  <c r="H61" i="32" s="1"/>
  <c r="P2" i="32" s="1"/>
  <c r="R60" i="32"/>
  <c r="R59" i="32"/>
  <c r="R58" i="32"/>
  <c r="R57" i="32"/>
  <c r="R56" i="32"/>
  <c r="R55" i="32"/>
  <c r="R54" i="32"/>
  <c r="R53" i="32"/>
  <c r="R52" i="32"/>
  <c r="R51" i="32"/>
  <c r="R50" i="32"/>
  <c r="R49" i="32"/>
  <c r="R48" i="32"/>
  <c r="R47" i="32"/>
  <c r="R46" i="32"/>
  <c r="R45" i="32"/>
  <c r="R44" i="32"/>
  <c r="R43" i="32"/>
  <c r="R42" i="32"/>
  <c r="R41" i="32"/>
  <c r="R40" i="32"/>
  <c r="R39" i="32"/>
  <c r="R38" i="32"/>
  <c r="R37" i="32"/>
  <c r="R36" i="32"/>
  <c r="R35" i="32"/>
  <c r="R34" i="32"/>
  <c r="R33" i="32"/>
  <c r="R32" i="32"/>
  <c r="R31" i="32"/>
  <c r="R30" i="32"/>
  <c r="R29" i="32"/>
  <c r="R28" i="32"/>
  <c r="R27" i="32"/>
  <c r="R26" i="32"/>
  <c r="R25" i="32"/>
  <c r="R24" i="32"/>
  <c r="R23" i="32"/>
  <c r="R22" i="32"/>
  <c r="R21" i="32"/>
  <c r="R20" i="32"/>
  <c r="R19" i="32"/>
  <c r="R18" i="32"/>
  <c r="R61" i="32" s="1"/>
  <c r="J61" i="32"/>
  <c r="L18" i="32"/>
  <c r="K61" i="32"/>
  <c r="V18" i="32"/>
  <c r="U18" i="32"/>
  <c r="T19" i="32"/>
  <c r="S19" i="32" s="1"/>
  <c r="V19" i="32"/>
  <c r="U19" i="32"/>
  <c r="T20" i="32"/>
  <c r="S20" i="32" s="1"/>
  <c r="V20" i="32"/>
  <c r="U20" i="32"/>
  <c r="T21" i="32"/>
  <c r="S21" i="32" s="1"/>
  <c r="V21" i="32"/>
  <c r="U21" i="32"/>
  <c r="T22" i="32"/>
  <c r="S22" i="32" s="1"/>
  <c r="V22" i="32"/>
  <c r="U22" i="32"/>
  <c r="T23" i="32"/>
  <c r="S23" i="32" s="1"/>
  <c r="V23" i="32"/>
  <c r="U23" i="32"/>
  <c r="T24" i="32"/>
  <c r="S24" i="32" s="1"/>
  <c r="V24" i="32"/>
  <c r="U24" i="32"/>
  <c r="T25" i="32"/>
  <c r="S25" i="32" s="1"/>
  <c r="V25" i="32"/>
  <c r="U25" i="32"/>
  <c r="T26" i="32"/>
  <c r="S26" i="32" s="1"/>
  <c r="V26" i="32"/>
  <c r="U26" i="32"/>
  <c r="T27" i="32"/>
  <c r="S27" i="32" s="1"/>
  <c r="V27" i="32"/>
  <c r="U27" i="32"/>
  <c r="T28" i="32"/>
  <c r="S28" i="32" s="1"/>
  <c r="V28" i="32"/>
  <c r="U28" i="32"/>
  <c r="T29" i="32"/>
  <c r="S29" i="32" s="1"/>
  <c r="V29" i="32"/>
  <c r="U29" i="32"/>
  <c r="T30" i="32"/>
  <c r="S30" i="32" s="1"/>
  <c r="V30" i="32"/>
  <c r="U30" i="32"/>
  <c r="T31" i="32"/>
  <c r="S31" i="32" s="1"/>
  <c r="V31" i="32"/>
  <c r="U31" i="32"/>
  <c r="T32" i="32"/>
  <c r="S32" i="32" s="1"/>
  <c r="V32" i="32"/>
  <c r="U32" i="32"/>
  <c r="T33" i="32"/>
  <c r="S33" i="32" s="1"/>
  <c r="V33" i="32"/>
  <c r="U33" i="32"/>
  <c r="T34" i="32"/>
  <c r="S34" i="32" s="1"/>
  <c r="V34" i="32"/>
  <c r="U34" i="32"/>
  <c r="T35" i="32"/>
  <c r="S35" i="32" s="1"/>
  <c r="V35" i="32"/>
  <c r="U35" i="32"/>
  <c r="T36" i="32"/>
  <c r="S36" i="32" s="1"/>
  <c r="V36" i="32"/>
  <c r="U36" i="32"/>
  <c r="T37" i="32"/>
  <c r="S37" i="32" s="1"/>
  <c r="V37" i="32"/>
  <c r="U37" i="32"/>
  <c r="T38" i="32"/>
  <c r="S38" i="32" s="1"/>
  <c r="V38" i="32"/>
  <c r="U38" i="32"/>
  <c r="T39" i="32"/>
  <c r="S39" i="32" s="1"/>
  <c r="V39" i="32"/>
  <c r="U39" i="32"/>
  <c r="T40" i="32"/>
  <c r="S40" i="32" s="1"/>
  <c r="V40" i="32"/>
  <c r="U40" i="32"/>
  <c r="T41" i="32"/>
  <c r="S41" i="32" s="1"/>
  <c r="V41" i="32"/>
  <c r="U41" i="32"/>
  <c r="T42" i="32"/>
  <c r="S42" i="32" s="1"/>
  <c r="V42" i="32"/>
  <c r="U42" i="32"/>
  <c r="T43" i="32"/>
  <c r="S43" i="32" s="1"/>
  <c r="V43" i="32"/>
  <c r="U43" i="32"/>
  <c r="T44" i="32"/>
  <c r="S44" i="32" s="1"/>
  <c r="V44" i="32"/>
  <c r="U44" i="32"/>
  <c r="T45" i="32"/>
  <c r="S45" i="32" s="1"/>
  <c r="V45" i="32"/>
  <c r="U45" i="32"/>
  <c r="T46" i="32"/>
  <c r="S46" i="32" s="1"/>
  <c r="V46" i="32"/>
  <c r="U46" i="32"/>
  <c r="T47" i="32"/>
  <c r="S47" i="32" s="1"/>
  <c r="V47" i="32"/>
  <c r="U47" i="32"/>
  <c r="T48" i="32"/>
  <c r="S48" i="32" s="1"/>
  <c r="V48" i="32"/>
  <c r="U48" i="32"/>
  <c r="T49" i="32"/>
  <c r="S49" i="32" s="1"/>
  <c r="V49" i="32"/>
  <c r="U49" i="32"/>
  <c r="T50" i="32"/>
  <c r="S50" i="32" s="1"/>
  <c r="V50" i="32"/>
  <c r="U50" i="32"/>
  <c r="T51" i="32"/>
  <c r="S51" i="32" s="1"/>
  <c r="V51" i="32"/>
  <c r="U51" i="32"/>
  <c r="T52" i="32"/>
  <c r="S52" i="32" s="1"/>
  <c r="V52" i="32"/>
  <c r="U52" i="32"/>
  <c r="T53" i="32"/>
  <c r="S53" i="32" s="1"/>
  <c r="V53" i="32"/>
  <c r="U53" i="32"/>
  <c r="T54" i="32"/>
  <c r="S54" i="32" s="1"/>
  <c r="V54" i="32"/>
  <c r="U54" i="32"/>
  <c r="T55" i="32"/>
  <c r="S55" i="32" s="1"/>
  <c r="V55" i="32"/>
  <c r="U55" i="32"/>
  <c r="T56" i="32"/>
  <c r="S56" i="32" s="1"/>
  <c r="V56" i="32"/>
  <c r="U56" i="32"/>
  <c r="T57" i="32"/>
  <c r="S57" i="32" s="1"/>
  <c r="V57" i="32"/>
  <c r="U57" i="32"/>
  <c r="T58" i="32"/>
  <c r="S58" i="32" s="1"/>
  <c r="V58" i="32"/>
  <c r="U58" i="32"/>
  <c r="T59" i="32"/>
  <c r="S59" i="32" s="1"/>
  <c r="V59" i="32"/>
  <c r="U59" i="32"/>
  <c r="T60" i="32"/>
  <c r="S60" i="32" s="1"/>
  <c r="V60" i="32"/>
  <c r="U60" i="32"/>
  <c r="G60" i="31"/>
  <c r="G59" i="31"/>
  <c r="G58" i="31"/>
  <c r="G57" i="31"/>
  <c r="G56" i="31"/>
  <c r="G55" i="31"/>
  <c r="G54" i="31"/>
  <c r="G53" i="31"/>
  <c r="G52" i="31"/>
  <c r="G51" i="31"/>
  <c r="G50" i="31"/>
  <c r="G49" i="31"/>
  <c r="G48" i="31"/>
  <c r="G47" i="31"/>
  <c r="G46" i="31"/>
  <c r="G45" i="31"/>
  <c r="G44" i="31"/>
  <c r="G43" i="31"/>
  <c r="G42" i="31"/>
  <c r="G41" i="31"/>
  <c r="G40" i="31"/>
  <c r="G39" i="31"/>
  <c r="G38" i="31"/>
  <c r="G37" i="31"/>
  <c r="G36" i="31"/>
  <c r="G35" i="31"/>
  <c r="G34" i="31"/>
  <c r="G33" i="31"/>
  <c r="G32" i="31"/>
  <c r="G31" i="31"/>
  <c r="G30" i="31"/>
  <c r="G29" i="31"/>
  <c r="G28" i="31"/>
  <c r="G27" i="31"/>
  <c r="G26" i="31"/>
  <c r="G25" i="31"/>
  <c r="G24" i="31"/>
  <c r="G23" i="31"/>
  <c r="G22" i="31"/>
  <c r="G21" i="31"/>
  <c r="G20" i="31"/>
  <c r="G19" i="31"/>
  <c r="G18" i="31"/>
  <c r="G61" i="31" s="1"/>
  <c r="H60" i="31"/>
  <c r="H59" i="31"/>
  <c r="H58" i="31"/>
  <c r="H57" i="31"/>
  <c r="H56" i="31"/>
  <c r="H55" i="31"/>
  <c r="H54" i="31"/>
  <c r="H53" i="31"/>
  <c r="H52" i="31"/>
  <c r="H51" i="31"/>
  <c r="H50" i="31"/>
  <c r="H49" i="31"/>
  <c r="H48" i="31"/>
  <c r="H47" i="31"/>
  <c r="H46" i="31"/>
  <c r="H45" i="31"/>
  <c r="H44" i="31"/>
  <c r="H43" i="31"/>
  <c r="H42" i="31"/>
  <c r="H41" i="31"/>
  <c r="H40" i="31"/>
  <c r="H39" i="31"/>
  <c r="H38" i="31"/>
  <c r="H37" i="31"/>
  <c r="H36" i="31"/>
  <c r="H35" i="31"/>
  <c r="H34" i="31"/>
  <c r="H33" i="31"/>
  <c r="H32" i="31"/>
  <c r="H31" i="31"/>
  <c r="H30" i="31"/>
  <c r="H29" i="31"/>
  <c r="H28" i="31"/>
  <c r="H27" i="31"/>
  <c r="H26" i="31"/>
  <c r="H25" i="31"/>
  <c r="H24" i="31"/>
  <c r="H23" i="31"/>
  <c r="H22" i="31"/>
  <c r="H21" i="31"/>
  <c r="H20" i="31"/>
  <c r="H19" i="31"/>
  <c r="H18" i="31"/>
  <c r="H61" i="31" s="1"/>
  <c r="P2" i="31" s="1"/>
  <c r="R60" i="31"/>
  <c r="R59" i="31"/>
  <c r="R58" i="31"/>
  <c r="R57" i="31"/>
  <c r="R56" i="31"/>
  <c r="R55" i="31"/>
  <c r="R54" i="31"/>
  <c r="R53" i="31"/>
  <c r="R52" i="31"/>
  <c r="R51" i="31"/>
  <c r="R50" i="31"/>
  <c r="R49" i="31"/>
  <c r="R48" i="31"/>
  <c r="R47" i="31"/>
  <c r="R46" i="31"/>
  <c r="R45" i="31"/>
  <c r="R44" i="31"/>
  <c r="R43" i="31"/>
  <c r="R42" i="31"/>
  <c r="R41" i="31"/>
  <c r="R40" i="31"/>
  <c r="R39" i="31"/>
  <c r="R38" i="31"/>
  <c r="R37" i="31"/>
  <c r="R36" i="31"/>
  <c r="R35" i="31"/>
  <c r="R34" i="31"/>
  <c r="R33" i="31"/>
  <c r="R32" i="31"/>
  <c r="R31" i="31"/>
  <c r="R30" i="31"/>
  <c r="R29" i="31"/>
  <c r="R28" i="31"/>
  <c r="R27" i="31"/>
  <c r="R26" i="31"/>
  <c r="R25" i="31"/>
  <c r="R24" i="31"/>
  <c r="R23" i="31"/>
  <c r="R22" i="31"/>
  <c r="R21" i="31"/>
  <c r="R20" i="31"/>
  <c r="R19" i="31"/>
  <c r="R18" i="31"/>
  <c r="R61" i="31" s="1"/>
  <c r="J61" i="31"/>
  <c r="L18" i="31"/>
  <c r="K61" i="31"/>
  <c r="V18" i="31"/>
  <c r="U18" i="31"/>
  <c r="T19" i="31"/>
  <c r="S19" i="31" s="1"/>
  <c r="V19" i="31"/>
  <c r="U19" i="31"/>
  <c r="T20" i="31"/>
  <c r="S20" i="31" s="1"/>
  <c r="V20" i="31"/>
  <c r="U20" i="31"/>
  <c r="T21" i="31"/>
  <c r="S21" i="31" s="1"/>
  <c r="V21" i="31"/>
  <c r="U21" i="31"/>
  <c r="T22" i="31"/>
  <c r="S22" i="31" s="1"/>
  <c r="V22" i="31"/>
  <c r="U22" i="31"/>
  <c r="T23" i="31"/>
  <c r="S23" i="31" s="1"/>
  <c r="V23" i="31"/>
  <c r="U23" i="31"/>
  <c r="T24" i="31"/>
  <c r="S24" i="31" s="1"/>
  <c r="V24" i="31"/>
  <c r="U24" i="31"/>
  <c r="T25" i="31"/>
  <c r="S25" i="31" s="1"/>
  <c r="V25" i="31"/>
  <c r="U25" i="31"/>
  <c r="T26" i="31"/>
  <c r="S26" i="31" s="1"/>
  <c r="V26" i="31"/>
  <c r="U26" i="31"/>
  <c r="T27" i="31"/>
  <c r="S27" i="31" s="1"/>
  <c r="V27" i="31"/>
  <c r="U27" i="31"/>
  <c r="T28" i="31"/>
  <c r="S28" i="31" s="1"/>
  <c r="V28" i="31"/>
  <c r="U28" i="31"/>
  <c r="T29" i="31"/>
  <c r="S29" i="31" s="1"/>
  <c r="V29" i="31"/>
  <c r="U29" i="31"/>
  <c r="T30" i="31"/>
  <c r="S30" i="31" s="1"/>
  <c r="V30" i="31"/>
  <c r="U30" i="31"/>
  <c r="T31" i="31"/>
  <c r="S31" i="31" s="1"/>
  <c r="V31" i="31"/>
  <c r="U31" i="31"/>
  <c r="T32" i="31"/>
  <c r="S32" i="31" s="1"/>
  <c r="V32" i="31"/>
  <c r="U32" i="31"/>
  <c r="T33" i="31"/>
  <c r="S33" i="31" s="1"/>
  <c r="V33" i="31"/>
  <c r="U33" i="31"/>
  <c r="T34" i="31"/>
  <c r="S34" i="31" s="1"/>
  <c r="V34" i="31"/>
  <c r="U34" i="31"/>
  <c r="T35" i="31"/>
  <c r="S35" i="31" s="1"/>
  <c r="V35" i="31"/>
  <c r="U35" i="31"/>
  <c r="T36" i="31"/>
  <c r="S36" i="31" s="1"/>
  <c r="V36" i="31"/>
  <c r="U36" i="31"/>
  <c r="T37" i="31"/>
  <c r="S37" i="31" s="1"/>
  <c r="V37" i="31"/>
  <c r="U37" i="31"/>
  <c r="T38" i="31"/>
  <c r="S38" i="31" s="1"/>
  <c r="V38" i="31"/>
  <c r="U38" i="31"/>
  <c r="T39" i="31"/>
  <c r="S39" i="31" s="1"/>
  <c r="V39" i="31"/>
  <c r="U39" i="31"/>
  <c r="T40" i="31"/>
  <c r="S40" i="31" s="1"/>
  <c r="V40" i="31"/>
  <c r="U40" i="31"/>
  <c r="T41" i="31"/>
  <c r="S41" i="31" s="1"/>
  <c r="V41" i="31"/>
  <c r="U41" i="31"/>
  <c r="T42" i="31"/>
  <c r="S42" i="31" s="1"/>
  <c r="V42" i="31"/>
  <c r="U42" i="31"/>
  <c r="T43" i="31"/>
  <c r="S43" i="31" s="1"/>
  <c r="V43" i="31"/>
  <c r="U43" i="31"/>
  <c r="T44" i="31"/>
  <c r="S44" i="31" s="1"/>
  <c r="V44" i="31"/>
  <c r="U44" i="31"/>
  <c r="T45" i="31"/>
  <c r="S45" i="31" s="1"/>
  <c r="V45" i="31"/>
  <c r="U45" i="31"/>
  <c r="T46" i="31"/>
  <c r="S46" i="31" s="1"/>
  <c r="V46" i="31"/>
  <c r="U46" i="31"/>
  <c r="T47" i="31"/>
  <c r="S47" i="31" s="1"/>
  <c r="V47" i="31"/>
  <c r="U47" i="31"/>
  <c r="T48" i="31"/>
  <c r="S48" i="31" s="1"/>
  <c r="V48" i="31"/>
  <c r="U48" i="31"/>
  <c r="T49" i="31"/>
  <c r="S49" i="31" s="1"/>
  <c r="V49" i="31"/>
  <c r="U49" i="31"/>
  <c r="T50" i="31"/>
  <c r="S50" i="31" s="1"/>
  <c r="V50" i="31"/>
  <c r="U50" i="31"/>
  <c r="T51" i="31"/>
  <c r="S51" i="31" s="1"/>
  <c r="V51" i="31"/>
  <c r="U51" i="31"/>
  <c r="T52" i="31"/>
  <c r="S52" i="31" s="1"/>
  <c r="V52" i="31"/>
  <c r="U52" i="31"/>
  <c r="T53" i="31"/>
  <c r="S53" i="31" s="1"/>
  <c r="V53" i="31"/>
  <c r="U53" i="31"/>
  <c r="T54" i="31"/>
  <c r="S54" i="31" s="1"/>
  <c r="V54" i="31"/>
  <c r="U54" i="31"/>
  <c r="T55" i="31"/>
  <c r="S55" i="31" s="1"/>
  <c r="V55" i="31"/>
  <c r="U55" i="31"/>
  <c r="T56" i="31"/>
  <c r="S56" i="31" s="1"/>
  <c r="V56" i="31"/>
  <c r="U56" i="31"/>
  <c r="T57" i="31"/>
  <c r="S57" i="31" s="1"/>
  <c r="V57" i="31"/>
  <c r="U57" i="31"/>
  <c r="T58" i="31"/>
  <c r="S58" i="31" s="1"/>
  <c r="V58" i="31"/>
  <c r="U58" i="31"/>
  <c r="T59" i="31"/>
  <c r="S59" i="31" s="1"/>
  <c r="V59" i="31"/>
  <c r="U59" i="31"/>
  <c r="T60" i="31"/>
  <c r="S60" i="31" s="1"/>
  <c r="V60" i="31"/>
  <c r="U60" i="31"/>
  <c r="G60" i="30"/>
  <c r="G59" i="30"/>
  <c r="G58" i="30"/>
  <c r="G57" i="30"/>
  <c r="G56" i="30"/>
  <c r="G55" i="30"/>
  <c r="G54" i="30"/>
  <c r="G53" i="30"/>
  <c r="G52" i="30"/>
  <c r="G51" i="30"/>
  <c r="G50" i="30"/>
  <c r="G49" i="30"/>
  <c r="G48" i="30"/>
  <c r="G47" i="30"/>
  <c r="G46" i="30"/>
  <c r="G45" i="30"/>
  <c r="G44" i="30"/>
  <c r="G43" i="30"/>
  <c r="G42" i="30"/>
  <c r="G41" i="30"/>
  <c r="G40" i="30"/>
  <c r="G39" i="30"/>
  <c r="G38" i="30"/>
  <c r="G37" i="30"/>
  <c r="G36" i="30"/>
  <c r="G35" i="30"/>
  <c r="G34" i="30"/>
  <c r="G33" i="30"/>
  <c r="G32" i="30"/>
  <c r="G31" i="30"/>
  <c r="G30" i="30"/>
  <c r="G29" i="30"/>
  <c r="G28" i="30"/>
  <c r="G27" i="30"/>
  <c r="G26" i="30"/>
  <c r="G25" i="30"/>
  <c r="G24" i="30"/>
  <c r="G23" i="30"/>
  <c r="G22" i="30"/>
  <c r="G21" i="30"/>
  <c r="G20" i="30"/>
  <c r="G19" i="30"/>
  <c r="G18" i="30"/>
  <c r="G61" i="30" s="1"/>
  <c r="H60" i="30"/>
  <c r="H59" i="30"/>
  <c r="H58" i="30"/>
  <c r="H57" i="30"/>
  <c r="H56" i="30"/>
  <c r="H55" i="30"/>
  <c r="H54" i="30"/>
  <c r="H53" i="30"/>
  <c r="H52" i="30"/>
  <c r="H51" i="30"/>
  <c r="H50" i="30"/>
  <c r="H49" i="30"/>
  <c r="H48" i="30"/>
  <c r="H47" i="30"/>
  <c r="H46" i="30"/>
  <c r="H45" i="30"/>
  <c r="H44" i="30"/>
  <c r="H43" i="30"/>
  <c r="H42" i="30"/>
  <c r="H41" i="30"/>
  <c r="H40" i="30"/>
  <c r="H39" i="30"/>
  <c r="H38" i="30"/>
  <c r="H37" i="30"/>
  <c r="H36" i="30"/>
  <c r="H35" i="30"/>
  <c r="H34" i="30"/>
  <c r="H33" i="30"/>
  <c r="H32" i="30"/>
  <c r="H31" i="30"/>
  <c r="H30" i="30"/>
  <c r="H29" i="30"/>
  <c r="H28" i="30"/>
  <c r="H27" i="30"/>
  <c r="H26" i="30"/>
  <c r="H25" i="30"/>
  <c r="H24" i="30"/>
  <c r="H23" i="30"/>
  <c r="H22" i="30"/>
  <c r="H21" i="30"/>
  <c r="H20" i="30"/>
  <c r="H19" i="30"/>
  <c r="H18" i="30"/>
  <c r="H61" i="30" s="1"/>
  <c r="P2" i="30" s="1"/>
  <c r="R60" i="30"/>
  <c r="R59" i="30"/>
  <c r="R58" i="30"/>
  <c r="R57" i="30"/>
  <c r="R56" i="30"/>
  <c r="R55" i="30"/>
  <c r="R54" i="30"/>
  <c r="R53" i="30"/>
  <c r="R52" i="30"/>
  <c r="R51" i="30"/>
  <c r="R50" i="30"/>
  <c r="R49" i="30"/>
  <c r="R48" i="30"/>
  <c r="R47" i="30"/>
  <c r="R46" i="30"/>
  <c r="R45" i="30"/>
  <c r="R44" i="30"/>
  <c r="R43" i="30"/>
  <c r="R42" i="30"/>
  <c r="R41" i="30"/>
  <c r="R40" i="30"/>
  <c r="R39" i="30"/>
  <c r="R38" i="30"/>
  <c r="R37" i="30"/>
  <c r="R36" i="30"/>
  <c r="R35" i="30"/>
  <c r="R34" i="30"/>
  <c r="R33" i="30"/>
  <c r="R32" i="30"/>
  <c r="R31" i="30"/>
  <c r="R30" i="30"/>
  <c r="R29" i="30"/>
  <c r="R28" i="30"/>
  <c r="R27" i="30"/>
  <c r="R26" i="30"/>
  <c r="R25" i="30"/>
  <c r="R24" i="30"/>
  <c r="R23" i="30"/>
  <c r="R22" i="30"/>
  <c r="R21" i="30"/>
  <c r="R20" i="30"/>
  <c r="R19" i="30"/>
  <c r="R18" i="30"/>
  <c r="R61" i="30" s="1"/>
  <c r="J61" i="30"/>
  <c r="L18" i="30"/>
  <c r="K61" i="30"/>
  <c r="V18" i="30"/>
  <c r="U18" i="30"/>
  <c r="T19" i="30"/>
  <c r="S19" i="30" s="1"/>
  <c r="V19" i="30"/>
  <c r="U19" i="30"/>
  <c r="T20" i="30"/>
  <c r="S20" i="30" s="1"/>
  <c r="V20" i="30"/>
  <c r="U20" i="30"/>
  <c r="T21" i="30"/>
  <c r="S21" i="30" s="1"/>
  <c r="V21" i="30"/>
  <c r="U21" i="30"/>
  <c r="T22" i="30"/>
  <c r="S22" i="30" s="1"/>
  <c r="V22" i="30"/>
  <c r="U22" i="30"/>
  <c r="T23" i="30"/>
  <c r="S23" i="30" s="1"/>
  <c r="V23" i="30"/>
  <c r="U23" i="30"/>
  <c r="T24" i="30"/>
  <c r="S24" i="30" s="1"/>
  <c r="V24" i="30"/>
  <c r="U24" i="30"/>
  <c r="T25" i="30"/>
  <c r="S25" i="30" s="1"/>
  <c r="V25" i="30"/>
  <c r="U25" i="30"/>
  <c r="T26" i="30"/>
  <c r="S26" i="30" s="1"/>
  <c r="V26" i="30"/>
  <c r="U26" i="30"/>
  <c r="T27" i="30"/>
  <c r="S27" i="30" s="1"/>
  <c r="V27" i="30"/>
  <c r="U27" i="30"/>
  <c r="T28" i="30"/>
  <c r="S28" i="30" s="1"/>
  <c r="V28" i="30"/>
  <c r="U28" i="30"/>
  <c r="T29" i="30"/>
  <c r="S29" i="30" s="1"/>
  <c r="V29" i="30"/>
  <c r="U29" i="30"/>
  <c r="T30" i="30"/>
  <c r="S30" i="30" s="1"/>
  <c r="V30" i="30"/>
  <c r="U30" i="30"/>
  <c r="T31" i="30"/>
  <c r="S31" i="30" s="1"/>
  <c r="V31" i="30"/>
  <c r="U31" i="30"/>
  <c r="T32" i="30"/>
  <c r="S32" i="30" s="1"/>
  <c r="V32" i="30"/>
  <c r="U32" i="30"/>
  <c r="T33" i="30"/>
  <c r="S33" i="30" s="1"/>
  <c r="V33" i="30"/>
  <c r="U33" i="30"/>
  <c r="T34" i="30"/>
  <c r="S34" i="30" s="1"/>
  <c r="V34" i="30"/>
  <c r="U34" i="30"/>
  <c r="T35" i="30"/>
  <c r="S35" i="30" s="1"/>
  <c r="V35" i="30"/>
  <c r="U35" i="30"/>
  <c r="T36" i="30"/>
  <c r="S36" i="30" s="1"/>
  <c r="V36" i="30"/>
  <c r="U36" i="30"/>
  <c r="T37" i="30"/>
  <c r="S37" i="30" s="1"/>
  <c r="V37" i="30"/>
  <c r="U37" i="30"/>
  <c r="T38" i="30"/>
  <c r="S38" i="30" s="1"/>
  <c r="V38" i="30"/>
  <c r="U38" i="30"/>
  <c r="T39" i="30"/>
  <c r="S39" i="30" s="1"/>
  <c r="V39" i="30"/>
  <c r="U39" i="30"/>
  <c r="T40" i="30"/>
  <c r="S40" i="30" s="1"/>
  <c r="V40" i="30"/>
  <c r="U40" i="30"/>
  <c r="T41" i="30"/>
  <c r="S41" i="30" s="1"/>
  <c r="V41" i="30"/>
  <c r="U41" i="30"/>
  <c r="T42" i="30"/>
  <c r="S42" i="30" s="1"/>
  <c r="V42" i="30"/>
  <c r="U42" i="30"/>
  <c r="T43" i="30"/>
  <c r="S43" i="30" s="1"/>
  <c r="V43" i="30"/>
  <c r="U43" i="30"/>
  <c r="T44" i="30"/>
  <c r="S44" i="30" s="1"/>
  <c r="V44" i="30"/>
  <c r="U44" i="30"/>
  <c r="T45" i="30"/>
  <c r="S45" i="30" s="1"/>
  <c r="V45" i="30"/>
  <c r="U45" i="30"/>
  <c r="T46" i="30"/>
  <c r="S46" i="30" s="1"/>
  <c r="V46" i="30"/>
  <c r="U46" i="30"/>
  <c r="T47" i="30"/>
  <c r="S47" i="30" s="1"/>
  <c r="V47" i="30"/>
  <c r="U47" i="30"/>
  <c r="T48" i="30"/>
  <c r="S48" i="30" s="1"/>
  <c r="V48" i="30"/>
  <c r="U48" i="30"/>
  <c r="T49" i="30"/>
  <c r="S49" i="30" s="1"/>
  <c r="V49" i="30"/>
  <c r="U49" i="30"/>
  <c r="T50" i="30"/>
  <c r="S50" i="30" s="1"/>
  <c r="V50" i="30"/>
  <c r="U50" i="30"/>
  <c r="T51" i="30"/>
  <c r="S51" i="30" s="1"/>
  <c r="V51" i="30"/>
  <c r="U51" i="30"/>
  <c r="T52" i="30"/>
  <c r="S52" i="30" s="1"/>
  <c r="V52" i="30"/>
  <c r="U52" i="30"/>
  <c r="T53" i="30"/>
  <c r="S53" i="30" s="1"/>
  <c r="V53" i="30"/>
  <c r="U53" i="30"/>
  <c r="T54" i="30"/>
  <c r="S54" i="30" s="1"/>
  <c r="V54" i="30"/>
  <c r="U54" i="30"/>
  <c r="T55" i="30"/>
  <c r="S55" i="30" s="1"/>
  <c r="V55" i="30"/>
  <c r="U55" i="30"/>
  <c r="T56" i="30"/>
  <c r="S56" i="30" s="1"/>
  <c r="V56" i="30"/>
  <c r="U56" i="30"/>
  <c r="T57" i="30"/>
  <c r="S57" i="30" s="1"/>
  <c r="V57" i="30"/>
  <c r="U57" i="30"/>
  <c r="T58" i="30"/>
  <c r="S58" i="30" s="1"/>
  <c r="V58" i="30"/>
  <c r="U58" i="30"/>
  <c r="T59" i="30"/>
  <c r="S59" i="30" s="1"/>
  <c r="V59" i="30"/>
  <c r="U59" i="30"/>
  <c r="T60" i="30"/>
  <c r="S60" i="30" s="1"/>
  <c r="V60" i="30"/>
  <c r="U60" i="30"/>
  <c r="G60" i="29"/>
  <c r="G59" i="29"/>
  <c r="G58" i="29"/>
  <c r="G57" i="29"/>
  <c r="G56" i="29"/>
  <c r="G55" i="29"/>
  <c r="G54" i="29"/>
  <c r="G53" i="29"/>
  <c r="G52" i="29"/>
  <c r="G51" i="29"/>
  <c r="G50" i="29"/>
  <c r="G49" i="29"/>
  <c r="G48" i="29"/>
  <c r="G47" i="29"/>
  <c r="G46" i="29"/>
  <c r="G45" i="29"/>
  <c r="G44" i="29"/>
  <c r="G43" i="29"/>
  <c r="G42" i="29"/>
  <c r="G41" i="29"/>
  <c r="G40" i="29"/>
  <c r="G39" i="29"/>
  <c r="G38" i="29"/>
  <c r="G37" i="29"/>
  <c r="G36" i="29"/>
  <c r="G35" i="29"/>
  <c r="G34" i="29"/>
  <c r="G33" i="29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61" i="29" s="1"/>
  <c r="H60" i="29"/>
  <c r="H59" i="29"/>
  <c r="H58" i="29"/>
  <c r="H57" i="29"/>
  <c r="H56" i="29"/>
  <c r="H55" i="29"/>
  <c r="H54" i="29"/>
  <c r="H53" i="29"/>
  <c r="H52" i="29"/>
  <c r="H51" i="29"/>
  <c r="H50" i="29"/>
  <c r="H49" i="29"/>
  <c r="H48" i="29"/>
  <c r="H47" i="29"/>
  <c r="H46" i="29"/>
  <c r="H45" i="29"/>
  <c r="H44" i="29"/>
  <c r="H43" i="29"/>
  <c r="H42" i="29"/>
  <c r="H41" i="29"/>
  <c r="H40" i="29"/>
  <c r="H39" i="29"/>
  <c r="H38" i="29"/>
  <c r="H37" i="29"/>
  <c r="H36" i="29"/>
  <c r="H35" i="29"/>
  <c r="H34" i="29"/>
  <c r="H33" i="29"/>
  <c r="H32" i="29"/>
  <c r="H31" i="29"/>
  <c r="H30" i="29"/>
  <c r="H29" i="29"/>
  <c r="H28" i="29"/>
  <c r="H27" i="29"/>
  <c r="H26" i="29"/>
  <c r="H25" i="29"/>
  <c r="H24" i="29"/>
  <c r="H23" i="29"/>
  <c r="H22" i="29"/>
  <c r="H21" i="29"/>
  <c r="H20" i="29"/>
  <c r="H19" i="29"/>
  <c r="H18" i="29"/>
  <c r="H61" i="29" s="1"/>
  <c r="P2" i="29" s="1"/>
  <c r="R60" i="29"/>
  <c r="R59" i="29"/>
  <c r="R58" i="29"/>
  <c r="R57" i="29"/>
  <c r="R56" i="29"/>
  <c r="R55" i="29"/>
  <c r="R54" i="29"/>
  <c r="R53" i="29"/>
  <c r="R52" i="29"/>
  <c r="R51" i="29"/>
  <c r="R50" i="29"/>
  <c r="R49" i="29"/>
  <c r="R48" i="29"/>
  <c r="R47" i="29"/>
  <c r="R46" i="29"/>
  <c r="R45" i="29"/>
  <c r="R44" i="29"/>
  <c r="R43" i="29"/>
  <c r="R42" i="29"/>
  <c r="R41" i="29"/>
  <c r="R40" i="29"/>
  <c r="R39" i="29"/>
  <c r="R38" i="29"/>
  <c r="R37" i="29"/>
  <c r="R36" i="29"/>
  <c r="R35" i="29"/>
  <c r="R34" i="29"/>
  <c r="R33" i="29"/>
  <c r="R32" i="29"/>
  <c r="R31" i="29"/>
  <c r="R30" i="29"/>
  <c r="R29" i="29"/>
  <c r="R28" i="29"/>
  <c r="R27" i="29"/>
  <c r="R26" i="29"/>
  <c r="R25" i="29"/>
  <c r="R24" i="29"/>
  <c r="R23" i="29"/>
  <c r="R22" i="29"/>
  <c r="R21" i="29"/>
  <c r="R20" i="29"/>
  <c r="R19" i="29"/>
  <c r="R18" i="29"/>
  <c r="R61" i="29" s="1"/>
  <c r="J61" i="29"/>
  <c r="L18" i="29"/>
  <c r="K61" i="29"/>
  <c r="V18" i="29"/>
  <c r="U18" i="29"/>
  <c r="T19" i="29"/>
  <c r="S19" i="29" s="1"/>
  <c r="V19" i="29"/>
  <c r="U19" i="29"/>
  <c r="T20" i="29"/>
  <c r="S20" i="29" s="1"/>
  <c r="V20" i="29"/>
  <c r="U20" i="29"/>
  <c r="T21" i="29"/>
  <c r="S21" i="29" s="1"/>
  <c r="V21" i="29"/>
  <c r="U21" i="29"/>
  <c r="T22" i="29"/>
  <c r="S22" i="29" s="1"/>
  <c r="V22" i="29"/>
  <c r="U22" i="29"/>
  <c r="T23" i="29"/>
  <c r="S23" i="29" s="1"/>
  <c r="V23" i="29"/>
  <c r="U23" i="29"/>
  <c r="T24" i="29"/>
  <c r="S24" i="29" s="1"/>
  <c r="V24" i="29"/>
  <c r="U24" i="29"/>
  <c r="T25" i="29"/>
  <c r="S25" i="29" s="1"/>
  <c r="V25" i="29"/>
  <c r="U25" i="29"/>
  <c r="T26" i="29"/>
  <c r="S26" i="29" s="1"/>
  <c r="V26" i="29"/>
  <c r="U26" i="29"/>
  <c r="T27" i="29"/>
  <c r="S27" i="29" s="1"/>
  <c r="V27" i="29"/>
  <c r="U27" i="29"/>
  <c r="T28" i="29"/>
  <c r="S28" i="29" s="1"/>
  <c r="V28" i="29"/>
  <c r="U28" i="29"/>
  <c r="T29" i="29"/>
  <c r="S29" i="29" s="1"/>
  <c r="V29" i="29"/>
  <c r="U29" i="29"/>
  <c r="T30" i="29"/>
  <c r="S30" i="29" s="1"/>
  <c r="V30" i="29"/>
  <c r="U30" i="29"/>
  <c r="T31" i="29"/>
  <c r="S31" i="29" s="1"/>
  <c r="V31" i="29"/>
  <c r="U31" i="29"/>
  <c r="T32" i="29"/>
  <c r="S32" i="29" s="1"/>
  <c r="V32" i="29"/>
  <c r="U32" i="29"/>
  <c r="T33" i="29"/>
  <c r="S33" i="29" s="1"/>
  <c r="V33" i="29"/>
  <c r="U33" i="29"/>
  <c r="T34" i="29"/>
  <c r="S34" i="29" s="1"/>
  <c r="V34" i="29"/>
  <c r="U34" i="29"/>
  <c r="T35" i="29"/>
  <c r="S35" i="29" s="1"/>
  <c r="V35" i="29"/>
  <c r="U35" i="29"/>
  <c r="T36" i="29"/>
  <c r="S36" i="29" s="1"/>
  <c r="V36" i="29"/>
  <c r="U36" i="29"/>
  <c r="T37" i="29"/>
  <c r="S37" i="29" s="1"/>
  <c r="V37" i="29"/>
  <c r="U37" i="29"/>
  <c r="T38" i="29"/>
  <c r="S38" i="29" s="1"/>
  <c r="V38" i="29"/>
  <c r="U38" i="29"/>
  <c r="T39" i="29"/>
  <c r="S39" i="29" s="1"/>
  <c r="V39" i="29"/>
  <c r="U39" i="29"/>
  <c r="T40" i="29"/>
  <c r="S40" i="29" s="1"/>
  <c r="V40" i="29"/>
  <c r="U40" i="29"/>
  <c r="T41" i="29"/>
  <c r="S41" i="29" s="1"/>
  <c r="V41" i="29"/>
  <c r="U41" i="29"/>
  <c r="T42" i="29"/>
  <c r="S42" i="29" s="1"/>
  <c r="V42" i="29"/>
  <c r="U42" i="29"/>
  <c r="T43" i="29"/>
  <c r="S43" i="29" s="1"/>
  <c r="V43" i="29"/>
  <c r="U43" i="29"/>
  <c r="T44" i="29"/>
  <c r="S44" i="29" s="1"/>
  <c r="V44" i="29"/>
  <c r="U44" i="29"/>
  <c r="T45" i="29"/>
  <c r="S45" i="29" s="1"/>
  <c r="V45" i="29"/>
  <c r="U45" i="29"/>
  <c r="T46" i="29"/>
  <c r="S46" i="29" s="1"/>
  <c r="V46" i="29"/>
  <c r="U46" i="29"/>
  <c r="T47" i="29"/>
  <c r="S47" i="29" s="1"/>
  <c r="V47" i="29"/>
  <c r="U47" i="29"/>
  <c r="T48" i="29"/>
  <c r="S48" i="29" s="1"/>
  <c r="V48" i="29"/>
  <c r="U48" i="29"/>
  <c r="T49" i="29"/>
  <c r="S49" i="29" s="1"/>
  <c r="V49" i="29"/>
  <c r="U49" i="29"/>
  <c r="T50" i="29"/>
  <c r="S50" i="29" s="1"/>
  <c r="V50" i="29"/>
  <c r="U50" i="29"/>
  <c r="T51" i="29"/>
  <c r="S51" i="29" s="1"/>
  <c r="V51" i="29"/>
  <c r="U51" i="29"/>
  <c r="T52" i="29"/>
  <c r="S52" i="29" s="1"/>
  <c r="V52" i="29"/>
  <c r="U52" i="29"/>
  <c r="T53" i="29"/>
  <c r="S53" i="29" s="1"/>
  <c r="V53" i="29"/>
  <c r="U53" i="29"/>
  <c r="T54" i="29"/>
  <c r="S54" i="29" s="1"/>
  <c r="V54" i="29"/>
  <c r="U54" i="29"/>
  <c r="T55" i="29"/>
  <c r="S55" i="29" s="1"/>
  <c r="V55" i="29"/>
  <c r="U55" i="29"/>
  <c r="T56" i="29"/>
  <c r="S56" i="29" s="1"/>
  <c r="V56" i="29"/>
  <c r="U56" i="29"/>
  <c r="T57" i="29"/>
  <c r="S57" i="29" s="1"/>
  <c r="V57" i="29"/>
  <c r="U57" i="29"/>
  <c r="T58" i="29"/>
  <c r="S58" i="29" s="1"/>
  <c r="V58" i="29"/>
  <c r="U58" i="29"/>
  <c r="T59" i="29"/>
  <c r="S59" i="29" s="1"/>
  <c r="V59" i="29"/>
  <c r="U59" i="29"/>
  <c r="T60" i="29"/>
  <c r="S60" i="29" s="1"/>
  <c r="V60" i="29"/>
  <c r="U60" i="29"/>
  <c r="G60" i="28"/>
  <c r="G59" i="28"/>
  <c r="G58" i="28"/>
  <c r="G57" i="28"/>
  <c r="G56" i="28"/>
  <c r="G55" i="28"/>
  <c r="G54" i="28"/>
  <c r="G53" i="28"/>
  <c r="G52" i="28"/>
  <c r="G51" i="28"/>
  <c r="G50" i="28"/>
  <c r="G49" i="28"/>
  <c r="G48" i="28"/>
  <c r="G47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G34" i="28"/>
  <c r="G33" i="28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61" i="28" s="1"/>
  <c r="H60" i="28"/>
  <c r="H59" i="28"/>
  <c r="H58" i="28"/>
  <c r="H57" i="28"/>
  <c r="H56" i="28"/>
  <c r="H55" i="28"/>
  <c r="H54" i="28"/>
  <c r="H53" i="28"/>
  <c r="H52" i="28"/>
  <c r="H51" i="28"/>
  <c r="H50" i="28"/>
  <c r="H49" i="28"/>
  <c r="H48" i="28"/>
  <c r="H47" i="28"/>
  <c r="H46" i="28"/>
  <c r="H45" i="28"/>
  <c r="H44" i="28"/>
  <c r="H43" i="28"/>
  <c r="H42" i="28"/>
  <c r="H41" i="28"/>
  <c r="H40" i="28"/>
  <c r="H39" i="28"/>
  <c r="H38" i="28"/>
  <c r="H37" i="28"/>
  <c r="H36" i="28"/>
  <c r="H35" i="28"/>
  <c r="H34" i="28"/>
  <c r="H33" i="28"/>
  <c r="H32" i="28"/>
  <c r="H31" i="28"/>
  <c r="H30" i="28"/>
  <c r="H29" i="28"/>
  <c r="H28" i="28"/>
  <c r="H27" i="28"/>
  <c r="H26" i="28"/>
  <c r="H25" i="28"/>
  <c r="H24" i="28"/>
  <c r="H23" i="28"/>
  <c r="H22" i="28"/>
  <c r="H21" i="28"/>
  <c r="H20" i="28"/>
  <c r="H19" i="28"/>
  <c r="H18" i="28"/>
  <c r="H61" i="28" s="1"/>
  <c r="P2" i="28" s="1"/>
  <c r="R60" i="28"/>
  <c r="R59" i="28"/>
  <c r="R58" i="28"/>
  <c r="R57" i="28"/>
  <c r="R56" i="28"/>
  <c r="R55" i="28"/>
  <c r="R54" i="28"/>
  <c r="R53" i="28"/>
  <c r="R52" i="28"/>
  <c r="R51" i="28"/>
  <c r="R50" i="28"/>
  <c r="R49" i="28"/>
  <c r="R48" i="28"/>
  <c r="R47" i="28"/>
  <c r="R46" i="28"/>
  <c r="R45" i="28"/>
  <c r="R44" i="28"/>
  <c r="R43" i="28"/>
  <c r="R42" i="28"/>
  <c r="R41" i="28"/>
  <c r="R40" i="28"/>
  <c r="R39" i="28"/>
  <c r="R38" i="28"/>
  <c r="R37" i="28"/>
  <c r="R36" i="28"/>
  <c r="R35" i="28"/>
  <c r="R34" i="28"/>
  <c r="R33" i="28"/>
  <c r="R32" i="28"/>
  <c r="R31" i="28"/>
  <c r="R30" i="28"/>
  <c r="R29" i="28"/>
  <c r="R28" i="28"/>
  <c r="R27" i="28"/>
  <c r="R26" i="28"/>
  <c r="R25" i="28"/>
  <c r="R24" i="28"/>
  <c r="R23" i="28"/>
  <c r="R22" i="28"/>
  <c r="R21" i="28"/>
  <c r="R20" i="28"/>
  <c r="R19" i="28"/>
  <c r="R18" i="28"/>
  <c r="R61" i="28" s="1"/>
  <c r="J61" i="28"/>
  <c r="L18" i="28"/>
  <c r="K61" i="28"/>
  <c r="V18" i="28"/>
  <c r="U18" i="28"/>
  <c r="T19" i="28"/>
  <c r="S19" i="28" s="1"/>
  <c r="V19" i="28"/>
  <c r="U19" i="28"/>
  <c r="T20" i="28"/>
  <c r="S20" i="28" s="1"/>
  <c r="V20" i="28"/>
  <c r="U20" i="28"/>
  <c r="T21" i="28"/>
  <c r="S21" i="28" s="1"/>
  <c r="V21" i="28"/>
  <c r="U21" i="28"/>
  <c r="T22" i="28"/>
  <c r="S22" i="28" s="1"/>
  <c r="V22" i="28"/>
  <c r="U22" i="28"/>
  <c r="T23" i="28"/>
  <c r="S23" i="28" s="1"/>
  <c r="V23" i="28"/>
  <c r="U23" i="28"/>
  <c r="T24" i="28"/>
  <c r="S24" i="28" s="1"/>
  <c r="V24" i="28"/>
  <c r="U24" i="28"/>
  <c r="T25" i="28"/>
  <c r="S25" i="28" s="1"/>
  <c r="V25" i="28"/>
  <c r="U25" i="28"/>
  <c r="T26" i="28"/>
  <c r="S26" i="28" s="1"/>
  <c r="V26" i="28"/>
  <c r="U26" i="28"/>
  <c r="T27" i="28"/>
  <c r="S27" i="28" s="1"/>
  <c r="V27" i="28"/>
  <c r="U27" i="28"/>
  <c r="T28" i="28"/>
  <c r="S28" i="28" s="1"/>
  <c r="V28" i="28"/>
  <c r="U28" i="28"/>
  <c r="T29" i="28"/>
  <c r="S29" i="28" s="1"/>
  <c r="V29" i="28"/>
  <c r="U29" i="28"/>
  <c r="T30" i="28"/>
  <c r="S30" i="28" s="1"/>
  <c r="V30" i="28"/>
  <c r="U30" i="28"/>
  <c r="T31" i="28"/>
  <c r="S31" i="28" s="1"/>
  <c r="V31" i="28"/>
  <c r="U31" i="28"/>
  <c r="T32" i="28"/>
  <c r="S32" i="28" s="1"/>
  <c r="V32" i="28"/>
  <c r="U32" i="28"/>
  <c r="T33" i="28"/>
  <c r="S33" i="28" s="1"/>
  <c r="V33" i="28"/>
  <c r="U33" i="28"/>
  <c r="T34" i="28"/>
  <c r="S34" i="28" s="1"/>
  <c r="V34" i="28"/>
  <c r="U34" i="28"/>
  <c r="T35" i="28"/>
  <c r="S35" i="28" s="1"/>
  <c r="V35" i="28"/>
  <c r="U35" i="28"/>
  <c r="T36" i="28"/>
  <c r="S36" i="28" s="1"/>
  <c r="V36" i="28"/>
  <c r="U36" i="28"/>
  <c r="T37" i="28"/>
  <c r="S37" i="28" s="1"/>
  <c r="V37" i="28"/>
  <c r="U37" i="28"/>
  <c r="T38" i="28"/>
  <c r="S38" i="28" s="1"/>
  <c r="V38" i="28"/>
  <c r="U38" i="28"/>
  <c r="T39" i="28"/>
  <c r="S39" i="28" s="1"/>
  <c r="V39" i="28"/>
  <c r="U39" i="28"/>
  <c r="T40" i="28"/>
  <c r="S40" i="28" s="1"/>
  <c r="V40" i="28"/>
  <c r="U40" i="28"/>
  <c r="T41" i="28"/>
  <c r="S41" i="28" s="1"/>
  <c r="V41" i="28"/>
  <c r="U41" i="28"/>
  <c r="T42" i="28"/>
  <c r="S42" i="28" s="1"/>
  <c r="V42" i="28"/>
  <c r="U42" i="28"/>
  <c r="T43" i="28"/>
  <c r="S43" i="28" s="1"/>
  <c r="V43" i="28"/>
  <c r="U43" i="28"/>
  <c r="T44" i="28"/>
  <c r="S44" i="28" s="1"/>
  <c r="V44" i="28"/>
  <c r="U44" i="28"/>
  <c r="T45" i="28"/>
  <c r="S45" i="28" s="1"/>
  <c r="V45" i="28"/>
  <c r="U45" i="28"/>
  <c r="T46" i="28"/>
  <c r="S46" i="28" s="1"/>
  <c r="V46" i="28"/>
  <c r="U46" i="28"/>
  <c r="T47" i="28"/>
  <c r="S47" i="28" s="1"/>
  <c r="V47" i="28"/>
  <c r="U47" i="28"/>
  <c r="T48" i="28"/>
  <c r="S48" i="28" s="1"/>
  <c r="V48" i="28"/>
  <c r="U48" i="28"/>
  <c r="T49" i="28"/>
  <c r="S49" i="28" s="1"/>
  <c r="V49" i="28"/>
  <c r="U49" i="28"/>
  <c r="T50" i="28"/>
  <c r="S50" i="28" s="1"/>
  <c r="V50" i="28"/>
  <c r="U50" i="28"/>
  <c r="T51" i="28"/>
  <c r="S51" i="28" s="1"/>
  <c r="V51" i="28"/>
  <c r="U51" i="28"/>
  <c r="T52" i="28"/>
  <c r="S52" i="28" s="1"/>
  <c r="V52" i="28"/>
  <c r="U52" i="28"/>
  <c r="T53" i="28"/>
  <c r="S53" i="28" s="1"/>
  <c r="V53" i="28"/>
  <c r="U53" i="28"/>
  <c r="T54" i="28"/>
  <c r="S54" i="28" s="1"/>
  <c r="V54" i="28"/>
  <c r="U54" i="28"/>
  <c r="T55" i="28"/>
  <c r="S55" i="28" s="1"/>
  <c r="V55" i="28"/>
  <c r="U55" i="28"/>
  <c r="T56" i="28"/>
  <c r="S56" i="28" s="1"/>
  <c r="V56" i="28"/>
  <c r="U56" i="28"/>
  <c r="T57" i="28"/>
  <c r="S57" i="28" s="1"/>
  <c r="V57" i="28"/>
  <c r="U57" i="28"/>
  <c r="T58" i="28"/>
  <c r="S58" i="28" s="1"/>
  <c r="V58" i="28"/>
  <c r="U58" i="28"/>
  <c r="T59" i="28"/>
  <c r="S59" i="28" s="1"/>
  <c r="V59" i="28"/>
  <c r="U59" i="28"/>
  <c r="T60" i="28"/>
  <c r="S60" i="28" s="1"/>
  <c r="V60" i="28"/>
  <c r="U60" i="28"/>
  <c r="G60" i="27"/>
  <c r="G59" i="27"/>
  <c r="G58" i="27"/>
  <c r="G57" i="27"/>
  <c r="G56" i="27"/>
  <c r="G55" i="27"/>
  <c r="G54" i="27"/>
  <c r="G53" i="27"/>
  <c r="G52" i="27"/>
  <c r="G51" i="27"/>
  <c r="G50" i="27"/>
  <c r="G49" i="27"/>
  <c r="G48" i="27"/>
  <c r="G47" i="27"/>
  <c r="G46" i="27"/>
  <c r="G45" i="27"/>
  <c r="G44" i="27"/>
  <c r="G43" i="27"/>
  <c r="G42" i="27"/>
  <c r="G41" i="27"/>
  <c r="G40" i="27"/>
  <c r="G39" i="27"/>
  <c r="G38" i="27"/>
  <c r="G37" i="27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61" i="27" s="1"/>
  <c r="H60" i="27"/>
  <c r="H59" i="27"/>
  <c r="H58" i="27"/>
  <c r="H57" i="27"/>
  <c r="H56" i="27"/>
  <c r="H55" i="27"/>
  <c r="H54" i="27"/>
  <c r="H53" i="27"/>
  <c r="H52" i="27"/>
  <c r="H51" i="27"/>
  <c r="H50" i="27"/>
  <c r="H49" i="27"/>
  <c r="H48" i="27"/>
  <c r="H47" i="27"/>
  <c r="H46" i="27"/>
  <c r="H45" i="27"/>
  <c r="H44" i="27"/>
  <c r="H43" i="27"/>
  <c r="H42" i="27"/>
  <c r="H41" i="27"/>
  <c r="H40" i="27"/>
  <c r="H39" i="27"/>
  <c r="H38" i="27"/>
  <c r="H37" i="27"/>
  <c r="H36" i="27"/>
  <c r="H35" i="27"/>
  <c r="H34" i="27"/>
  <c r="H33" i="27"/>
  <c r="H32" i="27"/>
  <c r="H31" i="27"/>
  <c r="H30" i="27"/>
  <c r="H29" i="27"/>
  <c r="H28" i="27"/>
  <c r="H27" i="27"/>
  <c r="H26" i="27"/>
  <c r="H25" i="27"/>
  <c r="H24" i="27"/>
  <c r="H23" i="27"/>
  <c r="H22" i="27"/>
  <c r="H21" i="27"/>
  <c r="H20" i="27"/>
  <c r="H19" i="27"/>
  <c r="H18" i="27"/>
  <c r="H61" i="27" s="1"/>
  <c r="P2" i="27" s="1"/>
  <c r="R60" i="27"/>
  <c r="R59" i="27"/>
  <c r="R58" i="27"/>
  <c r="R57" i="27"/>
  <c r="R56" i="27"/>
  <c r="R55" i="27"/>
  <c r="R54" i="27"/>
  <c r="R53" i="27"/>
  <c r="R52" i="27"/>
  <c r="R51" i="27"/>
  <c r="R50" i="27"/>
  <c r="R49" i="27"/>
  <c r="R48" i="27"/>
  <c r="R47" i="27"/>
  <c r="R46" i="27"/>
  <c r="R45" i="27"/>
  <c r="R44" i="27"/>
  <c r="R43" i="27"/>
  <c r="R42" i="27"/>
  <c r="R41" i="27"/>
  <c r="R40" i="27"/>
  <c r="R39" i="27"/>
  <c r="R38" i="27"/>
  <c r="R37" i="27"/>
  <c r="R36" i="27"/>
  <c r="R35" i="27"/>
  <c r="R34" i="27"/>
  <c r="R33" i="27"/>
  <c r="R32" i="27"/>
  <c r="R31" i="27"/>
  <c r="R30" i="27"/>
  <c r="R29" i="27"/>
  <c r="R28" i="27"/>
  <c r="R27" i="27"/>
  <c r="R26" i="27"/>
  <c r="R25" i="27"/>
  <c r="R24" i="27"/>
  <c r="R23" i="27"/>
  <c r="R22" i="27"/>
  <c r="R21" i="27"/>
  <c r="R20" i="27"/>
  <c r="R19" i="27"/>
  <c r="R18" i="27"/>
  <c r="R61" i="27" s="1"/>
  <c r="J61" i="27"/>
  <c r="L18" i="27"/>
  <c r="K61" i="27"/>
  <c r="V18" i="27"/>
  <c r="U18" i="27"/>
  <c r="T19" i="27"/>
  <c r="S19" i="27" s="1"/>
  <c r="V19" i="27"/>
  <c r="U19" i="27"/>
  <c r="T20" i="27"/>
  <c r="S20" i="27" s="1"/>
  <c r="V20" i="27"/>
  <c r="U20" i="27"/>
  <c r="T21" i="27"/>
  <c r="S21" i="27" s="1"/>
  <c r="V21" i="27"/>
  <c r="U21" i="27"/>
  <c r="T22" i="27"/>
  <c r="S22" i="27" s="1"/>
  <c r="V22" i="27"/>
  <c r="U22" i="27"/>
  <c r="T23" i="27"/>
  <c r="S23" i="27" s="1"/>
  <c r="V23" i="27"/>
  <c r="U23" i="27"/>
  <c r="T24" i="27"/>
  <c r="S24" i="27" s="1"/>
  <c r="V24" i="27"/>
  <c r="U24" i="27"/>
  <c r="T25" i="27"/>
  <c r="S25" i="27" s="1"/>
  <c r="V25" i="27"/>
  <c r="U25" i="27"/>
  <c r="T26" i="27"/>
  <c r="S26" i="27" s="1"/>
  <c r="V26" i="27"/>
  <c r="U26" i="27"/>
  <c r="T27" i="27"/>
  <c r="S27" i="27" s="1"/>
  <c r="V27" i="27"/>
  <c r="U27" i="27"/>
  <c r="T28" i="27"/>
  <c r="S28" i="27" s="1"/>
  <c r="V28" i="27"/>
  <c r="U28" i="27"/>
  <c r="T29" i="27"/>
  <c r="S29" i="27" s="1"/>
  <c r="V29" i="27"/>
  <c r="U29" i="27"/>
  <c r="T30" i="27"/>
  <c r="S30" i="27" s="1"/>
  <c r="V30" i="27"/>
  <c r="U30" i="27"/>
  <c r="T31" i="27"/>
  <c r="S31" i="27" s="1"/>
  <c r="V31" i="27"/>
  <c r="U31" i="27"/>
  <c r="T32" i="27"/>
  <c r="S32" i="27" s="1"/>
  <c r="V32" i="27"/>
  <c r="U32" i="27"/>
  <c r="T33" i="27"/>
  <c r="S33" i="27" s="1"/>
  <c r="V33" i="27"/>
  <c r="U33" i="27"/>
  <c r="T34" i="27"/>
  <c r="S34" i="27" s="1"/>
  <c r="V34" i="27"/>
  <c r="U34" i="27"/>
  <c r="T35" i="27"/>
  <c r="S35" i="27" s="1"/>
  <c r="V35" i="27"/>
  <c r="U35" i="27"/>
  <c r="T36" i="27"/>
  <c r="S36" i="27" s="1"/>
  <c r="V36" i="27"/>
  <c r="U36" i="27"/>
  <c r="T37" i="27"/>
  <c r="S37" i="27" s="1"/>
  <c r="V37" i="27"/>
  <c r="U37" i="27"/>
  <c r="T38" i="27"/>
  <c r="S38" i="27" s="1"/>
  <c r="V38" i="27"/>
  <c r="U38" i="27"/>
  <c r="T39" i="27"/>
  <c r="S39" i="27" s="1"/>
  <c r="V39" i="27"/>
  <c r="U39" i="27"/>
  <c r="T40" i="27"/>
  <c r="S40" i="27" s="1"/>
  <c r="V40" i="27"/>
  <c r="U40" i="27"/>
  <c r="T41" i="27"/>
  <c r="S41" i="27" s="1"/>
  <c r="V41" i="27"/>
  <c r="U41" i="27"/>
  <c r="T42" i="27"/>
  <c r="S42" i="27" s="1"/>
  <c r="V42" i="27"/>
  <c r="U42" i="27"/>
  <c r="T43" i="27"/>
  <c r="S43" i="27" s="1"/>
  <c r="V43" i="27"/>
  <c r="U43" i="27"/>
  <c r="T44" i="27"/>
  <c r="S44" i="27" s="1"/>
  <c r="V44" i="27"/>
  <c r="U44" i="27"/>
  <c r="T45" i="27"/>
  <c r="S45" i="27" s="1"/>
  <c r="V45" i="27"/>
  <c r="U45" i="27"/>
  <c r="T46" i="27"/>
  <c r="S46" i="27" s="1"/>
  <c r="V46" i="27"/>
  <c r="U46" i="27"/>
  <c r="T47" i="27"/>
  <c r="S47" i="27" s="1"/>
  <c r="V47" i="27"/>
  <c r="U47" i="27"/>
  <c r="T48" i="27"/>
  <c r="S48" i="27" s="1"/>
  <c r="V48" i="27"/>
  <c r="U48" i="27"/>
  <c r="T49" i="27"/>
  <c r="S49" i="27" s="1"/>
  <c r="V49" i="27"/>
  <c r="U49" i="27"/>
  <c r="T50" i="27"/>
  <c r="S50" i="27" s="1"/>
  <c r="V50" i="27"/>
  <c r="U50" i="27"/>
  <c r="T51" i="27"/>
  <c r="S51" i="27" s="1"/>
  <c r="V51" i="27"/>
  <c r="U51" i="27"/>
  <c r="T52" i="27"/>
  <c r="S52" i="27" s="1"/>
  <c r="V52" i="27"/>
  <c r="U52" i="27"/>
  <c r="T53" i="27"/>
  <c r="S53" i="27" s="1"/>
  <c r="V53" i="27"/>
  <c r="U53" i="27"/>
  <c r="T54" i="27"/>
  <c r="S54" i="27" s="1"/>
  <c r="V54" i="27"/>
  <c r="U54" i="27"/>
  <c r="T55" i="27"/>
  <c r="S55" i="27" s="1"/>
  <c r="V55" i="27"/>
  <c r="U55" i="27"/>
  <c r="T56" i="27"/>
  <c r="S56" i="27" s="1"/>
  <c r="V56" i="27"/>
  <c r="U56" i="27"/>
  <c r="T57" i="27"/>
  <c r="S57" i="27" s="1"/>
  <c r="V57" i="27"/>
  <c r="U57" i="27"/>
  <c r="T58" i="27"/>
  <c r="S58" i="27" s="1"/>
  <c r="V58" i="27"/>
  <c r="U58" i="27"/>
  <c r="T59" i="27"/>
  <c r="S59" i="27" s="1"/>
  <c r="V59" i="27"/>
  <c r="U59" i="27"/>
  <c r="T60" i="27"/>
  <c r="S60" i="27" s="1"/>
  <c r="V60" i="27"/>
  <c r="U60" i="27"/>
  <c r="G60" i="26"/>
  <c r="G59" i="26"/>
  <c r="G58" i="26"/>
  <c r="G57" i="26"/>
  <c r="G56" i="26"/>
  <c r="G55" i="26"/>
  <c r="G54" i="26"/>
  <c r="G53" i="26"/>
  <c r="G52" i="26"/>
  <c r="G51" i="26"/>
  <c r="G50" i="26"/>
  <c r="G49" i="26"/>
  <c r="G48" i="26"/>
  <c r="G47" i="26"/>
  <c r="G46" i="26"/>
  <c r="G45" i="26"/>
  <c r="G44" i="26"/>
  <c r="G43" i="26"/>
  <c r="G42" i="26"/>
  <c r="G41" i="26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61" i="26" s="1"/>
  <c r="H60" i="26"/>
  <c r="H59" i="26"/>
  <c r="H58" i="26"/>
  <c r="H57" i="26"/>
  <c r="H56" i="26"/>
  <c r="H55" i="26"/>
  <c r="H54" i="26"/>
  <c r="H53" i="26"/>
  <c r="H52" i="26"/>
  <c r="H51" i="26"/>
  <c r="H50" i="26"/>
  <c r="H49" i="26"/>
  <c r="H48" i="26"/>
  <c r="H47" i="26"/>
  <c r="H46" i="26"/>
  <c r="H45" i="26"/>
  <c r="H44" i="26"/>
  <c r="H43" i="26"/>
  <c r="H42" i="26"/>
  <c r="H41" i="26"/>
  <c r="H40" i="26"/>
  <c r="H39" i="26"/>
  <c r="H38" i="26"/>
  <c r="H37" i="26"/>
  <c r="H36" i="26"/>
  <c r="H35" i="26"/>
  <c r="H34" i="26"/>
  <c r="H33" i="26"/>
  <c r="H32" i="26"/>
  <c r="H31" i="26"/>
  <c r="H30" i="26"/>
  <c r="H29" i="26"/>
  <c r="H28" i="26"/>
  <c r="H27" i="26"/>
  <c r="H26" i="26"/>
  <c r="H25" i="26"/>
  <c r="H24" i="26"/>
  <c r="H23" i="26"/>
  <c r="H22" i="26"/>
  <c r="H21" i="26"/>
  <c r="H20" i="26"/>
  <c r="H19" i="26"/>
  <c r="H18" i="26"/>
  <c r="H61" i="26" s="1"/>
  <c r="P2" i="26" s="1"/>
  <c r="R60" i="26"/>
  <c r="R59" i="26"/>
  <c r="R58" i="26"/>
  <c r="R57" i="26"/>
  <c r="R56" i="26"/>
  <c r="R55" i="26"/>
  <c r="R54" i="26"/>
  <c r="R53" i="26"/>
  <c r="R52" i="26"/>
  <c r="R51" i="26"/>
  <c r="R50" i="26"/>
  <c r="R49" i="26"/>
  <c r="R48" i="26"/>
  <c r="R47" i="26"/>
  <c r="R46" i="26"/>
  <c r="R45" i="26"/>
  <c r="R44" i="26"/>
  <c r="R43" i="26"/>
  <c r="R42" i="26"/>
  <c r="R41" i="26"/>
  <c r="R40" i="26"/>
  <c r="R39" i="26"/>
  <c r="R38" i="26"/>
  <c r="R37" i="26"/>
  <c r="R36" i="26"/>
  <c r="R35" i="26"/>
  <c r="R34" i="26"/>
  <c r="R33" i="26"/>
  <c r="R32" i="26"/>
  <c r="R31" i="26"/>
  <c r="R30" i="26"/>
  <c r="R29" i="26"/>
  <c r="R28" i="26"/>
  <c r="R27" i="26"/>
  <c r="R26" i="26"/>
  <c r="R25" i="26"/>
  <c r="R24" i="26"/>
  <c r="R23" i="26"/>
  <c r="R22" i="26"/>
  <c r="R21" i="26"/>
  <c r="R20" i="26"/>
  <c r="R19" i="26"/>
  <c r="R18" i="26"/>
  <c r="R61" i="26" s="1"/>
  <c r="J61" i="26"/>
  <c r="L18" i="26"/>
  <c r="K61" i="26"/>
  <c r="V18" i="26"/>
  <c r="U18" i="26"/>
  <c r="T19" i="26"/>
  <c r="S19" i="26" s="1"/>
  <c r="V19" i="26"/>
  <c r="U19" i="26"/>
  <c r="T20" i="26"/>
  <c r="S20" i="26" s="1"/>
  <c r="V20" i="26"/>
  <c r="U20" i="26"/>
  <c r="T21" i="26"/>
  <c r="S21" i="26" s="1"/>
  <c r="V21" i="26"/>
  <c r="U21" i="26"/>
  <c r="T22" i="26"/>
  <c r="S22" i="26" s="1"/>
  <c r="V22" i="26"/>
  <c r="U22" i="26"/>
  <c r="T23" i="26"/>
  <c r="S23" i="26" s="1"/>
  <c r="V23" i="26"/>
  <c r="U23" i="26"/>
  <c r="T24" i="26"/>
  <c r="S24" i="26" s="1"/>
  <c r="V24" i="26"/>
  <c r="U24" i="26"/>
  <c r="T25" i="26"/>
  <c r="S25" i="26" s="1"/>
  <c r="V25" i="26"/>
  <c r="U25" i="26"/>
  <c r="T26" i="26"/>
  <c r="S26" i="26" s="1"/>
  <c r="V26" i="26"/>
  <c r="U26" i="26"/>
  <c r="T27" i="26"/>
  <c r="S27" i="26" s="1"/>
  <c r="V27" i="26"/>
  <c r="U27" i="26"/>
  <c r="T28" i="26"/>
  <c r="S28" i="26" s="1"/>
  <c r="V28" i="26"/>
  <c r="U28" i="26"/>
  <c r="T29" i="26"/>
  <c r="S29" i="26" s="1"/>
  <c r="V29" i="26"/>
  <c r="U29" i="26"/>
  <c r="T30" i="26"/>
  <c r="S30" i="26" s="1"/>
  <c r="V30" i="26"/>
  <c r="U30" i="26"/>
  <c r="T31" i="26"/>
  <c r="S31" i="26" s="1"/>
  <c r="V31" i="26"/>
  <c r="U31" i="26"/>
  <c r="T32" i="26"/>
  <c r="S32" i="26" s="1"/>
  <c r="V32" i="26"/>
  <c r="U32" i="26"/>
  <c r="T33" i="26"/>
  <c r="S33" i="26" s="1"/>
  <c r="V33" i="26"/>
  <c r="U33" i="26"/>
  <c r="T34" i="26"/>
  <c r="S34" i="26" s="1"/>
  <c r="V34" i="26"/>
  <c r="U34" i="26"/>
  <c r="T35" i="26"/>
  <c r="S35" i="26" s="1"/>
  <c r="V35" i="26"/>
  <c r="U35" i="26"/>
  <c r="T36" i="26"/>
  <c r="S36" i="26" s="1"/>
  <c r="V36" i="26"/>
  <c r="U36" i="26"/>
  <c r="T37" i="26"/>
  <c r="S37" i="26" s="1"/>
  <c r="V37" i="26"/>
  <c r="U37" i="26"/>
  <c r="T38" i="26"/>
  <c r="S38" i="26" s="1"/>
  <c r="V38" i="26"/>
  <c r="U38" i="26"/>
  <c r="T39" i="26"/>
  <c r="S39" i="26" s="1"/>
  <c r="V39" i="26"/>
  <c r="U39" i="26"/>
  <c r="T40" i="26"/>
  <c r="S40" i="26" s="1"/>
  <c r="V40" i="26"/>
  <c r="U40" i="26"/>
  <c r="T41" i="26"/>
  <c r="S41" i="26" s="1"/>
  <c r="V41" i="26"/>
  <c r="U41" i="26"/>
  <c r="T42" i="26"/>
  <c r="S42" i="26" s="1"/>
  <c r="V42" i="26"/>
  <c r="U42" i="26"/>
  <c r="T43" i="26"/>
  <c r="S43" i="26" s="1"/>
  <c r="V43" i="26"/>
  <c r="U43" i="26"/>
  <c r="T44" i="26"/>
  <c r="S44" i="26" s="1"/>
  <c r="V44" i="26"/>
  <c r="U44" i="26"/>
  <c r="T45" i="26"/>
  <c r="S45" i="26" s="1"/>
  <c r="V45" i="26"/>
  <c r="U45" i="26"/>
  <c r="T46" i="26"/>
  <c r="S46" i="26" s="1"/>
  <c r="V46" i="26"/>
  <c r="U46" i="26"/>
  <c r="T47" i="26"/>
  <c r="S47" i="26" s="1"/>
  <c r="V47" i="26"/>
  <c r="U47" i="26"/>
  <c r="T48" i="26"/>
  <c r="S48" i="26" s="1"/>
  <c r="V48" i="26"/>
  <c r="U48" i="26"/>
  <c r="T49" i="26"/>
  <c r="S49" i="26" s="1"/>
  <c r="V49" i="26"/>
  <c r="U49" i="26"/>
  <c r="T50" i="26"/>
  <c r="S50" i="26" s="1"/>
  <c r="V50" i="26"/>
  <c r="U50" i="26"/>
  <c r="T51" i="26"/>
  <c r="S51" i="26" s="1"/>
  <c r="V51" i="26"/>
  <c r="U51" i="26"/>
  <c r="T52" i="26"/>
  <c r="S52" i="26" s="1"/>
  <c r="V52" i="26"/>
  <c r="U52" i="26"/>
  <c r="T53" i="26"/>
  <c r="S53" i="26" s="1"/>
  <c r="V53" i="26"/>
  <c r="U53" i="26"/>
  <c r="T54" i="26"/>
  <c r="S54" i="26" s="1"/>
  <c r="V54" i="26"/>
  <c r="U54" i="26"/>
  <c r="T55" i="26"/>
  <c r="S55" i="26" s="1"/>
  <c r="V55" i="26"/>
  <c r="U55" i="26"/>
  <c r="T56" i="26"/>
  <c r="S56" i="26" s="1"/>
  <c r="V56" i="26"/>
  <c r="U56" i="26"/>
  <c r="T57" i="26"/>
  <c r="S57" i="26" s="1"/>
  <c r="V57" i="26"/>
  <c r="U57" i="26"/>
  <c r="T58" i="26"/>
  <c r="S58" i="26" s="1"/>
  <c r="V58" i="26"/>
  <c r="U58" i="26"/>
  <c r="T59" i="26"/>
  <c r="S59" i="26" s="1"/>
  <c r="V59" i="26"/>
  <c r="U59" i="26"/>
  <c r="T60" i="26"/>
  <c r="S60" i="26" s="1"/>
  <c r="V60" i="26"/>
  <c r="U60" i="26"/>
  <c r="G60" i="25"/>
  <c r="G59" i="25"/>
  <c r="G58" i="25"/>
  <c r="G57" i="25"/>
  <c r="G56" i="25"/>
  <c r="G55" i="25"/>
  <c r="G54" i="25"/>
  <c r="G53" i="25"/>
  <c r="G52" i="25"/>
  <c r="G51" i="25"/>
  <c r="G50" i="25"/>
  <c r="G49" i="25"/>
  <c r="G48" i="25"/>
  <c r="G47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61" i="25" s="1"/>
  <c r="H60" i="25"/>
  <c r="H59" i="25"/>
  <c r="H58" i="25"/>
  <c r="H57" i="25"/>
  <c r="H56" i="25"/>
  <c r="H55" i="25"/>
  <c r="H54" i="25"/>
  <c r="H53" i="25"/>
  <c r="H52" i="25"/>
  <c r="H51" i="25"/>
  <c r="H50" i="25"/>
  <c r="H49" i="25"/>
  <c r="H48" i="25"/>
  <c r="H47" i="25"/>
  <c r="H46" i="25"/>
  <c r="H45" i="25"/>
  <c r="H44" i="25"/>
  <c r="H43" i="25"/>
  <c r="H42" i="25"/>
  <c r="H41" i="25"/>
  <c r="H40" i="25"/>
  <c r="H39" i="25"/>
  <c r="H38" i="25"/>
  <c r="H37" i="25"/>
  <c r="H36" i="25"/>
  <c r="H35" i="25"/>
  <c r="H34" i="25"/>
  <c r="H33" i="25"/>
  <c r="H32" i="25"/>
  <c r="H31" i="25"/>
  <c r="H30" i="25"/>
  <c r="H29" i="25"/>
  <c r="H28" i="25"/>
  <c r="H27" i="25"/>
  <c r="H26" i="25"/>
  <c r="H25" i="25"/>
  <c r="H24" i="25"/>
  <c r="H23" i="25"/>
  <c r="H22" i="25"/>
  <c r="H21" i="25"/>
  <c r="H20" i="25"/>
  <c r="H19" i="25"/>
  <c r="H18" i="25"/>
  <c r="H61" i="25" s="1"/>
  <c r="P2" i="25" s="1"/>
  <c r="R60" i="25"/>
  <c r="R59" i="25"/>
  <c r="R58" i="25"/>
  <c r="R57" i="25"/>
  <c r="R56" i="25"/>
  <c r="R55" i="25"/>
  <c r="R54" i="25"/>
  <c r="R53" i="25"/>
  <c r="R52" i="25"/>
  <c r="R51" i="25"/>
  <c r="R50" i="25"/>
  <c r="R49" i="25"/>
  <c r="R48" i="25"/>
  <c r="R47" i="25"/>
  <c r="R46" i="25"/>
  <c r="R45" i="25"/>
  <c r="R44" i="25"/>
  <c r="R43" i="25"/>
  <c r="R42" i="25"/>
  <c r="R41" i="25"/>
  <c r="R40" i="25"/>
  <c r="R39" i="25"/>
  <c r="R38" i="25"/>
  <c r="R37" i="25"/>
  <c r="R36" i="25"/>
  <c r="R35" i="25"/>
  <c r="R34" i="25"/>
  <c r="R33" i="25"/>
  <c r="R32" i="25"/>
  <c r="R31" i="25"/>
  <c r="R30" i="25"/>
  <c r="R29" i="25"/>
  <c r="R28" i="25"/>
  <c r="R27" i="25"/>
  <c r="R26" i="25"/>
  <c r="R25" i="25"/>
  <c r="R24" i="25"/>
  <c r="R23" i="25"/>
  <c r="R22" i="25"/>
  <c r="R21" i="25"/>
  <c r="R20" i="25"/>
  <c r="R19" i="25"/>
  <c r="R18" i="25"/>
  <c r="R61" i="25" s="1"/>
  <c r="J61" i="25"/>
  <c r="L18" i="25"/>
  <c r="K61" i="25"/>
  <c r="V18" i="25"/>
  <c r="U18" i="25"/>
  <c r="T19" i="25"/>
  <c r="S19" i="25" s="1"/>
  <c r="V19" i="25"/>
  <c r="U19" i="25"/>
  <c r="T20" i="25"/>
  <c r="S20" i="25" s="1"/>
  <c r="V20" i="25"/>
  <c r="U20" i="25"/>
  <c r="T21" i="25"/>
  <c r="S21" i="25" s="1"/>
  <c r="V21" i="25"/>
  <c r="U21" i="25"/>
  <c r="T22" i="25"/>
  <c r="S22" i="25" s="1"/>
  <c r="V22" i="25"/>
  <c r="U22" i="25"/>
  <c r="T23" i="25"/>
  <c r="S23" i="25" s="1"/>
  <c r="V23" i="25"/>
  <c r="U23" i="25"/>
  <c r="T24" i="25"/>
  <c r="S24" i="25" s="1"/>
  <c r="V24" i="25"/>
  <c r="U24" i="25"/>
  <c r="T25" i="25"/>
  <c r="S25" i="25" s="1"/>
  <c r="V25" i="25"/>
  <c r="U25" i="25"/>
  <c r="T26" i="25"/>
  <c r="S26" i="25" s="1"/>
  <c r="V26" i="25"/>
  <c r="U26" i="25"/>
  <c r="T27" i="25"/>
  <c r="S27" i="25" s="1"/>
  <c r="V27" i="25"/>
  <c r="U27" i="25"/>
  <c r="T28" i="25"/>
  <c r="S28" i="25" s="1"/>
  <c r="V28" i="25"/>
  <c r="U28" i="25"/>
  <c r="T29" i="25"/>
  <c r="S29" i="25" s="1"/>
  <c r="V29" i="25"/>
  <c r="U29" i="25"/>
  <c r="T30" i="25"/>
  <c r="S30" i="25" s="1"/>
  <c r="V30" i="25"/>
  <c r="U30" i="25"/>
  <c r="T31" i="25"/>
  <c r="S31" i="25" s="1"/>
  <c r="V31" i="25"/>
  <c r="U31" i="25"/>
  <c r="T32" i="25"/>
  <c r="S32" i="25" s="1"/>
  <c r="V32" i="25"/>
  <c r="U32" i="25"/>
  <c r="T33" i="25"/>
  <c r="S33" i="25" s="1"/>
  <c r="V33" i="25"/>
  <c r="U33" i="25"/>
  <c r="T34" i="25"/>
  <c r="S34" i="25" s="1"/>
  <c r="V34" i="25"/>
  <c r="U34" i="25"/>
  <c r="T35" i="25"/>
  <c r="S35" i="25" s="1"/>
  <c r="V35" i="25"/>
  <c r="U35" i="25"/>
  <c r="T36" i="25"/>
  <c r="S36" i="25" s="1"/>
  <c r="V36" i="25"/>
  <c r="U36" i="25"/>
  <c r="T37" i="25"/>
  <c r="S37" i="25" s="1"/>
  <c r="V37" i="25"/>
  <c r="U37" i="25"/>
  <c r="T38" i="25"/>
  <c r="S38" i="25" s="1"/>
  <c r="V38" i="25"/>
  <c r="U38" i="25"/>
  <c r="T39" i="25"/>
  <c r="S39" i="25" s="1"/>
  <c r="V39" i="25"/>
  <c r="U39" i="25"/>
  <c r="T40" i="25"/>
  <c r="S40" i="25" s="1"/>
  <c r="V40" i="25"/>
  <c r="U40" i="25"/>
  <c r="T41" i="25"/>
  <c r="S41" i="25" s="1"/>
  <c r="V41" i="25"/>
  <c r="U41" i="25"/>
  <c r="T42" i="25"/>
  <c r="S42" i="25" s="1"/>
  <c r="V42" i="25"/>
  <c r="U42" i="25"/>
  <c r="T43" i="25"/>
  <c r="S43" i="25" s="1"/>
  <c r="V43" i="25"/>
  <c r="U43" i="25"/>
  <c r="T44" i="25"/>
  <c r="S44" i="25" s="1"/>
  <c r="V44" i="25"/>
  <c r="U44" i="25"/>
  <c r="T45" i="25"/>
  <c r="S45" i="25" s="1"/>
  <c r="V45" i="25"/>
  <c r="U45" i="25"/>
  <c r="T46" i="25"/>
  <c r="S46" i="25" s="1"/>
  <c r="V46" i="25"/>
  <c r="U46" i="25"/>
  <c r="T47" i="25"/>
  <c r="S47" i="25" s="1"/>
  <c r="V47" i="25"/>
  <c r="U47" i="25"/>
  <c r="T48" i="25"/>
  <c r="S48" i="25" s="1"/>
  <c r="V48" i="25"/>
  <c r="U48" i="25"/>
  <c r="T49" i="25"/>
  <c r="S49" i="25" s="1"/>
  <c r="V49" i="25"/>
  <c r="U49" i="25"/>
  <c r="T50" i="25"/>
  <c r="S50" i="25" s="1"/>
  <c r="V50" i="25"/>
  <c r="U50" i="25"/>
  <c r="T51" i="25"/>
  <c r="S51" i="25" s="1"/>
  <c r="V51" i="25"/>
  <c r="U51" i="25"/>
  <c r="T52" i="25"/>
  <c r="S52" i="25" s="1"/>
  <c r="V52" i="25"/>
  <c r="U52" i="25"/>
  <c r="T53" i="25"/>
  <c r="S53" i="25" s="1"/>
  <c r="V53" i="25"/>
  <c r="U53" i="25"/>
  <c r="T54" i="25"/>
  <c r="S54" i="25" s="1"/>
  <c r="V54" i="25"/>
  <c r="U54" i="25"/>
  <c r="T55" i="25"/>
  <c r="S55" i="25" s="1"/>
  <c r="V55" i="25"/>
  <c r="U55" i="25"/>
  <c r="T56" i="25"/>
  <c r="S56" i="25" s="1"/>
  <c r="V56" i="25"/>
  <c r="U56" i="25"/>
  <c r="T57" i="25"/>
  <c r="S57" i="25" s="1"/>
  <c r="V57" i="25"/>
  <c r="U57" i="25"/>
  <c r="T58" i="25"/>
  <c r="S58" i="25" s="1"/>
  <c r="V58" i="25"/>
  <c r="U58" i="25"/>
  <c r="T59" i="25"/>
  <c r="S59" i="25" s="1"/>
  <c r="V59" i="25"/>
  <c r="U59" i="25"/>
  <c r="T60" i="25"/>
  <c r="S60" i="25" s="1"/>
  <c r="V60" i="25"/>
  <c r="U60" i="25"/>
  <c r="G60" i="24"/>
  <c r="G59" i="24"/>
  <c r="G58" i="24"/>
  <c r="G57" i="24"/>
  <c r="G56" i="24"/>
  <c r="G55" i="24"/>
  <c r="G54" i="24"/>
  <c r="G53" i="24"/>
  <c r="G52" i="24"/>
  <c r="G51" i="24"/>
  <c r="G50" i="24"/>
  <c r="G49" i="24"/>
  <c r="G48" i="24"/>
  <c r="G47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61" i="24" s="1"/>
  <c r="H60" i="24"/>
  <c r="H59" i="24"/>
  <c r="H58" i="24"/>
  <c r="H57" i="24"/>
  <c r="H56" i="24"/>
  <c r="H55" i="24"/>
  <c r="H54" i="24"/>
  <c r="H53" i="24"/>
  <c r="H52" i="24"/>
  <c r="H51" i="24"/>
  <c r="H50" i="24"/>
  <c r="H49" i="24"/>
  <c r="H48" i="24"/>
  <c r="H47" i="24"/>
  <c r="H46" i="24"/>
  <c r="H45" i="24"/>
  <c r="H44" i="24"/>
  <c r="H43" i="24"/>
  <c r="H42" i="24"/>
  <c r="H41" i="24"/>
  <c r="H40" i="24"/>
  <c r="H39" i="24"/>
  <c r="H38" i="24"/>
  <c r="H37" i="24"/>
  <c r="H36" i="24"/>
  <c r="H35" i="24"/>
  <c r="H34" i="24"/>
  <c r="H33" i="24"/>
  <c r="H32" i="24"/>
  <c r="H31" i="24"/>
  <c r="H30" i="24"/>
  <c r="H29" i="24"/>
  <c r="H28" i="24"/>
  <c r="H27" i="24"/>
  <c r="H26" i="24"/>
  <c r="H25" i="24"/>
  <c r="H24" i="24"/>
  <c r="H23" i="24"/>
  <c r="H22" i="24"/>
  <c r="H21" i="24"/>
  <c r="H20" i="24"/>
  <c r="H19" i="24"/>
  <c r="H18" i="24"/>
  <c r="H61" i="24" s="1"/>
  <c r="P2" i="24" s="1"/>
  <c r="R60" i="24"/>
  <c r="R59" i="24"/>
  <c r="R58" i="24"/>
  <c r="R57" i="24"/>
  <c r="R56" i="24"/>
  <c r="R55" i="24"/>
  <c r="R54" i="24"/>
  <c r="R53" i="24"/>
  <c r="R52" i="24"/>
  <c r="R51" i="24"/>
  <c r="R50" i="24"/>
  <c r="R49" i="24"/>
  <c r="R48" i="24"/>
  <c r="R47" i="24"/>
  <c r="R46" i="24"/>
  <c r="R45" i="24"/>
  <c r="R44" i="24"/>
  <c r="R43" i="24"/>
  <c r="R42" i="24"/>
  <c r="R41" i="24"/>
  <c r="R40" i="24"/>
  <c r="R39" i="24"/>
  <c r="R38" i="24"/>
  <c r="R37" i="24"/>
  <c r="R36" i="24"/>
  <c r="R35" i="24"/>
  <c r="R34" i="24"/>
  <c r="R33" i="24"/>
  <c r="R32" i="24"/>
  <c r="R31" i="24"/>
  <c r="R30" i="24"/>
  <c r="R29" i="24"/>
  <c r="R28" i="24"/>
  <c r="R27" i="24"/>
  <c r="R26" i="24"/>
  <c r="R25" i="24"/>
  <c r="R24" i="24"/>
  <c r="R23" i="24"/>
  <c r="R22" i="24"/>
  <c r="R21" i="24"/>
  <c r="R20" i="24"/>
  <c r="R19" i="24"/>
  <c r="R18" i="24"/>
  <c r="R61" i="24" s="1"/>
  <c r="J61" i="24"/>
  <c r="L18" i="24"/>
  <c r="K61" i="24"/>
  <c r="V18" i="24"/>
  <c r="U18" i="24"/>
  <c r="T19" i="24"/>
  <c r="S19" i="24" s="1"/>
  <c r="V19" i="24"/>
  <c r="U19" i="24"/>
  <c r="T20" i="24"/>
  <c r="S20" i="24" s="1"/>
  <c r="V20" i="24"/>
  <c r="U20" i="24"/>
  <c r="T21" i="24"/>
  <c r="S21" i="24" s="1"/>
  <c r="V21" i="24"/>
  <c r="U21" i="24"/>
  <c r="T22" i="24"/>
  <c r="S22" i="24" s="1"/>
  <c r="V22" i="24"/>
  <c r="U22" i="24"/>
  <c r="T23" i="24"/>
  <c r="S23" i="24" s="1"/>
  <c r="V23" i="24"/>
  <c r="U23" i="24"/>
  <c r="T24" i="24"/>
  <c r="S24" i="24" s="1"/>
  <c r="V24" i="24"/>
  <c r="U24" i="24"/>
  <c r="T25" i="24"/>
  <c r="S25" i="24" s="1"/>
  <c r="V25" i="24"/>
  <c r="U25" i="24"/>
  <c r="T26" i="24"/>
  <c r="S26" i="24" s="1"/>
  <c r="V26" i="24"/>
  <c r="U26" i="24"/>
  <c r="T27" i="24"/>
  <c r="S27" i="24" s="1"/>
  <c r="V27" i="24"/>
  <c r="U27" i="24"/>
  <c r="T28" i="24"/>
  <c r="S28" i="24" s="1"/>
  <c r="V28" i="24"/>
  <c r="U28" i="24"/>
  <c r="T29" i="24"/>
  <c r="S29" i="24" s="1"/>
  <c r="V29" i="24"/>
  <c r="U29" i="24"/>
  <c r="T30" i="24"/>
  <c r="S30" i="24" s="1"/>
  <c r="V30" i="24"/>
  <c r="U30" i="24"/>
  <c r="T31" i="24"/>
  <c r="S31" i="24" s="1"/>
  <c r="V31" i="24"/>
  <c r="U31" i="24"/>
  <c r="T32" i="24"/>
  <c r="S32" i="24" s="1"/>
  <c r="V32" i="24"/>
  <c r="U32" i="24"/>
  <c r="T33" i="24"/>
  <c r="S33" i="24" s="1"/>
  <c r="V33" i="24"/>
  <c r="U33" i="24"/>
  <c r="T34" i="24"/>
  <c r="S34" i="24" s="1"/>
  <c r="V34" i="24"/>
  <c r="U34" i="24"/>
  <c r="T35" i="24"/>
  <c r="S35" i="24" s="1"/>
  <c r="V35" i="24"/>
  <c r="U35" i="24"/>
  <c r="T36" i="24"/>
  <c r="S36" i="24" s="1"/>
  <c r="V36" i="24"/>
  <c r="U36" i="24"/>
  <c r="T37" i="24"/>
  <c r="S37" i="24" s="1"/>
  <c r="V37" i="24"/>
  <c r="U37" i="24"/>
  <c r="T38" i="24"/>
  <c r="S38" i="24" s="1"/>
  <c r="V38" i="24"/>
  <c r="U38" i="24"/>
  <c r="T39" i="24"/>
  <c r="S39" i="24" s="1"/>
  <c r="V39" i="24"/>
  <c r="U39" i="24"/>
  <c r="T40" i="24"/>
  <c r="S40" i="24" s="1"/>
  <c r="V40" i="24"/>
  <c r="U40" i="24"/>
  <c r="T41" i="24"/>
  <c r="S41" i="24" s="1"/>
  <c r="V41" i="24"/>
  <c r="U41" i="24"/>
  <c r="T42" i="24"/>
  <c r="S42" i="24" s="1"/>
  <c r="V42" i="24"/>
  <c r="U42" i="24"/>
  <c r="T43" i="24"/>
  <c r="S43" i="24" s="1"/>
  <c r="V43" i="24"/>
  <c r="U43" i="24"/>
  <c r="T44" i="24"/>
  <c r="S44" i="24" s="1"/>
  <c r="V44" i="24"/>
  <c r="U44" i="24"/>
  <c r="T45" i="24"/>
  <c r="S45" i="24" s="1"/>
  <c r="V45" i="24"/>
  <c r="U45" i="24"/>
  <c r="T46" i="24"/>
  <c r="S46" i="24" s="1"/>
  <c r="V46" i="24"/>
  <c r="U46" i="24"/>
  <c r="T47" i="24"/>
  <c r="S47" i="24" s="1"/>
  <c r="V47" i="24"/>
  <c r="U47" i="24"/>
  <c r="T48" i="24"/>
  <c r="S48" i="24" s="1"/>
  <c r="V48" i="24"/>
  <c r="U48" i="24"/>
  <c r="T49" i="24"/>
  <c r="S49" i="24" s="1"/>
  <c r="V49" i="24"/>
  <c r="U49" i="24"/>
  <c r="T50" i="24"/>
  <c r="S50" i="24" s="1"/>
  <c r="V50" i="24"/>
  <c r="U50" i="24"/>
  <c r="T51" i="24"/>
  <c r="S51" i="24" s="1"/>
  <c r="V51" i="24"/>
  <c r="U51" i="24"/>
  <c r="T52" i="24"/>
  <c r="S52" i="24" s="1"/>
  <c r="V52" i="24"/>
  <c r="U52" i="24"/>
  <c r="T53" i="24"/>
  <c r="S53" i="24" s="1"/>
  <c r="V53" i="24"/>
  <c r="U53" i="24"/>
  <c r="T54" i="24"/>
  <c r="S54" i="24" s="1"/>
  <c r="V54" i="24"/>
  <c r="U54" i="24"/>
  <c r="T55" i="24"/>
  <c r="S55" i="24" s="1"/>
  <c r="V55" i="24"/>
  <c r="U55" i="24"/>
  <c r="T56" i="24"/>
  <c r="S56" i="24" s="1"/>
  <c r="V56" i="24"/>
  <c r="U56" i="24"/>
  <c r="T57" i="24"/>
  <c r="S57" i="24" s="1"/>
  <c r="V57" i="24"/>
  <c r="U57" i="24"/>
  <c r="T58" i="24"/>
  <c r="S58" i="24" s="1"/>
  <c r="V58" i="24"/>
  <c r="U58" i="24"/>
  <c r="T59" i="24"/>
  <c r="S59" i="24" s="1"/>
  <c r="V59" i="24"/>
  <c r="U59" i="24"/>
  <c r="T60" i="24"/>
  <c r="S60" i="24" s="1"/>
  <c r="V60" i="24"/>
  <c r="U60" i="24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61" i="23" s="1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61" i="23" s="1"/>
  <c r="P2" i="23" s="1"/>
  <c r="R60" i="23"/>
  <c r="R59" i="23"/>
  <c r="R58" i="23"/>
  <c r="R57" i="23"/>
  <c r="R56" i="23"/>
  <c r="R55" i="23"/>
  <c r="R54" i="23"/>
  <c r="R53" i="23"/>
  <c r="R52" i="23"/>
  <c r="R51" i="23"/>
  <c r="R50" i="23"/>
  <c r="R49" i="23"/>
  <c r="R48" i="23"/>
  <c r="R47" i="23"/>
  <c r="R46" i="23"/>
  <c r="R45" i="23"/>
  <c r="R44" i="23"/>
  <c r="R43" i="23"/>
  <c r="R42" i="23"/>
  <c r="R41" i="23"/>
  <c r="R40" i="23"/>
  <c r="R39" i="23"/>
  <c r="R38" i="23"/>
  <c r="R37" i="23"/>
  <c r="R36" i="23"/>
  <c r="R35" i="23"/>
  <c r="R34" i="23"/>
  <c r="R33" i="23"/>
  <c r="R32" i="23"/>
  <c r="R31" i="23"/>
  <c r="R30" i="23"/>
  <c r="R29" i="23"/>
  <c r="R28" i="23"/>
  <c r="R27" i="23"/>
  <c r="R26" i="23"/>
  <c r="R25" i="23"/>
  <c r="R24" i="23"/>
  <c r="R23" i="23"/>
  <c r="R22" i="23"/>
  <c r="R21" i="23"/>
  <c r="R20" i="23"/>
  <c r="R19" i="23"/>
  <c r="R18" i="23"/>
  <c r="R61" i="23" s="1"/>
  <c r="J61" i="23"/>
  <c r="L18" i="23"/>
  <c r="K61" i="23"/>
  <c r="V18" i="23"/>
  <c r="U18" i="23"/>
  <c r="T19" i="23"/>
  <c r="S19" i="23" s="1"/>
  <c r="V19" i="23"/>
  <c r="U19" i="23"/>
  <c r="T20" i="23"/>
  <c r="S20" i="23" s="1"/>
  <c r="V20" i="23"/>
  <c r="U20" i="23"/>
  <c r="T21" i="23"/>
  <c r="S21" i="23" s="1"/>
  <c r="V21" i="23"/>
  <c r="U21" i="23"/>
  <c r="T22" i="23"/>
  <c r="S22" i="23" s="1"/>
  <c r="V22" i="23"/>
  <c r="U22" i="23"/>
  <c r="T23" i="23"/>
  <c r="S23" i="23" s="1"/>
  <c r="V23" i="23"/>
  <c r="U23" i="23"/>
  <c r="T24" i="23"/>
  <c r="S24" i="23" s="1"/>
  <c r="V24" i="23"/>
  <c r="U24" i="23"/>
  <c r="T25" i="23"/>
  <c r="S25" i="23" s="1"/>
  <c r="V25" i="23"/>
  <c r="U25" i="23"/>
  <c r="T26" i="23"/>
  <c r="S26" i="23" s="1"/>
  <c r="V26" i="23"/>
  <c r="U26" i="23"/>
  <c r="T27" i="23"/>
  <c r="S27" i="23" s="1"/>
  <c r="V27" i="23"/>
  <c r="U27" i="23"/>
  <c r="T28" i="23"/>
  <c r="S28" i="23" s="1"/>
  <c r="V28" i="23"/>
  <c r="U28" i="23"/>
  <c r="T29" i="23"/>
  <c r="S29" i="23" s="1"/>
  <c r="V29" i="23"/>
  <c r="U29" i="23"/>
  <c r="T30" i="23"/>
  <c r="S30" i="23" s="1"/>
  <c r="V30" i="23"/>
  <c r="U30" i="23"/>
  <c r="T31" i="23"/>
  <c r="S31" i="23" s="1"/>
  <c r="V31" i="23"/>
  <c r="U31" i="23"/>
  <c r="T32" i="23"/>
  <c r="S32" i="23" s="1"/>
  <c r="V32" i="23"/>
  <c r="U32" i="23"/>
  <c r="T33" i="23"/>
  <c r="S33" i="23" s="1"/>
  <c r="V33" i="23"/>
  <c r="U33" i="23"/>
  <c r="T34" i="23"/>
  <c r="S34" i="23" s="1"/>
  <c r="V34" i="23"/>
  <c r="U34" i="23"/>
  <c r="T35" i="23"/>
  <c r="S35" i="23" s="1"/>
  <c r="V35" i="23"/>
  <c r="U35" i="23"/>
  <c r="T36" i="23"/>
  <c r="S36" i="23" s="1"/>
  <c r="V36" i="23"/>
  <c r="U36" i="23"/>
  <c r="T37" i="23"/>
  <c r="S37" i="23" s="1"/>
  <c r="V37" i="23"/>
  <c r="U37" i="23"/>
  <c r="T38" i="23"/>
  <c r="S38" i="23" s="1"/>
  <c r="V38" i="23"/>
  <c r="U38" i="23"/>
  <c r="T39" i="23"/>
  <c r="S39" i="23" s="1"/>
  <c r="V39" i="23"/>
  <c r="U39" i="23"/>
  <c r="T40" i="23"/>
  <c r="S40" i="23" s="1"/>
  <c r="V40" i="23"/>
  <c r="U40" i="23"/>
  <c r="T41" i="23"/>
  <c r="S41" i="23" s="1"/>
  <c r="V41" i="23"/>
  <c r="U41" i="23"/>
  <c r="T42" i="23"/>
  <c r="S42" i="23" s="1"/>
  <c r="V42" i="23"/>
  <c r="U42" i="23"/>
  <c r="T43" i="23"/>
  <c r="S43" i="23" s="1"/>
  <c r="V43" i="23"/>
  <c r="U43" i="23"/>
  <c r="T44" i="23"/>
  <c r="S44" i="23" s="1"/>
  <c r="V44" i="23"/>
  <c r="U44" i="23"/>
  <c r="T45" i="23"/>
  <c r="S45" i="23" s="1"/>
  <c r="V45" i="23"/>
  <c r="U45" i="23"/>
  <c r="T46" i="23"/>
  <c r="S46" i="23" s="1"/>
  <c r="V46" i="23"/>
  <c r="U46" i="23"/>
  <c r="T47" i="23"/>
  <c r="S47" i="23" s="1"/>
  <c r="V47" i="23"/>
  <c r="U47" i="23"/>
  <c r="T48" i="23"/>
  <c r="S48" i="23" s="1"/>
  <c r="V48" i="23"/>
  <c r="U48" i="23"/>
  <c r="T49" i="23"/>
  <c r="S49" i="23" s="1"/>
  <c r="V49" i="23"/>
  <c r="U49" i="23"/>
  <c r="T50" i="23"/>
  <c r="S50" i="23" s="1"/>
  <c r="V50" i="23"/>
  <c r="U50" i="23"/>
  <c r="T51" i="23"/>
  <c r="S51" i="23" s="1"/>
  <c r="V51" i="23"/>
  <c r="U51" i="23"/>
  <c r="T52" i="23"/>
  <c r="S52" i="23" s="1"/>
  <c r="V52" i="23"/>
  <c r="U52" i="23"/>
  <c r="T53" i="23"/>
  <c r="S53" i="23" s="1"/>
  <c r="V53" i="23"/>
  <c r="U53" i="23"/>
  <c r="T54" i="23"/>
  <c r="S54" i="23" s="1"/>
  <c r="V54" i="23"/>
  <c r="U54" i="23"/>
  <c r="T55" i="23"/>
  <c r="S55" i="23" s="1"/>
  <c r="V55" i="23"/>
  <c r="U55" i="23"/>
  <c r="T56" i="23"/>
  <c r="S56" i="23" s="1"/>
  <c r="V56" i="23"/>
  <c r="U56" i="23"/>
  <c r="T57" i="23"/>
  <c r="S57" i="23" s="1"/>
  <c r="V57" i="23"/>
  <c r="U57" i="23"/>
  <c r="T58" i="23"/>
  <c r="S58" i="23" s="1"/>
  <c r="V58" i="23"/>
  <c r="U58" i="23"/>
  <c r="T59" i="23"/>
  <c r="S59" i="23" s="1"/>
  <c r="V59" i="23"/>
  <c r="U59" i="23"/>
  <c r="T60" i="23"/>
  <c r="S60" i="23" s="1"/>
  <c r="V60" i="23"/>
  <c r="U60" i="23"/>
  <c r="G60" i="22"/>
  <c r="G59" i="22"/>
  <c r="G58" i="22"/>
  <c r="G57" i="22"/>
  <c r="G56" i="22"/>
  <c r="G55" i="22"/>
  <c r="G54" i="22"/>
  <c r="G53" i="22"/>
  <c r="G52" i="22"/>
  <c r="G51" i="22"/>
  <c r="G50" i="22"/>
  <c r="G49" i="22"/>
  <c r="G48" i="22"/>
  <c r="G47" i="22"/>
  <c r="G46" i="22"/>
  <c r="G45" i="22"/>
  <c r="G44" i="22"/>
  <c r="G43" i="22"/>
  <c r="G42" i="22"/>
  <c r="G41" i="22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61" i="22" s="1"/>
  <c r="H60" i="22"/>
  <c r="H59" i="22"/>
  <c r="H58" i="22"/>
  <c r="H57" i="22"/>
  <c r="H56" i="22"/>
  <c r="H55" i="22"/>
  <c r="H54" i="22"/>
  <c r="H53" i="22"/>
  <c r="H52" i="22"/>
  <c r="H51" i="22"/>
  <c r="H50" i="22"/>
  <c r="H49" i="22"/>
  <c r="H48" i="22"/>
  <c r="H47" i="22"/>
  <c r="H46" i="22"/>
  <c r="H45" i="22"/>
  <c r="H44" i="22"/>
  <c r="H43" i="22"/>
  <c r="H42" i="22"/>
  <c r="H41" i="22"/>
  <c r="H40" i="22"/>
  <c r="H39" i="22"/>
  <c r="H38" i="22"/>
  <c r="H37" i="22"/>
  <c r="H36" i="22"/>
  <c r="H35" i="22"/>
  <c r="H34" i="22"/>
  <c r="H33" i="22"/>
  <c r="H32" i="22"/>
  <c r="H31" i="22"/>
  <c r="H30" i="22"/>
  <c r="H29" i="22"/>
  <c r="H28" i="22"/>
  <c r="H27" i="22"/>
  <c r="H26" i="22"/>
  <c r="H25" i="22"/>
  <c r="H24" i="22"/>
  <c r="H23" i="22"/>
  <c r="H22" i="22"/>
  <c r="H21" i="22"/>
  <c r="H20" i="22"/>
  <c r="H19" i="22"/>
  <c r="H18" i="22"/>
  <c r="H61" i="22" s="1"/>
  <c r="P2" i="22" s="1"/>
  <c r="R60" i="22"/>
  <c r="R59" i="22"/>
  <c r="R58" i="22"/>
  <c r="R57" i="22"/>
  <c r="R56" i="22"/>
  <c r="R55" i="22"/>
  <c r="R54" i="22"/>
  <c r="R53" i="22"/>
  <c r="R52" i="22"/>
  <c r="R51" i="22"/>
  <c r="R50" i="22"/>
  <c r="R49" i="22"/>
  <c r="R48" i="22"/>
  <c r="R47" i="22"/>
  <c r="R46" i="22"/>
  <c r="R45" i="22"/>
  <c r="R44" i="22"/>
  <c r="R43" i="22"/>
  <c r="R42" i="22"/>
  <c r="R41" i="22"/>
  <c r="R40" i="22"/>
  <c r="R39" i="22"/>
  <c r="R38" i="22"/>
  <c r="R37" i="22"/>
  <c r="R36" i="22"/>
  <c r="R35" i="22"/>
  <c r="R34" i="22"/>
  <c r="R33" i="22"/>
  <c r="R32" i="22"/>
  <c r="R31" i="22"/>
  <c r="R30" i="22"/>
  <c r="R29" i="22"/>
  <c r="R28" i="22"/>
  <c r="R27" i="22"/>
  <c r="R26" i="22"/>
  <c r="R25" i="22"/>
  <c r="R24" i="22"/>
  <c r="R23" i="22"/>
  <c r="R22" i="22"/>
  <c r="R21" i="22"/>
  <c r="R20" i="22"/>
  <c r="R19" i="22"/>
  <c r="R18" i="22"/>
  <c r="R61" i="22" s="1"/>
  <c r="J61" i="22"/>
  <c r="L18" i="22"/>
  <c r="K61" i="22"/>
  <c r="V18" i="22"/>
  <c r="U18" i="22"/>
  <c r="T19" i="22"/>
  <c r="S19" i="22" s="1"/>
  <c r="V19" i="22"/>
  <c r="U19" i="22"/>
  <c r="T20" i="22"/>
  <c r="S20" i="22" s="1"/>
  <c r="V20" i="22"/>
  <c r="U20" i="22"/>
  <c r="T21" i="22"/>
  <c r="S21" i="22" s="1"/>
  <c r="V21" i="22"/>
  <c r="U21" i="22"/>
  <c r="T22" i="22"/>
  <c r="S22" i="22" s="1"/>
  <c r="V22" i="22"/>
  <c r="U22" i="22"/>
  <c r="T23" i="22"/>
  <c r="S23" i="22" s="1"/>
  <c r="V23" i="22"/>
  <c r="U23" i="22"/>
  <c r="T24" i="22"/>
  <c r="S24" i="22" s="1"/>
  <c r="V24" i="22"/>
  <c r="U24" i="22"/>
  <c r="T25" i="22"/>
  <c r="S25" i="22" s="1"/>
  <c r="V25" i="22"/>
  <c r="U25" i="22"/>
  <c r="T26" i="22"/>
  <c r="S26" i="22" s="1"/>
  <c r="V26" i="22"/>
  <c r="U26" i="22"/>
  <c r="T27" i="22"/>
  <c r="S27" i="22" s="1"/>
  <c r="V27" i="22"/>
  <c r="U27" i="22"/>
  <c r="T28" i="22"/>
  <c r="S28" i="22" s="1"/>
  <c r="V28" i="22"/>
  <c r="U28" i="22"/>
  <c r="T29" i="22"/>
  <c r="S29" i="22" s="1"/>
  <c r="V29" i="22"/>
  <c r="U29" i="22"/>
  <c r="T30" i="22"/>
  <c r="S30" i="22" s="1"/>
  <c r="V30" i="22"/>
  <c r="U30" i="22"/>
  <c r="T31" i="22"/>
  <c r="S31" i="22" s="1"/>
  <c r="V31" i="22"/>
  <c r="U31" i="22"/>
  <c r="T32" i="22"/>
  <c r="S32" i="22" s="1"/>
  <c r="V32" i="22"/>
  <c r="U32" i="22"/>
  <c r="T33" i="22"/>
  <c r="S33" i="22" s="1"/>
  <c r="V33" i="22"/>
  <c r="U33" i="22"/>
  <c r="T34" i="22"/>
  <c r="S34" i="22" s="1"/>
  <c r="V34" i="22"/>
  <c r="U34" i="22"/>
  <c r="T35" i="22"/>
  <c r="S35" i="22" s="1"/>
  <c r="V35" i="22"/>
  <c r="U35" i="22"/>
  <c r="T36" i="22"/>
  <c r="S36" i="22" s="1"/>
  <c r="V36" i="22"/>
  <c r="U36" i="22"/>
  <c r="T37" i="22"/>
  <c r="S37" i="22" s="1"/>
  <c r="V37" i="22"/>
  <c r="U37" i="22"/>
  <c r="T38" i="22"/>
  <c r="S38" i="22" s="1"/>
  <c r="V38" i="22"/>
  <c r="U38" i="22"/>
  <c r="T39" i="22"/>
  <c r="S39" i="22" s="1"/>
  <c r="V39" i="22"/>
  <c r="U39" i="22"/>
  <c r="T40" i="22"/>
  <c r="S40" i="22" s="1"/>
  <c r="V40" i="22"/>
  <c r="U40" i="22"/>
  <c r="T41" i="22"/>
  <c r="S41" i="22" s="1"/>
  <c r="V41" i="22"/>
  <c r="U41" i="22"/>
  <c r="T42" i="22"/>
  <c r="S42" i="22" s="1"/>
  <c r="V42" i="22"/>
  <c r="U42" i="22"/>
  <c r="T43" i="22"/>
  <c r="S43" i="22" s="1"/>
  <c r="V43" i="22"/>
  <c r="U43" i="22"/>
  <c r="T44" i="22"/>
  <c r="S44" i="22" s="1"/>
  <c r="V44" i="22"/>
  <c r="U44" i="22"/>
  <c r="T45" i="22"/>
  <c r="S45" i="22" s="1"/>
  <c r="V45" i="22"/>
  <c r="U45" i="22"/>
  <c r="T46" i="22"/>
  <c r="S46" i="22" s="1"/>
  <c r="V46" i="22"/>
  <c r="U46" i="22"/>
  <c r="T47" i="22"/>
  <c r="S47" i="22" s="1"/>
  <c r="V47" i="22"/>
  <c r="U47" i="22"/>
  <c r="T48" i="22"/>
  <c r="S48" i="22" s="1"/>
  <c r="V48" i="22"/>
  <c r="U48" i="22"/>
  <c r="T49" i="22"/>
  <c r="S49" i="22" s="1"/>
  <c r="V49" i="22"/>
  <c r="U49" i="22"/>
  <c r="T50" i="22"/>
  <c r="S50" i="22" s="1"/>
  <c r="V50" i="22"/>
  <c r="U50" i="22"/>
  <c r="T51" i="22"/>
  <c r="S51" i="22" s="1"/>
  <c r="V51" i="22"/>
  <c r="U51" i="22"/>
  <c r="T52" i="22"/>
  <c r="S52" i="22" s="1"/>
  <c r="V52" i="22"/>
  <c r="U52" i="22"/>
  <c r="T53" i="22"/>
  <c r="S53" i="22" s="1"/>
  <c r="V53" i="22"/>
  <c r="U53" i="22"/>
  <c r="T54" i="22"/>
  <c r="S54" i="22" s="1"/>
  <c r="V54" i="22"/>
  <c r="U54" i="22"/>
  <c r="T55" i="22"/>
  <c r="S55" i="22" s="1"/>
  <c r="V55" i="22"/>
  <c r="U55" i="22"/>
  <c r="T56" i="22"/>
  <c r="S56" i="22" s="1"/>
  <c r="V56" i="22"/>
  <c r="U56" i="22"/>
  <c r="T57" i="22"/>
  <c r="S57" i="22" s="1"/>
  <c r="V57" i="22"/>
  <c r="U57" i="22"/>
  <c r="T58" i="22"/>
  <c r="S58" i="22" s="1"/>
  <c r="V58" i="22"/>
  <c r="U58" i="22"/>
  <c r="T59" i="22"/>
  <c r="S59" i="22" s="1"/>
  <c r="V59" i="22"/>
  <c r="U59" i="22"/>
  <c r="T60" i="22"/>
  <c r="S60" i="22" s="1"/>
  <c r="V60" i="22"/>
  <c r="U60" i="22"/>
  <c r="G60" i="21"/>
  <c r="G59" i="21"/>
  <c r="G58" i="21"/>
  <c r="G57" i="21"/>
  <c r="G56" i="21"/>
  <c r="G55" i="21"/>
  <c r="G54" i="21"/>
  <c r="G53" i="21"/>
  <c r="G52" i="21"/>
  <c r="G51" i="21"/>
  <c r="G50" i="21"/>
  <c r="G49" i="21"/>
  <c r="G48" i="21"/>
  <c r="G47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61" i="21" s="1"/>
  <c r="H60" i="21"/>
  <c r="H59" i="21"/>
  <c r="H58" i="21"/>
  <c r="H57" i="21"/>
  <c r="H56" i="21"/>
  <c r="H55" i="21"/>
  <c r="H54" i="21"/>
  <c r="H53" i="21"/>
  <c r="H52" i="21"/>
  <c r="H51" i="21"/>
  <c r="H50" i="21"/>
  <c r="H49" i="21"/>
  <c r="H48" i="21"/>
  <c r="H47" i="21"/>
  <c r="H46" i="21"/>
  <c r="H45" i="21"/>
  <c r="H44" i="21"/>
  <c r="H43" i="21"/>
  <c r="H42" i="21"/>
  <c r="H41" i="21"/>
  <c r="H40" i="21"/>
  <c r="H39" i="21"/>
  <c r="H38" i="21"/>
  <c r="H37" i="21"/>
  <c r="H36" i="21"/>
  <c r="H35" i="21"/>
  <c r="H34" i="21"/>
  <c r="H33" i="21"/>
  <c r="H32" i="21"/>
  <c r="H31" i="21"/>
  <c r="H30" i="21"/>
  <c r="H29" i="21"/>
  <c r="H28" i="21"/>
  <c r="H27" i="21"/>
  <c r="H26" i="21"/>
  <c r="H25" i="21"/>
  <c r="H24" i="21"/>
  <c r="H23" i="21"/>
  <c r="H22" i="21"/>
  <c r="H21" i="21"/>
  <c r="H20" i="21"/>
  <c r="H19" i="21"/>
  <c r="H18" i="21"/>
  <c r="H61" i="21" s="1"/>
  <c r="P2" i="21" s="1"/>
  <c r="R60" i="21"/>
  <c r="R59" i="21"/>
  <c r="R58" i="21"/>
  <c r="R57" i="21"/>
  <c r="R56" i="21"/>
  <c r="R55" i="21"/>
  <c r="R54" i="21"/>
  <c r="R53" i="21"/>
  <c r="R52" i="21"/>
  <c r="R51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61" i="21" s="1"/>
  <c r="J61" i="21"/>
  <c r="L18" i="21"/>
  <c r="K61" i="21"/>
  <c r="V18" i="21"/>
  <c r="U18" i="21"/>
  <c r="T19" i="21"/>
  <c r="S19" i="21" s="1"/>
  <c r="V19" i="21"/>
  <c r="U19" i="21"/>
  <c r="T20" i="21"/>
  <c r="S20" i="21" s="1"/>
  <c r="V20" i="21"/>
  <c r="U20" i="21"/>
  <c r="T21" i="21"/>
  <c r="S21" i="21" s="1"/>
  <c r="V21" i="21"/>
  <c r="U21" i="21"/>
  <c r="T22" i="21"/>
  <c r="S22" i="21" s="1"/>
  <c r="V22" i="21"/>
  <c r="U22" i="21"/>
  <c r="T23" i="21"/>
  <c r="S23" i="21" s="1"/>
  <c r="V23" i="21"/>
  <c r="U23" i="21"/>
  <c r="T24" i="21"/>
  <c r="S24" i="21" s="1"/>
  <c r="V24" i="21"/>
  <c r="U24" i="21"/>
  <c r="T25" i="21"/>
  <c r="S25" i="21" s="1"/>
  <c r="V25" i="21"/>
  <c r="U25" i="21"/>
  <c r="T26" i="21"/>
  <c r="S26" i="21" s="1"/>
  <c r="V26" i="21"/>
  <c r="U26" i="21"/>
  <c r="T27" i="21"/>
  <c r="S27" i="21" s="1"/>
  <c r="V27" i="21"/>
  <c r="U27" i="21"/>
  <c r="T28" i="21"/>
  <c r="S28" i="21" s="1"/>
  <c r="V28" i="21"/>
  <c r="U28" i="21"/>
  <c r="T29" i="21"/>
  <c r="S29" i="21" s="1"/>
  <c r="V29" i="21"/>
  <c r="U29" i="21"/>
  <c r="T30" i="21"/>
  <c r="S30" i="21" s="1"/>
  <c r="V30" i="21"/>
  <c r="U30" i="21"/>
  <c r="T31" i="21"/>
  <c r="S31" i="21" s="1"/>
  <c r="V31" i="21"/>
  <c r="U31" i="21"/>
  <c r="T32" i="21"/>
  <c r="S32" i="21" s="1"/>
  <c r="V32" i="21"/>
  <c r="U32" i="21"/>
  <c r="T33" i="21"/>
  <c r="S33" i="21" s="1"/>
  <c r="V33" i="21"/>
  <c r="U33" i="21"/>
  <c r="T34" i="21"/>
  <c r="S34" i="21" s="1"/>
  <c r="V34" i="21"/>
  <c r="U34" i="21"/>
  <c r="T35" i="21"/>
  <c r="S35" i="21" s="1"/>
  <c r="V35" i="21"/>
  <c r="U35" i="21"/>
  <c r="T36" i="21"/>
  <c r="S36" i="21" s="1"/>
  <c r="V36" i="21"/>
  <c r="U36" i="21"/>
  <c r="T37" i="21"/>
  <c r="S37" i="21" s="1"/>
  <c r="V37" i="21"/>
  <c r="U37" i="21"/>
  <c r="T38" i="21"/>
  <c r="S38" i="21" s="1"/>
  <c r="V38" i="21"/>
  <c r="U38" i="21"/>
  <c r="T39" i="21"/>
  <c r="S39" i="21" s="1"/>
  <c r="V39" i="21"/>
  <c r="U39" i="21"/>
  <c r="T40" i="21"/>
  <c r="S40" i="21" s="1"/>
  <c r="V40" i="21"/>
  <c r="U40" i="21"/>
  <c r="T41" i="21"/>
  <c r="S41" i="21" s="1"/>
  <c r="V41" i="21"/>
  <c r="U41" i="21"/>
  <c r="T42" i="21"/>
  <c r="S42" i="21" s="1"/>
  <c r="V42" i="21"/>
  <c r="U42" i="21"/>
  <c r="T43" i="21"/>
  <c r="S43" i="21" s="1"/>
  <c r="V43" i="21"/>
  <c r="U43" i="21"/>
  <c r="T44" i="21"/>
  <c r="S44" i="21" s="1"/>
  <c r="V44" i="21"/>
  <c r="U44" i="21"/>
  <c r="T45" i="21"/>
  <c r="S45" i="21" s="1"/>
  <c r="V45" i="21"/>
  <c r="U45" i="21"/>
  <c r="T46" i="21"/>
  <c r="S46" i="21" s="1"/>
  <c r="V46" i="21"/>
  <c r="U46" i="21"/>
  <c r="T47" i="21"/>
  <c r="S47" i="21" s="1"/>
  <c r="V47" i="21"/>
  <c r="U47" i="21"/>
  <c r="T48" i="21"/>
  <c r="S48" i="21" s="1"/>
  <c r="V48" i="21"/>
  <c r="U48" i="21"/>
  <c r="T49" i="21"/>
  <c r="S49" i="21" s="1"/>
  <c r="V49" i="21"/>
  <c r="U49" i="21"/>
  <c r="T50" i="21"/>
  <c r="S50" i="21" s="1"/>
  <c r="V50" i="21"/>
  <c r="U50" i="21"/>
  <c r="T51" i="21"/>
  <c r="S51" i="21" s="1"/>
  <c r="V51" i="21"/>
  <c r="U51" i="21"/>
  <c r="T52" i="21"/>
  <c r="S52" i="21" s="1"/>
  <c r="V52" i="21"/>
  <c r="U52" i="21"/>
  <c r="T53" i="21"/>
  <c r="S53" i="21" s="1"/>
  <c r="V53" i="21"/>
  <c r="U53" i="21"/>
  <c r="T54" i="21"/>
  <c r="S54" i="21" s="1"/>
  <c r="V54" i="21"/>
  <c r="U54" i="21"/>
  <c r="T55" i="21"/>
  <c r="S55" i="21" s="1"/>
  <c r="V55" i="21"/>
  <c r="U55" i="21"/>
  <c r="T56" i="21"/>
  <c r="S56" i="21" s="1"/>
  <c r="V56" i="21"/>
  <c r="U56" i="21"/>
  <c r="T57" i="21"/>
  <c r="S57" i="21" s="1"/>
  <c r="V57" i="21"/>
  <c r="U57" i="21"/>
  <c r="T58" i="21"/>
  <c r="S58" i="21" s="1"/>
  <c r="V58" i="21"/>
  <c r="U58" i="21"/>
  <c r="T59" i="21"/>
  <c r="S59" i="21" s="1"/>
  <c r="V59" i="21"/>
  <c r="U59" i="21"/>
  <c r="T60" i="21"/>
  <c r="S60" i="21" s="1"/>
  <c r="V60" i="21"/>
  <c r="U60" i="21"/>
  <c r="G60" i="20"/>
  <c r="G59" i="20"/>
  <c r="G58" i="20"/>
  <c r="G57" i="20"/>
  <c r="G56" i="20"/>
  <c r="G55" i="20"/>
  <c r="G54" i="20"/>
  <c r="G53" i="20"/>
  <c r="G52" i="20"/>
  <c r="G51" i="20"/>
  <c r="G50" i="20"/>
  <c r="G49" i="20"/>
  <c r="G48" i="20"/>
  <c r="G47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61" i="20" s="1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61" i="20" s="1"/>
  <c r="P2" i="20" s="1"/>
  <c r="R60" i="20"/>
  <c r="R59" i="20"/>
  <c r="R58" i="20"/>
  <c r="R57" i="20"/>
  <c r="R56" i="20"/>
  <c r="R55" i="20"/>
  <c r="R54" i="20"/>
  <c r="R53" i="20"/>
  <c r="R52" i="20"/>
  <c r="R51" i="20"/>
  <c r="R50" i="20"/>
  <c r="R49" i="20"/>
  <c r="R48" i="20"/>
  <c r="R47" i="20"/>
  <c r="R46" i="20"/>
  <c r="R45" i="20"/>
  <c r="R44" i="20"/>
  <c r="R43" i="20"/>
  <c r="R42" i="20"/>
  <c r="R41" i="20"/>
  <c r="R40" i="20"/>
  <c r="R39" i="20"/>
  <c r="R38" i="20"/>
  <c r="R37" i="20"/>
  <c r="R36" i="20"/>
  <c r="R35" i="20"/>
  <c r="R34" i="20"/>
  <c r="R33" i="20"/>
  <c r="R32" i="20"/>
  <c r="R31" i="20"/>
  <c r="R30" i="20"/>
  <c r="R29" i="20"/>
  <c r="R28" i="20"/>
  <c r="R27" i="20"/>
  <c r="R26" i="20"/>
  <c r="R25" i="20"/>
  <c r="R24" i="20"/>
  <c r="R23" i="20"/>
  <c r="R22" i="20"/>
  <c r="R21" i="20"/>
  <c r="R20" i="20"/>
  <c r="R19" i="20"/>
  <c r="R18" i="20"/>
  <c r="R61" i="20" s="1"/>
  <c r="J61" i="20"/>
  <c r="L18" i="20"/>
  <c r="K61" i="20"/>
  <c r="V18" i="20"/>
  <c r="U18" i="20"/>
  <c r="T19" i="20"/>
  <c r="S19" i="20" s="1"/>
  <c r="V19" i="20"/>
  <c r="U19" i="20"/>
  <c r="T20" i="20"/>
  <c r="S20" i="20" s="1"/>
  <c r="V20" i="20"/>
  <c r="U20" i="20"/>
  <c r="T21" i="20"/>
  <c r="S21" i="20" s="1"/>
  <c r="V21" i="20"/>
  <c r="U21" i="20"/>
  <c r="T22" i="20"/>
  <c r="S22" i="20" s="1"/>
  <c r="V22" i="20"/>
  <c r="U22" i="20"/>
  <c r="T23" i="20"/>
  <c r="S23" i="20" s="1"/>
  <c r="V23" i="20"/>
  <c r="U23" i="20"/>
  <c r="T24" i="20"/>
  <c r="S24" i="20" s="1"/>
  <c r="V24" i="20"/>
  <c r="U24" i="20"/>
  <c r="T25" i="20"/>
  <c r="S25" i="20" s="1"/>
  <c r="V25" i="20"/>
  <c r="U25" i="20"/>
  <c r="T26" i="20"/>
  <c r="S26" i="20" s="1"/>
  <c r="V26" i="20"/>
  <c r="U26" i="20"/>
  <c r="T27" i="20"/>
  <c r="S27" i="20" s="1"/>
  <c r="V27" i="20"/>
  <c r="U27" i="20"/>
  <c r="T28" i="20"/>
  <c r="S28" i="20" s="1"/>
  <c r="V28" i="20"/>
  <c r="U28" i="20"/>
  <c r="T29" i="20"/>
  <c r="S29" i="20" s="1"/>
  <c r="V29" i="20"/>
  <c r="U29" i="20"/>
  <c r="T30" i="20"/>
  <c r="S30" i="20" s="1"/>
  <c r="V30" i="20"/>
  <c r="U30" i="20"/>
  <c r="T31" i="20"/>
  <c r="S31" i="20" s="1"/>
  <c r="V31" i="20"/>
  <c r="U31" i="20"/>
  <c r="T32" i="20"/>
  <c r="S32" i="20" s="1"/>
  <c r="V32" i="20"/>
  <c r="U32" i="20"/>
  <c r="T33" i="20"/>
  <c r="S33" i="20" s="1"/>
  <c r="V33" i="20"/>
  <c r="U33" i="20"/>
  <c r="T34" i="20"/>
  <c r="S34" i="20" s="1"/>
  <c r="V34" i="20"/>
  <c r="U34" i="20"/>
  <c r="T35" i="20"/>
  <c r="S35" i="20" s="1"/>
  <c r="V35" i="20"/>
  <c r="U35" i="20"/>
  <c r="T36" i="20"/>
  <c r="S36" i="20" s="1"/>
  <c r="V36" i="20"/>
  <c r="U36" i="20"/>
  <c r="T37" i="20"/>
  <c r="S37" i="20" s="1"/>
  <c r="V37" i="20"/>
  <c r="U37" i="20"/>
  <c r="T38" i="20"/>
  <c r="S38" i="20" s="1"/>
  <c r="V38" i="20"/>
  <c r="U38" i="20"/>
  <c r="T39" i="20"/>
  <c r="S39" i="20" s="1"/>
  <c r="V39" i="20"/>
  <c r="U39" i="20"/>
  <c r="T40" i="20"/>
  <c r="S40" i="20" s="1"/>
  <c r="V40" i="20"/>
  <c r="U40" i="20"/>
  <c r="T41" i="20"/>
  <c r="S41" i="20" s="1"/>
  <c r="V41" i="20"/>
  <c r="U41" i="20"/>
  <c r="T42" i="20"/>
  <c r="S42" i="20" s="1"/>
  <c r="V42" i="20"/>
  <c r="U42" i="20"/>
  <c r="T43" i="20"/>
  <c r="S43" i="20" s="1"/>
  <c r="V43" i="20"/>
  <c r="U43" i="20"/>
  <c r="T44" i="20"/>
  <c r="S44" i="20" s="1"/>
  <c r="V44" i="20"/>
  <c r="U44" i="20"/>
  <c r="T45" i="20"/>
  <c r="S45" i="20" s="1"/>
  <c r="V45" i="20"/>
  <c r="U45" i="20"/>
  <c r="T46" i="20"/>
  <c r="S46" i="20" s="1"/>
  <c r="V46" i="20"/>
  <c r="U46" i="20"/>
  <c r="T47" i="20"/>
  <c r="S47" i="20" s="1"/>
  <c r="V47" i="20"/>
  <c r="U47" i="20"/>
  <c r="T48" i="20"/>
  <c r="S48" i="20" s="1"/>
  <c r="V48" i="20"/>
  <c r="U48" i="20"/>
  <c r="T49" i="20"/>
  <c r="S49" i="20" s="1"/>
  <c r="V49" i="20"/>
  <c r="U49" i="20"/>
  <c r="T50" i="20"/>
  <c r="S50" i="20" s="1"/>
  <c r="V50" i="20"/>
  <c r="U50" i="20"/>
  <c r="T51" i="20"/>
  <c r="S51" i="20" s="1"/>
  <c r="V51" i="20"/>
  <c r="U51" i="20"/>
  <c r="T52" i="20"/>
  <c r="S52" i="20" s="1"/>
  <c r="V52" i="20"/>
  <c r="U52" i="20"/>
  <c r="T53" i="20"/>
  <c r="S53" i="20" s="1"/>
  <c r="V53" i="20"/>
  <c r="U53" i="20"/>
  <c r="T54" i="20"/>
  <c r="S54" i="20" s="1"/>
  <c r="V54" i="20"/>
  <c r="U54" i="20"/>
  <c r="T55" i="20"/>
  <c r="S55" i="20" s="1"/>
  <c r="V55" i="20"/>
  <c r="U55" i="20"/>
  <c r="T56" i="20"/>
  <c r="S56" i="20" s="1"/>
  <c r="V56" i="20"/>
  <c r="U56" i="20"/>
  <c r="T57" i="20"/>
  <c r="S57" i="20" s="1"/>
  <c r="V57" i="20"/>
  <c r="U57" i="20"/>
  <c r="T58" i="20"/>
  <c r="S58" i="20" s="1"/>
  <c r="V58" i="20"/>
  <c r="U58" i="20"/>
  <c r="T59" i="20"/>
  <c r="S59" i="20" s="1"/>
  <c r="V59" i="20"/>
  <c r="U59" i="20"/>
  <c r="T60" i="20"/>
  <c r="S60" i="20" s="1"/>
  <c r="V60" i="20"/>
  <c r="U60" i="20"/>
  <c r="G60" i="19"/>
  <c r="G59" i="19"/>
  <c r="G58" i="19"/>
  <c r="G57" i="19"/>
  <c r="G56" i="19"/>
  <c r="G55" i="19"/>
  <c r="G54" i="19"/>
  <c r="G53" i="19"/>
  <c r="G52" i="19"/>
  <c r="G51" i="19"/>
  <c r="G50" i="19"/>
  <c r="G49" i="19"/>
  <c r="G48" i="19"/>
  <c r="G47" i="19"/>
  <c r="G46" i="19"/>
  <c r="G45" i="19"/>
  <c r="G44" i="19"/>
  <c r="G43" i="19"/>
  <c r="G42" i="19"/>
  <c r="G41" i="19"/>
  <c r="G40" i="19"/>
  <c r="G39" i="19"/>
  <c r="G38" i="19"/>
  <c r="G37" i="19"/>
  <c r="G36" i="19"/>
  <c r="G35" i="19"/>
  <c r="G34" i="19"/>
  <c r="G33" i="19"/>
  <c r="G32" i="19"/>
  <c r="G31" i="19"/>
  <c r="G30" i="19"/>
  <c r="G29" i="19"/>
  <c r="G28" i="19"/>
  <c r="G27" i="19"/>
  <c r="G26" i="19"/>
  <c r="G25" i="19"/>
  <c r="G24" i="19"/>
  <c r="G23" i="19"/>
  <c r="G22" i="19"/>
  <c r="G21" i="19"/>
  <c r="G20" i="19"/>
  <c r="G19" i="19"/>
  <c r="G18" i="19"/>
  <c r="G61" i="19" s="1"/>
  <c r="H60" i="19"/>
  <c r="H59" i="19"/>
  <c r="H58" i="19"/>
  <c r="H57" i="19"/>
  <c r="H56" i="19"/>
  <c r="H55" i="19"/>
  <c r="H54" i="19"/>
  <c r="H53" i="19"/>
  <c r="H52" i="19"/>
  <c r="H51" i="19"/>
  <c r="H50" i="19"/>
  <c r="H49" i="19"/>
  <c r="H48" i="19"/>
  <c r="H47" i="19"/>
  <c r="H46" i="19"/>
  <c r="H45" i="19"/>
  <c r="H44" i="19"/>
  <c r="H43" i="19"/>
  <c r="H42" i="19"/>
  <c r="H41" i="19"/>
  <c r="H40" i="19"/>
  <c r="H39" i="19"/>
  <c r="H38" i="19"/>
  <c r="H37" i="19"/>
  <c r="H36" i="19"/>
  <c r="H35" i="19"/>
  <c r="H34" i="19"/>
  <c r="H33" i="19"/>
  <c r="H32" i="19"/>
  <c r="H31" i="19"/>
  <c r="H30" i="19"/>
  <c r="H29" i="19"/>
  <c r="H28" i="19"/>
  <c r="H27" i="19"/>
  <c r="H26" i="19"/>
  <c r="H25" i="19"/>
  <c r="H24" i="19"/>
  <c r="H23" i="19"/>
  <c r="H22" i="19"/>
  <c r="H21" i="19"/>
  <c r="H20" i="19"/>
  <c r="H19" i="19"/>
  <c r="H18" i="19"/>
  <c r="H61" i="19" s="1"/>
  <c r="P2" i="19" s="1"/>
  <c r="R60" i="19"/>
  <c r="R59" i="19"/>
  <c r="R58" i="19"/>
  <c r="R57" i="19"/>
  <c r="R56" i="19"/>
  <c r="R55" i="19"/>
  <c r="R54" i="19"/>
  <c r="R53" i="19"/>
  <c r="R52" i="19"/>
  <c r="R51" i="19"/>
  <c r="R50" i="19"/>
  <c r="R49" i="19"/>
  <c r="R48" i="19"/>
  <c r="R47" i="19"/>
  <c r="R46" i="19"/>
  <c r="R45" i="19"/>
  <c r="R44" i="19"/>
  <c r="R43" i="19"/>
  <c r="R42" i="19"/>
  <c r="R41" i="19"/>
  <c r="R40" i="19"/>
  <c r="R39" i="19"/>
  <c r="R38" i="19"/>
  <c r="R37" i="19"/>
  <c r="R36" i="19"/>
  <c r="R35" i="19"/>
  <c r="R34" i="19"/>
  <c r="R33" i="19"/>
  <c r="R32" i="19"/>
  <c r="R31" i="19"/>
  <c r="R30" i="19"/>
  <c r="R29" i="19"/>
  <c r="R28" i="19"/>
  <c r="R27" i="19"/>
  <c r="R26" i="19"/>
  <c r="R25" i="19"/>
  <c r="R24" i="19"/>
  <c r="R23" i="19"/>
  <c r="R22" i="19"/>
  <c r="R21" i="19"/>
  <c r="R20" i="19"/>
  <c r="R19" i="19"/>
  <c r="R18" i="19"/>
  <c r="R61" i="19" s="1"/>
  <c r="J61" i="19"/>
  <c r="L18" i="19"/>
  <c r="K61" i="19"/>
  <c r="V18" i="19"/>
  <c r="U18" i="19"/>
  <c r="T19" i="19"/>
  <c r="S19" i="19" s="1"/>
  <c r="V19" i="19"/>
  <c r="U19" i="19"/>
  <c r="T20" i="19"/>
  <c r="S20" i="19" s="1"/>
  <c r="V20" i="19"/>
  <c r="U20" i="19"/>
  <c r="T21" i="19"/>
  <c r="S21" i="19" s="1"/>
  <c r="V21" i="19"/>
  <c r="U21" i="19"/>
  <c r="T22" i="19"/>
  <c r="S22" i="19" s="1"/>
  <c r="V22" i="19"/>
  <c r="U22" i="19"/>
  <c r="T23" i="19"/>
  <c r="S23" i="19" s="1"/>
  <c r="V23" i="19"/>
  <c r="U23" i="19"/>
  <c r="T24" i="19"/>
  <c r="S24" i="19" s="1"/>
  <c r="V24" i="19"/>
  <c r="U24" i="19"/>
  <c r="T25" i="19"/>
  <c r="S25" i="19" s="1"/>
  <c r="V25" i="19"/>
  <c r="U25" i="19"/>
  <c r="T26" i="19"/>
  <c r="S26" i="19" s="1"/>
  <c r="V26" i="19"/>
  <c r="U26" i="19"/>
  <c r="T27" i="19"/>
  <c r="S27" i="19" s="1"/>
  <c r="V27" i="19"/>
  <c r="U27" i="19"/>
  <c r="T28" i="19"/>
  <c r="S28" i="19" s="1"/>
  <c r="V28" i="19"/>
  <c r="U28" i="19"/>
  <c r="T29" i="19"/>
  <c r="S29" i="19" s="1"/>
  <c r="V29" i="19"/>
  <c r="U29" i="19"/>
  <c r="T30" i="19"/>
  <c r="S30" i="19" s="1"/>
  <c r="V30" i="19"/>
  <c r="U30" i="19"/>
  <c r="T31" i="19"/>
  <c r="S31" i="19" s="1"/>
  <c r="V31" i="19"/>
  <c r="U31" i="19"/>
  <c r="T32" i="19"/>
  <c r="S32" i="19" s="1"/>
  <c r="V32" i="19"/>
  <c r="U32" i="19"/>
  <c r="T33" i="19"/>
  <c r="S33" i="19" s="1"/>
  <c r="V33" i="19"/>
  <c r="U33" i="19"/>
  <c r="T34" i="19"/>
  <c r="S34" i="19" s="1"/>
  <c r="V34" i="19"/>
  <c r="U34" i="19"/>
  <c r="T35" i="19"/>
  <c r="S35" i="19" s="1"/>
  <c r="V35" i="19"/>
  <c r="U35" i="19"/>
  <c r="T36" i="19"/>
  <c r="S36" i="19" s="1"/>
  <c r="V36" i="19"/>
  <c r="U36" i="19"/>
  <c r="T37" i="19"/>
  <c r="S37" i="19" s="1"/>
  <c r="V37" i="19"/>
  <c r="U37" i="19"/>
  <c r="T38" i="19"/>
  <c r="S38" i="19" s="1"/>
  <c r="V38" i="19"/>
  <c r="U38" i="19"/>
  <c r="T39" i="19"/>
  <c r="S39" i="19" s="1"/>
  <c r="V39" i="19"/>
  <c r="U39" i="19"/>
  <c r="T40" i="19"/>
  <c r="S40" i="19" s="1"/>
  <c r="V40" i="19"/>
  <c r="U40" i="19"/>
  <c r="T41" i="19"/>
  <c r="S41" i="19" s="1"/>
  <c r="V41" i="19"/>
  <c r="U41" i="19"/>
  <c r="T42" i="19"/>
  <c r="S42" i="19" s="1"/>
  <c r="V42" i="19"/>
  <c r="U42" i="19"/>
  <c r="T43" i="19"/>
  <c r="S43" i="19" s="1"/>
  <c r="V43" i="19"/>
  <c r="U43" i="19"/>
  <c r="T44" i="19"/>
  <c r="S44" i="19" s="1"/>
  <c r="V44" i="19"/>
  <c r="U44" i="19"/>
  <c r="T45" i="19"/>
  <c r="S45" i="19" s="1"/>
  <c r="V45" i="19"/>
  <c r="U45" i="19"/>
  <c r="T46" i="19"/>
  <c r="S46" i="19" s="1"/>
  <c r="V46" i="19"/>
  <c r="U46" i="19"/>
  <c r="T47" i="19"/>
  <c r="S47" i="19" s="1"/>
  <c r="V47" i="19"/>
  <c r="U47" i="19"/>
  <c r="T48" i="19"/>
  <c r="S48" i="19" s="1"/>
  <c r="V48" i="19"/>
  <c r="U48" i="19"/>
  <c r="T49" i="19"/>
  <c r="S49" i="19" s="1"/>
  <c r="V49" i="19"/>
  <c r="U49" i="19"/>
  <c r="T50" i="19"/>
  <c r="S50" i="19" s="1"/>
  <c r="V50" i="19"/>
  <c r="U50" i="19"/>
  <c r="T51" i="19"/>
  <c r="S51" i="19" s="1"/>
  <c r="V51" i="19"/>
  <c r="U51" i="19"/>
  <c r="T52" i="19"/>
  <c r="S52" i="19" s="1"/>
  <c r="V52" i="19"/>
  <c r="U52" i="19"/>
  <c r="T53" i="19"/>
  <c r="S53" i="19" s="1"/>
  <c r="V53" i="19"/>
  <c r="U53" i="19"/>
  <c r="T54" i="19"/>
  <c r="S54" i="19" s="1"/>
  <c r="V54" i="19"/>
  <c r="U54" i="19"/>
  <c r="T55" i="19"/>
  <c r="S55" i="19" s="1"/>
  <c r="V55" i="19"/>
  <c r="U55" i="19"/>
  <c r="T56" i="19"/>
  <c r="S56" i="19" s="1"/>
  <c r="V56" i="19"/>
  <c r="U56" i="19"/>
  <c r="T57" i="19"/>
  <c r="S57" i="19" s="1"/>
  <c r="V57" i="19"/>
  <c r="U57" i="19"/>
  <c r="T58" i="19"/>
  <c r="S58" i="19" s="1"/>
  <c r="V58" i="19"/>
  <c r="U58" i="19"/>
  <c r="T59" i="19"/>
  <c r="S59" i="19" s="1"/>
  <c r="V59" i="19"/>
  <c r="U59" i="19"/>
  <c r="T60" i="19"/>
  <c r="S60" i="19" s="1"/>
  <c r="V60" i="19"/>
  <c r="U60" i="19"/>
  <c r="G60" i="18"/>
  <c r="G59" i="18"/>
  <c r="G58" i="18"/>
  <c r="G57" i="18"/>
  <c r="G56" i="18"/>
  <c r="G55" i="18"/>
  <c r="G54" i="18"/>
  <c r="G53" i="18"/>
  <c r="G52" i="18"/>
  <c r="G51" i="18"/>
  <c r="G50" i="18"/>
  <c r="G49" i="18"/>
  <c r="G48" i="18"/>
  <c r="G47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G34" i="18"/>
  <c r="G33" i="18"/>
  <c r="G32" i="18"/>
  <c r="G31" i="18"/>
  <c r="G30" i="18"/>
  <c r="G29" i="18"/>
  <c r="G28" i="18"/>
  <c r="G27" i="18"/>
  <c r="G26" i="18"/>
  <c r="G25" i="18"/>
  <c r="G24" i="18"/>
  <c r="G23" i="18"/>
  <c r="G22" i="18"/>
  <c r="G21" i="18"/>
  <c r="G20" i="18"/>
  <c r="G19" i="18"/>
  <c r="G18" i="18"/>
  <c r="G61" i="18" s="1"/>
  <c r="H60" i="18"/>
  <c r="H59" i="18"/>
  <c r="H58" i="18"/>
  <c r="H57" i="18"/>
  <c r="H56" i="18"/>
  <c r="H55" i="18"/>
  <c r="H54" i="18"/>
  <c r="H53" i="18"/>
  <c r="H52" i="18"/>
  <c r="H51" i="18"/>
  <c r="H50" i="18"/>
  <c r="H49" i="18"/>
  <c r="H48" i="18"/>
  <c r="H47" i="18"/>
  <c r="H46" i="18"/>
  <c r="H45" i="18"/>
  <c r="H44" i="18"/>
  <c r="H43" i="18"/>
  <c r="H42" i="18"/>
  <c r="H41" i="18"/>
  <c r="H40" i="18"/>
  <c r="H39" i="18"/>
  <c r="H38" i="18"/>
  <c r="H37" i="18"/>
  <c r="H36" i="18"/>
  <c r="H35" i="18"/>
  <c r="H34" i="18"/>
  <c r="H33" i="18"/>
  <c r="H32" i="18"/>
  <c r="H31" i="18"/>
  <c r="H30" i="18"/>
  <c r="H29" i="18"/>
  <c r="H28" i="18"/>
  <c r="H27" i="18"/>
  <c r="H26" i="18"/>
  <c r="H25" i="18"/>
  <c r="H24" i="18"/>
  <c r="H23" i="18"/>
  <c r="H22" i="18"/>
  <c r="H21" i="18"/>
  <c r="H20" i="18"/>
  <c r="H19" i="18"/>
  <c r="H18" i="18"/>
  <c r="H61" i="18" s="1"/>
  <c r="P2" i="18" s="1"/>
  <c r="R60" i="18"/>
  <c r="R59" i="18"/>
  <c r="R58" i="18"/>
  <c r="R57" i="18"/>
  <c r="R56" i="18"/>
  <c r="R55" i="18"/>
  <c r="R54" i="18"/>
  <c r="R53" i="18"/>
  <c r="R52" i="18"/>
  <c r="R51" i="18"/>
  <c r="R50" i="18"/>
  <c r="R49" i="18"/>
  <c r="R48" i="18"/>
  <c r="R47" i="18"/>
  <c r="R46" i="18"/>
  <c r="R45" i="18"/>
  <c r="R44" i="18"/>
  <c r="R43" i="18"/>
  <c r="R42" i="18"/>
  <c r="R41" i="18"/>
  <c r="R40" i="18"/>
  <c r="R39" i="18"/>
  <c r="R38" i="18"/>
  <c r="R37" i="18"/>
  <c r="R36" i="18"/>
  <c r="R35" i="18"/>
  <c r="R34" i="18"/>
  <c r="R33" i="18"/>
  <c r="R32" i="18"/>
  <c r="R31" i="18"/>
  <c r="R30" i="18"/>
  <c r="R29" i="18"/>
  <c r="R28" i="18"/>
  <c r="R27" i="18"/>
  <c r="R26" i="18"/>
  <c r="R25" i="18"/>
  <c r="R24" i="18"/>
  <c r="R23" i="18"/>
  <c r="R22" i="18"/>
  <c r="R21" i="18"/>
  <c r="R20" i="18"/>
  <c r="R19" i="18"/>
  <c r="R18" i="18"/>
  <c r="R61" i="18" s="1"/>
  <c r="J61" i="18"/>
  <c r="L18" i="18"/>
  <c r="K61" i="18"/>
  <c r="V18" i="18"/>
  <c r="U18" i="18"/>
  <c r="T19" i="18"/>
  <c r="S19" i="18" s="1"/>
  <c r="V19" i="18"/>
  <c r="U19" i="18"/>
  <c r="T20" i="18"/>
  <c r="S20" i="18" s="1"/>
  <c r="V20" i="18"/>
  <c r="U20" i="18"/>
  <c r="T21" i="18"/>
  <c r="S21" i="18" s="1"/>
  <c r="V21" i="18"/>
  <c r="U21" i="18"/>
  <c r="T22" i="18"/>
  <c r="S22" i="18" s="1"/>
  <c r="V22" i="18"/>
  <c r="U22" i="18"/>
  <c r="T23" i="18"/>
  <c r="S23" i="18" s="1"/>
  <c r="V23" i="18"/>
  <c r="U23" i="18"/>
  <c r="T24" i="18"/>
  <c r="S24" i="18" s="1"/>
  <c r="V24" i="18"/>
  <c r="U24" i="18"/>
  <c r="T25" i="18"/>
  <c r="S25" i="18" s="1"/>
  <c r="V25" i="18"/>
  <c r="U25" i="18"/>
  <c r="T26" i="18"/>
  <c r="S26" i="18" s="1"/>
  <c r="V26" i="18"/>
  <c r="U26" i="18"/>
  <c r="T27" i="18"/>
  <c r="S27" i="18" s="1"/>
  <c r="V27" i="18"/>
  <c r="U27" i="18"/>
  <c r="T28" i="18"/>
  <c r="S28" i="18" s="1"/>
  <c r="V28" i="18"/>
  <c r="U28" i="18"/>
  <c r="T29" i="18"/>
  <c r="S29" i="18" s="1"/>
  <c r="V29" i="18"/>
  <c r="U29" i="18"/>
  <c r="T30" i="18"/>
  <c r="S30" i="18" s="1"/>
  <c r="V30" i="18"/>
  <c r="U30" i="18"/>
  <c r="T31" i="18"/>
  <c r="S31" i="18" s="1"/>
  <c r="V31" i="18"/>
  <c r="U31" i="18"/>
  <c r="T32" i="18"/>
  <c r="S32" i="18" s="1"/>
  <c r="V32" i="18"/>
  <c r="U32" i="18"/>
  <c r="T33" i="18"/>
  <c r="S33" i="18" s="1"/>
  <c r="V33" i="18"/>
  <c r="U33" i="18"/>
  <c r="T34" i="18"/>
  <c r="S34" i="18" s="1"/>
  <c r="V34" i="18"/>
  <c r="U34" i="18"/>
  <c r="T35" i="18"/>
  <c r="S35" i="18" s="1"/>
  <c r="V35" i="18"/>
  <c r="U35" i="18"/>
  <c r="T36" i="18"/>
  <c r="S36" i="18" s="1"/>
  <c r="V36" i="18"/>
  <c r="U36" i="18"/>
  <c r="T37" i="18"/>
  <c r="S37" i="18" s="1"/>
  <c r="V37" i="18"/>
  <c r="U37" i="18"/>
  <c r="T38" i="18"/>
  <c r="S38" i="18" s="1"/>
  <c r="V38" i="18"/>
  <c r="U38" i="18"/>
  <c r="T39" i="18"/>
  <c r="S39" i="18" s="1"/>
  <c r="V39" i="18"/>
  <c r="U39" i="18"/>
  <c r="T40" i="18"/>
  <c r="S40" i="18" s="1"/>
  <c r="V40" i="18"/>
  <c r="U40" i="18"/>
  <c r="T41" i="18"/>
  <c r="S41" i="18" s="1"/>
  <c r="V41" i="18"/>
  <c r="U41" i="18"/>
  <c r="T42" i="18"/>
  <c r="S42" i="18" s="1"/>
  <c r="V42" i="18"/>
  <c r="U42" i="18"/>
  <c r="T43" i="18"/>
  <c r="S43" i="18" s="1"/>
  <c r="V43" i="18"/>
  <c r="U43" i="18"/>
  <c r="T44" i="18"/>
  <c r="S44" i="18" s="1"/>
  <c r="V44" i="18"/>
  <c r="U44" i="18"/>
  <c r="T45" i="18"/>
  <c r="S45" i="18" s="1"/>
  <c r="V45" i="18"/>
  <c r="U45" i="18"/>
  <c r="T46" i="18"/>
  <c r="S46" i="18" s="1"/>
  <c r="V46" i="18"/>
  <c r="U46" i="18"/>
  <c r="T47" i="18"/>
  <c r="S47" i="18" s="1"/>
  <c r="V47" i="18"/>
  <c r="U47" i="18"/>
  <c r="T48" i="18"/>
  <c r="S48" i="18" s="1"/>
  <c r="V48" i="18"/>
  <c r="U48" i="18"/>
  <c r="T49" i="18"/>
  <c r="S49" i="18" s="1"/>
  <c r="V49" i="18"/>
  <c r="U49" i="18"/>
  <c r="T50" i="18"/>
  <c r="S50" i="18" s="1"/>
  <c r="V50" i="18"/>
  <c r="U50" i="18"/>
  <c r="T51" i="18"/>
  <c r="S51" i="18" s="1"/>
  <c r="V51" i="18"/>
  <c r="U51" i="18"/>
  <c r="T52" i="18"/>
  <c r="S52" i="18" s="1"/>
  <c r="V52" i="18"/>
  <c r="U52" i="18"/>
  <c r="T53" i="18"/>
  <c r="S53" i="18" s="1"/>
  <c r="V53" i="18"/>
  <c r="U53" i="18"/>
  <c r="T54" i="18"/>
  <c r="S54" i="18" s="1"/>
  <c r="V54" i="18"/>
  <c r="U54" i="18"/>
  <c r="T55" i="18"/>
  <c r="S55" i="18" s="1"/>
  <c r="V55" i="18"/>
  <c r="U55" i="18"/>
  <c r="T56" i="18"/>
  <c r="S56" i="18" s="1"/>
  <c r="V56" i="18"/>
  <c r="U56" i="18"/>
  <c r="T57" i="18"/>
  <c r="S57" i="18" s="1"/>
  <c r="V57" i="18"/>
  <c r="U57" i="18"/>
  <c r="T58" i="18"/>
  <c r="S58" i="18" s="1"/>
  <c r="V58" i="18"/>
  <c r="U58" i="18"/>
  <c r="T59" i="18"/>
  <c r="S59" i="18" s="1"/>
  <c r="V59" i="18"/>
  <c r="U59" i="18"/>
  <c r="T60" i="18"/>
  <c r="S60" i="18" s="1"/>
  <c r="V60" i="18"/>
  <c r="U60" i="18"/>
  <c r="G60" i="17"/>
  <c r="G59" i="17"/>
  <c r="G58" i="17"/>
  <c r="G57" i="17"/>
  <c r="G56" i="17"/>
  <c r="G55" i="17"/>
  <c r="G54" i="17"/>
  <c r="G53" i="17"/>
  <c r="G52" i="17"/>
  <c r="G51" i="17"/>
  <c r="G50" i="17"/>
  <c r="G49" i="17"/>
  <c r="G48" i="17"/>
  <c r="G47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G34" i="17"/>
  <c r="G33" i="17"/>
  <c r="G32" i="17"/>
  <c r="G31" i="17"/>
  <c r="G30" i="17"/>
  <c r="G29" i="17"/>
  <c r="G28" i="17"/>
  <c r="G27" i="17"/>
  <c r="G26" i="17"/>
  <c r="G25" i="17"/>
  <c r="G24" i="17"/>
  <c r="G23" i="17"/>
  <c r="G22" i="17"/>
  <c r="G21" i="17"/>
  <c r="G20" i="17"/>
  <c r="G19" i="17"/>
  <c r="G18" i="17"/>
  <c r="G61" i="17" s="1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61" i="17" s="1"/>
  <c r="P2" i="17" s="1"/>
  <c r="R60" i="17"/>
  <c r="R59" i="17"/>
  <c r="R58" i="17"/>
  <c r="R57" i="17"/>
  <c r="R56" i="17"/>
  <c r="R55" i="17"/>
  <c r="R54" i="17"/>
  <c r="R53" i="17"/>
  <c r="R52" i="17"/>
  <c r="R51" i="17"/>
  <c r="R50" i="17"/>
  <c r="R49" i="17"/>
  <c r="R48" i="17"/>
  <c r="R47" i="17"/>
  <c r="R46" i="17"/>
  <c r="R45" i="17"/>
  <c r="R44" i="17"/>
  <c r="R43" i="17"/>
  <c r="R42" i="17"/>
  <c r="R41" i="17"/>
  <c r="R40" i="17"/>
  <c r="R39" i="17"/>
  <c r="R38" i="17"/>
  <c r="R37" i="17"/>
  <c r="R36" i="17"/>
  <c r="R35" i="17"/>
  <c r="R34" i="17"/>
  <c r="R33" i="17"/>
  <c r="R32" i="17"/>
  <c r="R31" i="17"/>
  <c r="R30" i="17"/>
  <c r="R29" i="17"/>
  <c r="R28" i="17"/>
  <c r="R27" i="17"/>
  <c r="R26" i="17"/>
  <c r="R25" i="17"/>
  <c r="R24" i="17"/>
  <c r="R23" i="17"/>
  <c r="R22" i="17"/>
  <c r="R21" i="17"/>
  <c r="R20" i="17"/>
  <c r="R19" i="17"/>
  <c r="R18" i="17"/>
  <c r="R61" i="17" s="1"/>
  <c r="J61" i="17"/>
  <c r="L18" i="17"/>
  <c r="K61" i="17"/>
  <c r="V18" i="17"/>
  <c r="U18" i="17"/>
  <c r="T19" i="17"/>
  <c r="S19" i="17" s="1"/>
  <c r="V19" i="17"/>
  <c r="U19" i="17"/>
  <c r="T20" i="17"/>
  <c r="S20" i="17" s="1"/>
  <c r="V20" i="17"/>
  <c r="U20" i="17"/>
  <c r="T21" i="17"/>
  <c r="S21" i="17" s="1"/>
  <c r="V21" i="17"/>
  <c r="U21" i="17"/>
  <c r="T22" i="17"/>
  <c r="S22" i="17" s="1"/>
  <c r="V22" i="17"/>
  <c r="U22" i="17"/>
  <c r="T23" i="17"/>
  <c r="S23" i="17" s="1"/>
  <c r="V23" i="17"/>
  <c r="U23" i="17"/>
  <c r="T24" i="17"/>
  <c r="S24" i="17" s="1"/>
  <c r="V24" i="17"/>
  <c r="U24" i="17"/>
  <c r="T25" i="17"/>
  <c r="S25" i="17" s="1"/>
  <c r="V25" i="17"/>
  <c r="U25" i="17"/>
  <c r="T26" i="17"/>
  <c r="S26" i="17" s="1"/>
  <c r="V26" i="17"/>
  <c r="U26" i="17"/>
  <c r="T27" i="17"/>
  <c r="S27" i="17" s="1"/>
  <c r="V27" i="17"/>
  <c r="U27" i="17"/>
  <c r="T28" i="17"/>
  <c r="S28" i="17" s="1"/>
  <c r="V28" i="17"/>
  <c r="U28" i="17"/>
  <c r="T29" i="17"/>
  <c r="S29" i="17" s="1"/>
  <c r="V29" i="17"/>
  <c r="U29" i="17"/>
  <c r="T30" i="17"/>
  <c r="S30" i="17" s="1"/>
  <c r="V30" i="17"/>
  <c r="U30" i="17"/>
  <c r="T31" i="17"/>
  <c r="S31" i="17" s="1"/>
  <c r="V31" i="17"/>
  <c r="U31" i="17"/>
  <c r="T32" i="17"/>
  <c r="S32" i="17" s="1"/>
  <c r="V32" i="17"/>
  <c r="U32" i="17"/>
  <c r="T33" i="17"/>
  <c r="S33" i="17" s="1"/>
  <c r="V33" i="17"/>
  <c r="U33" i="17"/>
  <c r="T34" i="17"/>
  <c r="S34" i="17" s="1"/>
  <c r="V34" i="17"/>
  <c r="U34" i="17"/>
  <c r="T35" i="17"/>
  <c r="S35" i="17" s="1"/>
  <c r="V35" i="17"/>
  <c r="U35" i="17"/>
  <c r="T36" i="17"/>
  <c r="S36" i="17" s="1"/>
  <c r="V36" i="17"/>
  <c r="U36" i="17"/>
  <c r="T37" i="17"/>
  <c r="S37" i="17" s="1"/>
  <c r="V37" i="17"/>
  <c r="U37" i="17"/>
  <c r="T38" i="17"/>
  <c r="S38" i="17" s="1"/>
  <c r="V38" i="17"/>
  <c r="U38" i="17"/>
  <c r="T39" i="17"/>
  <c r="S39" i="17" s="1"/>
  <c r="V39" i="17"/>
  <c r="U39" i="17"/>
  <c r="T40" i="17"/>
  <c r="S40" i="17" s="1"/>
  <c r="V40" i="17"/>
  <c r="U40" i="17"/>
  <c r="T41" i="17"/>
  <c r="S41" i="17" s="1"/>
  <c r="V41" i="17"/>
  <c r="U41" i="17"/>
  <c r="T42" i="17"/>
  <c r="S42" i="17" s="1"/>
  <c r="V42" i="17"/>
  <c r="U42" i="17"/>
  <c r="T43" i="17"/>
  <c r="S43" i="17" s="1"/>
  <c r="V43" i="17"/>
  <c r="U43" i="17"/>
  <c r="T44" i="17"/>
  <c r="S44" i="17" s="1"/>
  <c r="V44" i="17"/>
  <c r="U44" i="17"/>
  <c r="T45" i="17"/>
  <c r="S45" i="17" s="1"/>
  <c r="V45" i="17"/>
  <c r="U45" i="17"/>
  <c r="T46" i="17"/>
  <c r="S46" i="17" s="1"/>
  <c r="V46" i="17"/>
  <c r="U46" i="17"/>
  <c r="T47" i="17"/>
  <c r="S47" i="17" s="1"/>
  <c r="V47" i="17"/>
  <c r="U47" i="17"/>
  <c r="T48" i="17"/>
  <c r="S48" i="17" s="1"/>
  <c r="V48" i="17"/>
  <c r="U48" i="17"/>
  <c r="T49" i="17"/>
  <c r="S49" i="17" s="1"/>
  <c r="V49" i="17"/>
  <c r="U49" i="17"/>
  <c r="T50" i="17"/>
  <c r="S50" i="17" s="1"/>
  <c r="V50" i="17"/>
  <c r="U50" i="17"/>
  <c r="T51" i="17"/>
  <c r="S51" i="17" s="1"/>
  <c r="V51" i="17"/>
  <c r="U51" i="17"/>
  <c r="T52" i="17"/>
  <c r="S52" i="17" s="1"/>
  <c r="V52" i="17"/>
  <c r="U52" i="17"/>
  <c r="T53" i="17"/>
  <c r="S53" i="17" s="1"/>
  <c r="V53" i="17"/>
  <c r="U53" i="17"/>
  <c r="T54" i="17"/>
  <c r="S54" i="17" s="1"/>
  <c r="V54" i="17"/>
  <c r="U54" i="17"/>
  <c r="T55" i="17"/>
  <c r="S55" i="17" s="1"/>
  <c r="V55" i="17"/>
  <c r="U55" i="17"/>
  <c r="T56" i="17"/>
  <c r="S56" i="17" s="1"/>
  <c r="V56" i="17"/>
  <c r="U56" i="17"/>
  <c r="T57" i="17"/>
  <c r="S57" i="17" s="1"/>
  <c r="V57" i="17"/>
  <c r="U57" i="17"/>
  <c r="T58" i="17"/>
  <c r="S58" i="17" s="1"/>
  <c r="V58" i="17"/>
  <c r="U58" i="17"/>
  <c r="T59" i="17"/>
  <c r="S59" i="17" s="1"/>
  <c r="V59" i="17"/>
  <c r="U59" i="17"/>
  <c r="T60" i="17"/>
  <c r="S60" i="17" s="1"/>
  <c r="V60" i="17"/>
  <c r="U60" i="17"/>
  <c r="G60" i="16"/>
  <c r="G59" i="16"/>
  <c r="G58" i="16"/>
  <c r="G57" i="16"/>
  <c r="G56" i="16"/>
  <c r="G55" i="16"/>
  <c r="G54" i="16"/>
  <c r="G53" i="16"/>
  <c r="G52" i="16"/>
  <c r="G51" i="16"/>
  <c r="G50" i="16"/>
  <c r="G49" i="16"/>
  <c r="G48" i="16"/>
  <c r="G47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G34" i="16"/>
  <c r="G33" i="16"/>
  <c r="G32" i="16"/>
  <c r="G31" i="16"/>
  <c r="G30" i="16"/>
  <c r="G29" i="16"/>
  <c r="G28" i="16"/>
  <c r="G27" i="16"/>
  <c r="G26" i="16"/>
  <c r="G25" i="16"/>
  <c r="G24" i="16"/>
  <c r="G23" i="16"/>
  <c r="G22" i="16"/>
  <c r="G21" i="16"/>
  <c r="G20" i="16"/>
  <c r="G19" i="16"/>
  <c r="G18" i="16"/>
  <c r="G61" i="16" s="1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61" i="16" s="1"/>
  <c r="P2" i="16" s="1"/>
  <c r="R60" i="16"/>
  <c r="R59" i="16"/>
  <c r="R58" i="16"/>
  <c r="R57" i="16"/>
  <c r="R56" i="16"/>
  <c r="R55" i="16"/>
  <c r="R54" i="16"/>
  <c r="R53" i="16"/>
  <c r="R52" i="16"/>
  <c r="R51" i="16"/>
  <c r="R50" i="16"/>
  <c r="R49" i="16"/>
  <c r="R48" i="16"/>
  <c r="R47" i="16"/>
  <c r="R46" i="16"/>
  <c r="R45" i="16"/>
  <c r="R44" i="16"/>
  <c r="R43" i="16"/>
  <c r="R42" i="16"/>
  <c r="R41" i="16"/>
  <c r="R40" i="16"/>
  <c r="R39" i="16"/>
  <c r="R38" i="16"/>
  <c r="R37" i="16"/>
  <c r="R36" i="16"/>
  <c r="R35" i="16"/>
  <c r="R34" i="16"/>
  <c r="R33" i="16"/>
  <c r="R32" i="16"/>
  <c r="R31" i="16"/>
  <c r="R30" i="16"/>
  <c r="R29" i="16"/>
  <c r="R28" i="16"/>
  <c r="R27" i="16"/>
  <c r="R26" i="16"/>
  <c r="R25" i="16"/>
  <c r="R24" i="16"/>
  <c r="R23" i="16"/>
  <c r="R22" i="16"/>
  <c r="R21" i="16"/>
  <c r="R20" i="16"/>
  <c r="R19" i="16"/>
  <c r="R18" i="16"/>
  <c r="R61" i="16" s="1"/>
  <c r="J61" i="16"/>
  <c r="L18" i="16"/>
  <c r="K61" i="16"/>
  <c r="V18" i="16"/>
  <c r="U18" i="16"/>
  <c r="T19" i="16"/>
  <c r="S19" i="16" s="1"/>
  <c r="V19" i="16"/>
  <c r="U19" i="16"/>
  <c r="T20" i="16"/>
  <c r="S20" i="16" s="1"/>
  <c r="V20" i="16"/>
  <c r="U20" i="16"/>
  <c r="T21" i="16"/>
  <c r="S21" i="16" s="1"/>
  <c r="V21" i="16"/>
  <c r="U21" i="16"/>
  <c r="T22" i="16"/>
  <c r="S22" i="16" s="1"/>
  <c r="V22" i="16"/>
  <c r="U22" i="16"/>
  <c r="T23" i="16"/>
  <c r="S23" i="16" s="1"/>
  <c r="V23" i="16"/>
  <c r="U23" i="16"/>
  <c r="T24" i="16"/>
  <c r="S24" i="16" s="1"/>
  <c r="V24" i="16"/>
  <c r="U24" i="16"/>
  <c r="T25" i="16"/>
  <c r="S25" i="16" s="1"/>
  <c r="V25" i="16"/>
  <c r="U25" i="16"/>
  <c r="T26" i="16"/>
  <c r="S26" i="16" s="1"/>
  <c r="V26" i="16"/>
  <c r="U26" i="16"/>
  <c r="T27" i="16"/>
  <c r="S27" i="16" s="1"/>
  <c r="V27" i="16"/>
  <c r="U27" i="16"/>
  <c r="T28" i="16"/>
  <c r="S28" i="16" s="1"/>
  <c r="V28" i="16"/>
  <c r="U28" i="16"/>
  <c r="T29" i="16"/>
  <c r="S29" i="16" s="1"/>
  <c r="V29" i="16"/>
  <c r="U29" i="16"/>
  <c r="T30" i="16"/>
  <c r="S30" i="16" s="1"/>
  <c r="V30" i="16"/>
  <c r="U30" i="16"/>
  <c r="T31" i="16"/>
  <c r="S31" i="16" s="1"/>
  <c r="V31" i="16"/>
  <c r="U31" i="16"/>
  <c r="T32" i="16"/>
  <c r="S32" i="16" s="1"/>
  <c r="V32" i="16"/>
  <c r="U32" i="16"/>
  <c r="T33" i="16"/>
  <c r="S33" i="16" s="1"/>
  <c r="V33" i="16"/>
  <c r="U33" i="16"/>
  <c r="T34" i="16"/>
  <c r="S34" i="16" s="1"/>
  <c r="V34" i="16"/>
  <c r="U34" i="16"/>
  <c r="T35" i="16"/>
  <c r="S35" i="16" s="1"/>
  <c r="V35" i="16"/>
  <c r="U35" i="16"/>
  <c r="T36" i="16"/>
  <c r="S36" i="16" s="1"/>
  <c r="V36" i="16"/>
  <c r="U36" i="16"/>
  <c r="T37" i="16"/>
  <c r="S37" i="16" s="1"/>
  <c r="V37" i="16"/>
  <c r="U37" i="16"/>
  <c r="T38" i="16"/>
  <c r="S38" i="16" s="1"/>
  <c r="V38" i="16"/>
  <c r="U38" i="16"/>
  <c r="T39" i="16"/>
  <c r="S39" i="16" s="1"/>
  <c r="V39" i="16"/>
  <c r="U39" i="16"/>
  <c r="T40" i="16"/>
  <c r="S40" i="16" s="1"/>
  <c r="V40" i="16"/>
  <c r="U40" i="16"/>
  <c r="T41" i="16"/>
  <c r="S41" i="16" s="1"/>
  <c r="V41" i="16"/>
  <c r="U41" i="16"/>
  <c r="T42" i="16"/>
  <c r="S42" i="16" s="1"/>
  <c r="V42" i="16"/>
  <c r="U42" i="16"/>
  <c r="T43" i="16"/>
  <c r="S43" i="16" s="1"/>
  <c r="V43" i="16"/>
  <c r="U43" i="16"/>
  <c r="T44" i="16"/>
  <c r="S44" i="16" s="1"/>
  <c r="V44" i="16"/>
  <c r="U44" i="16"/>
  <c r="T45" i="16"/>
  <c r="S45" i="16" s="1"/>
  <c r="V45" i="16"/>
  <c r="U45" i="16"/>
  <c r="T46" i="16"/>
  <c r="S46" i="16" s="1"/>
  <c r="V46" i="16"/>
  <c r="U46" i="16"/>
  <c r="T47" i="16"/>
  <c r="S47" i="16" s="1"/>
  <c r="V47" i="16"/>
  <c r="U47" i="16"/>
  <c r="T48" i="16"/>
  <c r="S48" i="16" s="1"/>
  <c r="V48" i="16"/>
  <c r="U48" i="16"/>
  <c r="T49" i="16"/>
  <c r="S49" i="16" s="1"/>
  <c r="V49" i="16"/>
  <c r="U49" i="16"/>
  <c r="T50" i="16"/>
  <c r="S50" i="16" s="1"/>
  <c r="V50" i="16"/>
  <c r="U50" i="16"/>
  <c r="T51" i="16"/>
  <c r="S51" i="16" s="1"/>
  <c r="V51" i="16"/>
  <c r="U51" i="16"/>
  <c r="T52" i="16"/>
  <c r="S52" i="16" s="1"/>
  <c r="V52" i="16"/>
  <c r="U52" i="16"/>
  <c r="T53" i="16"/>
  <c r="S53" i="16" s="1"/>
  <c r="V53" i="16"/>
  <c r="U53" i="16"/>
  <c r="T54" i="16"/>
  <c r="S54" i="16" s="1"/>
  <c r="V54" i="16"/>
  <c r="U54" i="16"/>
  <c r="T55" i="16"/>
  <c r="S55" i="16" s="1"/>
  <c r="V55" i="16"/>
  <c r="U55" i="16"/>
  <c r="T56" i="16"/>
  <c r="S56" i="16" s="1"/>
  <c r="V56" i="16"/>
  <c r="U56" i="16"/>
  <c r="T57" i="16"/>
  <c r="S57" i="16" s="1"/>
  <c r="V57" i="16"/>
  <c r="U57" i="16"/>
  <c r="T58" i="16"/>
  <c r="S58" i="16" s="1"/>
  <c r="V58" i="16"/>
  <c r="U58" i="16"/>
  <c r="T59" i="16"/>
  <c r="S59" i="16" s="1"/>
  <c r="V59" i="16"/>
  <c r="U59" i="16"/>
  <c r="T60" i="16"/>
  <c r="S60" i="16" s="1"/>
  <c r="V60" i="16"/>
  <c r="U60" i="16"/>
  <c r="G60" i="15"/>
  <c r="G59" i="15"/>
  <c r="G58" i="15"/>
  <c r="G57" i="15"/>
  <c r="G56" i="15"/>
  <c r="G55" i="15"/>
  <c r="G54" i="15"/>
  <c r="G53" i="15"/>
  <c r="G52" i="15"/>
  <c r="G51" i="15"/>
  <c r="G50" i="15"/>
  <c r="G49" i="15"/>
  <c r="G48" i="15"/>
  <c r="G47" i="15"/>
  <c r="G46" i="15"/>
  <c r="G45" i="15"/>
  <c r="G44" i="15"/>
  <c r="G43" i="15"/>
  <c r="G42" i="15"/>
  <c r="G41" i="15"/>
  <c r="G40" i="15"/>
  <c r="G39" i="15"/>
  <c r="G38" i="15"/>
  <c r="G37" i="15"/>
  <c r="G36" i="15"/>
  <c r="G35" i="15"/>
  <c r="G34" i="15"/>
  <c r="G33" i="15"/>
  <c r="G32" i="15"/>
  <c r="G31" i="15"/>
  <c r="G30" i="15"/>
  <c r="G29" i="15"/>
  <c r="G28" i="15"/>
  <c r="G27" i="15"/>
  <c r="G26" i="15"/>
  <c r="G25" i="15"/>
  <c r="G24" i="15"/>
  <c r="G23" i="15"/>
  <c r="G22" i="15"/>
  <c r="G21" i="15"/>
  <c r="G20" i="15"/>
  <c r="G19" i="15"/>
  <c r="G18" i="15"/>
  <c r="G61" i="15" s="1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61" i="15" s="1"/>
  <c r="P2" i="15" s="1"/>
  <c r="R60" i="15"/>
  <c r="R59" i="15"/>
  <c r="R58" i="15"/>
  <c r="R57" i="15"/>
  <c r="R56" i="15"/>
  <c r="R55" i="15"/>
  <c r="R54" i="15"/>
  <c r="R53" i="15"/>
  <c r="R52" i="15"/>
  <c r="R51" i="15"/>
  <c r="R50" i="15"/>
  <c r="R49" i="15"/>
  <c r="R48" i="15"/>
  <c r="R47" i="15"/>
  <c r="R46" i="15"/>
  <c r="R45" i="15"/>
  <c r="R44" i="15"/>
  <c r="R43" i="15"/>
  <c r="R42" i="15"/>
  <c r="R41" i="15"/>
  <c r="R40" i="15"/>
  <c r="R39" i="15"/>
  <c r="R38" i="15"/>
  <c r="R37" i="15"/>
  <c r="R36" i="15"/>
  <c r="R35" i="15"/>
  <c r="R34" i="15"/>
  <c r="R33" i="15"/>
  <c r="R32" i="15"/>
  <c r="R31" i="15"/>
  <c r="R30" i="15"/>
  <c r="R29" i="15"/>
  <c r="R28" i="15"/>
  <c r="R27" i="15"/>
  <c r="R26" i="15"/>
  <c r="R25" i="15"/>
  <c r="R24" i="15"/>
  <c r="R23" i="15"/>
  <c r="R22" i="15"/>
  <c r="R21" i="15"/>
  <c r="R20" i="15"/>
  <c r="R19" i="15"/>
  <c r="R18" i="15"/>
  <c r="R61" i="15" s="1"/>
  <c r="J61" i="15"/>
  <c r="L18" i="15"/>
  <c r="K61" i="15"/>
  <c r="V18" i="15"/>
  <c r="U18" i="15"/>
  <c r="T19" i="15"/>
  <c r="S19" i="15" s="1"/>
  <c r="V19" i="15"/>
  <c r="U19" i="15"/>
  <c r="T20" i="15"/>
  <c r="S20" i="15" s="1"/>
  <c r="V20" i="15"/>
  <c r="U20" i="15"/>
  <c r="T21" i="15"/>
  <c r="S21" i="15" s="1"/>
  <c r="V21" i="15"/>
  <c r="U21" i="15"/>
  <c r="T22" i="15"/>
  <c r="S22" i="15" s="1"/>
  <c r="V22" i="15"/>
  <c r="U22" i="15"/>
  <c r="T23" i="15"/>
  <c r="S23" i="15" s="1"/>
  <c r="V23" i="15"/>
  <c r="U23" i="15"/>
  <c r="T24" i="15"/>
  <c r="S24" i="15" s="1"/>
  <c r="V24" i="15"/>
  <c r="U24" i="15"/>
  <c r="T25" i="15"/>
  <c r="S25" i="15" s="1"/>
  <c r="V25" i="15"/>
  <c r="U25" i="15"/>
  <c r="T26" i="15"/>
  <c r="S26" i="15" s="1"/>
  <c r="V26" i="15"/>
  <c r="U26" i="15"/>
  <c r="T27" i="15"/>
  <c r="S27" i="15" s="1"/>
  <c r="V27" i="15"/>
  <c r="U27" i="15"/>
  <c r="T28" i="15"/>
  <c r="S28" i="15" s="1"/>
  <c r="V28" i="15"/>
  <c r="U28" i="15"/>
  <c r="T29" i="15"/>
  <c r="S29" i="15" s="1"/>
  <c r="V29" i="15"/>
  <c r="U29" i="15"/>
  <c r="T30" i="15"/>
  <c r="S30" i="15" s="1"/>
  <c r="V30" i="15"/>
  <c r="U30" i="15"/>
  <c r="T31" i="15"/>
  <c r="S31" i="15" s="1"/>
  <c r="V31" i="15"/>
  <c r="U31" i="15"/>
  <c r="T32" i="15"/>
  <c r="S32" i="15" s="1"/>
  <c r="V32" i="15"/>
  <c r="U32" i="15"/>
  <c r="T33" i="15"/>
  <c r="S33" i="15" s="1"/>
  <c r="V33" i="15"/>
  <c r="U33" i="15"/>
  <c r="T34" i="15"/>
  <c r="S34" i="15" s="1"/>
  <c r="V34" i="15"/>
  <c r="U34" i="15"/>
  <c r="T35" i="15"/>
  <c r="S35" i="15" s="1"/>
  <c r="V35" i="15"/>
  <c r="U35" i="15"/>
  <c r="T36" i="15"/>
  <c r="S36" i="15" s="1"/>
  <c r="V36" i="15"/>
  <c r="U36" i="15"/>
  <c r="T37" i="15"/>
  <c r="S37" i="15" s="1"/>
  <c r="V37" i="15"/>
  <c r="U37" i="15"/>
  <c r="T38" i="15"/>
  <c r="S38" i="15" s="1"/>
  <c r="V38" i="15"/>
  <c r="U38" i="15"/>
  <c r="T39" i="15"/>
  <c r="S39" i="15" s="1"/>
  <c r="V39" i="15"/>
  <c r="U39" i="15"/>
  <c r="T40" i="15"/>
  <c r="S40" i="15" s="1"/>
  <c r="V40" i="15"/>
  <c r="U40" i="15"/>
  <c r="T41" i="15"/>
  <c r="S41" i="15" s="1"/>
  <c r="V41" i="15"/>
  <c r="U41" i="15"/>
  <c r="T42" i="15"/>
  <c r="S42" i="15" s="1"/>
  <c r="V42" i="15"/>
  <c r="U42" i="15"/>
  <c r="T43" i="15"/>
  <c r="S43" i="15" s="1"/>
  <c r="V43" i="15"/>
  <c r="U43" i="15"/>
  <c r="T44" i="15"/>
  <c r="S44" i="15" s="1"/>
  <c r="V44" i="15"/>
  <c r="U44" i="15"/>
  <c r="T45" i="15"/>
  <c r="S45" i="15" s="1"/>
  <c r="V45" i="15"/>
  <c r="U45" i="15"/>
  <c r="T46" i="15"/>
  <c r="S46" i="15" s="1"/>
  <c r="V46" i="15"/>
  <c r="U46" i="15"/>
  <c r="T47" i="15"/>
  <c r="S47" i="15" s="1"/>
  <c r="V47" i="15"/>
  <c r="U47" i="15"/>
  <c r="T48" i="15"/>
  <c r="S48" i="15" s="1"/>
  <c r="V48" i="15"/>
  <c r="U48" i="15"/>
  <c r="T49" i="15"/>
  <c r="S49" i="15" s="1"/>
  <c r="V49" i="15"/>
  <c r="U49" i="15"/>
  <c r="T50" i="15"/>
  <c r="S50" i="15" s="1"/>
  <c r="V50" i="15"/>
  <c r="U50" i="15"/>
  <c r="T51" i="15"/>
  <c r="S51" i="15" s="1"/>
  <c r="V51" i="15"/>
  <c r="U51" i="15"/>
  <c r="T52" i="15"/>
  <c r="S52" i="15" s="1"/>
  <c r="V52" i="15"/>
  <c r="U52" i="15"/>
  <c r="T53" i="15"/>
  <c r="S53" i="15" s="1"/>
  <c r="V53" i="15"/>
  <c r="U53" i="15"/>
  <c r="T54" i="15"/>
  <c r="S54" i="15" s="1"/>
  <c r="V54" i="15"/>
  <c r="U54" i="15"/>
  <c r="T55" i="15"/>
  <c r="S55" i="15" s="1"/>
  <c r="V55" i="15"/>
  <c r="U55" i="15"/>
  <c r="T56" i="15"/>
  <c r="S56" i="15" s="1"/>
  <c r="V56" i="15"/>
  <c r="U56" i="15"/>
  <c r="T57" i="15"/>
  <c r="S57" i="15" s="1"/>
  <c r="V57" i="15"/>
  <c r="U57" i="15"/>
  <c r="T58" i="15"/>
  <c r="S58" i="15" s="1"/>
  <c r="V58" i="15"/>
  <c r="U58" i="15"/>
  <c r="T59" i="15"/>
  <c r="S59" i="15" s="1"/>
  <c r="V59" i="15"/>
  <c r="U59" i="15"/>
  <c r="T60" i="15"/>
  <c r="S60" i="15" s="1"/>
  <c r="V60" i="15"/>
  <c r="U60" i="15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61" i="14" s="1"/>
  <c r="H60" i="14"/>
  <c r="H59" i="14"/>
  <c r="H58" i="14"/>
  <c r="H57" i="14"/>
  <c r="H56" i="14"/>
  <c r="H55" i="14"/>
  <c r="H54" i="14"/>
  <c r="H53" i="14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61" i="14" s="1"/>
  <c r="P2" i="14" s="1"/>
  <c r="R60" i="14"/>
  <c r="R59" i="14"/>
  <c r="R58" i="14"/>
  <c r="R57" i="14"/>
  <c r="R56" i="14"/>
  <c r="R55" i="14"/>
  <c r="R54" i="14"/>
  <c r="R53" i="14"/>
  <c r="R52" i="14"/>
  <c r="R51" i="14"/>
  <c r="R50" i="14"/>
  <c r="R49" i="14"/>
  <c r="R48" i="14"/>
  <c r="R47" i="14"/>
  <c r="R46" i="14"/>
  <c r="R45" i="14"/>
  <c r="R44" i="14"/>
  <c r="R43" i="14"/>
  <c r="R42" i="14"/>
  <c r="R41" i="14"/>
  <c r="R40" i="14"/>
  <c r="R39" i="14"/>
  <c r="R38" i="14"/>
  <c r="R37" i="14"/>
  <c r="R36" i="14"/>
  <c r="R35" i="14"/>
  <c r="R34" i="14"/>
  <c r="R33" i="14"/>
  <c r="R32" i="14"/>
  <c r="R31" i="14"/>
  <c r="R30" i="14"/>
  <c r="R29" i="14"/>
  <c r="R28" i="14"/>
  <c r="R27" i="14"/>
  <c r="R26" i="14"/>
  <c r="R25" i="14"/>
  <c r="R24" i="14"/>
  <c r="R23" i="14"/>
  <c r="R22" i="14"/>
  <c r="R21" i="14"/>
  <c r="R20" i="14"/>
  <c r="R19" i="14"/>
  <c r="R18" i="14"/>
  <c r="R61" i="14" s="1"/>
  <c r="J61" i="14"/>
  <c r="L18" i="14"/>
  <c r="K61" i="14"/>
  <c r="V18" i="14"/>
  <c r="U18" i="14"/>
  <c r="T19" i="14"/>
  <c r="S19" i="14" s="1"/>
  <c r="V19" i="14"/>
  <c r="U19" i="14"/>
  <c r="T20" i="14"/>
  <c r="S20" i="14" s="1"/>
  <c r="V20" i="14"/>
  <c r="U20" i="14"/>
  <c r="T21" i="14"/>
  <c r="S21" i="14" s="1"/>
  <c r="V21" i="14"/>
  <c r="U21" i="14"/>
  <c r="T22" i="14"/>
  <c r="S22" i="14" s="1"/>
  <c r="V22" i="14"/>
  <c r="U22" i="14"/>
  <c r="T23" i="14"/>
  <c r="S23" i="14" s="1"/>
  <c r="V23" i="14"/>
  <c r="U23" i="14"/>
  <c r="T24" i="14"/>
  <c r="S24" i="14" s="1"/>
  <c r="V24" i="14"/>
  <c r="U24" i="14"/>
  <c r="T25" i="14"/>
  <c r="S25" i="14" s="1"/>
  <c r="V25" i="14"/>
  <c r="U25" i="14"/>
  <c r="T26" i="14"/>
  <c r="S26" i="14" s="1"/>
  <c r="V26" i="14"/>
  <c r="U26" i="14"/>
  <c r="T27" i="14"/>
  <c r="S27" i="14" s="1"/>
  <c r="V27" i="14"/>
  <c r="U27" i="14"/>
  <c r="T28" i="14"/>
  <c r="S28" i="14" s="1"/>
  <c r="V28" i="14"/>
  <c r="U28" i="14"/>
  <c r="T29" i="14"/>
  <c r="S29" i="14" s="1"/>
  <c r="V29" i="14"/>
  <c r="U29" i="14"/>
  <c r="T30" i="14"/>
  <c r="S30" i="14" s="1"/>
  <c r="V30" i="14"/>
  <c r="U30" i="14"/>
  <c r="T31" i="14"/>
  <c r="S31" i="14" s="1"/>
  <c r="V31" i="14"/>
  <c r="U31" i="14"/>
  <c r="T32" i="14"/>
  <c r="S32" i="14" s="1"/>
  <c r="V32" i="14"/>
  <c r="U32" i="14"/>
  <c r="T33" i="14"/>
  <c r="S33" i="14" s="1"/>
  <c r="V33" i="14"/>
  <c r="U33" i="14"/>
  <c r="T34" i="14"/>
  <c r="S34" i="14" s="1"/>
  <c r="V34" i="14"/>
  <c r="U34" i="14"/>
  <c r="T35" i="14"/>
  <c r="S35" i="14" s="1"/>
  <c r="V35" i="14"/>
  <c r="U35" i="14"/>
  <c r="T36" i="14"/>
  <c r="S36" i="14" s="1"/>
  <c r="V36" i="14"/>
  <c r="U36" i="14"/>
  <c r="T37" i="14"/>
  <c r="S37" i="14" s="1"/>
  <c r="V37" i="14"/>
  <c r="U37" i="14"/>
  <c r="T38" i="14"/>
  <c r="S38" i="14" s="1"/>
  <c r="V38" i="14"/>
  <c r="U38" i="14"/>
  <c r="T39" i="14"/>
  <c r="S39" i="14" s="1"/>
  <c r="V39" i="14"/>
  <c r="U39" i="14"/>
  <c r="T40" i="14"/>
  <c r="S40" i="14" s="1"/>
  <c r="V40" i="14"/>
  <c r="U40" i="14"/>
  <c r="T41" i="14"/>
  <c r="S41" i="14" s="1"/>
  <c r="V41" i="14"/>
  <c r="U41" i="14"/>
  <c r="T42" i="14"/>
  <c r="S42" i="14" s="1"/>
  <c r="V42" i="14"/>
  <c r="U42" i="14"/>
  <c r="T43" i="14"/>
  <c r="S43" i="14" s="1"/>
  <c r="V43" i="14"/>
  <c r="U43" i="14"/>
  <c r="T44" i="14"/>
  <c r="S44" i="14" s="1"/>
  <c r="V44" i="14"/>
  <c r="U44" i="14"/>
  <c r="T45" i="14"/>
  <c r="S45" i="14" s="1"/>
  <c r="V45" i="14"/>
  <c r="U45" i="14"/>
  <c r="T46" i="14"/>
  <c r="S46" i="14" s="1"/>
  <c r="V46" i="14"/>
  <c r="U46" i="14"/>
  <c r="T47" i="14"/>
  <c r="S47" i="14" s="1"/>
  <c r="V47" i="14"/>
  <c r="U47" i="14"/>
  <c r="T48" i="14"/>
  <c r="S48" i="14" s="1"/>
  <c r="V48" i="14"/>
  <c r="U48" i="14"/>
  <c r="T49" i="14"/>
  <c r="S49" i="14" s="1"/>
  <c r="V49" i="14"/>
  <c r="U49" i="14"/>
  <c r="T50" i="14"/>
  <c r="S50" i="14" s="1"/>
  <c r="V50" i="14"/>
  <c r="U50" i="14"/>
  <c r="T51" i="14"/>
  <c r="S51" i="14" s="1"/>
  <c r="V51" i="14"/>
  <c r="U51" i="14"/>
  <c r="T52" i="14"/>
  <c r="S52" i="14" s="1"/>
  <c r="V52" i="14"/>
  <c r="U52" i="14"/>
  <c r="T53" i="14"/>
  <c r="S53" i="14" s="1"/>
  <c r="V53" i="14"/>
  <c r="U53" i="14"/>
  <c r="T54" i="14"/>
  <c r="S54" i="14" s="1"/>
  <c r="V54" i="14"/>
  <c r="U54" i="14"/>
  <c r="T55" i="14"/>
  <c r="S55" i="14" s="1"/>
  <c r="V55" i="14"/>
  <c r="U55" i="14"/>
  <c r="T56" i="14"/>
  <c r="S56" i="14" s="1"/>
  <c r="V56" i="14"/>
  <c r="U56" i="14"/>
  <c r="T57" i="14"/>
  <c r="S57" i="14" s="1"/>
  <c r="V57" i="14"/>
  <c r="U57" i="14"/>
  <c r="T58" i="14"/>
  <c r="S58" i="14" s="1"/>
  <c r="V58" i="14"/>
  <c r="U58" i="14"/>
  <c r="T59" i="14"/>
  <c r="S59" i="14" s="1"/>
  <c r="V59" i="14"/>
  <c r="U59" i="14"/>
  <c r="T60" i="14"/>
  <c r="S60" i="14" s="1"/>
  <c r="V60" i="14"/>
  <c r="U60" i="14"/>
  <c r="G60" i="13"/>
  <c r="G59" i="13"/>
  <c r="G58" i="13"/>
  <c r="G57" i="13"/>
  <c r="G56" i="13"/>
  <c r="G55" i="13"/>
  <c r="G54" i="13"/>
  <c r="G53" i="13"/>
  <c r="G52" i="13"/>
  <c r="G51" i="13"/>
  <c r="G50" i="13"/>
  <c r="G49" i="13"/>
  <c r="G48" i="13"/>
  <c r="G47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G34" i="13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61" i="13" s="1"/>
  <c r="H60" i="13"/>
  <c r="H59" i="13"/>
  <c r="H58" i="13"/>
  <c r="H57" i="13"/>
  <c r="H56" i="13"/>
  <c r="H55" i="13"/>
  <c r="H54" i="13"/>
  <c r="H53" i="13"/>
  <c r="H52" i="13"/>
  <c r="H51" i="13"/>
  <c r="H50" i="13"/>
  <c r="H49" i="13"/>
  <c r="H48" i="13"/>
  <c r="H47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61" i="13" s="1"/>
  <c r="P2" i="13" s="1"/>
  <c r="R60" i="13"/>
  <c r="R59" i="13"/>
  <c r="R58" i="13"/>
  <c r="R57" i="13"/>
  <c r="R56" i="13"/>
  <c r="R55" i="13"/>
  <c r="R54" i="13"/>
  <c r="R53" i="13"/>
  <c r="R52" i="13"/>
  <c r="R51" i="13"/>
  <c r="R50" i="13"/>
  <c r="R49" i="13"/>
  <c r="R48" i="13"/>
  <c r="R47" i="13"/>
  <c r="R46" i="13"/>
  <c r="R45" i="13"/>
  <c r="R44" i="13"/>
  <c r="R43" i="13"/>
  <c r="R42" i="13"/>
  <c r="R41" i="13"/>
  <c r="R40" i="13"/>
  <c r="R39" i="13"/>
  <c r="R38" i="13"/>
  <c r="R37" i="13"/>
  <c r="R36" i="13"/>
  <c r="R35" i="13"/>
  <c r="R34" i="13"/>
  <c r="R33" i="13"/>
  <c r="R32" i="13"/>
  <c r="R31" i="13"/>
  <c r="R30" i="13"/>
  <c r="R29" i="13"/>
  <c r="R28" i="13"/>
  <c r="R27" i="13"/>
  <c r="R26" i="13"/>
  <c r="R25" i="13"/>
  <c r="R24" i="13"/>
  <c r="R23" i="13"/>
  <c r="R22" i="13"/>
  <c r="R21" i="13"/>
  <c r="R20" i="13"/>
  <c r="R19" i="13"/>
  <c r="R18" i="13"/>
  <c r="R61" i="13" s="1"/>
  <c r="J61" i="13"/>
  <c r="L18" i="13"/>
  <c r="K61" i="13"/>
  <c r="V18" i="13"/>
  <c r="U18" i="13"/>
  <c r="T19" i="13"/>
  <c r="S19" i="13" s="1"/>
  <c r="V19" i="13"/>
  <c r="U19" i="13"/>
  <c r="T20" i="13"/>
  <c r="S20" i="13" s="1"/>
  <c r="V20" i="13"/>
  <c r="U20" i="13"/>
  <c r="T21" i="13"/>
  <c r="S21" i="13" s="1"/>
  <c r="V21" i="13"/>
  <c r="U21" i="13"/>
  <c r="T22" i="13"/>
  <c r="S22" i="13" s="1"/>
  <c r="V22" i="13"/>
  <c r="U22" i="13"/>
  <c r="T23" i="13"/>
  <c r="S23" i="13" s="1"/>
  <c r="V23" i="13"/>
  <c r="U23" i="13"/>
  <c r="T24" i="13"/>
  <c r="S24" i="13" s="1"/>
  <c r="V24" i="13"/>
  <c r="U24" i="13"/>
  <c r="T25" i="13"/>
  <c r="S25" i="13" s="1"/>
  <c r="V25" i="13"/>
  <c r="U25" i="13"/>
  <c r="T26" i="13"/>
  <c r="S26" i="13" s="1"/>
  <c r="V26" i="13"/>
  <c r="U26" i="13"/>
  <c r="T27" i="13"/>
  <c r="S27" i="13" s="1"/>
  <c r="V27" i="13"/>
  <c r="U27" i="13"/>
  <c r="T28" i="13"/>
  <c r="S28" i="13" s="1"/>
  <c r="V28" i="13"/>
  <c r="U28" i="13"/>
  <c r="T29" i="13"/>
  <c r="S29" i="13" s="1"/>
  <c r="V29" i="13"/>
  <c r="U29" i="13"/>
  <c r="T30" i="13"/>
  <c r="S30" i="13" s="1"/>
  <c r="V30" i="13"/>
  <c r="U30" i="13"/>
  <c r="T31" i="13"/>
  <c r="S31" i="13" s="1"/>
  <c r="V31" i="13"/>
  <c r="U31" i="13"/>
  <c r="T32" i="13"/>
  <c r="S32" i="13" s="1"/>
  <c r="V32" i="13"/>
  <c r="U32" i="13"/>
  <c r="T33" i="13"/>
  <c r="S33" i="13" s="1"/>
  <c r="V33" i="13"/>
  <c r="U33" i="13"/>
  <c r="T34" i="13"/>
  <c r="S34" i="13" s="1"/>
  <c r="V34" i="13"/>
  <c r="U34" i="13"/>
  <c r="T35" i="13"/>
  <c r="S35" i="13" s="1"/>
  <c r="V35" i="13"/>
  <c r="U35" i="13"/>
  <c r="T36" i="13"/>
  <c r="S36" i="13" s="1"/>
  <c r="V36" i="13"/>
  <c r="U36" i="13"/>
  <c r="T37" i="13"/>
  <c r="S37" i="13" s="1"/>
  <c r="V37" i="13"/>
  <c r="U37" i="13"/>
  <c r="T38" i="13"/>
  <c r="S38" i="13" s="1"/>
  <c r="V38" i="13"/>
  <c r="U38" i="13"/>
  <c r="T39" i="13"/>
  <c r="S39" i="13" s="1"/>
  <c r="V39" i="13"/>
  <c r="U39" i="13"/>
  <c r="T40" i="13"/>
  <c r="S40" i="13" s="1"/>
  <c r="V40" i="13"/>
  <c r="U40" i="13"/>
  <c r="T41" i="13"/>
  <c r="S41" i="13" s="1"/>
  <c r="V41" i="13"/>
  <c r="U41" i="13"/>
  <c r="T42" i="13"/>
  <c r="S42" i="13" s="1"/>
  <c r="V42" i="13"/>
  <c r="U42" i="13"/>
  <c r="T43" i="13"/>
  <c r="S43" i="13" s="1"/>
  <c r="V43" i="13"/>
  <c r="U43" i="13"/>
  <c r="T44" i="13"/>
  <c r="S44" i="13" s="1"/>
  <c r="V44" i="13"/>
  <c r="U44" i="13"/>
  <c r="T45" i="13"/>
  <c r="S45" i="13" s="1"/>
  <c r="V45" i="13"/>
  <c r="U45" i="13"/>
  <c r="T46" i="13"/>
  <c r="S46" i="13" s="1"/>
  <c r="V46" i="13"/>
  <c r="U46" i="13"/>
  <c r="T47" i="13"/>
  <c r="S47" i="13" s="1"/>
  <c r="V47" i="13"/>
  <c r="U47" i="13"/>
  <c r="T48" i="13"/>
  <c r="S48" i="13" s="1"/>
  <c r="V48" i="13"/>
  <c r="U48" i="13"/>
  <c r="T49" i="13"/>
  <c r="S49" i="13" s="1"/>
  <c r="V49" i="13"/>
  <c r="U49" i="13"/>
  <c r="T50" i="13"/>
  <c r="S50" i="13" s="1"/>
  <c r="V50" i="13"/>
  <c r="U50" i="13"/>
  <c r="T51" i="13"/>
  <c r="S51" i="13" s="1"/>
  <c r="V51" i="13"/>
  <c r="U51" i="13"/>
  <c r="T52" i="13"/>
  <c r="S52" i="13" s="1"/>
  <c r="V52" i="13"/>
  <c r="U52" i="13"/>
  <c r="T53" i="13"/>
  <c r="S53" i="13" s="1"/>
  <c r="V53" i="13"/>
  <c r="U53" i="13"/>
  <c r="T54" i="13"/>
  <c r="S54" i="13" s="1"/>
  <c r="V54" i="13"/>
  <c r="U54" i="13"/>
  <c r="T55" i="13"/>
  <c r="S55" i="13" s="1"/>
  <c r="V55" i="13"/>
  <c r="U55" i="13"/>
  <c r="T56" i="13"/>
  <c r="S56" i="13" s="1"/>
  <c r="V56" i="13"/>
  <c r="U56" i="13"/>
  <c r="T57" i="13"/>
  <c r="S57" i="13" s="1"/>
  <c r="V57" i="13"/>
  <c r="U57" i="13"/>
  <c r="T58" i="13"/>
  <c r="S58" i="13" s="1"/>
  <c r="V58" i="13"/>
  <c r="U58" i="13"/>
  <c r="T59" i="13"/>
  <c r="S59" i="13" s="1"/>
  <c r="V59" i="13"/>
  <c r="U59" i="13"/>
  <c r="T60" i="13"/>
  <c r="S60" i="13" s="1"/>
  <c r="V60" i="13"/>
  <c r="U60" i="13"/>
  <c r="G60" i="12"/>
  <c r="G59" i="12"/>
  <c r="G58" i="12"/>
  <c r="G57" i="12"/>
  <c r="G56" i="12"/>
  <c r="G55" i="12"/>
  <c r="G54" i="12"/>
  <c r="G53" i="12"/>
  <c r="G52" i="12"/>
  <c r="G51" i="12"/>
  <c r="G50" i="12"/>
  <c r="G49" i="12"/>
  <c r="G48" i="12"/>
  <c r="G47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G34" i="12"/>
  <c r="G33" i="12"/>
  <c r="G32" i="12"/>
  <c r="G31" i="12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61" i="12" s="1"/>
  <c r="H60" i="12"/>
  <c r="H59" i="12"/>
  <c r="H58" i="12"/>
  <c r="H57" i="12"/>
  <c r="H56" i="12"/>
  <c r="H55" i="12"/>
  <c r="H54" i="12"/>
  <c r="H53" i="12"/>
  <c r="H52" i="12"/>
  <c r="H51" i="12"/>
  <c r="H50" i="12"/>
  <c r="H49" i="12"/>
  <c r="H48" i="12"/>
  <c r="H47" i="12"/>
  <c r="H46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H21" i="12"/>
  <c r="H20" i="12"/>
  <c r="H19" i="12"/>
  <c r="H18" i="12"/>
  <c r="H61" i="12" s="1"/>
  <c r="P2" i="12" s="1"/>
  <c r="R60" i="12"/>
  <c r="R59" i="12"/>
  <c r="R58" i="12"/>
  <c r="R57" i="12"/>
  <c r="R56" i="12"/>
  <c r="R55" i="12"/>
  <c r="R54" i="12"/>
  <c r="R53" i="12"/>
  <c r="R52" i="12"/>
  <c r="R51" i="12"/>
  <c r="R50" i="12"/>
  <c r="R49" i="12"/>
  <c r="R48" i="12"/>
  <c r="R47" i="12"/>
  <c r="R46" i="12"/>
  <c r="R45" i="12"/>
  <c r="R44" i="12"/>
  <c r="R43" i="12"/>
  <c r="R42" i="12"/>
  <c r="R41" i="12"/>
  <c r="R40" i="12"/>
  <c r="R39" i="12"/>
  <c r="R38" i="12"/>
  <c r="R37" i="12"/>
  <c r="R36" i="12"/>
  <c r="R35" i="12"/>
  <c r="R34" i="12"/>
  <c r="R33" i="12"/>
  <c r="R32" i="12"/>
  <c r="R31" i="12"/>
  <c r="R30" i="12"/>
  <c r="R29" i="12"/>
  <c r="R28" i="12"/>
  <c r="R27" i="12"/>
  <c r="R26" i="12"/>
  <c r="R25" i="12"/>
  <c r="R24" i="12"/>
  <c r="R23" i="12"/>
  <c r="R22" i="12"/>
  <c r="R21" i="12"/>
  <c r="R20" i="12"/>
  <c r="R19" i="12"/>
  <c r="R18" i="12"/>
  <c r="R61" i="12" s="1"/>
  <c r="J61" i="12"/>
  <c r="L18" i="12"/>
  <c r="K61" i="12"/>
  <c r="V18" i="12"/>
  <c r="U18" i="12"/>
  <c r="T19" i="12"/>
  <c r="S19" i="12" s="1"/>
  <c r="V19" i="12"/>
  <c r="U19" i="12"/>
  <c r="T20" i="12"/>
  <c r="S20" i="12" s="1"/>
  <c r="V20" i="12"/>
  <c r="U20" i="12"/>
  <c r="T21" i="12"/>
  <c r="S21" i="12" s="1"/>
  <c r="V21" i="12"/>
  <c r="U21" i="12"/>
  <c r="T22" i="12"/>
  <c r="S22" i="12" s="1"/>
  <c r="V22" i="12"/>
  <c r="U22" i="12"/>
  <c r="T23" i="12"/>
  <c r="S23" i="12" s="1"/>
  <c r="V23" i="12"/>
  <c r="U23" i="12"/>
  <c r="T24" i="12"/>
  <c r="S24" i="12" s="1"/>
  <c r="V24" i="12"/>
  <c r="U24" i="12"/>
  <c r="T25" i="12"/>
  <c r="S25" i="12" s="1"/>
  <c r="V25" i="12"/>
  <c r="U25" i="12"/>
  <c r="T26" i="12"/>
  <c r="S26" i="12" s="1"/>
  <c r="V26" i="12"/>
  <c r="U26" i="12"/>
  <c r="T27" i="12"/>
  <c r="S27" i="12" s="1"/>
  <c r="V27" i="12"/>
  <c r="U27" i="12"/>
  <c r="T28" i="12"/>
  <c r="S28" i="12" s="1"/>
  <c r="V28" i="12"/>
  <c r="U28" i="12"/>
  <c r="T29" i="12"/>
  <c r="S29" i="12" s="1"/>
  <c r="V29" i="12"/>
  <c r="U29" i="12"/>
  <c r="T30" i="12"/>
  <c r="S30" i="12" s="1"/>
  <c r="V30" i="12"/>
  <c r="U30" i="12"/>
  <c r="T31" i="12"/>
  <c r="S31" i="12" s="1"/>
  <c r="V31" i="12"/>
  <c r="U31" i="12"/>
  <c r="T32" i="12"/>
  <c r="S32" i="12" s="1"/>
  <c r="V32" i="12"/>
  <c r="U32" i="12"/>
  <c r="T33" i="12"/>
  <c r="S33" i="12" s="1"/>
  <c r="V33" i="12"/>
  <c r="U33" i="12"/>
  <c r="T34" i="12"/>
  <c r="S34" i="12" s="1"/>
  <c r="V34" i="12"/>
  <c r="U34" i="12"/>
  <c r="T35" i="12"/>
  <c r="S35" i="12" s="1"/>
  <c r="V35" i="12"/>
  <c r="U35" i="12"/>
  <c r="T36" i="12"/>
  <c r="S36" i="12" s="1"/>
  <c r="V36" i="12"/>
  <c r="U36" i="12"/>
  <c r="T37" i="12"/>
  <c r="S37" i="12" s="1"/>
  <c r="V37" i="12"/>
  <c r="U37" i="12"/>
  <c r="T38" i="12"/>
  <c r="S38" i="12" s="1"/>
  <c r="V38" i="12"/>
  <c r="U38" i="12"/>
  <c r="T39" i="12"/>
  <c r="S39" i="12" s="1"/>
  <c r="V39" i="12"/>
  <c r="U39" i="12"/>
  <c r="T40" i="12"/>
  <c r="S40" i="12" s="1"/>
  <c r="V40" i="12"/>
  <c r="U40" i="12"/>
  <c r="T41" i="12"/>
  <c r="S41" i="12" s="1"/>
  <c r="V41" i="12"/>
  <c r="U41" i="12"/>
  <c r="T42" i="12"/>
  <c r="S42" i="12" s="1"/>
  <c r="V42" i="12"/>
  <c r="U42" i="12"/>
  <c r="T43" i="12"/>
  <c r="S43" i="12" s="1"/>
  <c r="V43" i="12"/>
  <c r="U43" i="12"/>
  <c r="T44" i="12"/>
  <c r="S44" i="12" s="1"/>
  <c r="V44" i="12"/>
  <c r="U44" i="12"/>
  <c r="T45" i="12"/>
  <c r="S45" i="12" s="1"/>
  <c r="V45" i="12"/>
  <c r="U45" i="12"/>
  <c r="T46" i="12"/>
  <c r="S46" i="12" s="1"/>
  <c r="V46" i="12"/>
  <c r="U46" i="12"/>
  <c r="T47" i="12"/>
  <c r="S47" i="12" s="1"/>
  <c r="V47" i="12"/>
  <c r="U47" i="12"/>
  <c r="T48" i="12"/>
  <c r="S48" i="12" s="1"/>
  <c r="V48" i="12"/>
  <c r="U48" i="12"/>
  <c r="T49" i="12"/>
  <c r="S49" i="12" s="1"/>
  <c r="V49" i="12"/>
  <c r="U49" i="12"/>
  <c r="T50" i="12"/>
  <c r="S50" i="12" s="1"/>
  <c r="V50" i="12"/>
  <c r="U50" i="12"/>
  <c r="T51" i="12"/>
  <c r="S51" i="12" s="1"/>
  <c r="V51" i="12"/>
  <c r="U51" i="12"/>
  <c r="T52" i="12"/>
  <c r="S52" i="12" s="1"/>
  <c r="V52" i="12"/>
  <c r="U52" i="12"/>
  <c r="T53" i="12"/>
  <c r="S53" i="12" s="1"/>
  <c r="V53" i="12"/>
  <c r="U53" i="12"/>
  <c r="T54" i="12"/>
  <c r="S54" i="12" s="1"/>
  <c r="V54" i="12"/>
  <c r="U54" i="12"/>
  <c r="T55" i="12"/>
  <c r="S55" i="12" s="1"/>
  <c r="V55" i="12"/>
  <c r="U55" i="12"/>
  <c r="T56" i="12"/>
  <c r="S56" i="12" s="1"/>
  <c r="V56" i="12"/>
  <c r="U56" i="12"/>
  <c r="T57" i="12"/>
  <c r="S57" i="12" s="1"/>
  <c r="V57" i="12"/>
  <c r="U57" i="12"/>
  <c r="T58" i="12"/>
  <c r="S58" i="12" s="1"/>
  <c r="V58" i="12"/>
  <c r="U58" i="12"/>
  <c r="T59" i="12"/>
  <c r="S59" i="12" s="1"/>
  <c r="V59" i="12"/>
  <c r="U59" i="12"/>
  <c r="T60" i="12"/>
  <c r="S60" i="12" s="1"/>
  <c r="V60" i="12"/>
  <c r="U60" i="12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61" i="11" s="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61" i="11" s="1"/>
  <c r="P2" i="11" s="1"/>
  <c r="R60" i="11"/>
  <c r="R59" i="11"/>
  <c r="R58" i="11"/>
  <c r="R57" i="11"/>
  <c r="R56" i="11"/>
  <c r="R55" i="11"/>
  <c r="R54" i="11"/>
  <c r="R53" i="11"/>
  <c r="R52" i="11"/>
  <c r="R51" i="11"/>
  <c r="R50" i="11"/>
  <c r="R49" i="11"/>
  <c r="R48" i="11"/>
  <c r="R47" i="11"/>
  <c r="R46" i="11"/>
  <c r="R45" i="11"/>
  <c r="R44" i="11"/>
  <c r="R43" i="11"/>
  <c r="R42" i="11"/>
  <c r="R41" i="11"/>
  <c r="R40" i="11"/>
  <c r="R39" i="11"/>
  <c r="R38" i="11"/>
  <c r="R37" i="11"/>
  <c r="R36" i="11"/>
  <c r="R35" i="11"/>
  <c r="R34" i="11"/>
  <c r="R33" i="11"/>
  <c r="R32" i="11"/>
  <c r="R31" i="11"/>
  <c r="R30" i="11"/>
  <c r="R29" i="11"/>
  <c r="R28" i="11"/>
  <c r="R27" i="11"/>
  <c r="R26" i="11"/>
  <c r="R25" i="11"/>
  <c r="R24" i="11"/>
  <c r="R23" i="11"/>
  <c r="R22" i="11"/>
  <c r="R21" i="11"/>
  <c r="R20" i="11"/>
  <c r="R19" i="11"/>
  <c r="R18" i="11"/>
  <c r="R61" i="11" s="1"/>
  <c r="J61" i="11"/>
  <c r="L18" i="11"/>
  <c r="K61" i="11"/>
  <c r="V18" i="11"/>
  <c r="U18" i="11"/>
  <c r="T19" i="11"/>
  <c r="S19" i="11" s="1"/>
  <c r="V19" i="11"/>
  <c r="U19" i="11"/>
  <c r="T20" i="11"/>
  <c r="S20" i="11" s="1"/>
  <c r="V20" i="11"/>
  <c r="U20" i="11"/>
  <c r="T21" i="11"/>
  <c r="S21" i="11" s="1"/>
  <c r="V21" i="11"/>
  <c r="U21" i="11"/>
  <c r="T22" i="11"/>
  <c r="S22" i="11" s="1"/>
  <c r="V22" i="11"/>
  <c r="U22" i="11"/>
  <c r="T23" i="11"/>
  <c r="S23" i="11" s="1"/>
  <c r="V23" i="11"/>
  <c r="U23" i="11"/>
  <c r="T24" i="11"/>
  <c r="S24" i="11" s="1"/>
  <c r="V24" i="11"/>
  <c r="U24" i="11"/>
  <c r="T25" i="11"/>
  <c r="S25" i="11" s="1"/>
  <c r="V25" i="11"/>
  <c r="U25" i="11"/>
  <c r="T26" i="11"/>
  <c r="S26" i="11" s="1"/>
  <c r="V26" i="11"/>
  <c r="U26" i="11"/>
  <c r="T27" i="11"/>
  <c r="S27" i="11" s="1"/>
  <c r="V27" i="11"/>
  <c r="U27" i="11"/>
  <c r="T28" i="11"/>
  <c r="S28" i="11" s="1"/>
  <c r="V28" i="11"/>
  <c r="U28" i="11"/>
  <c r="T29" i="11"/>
  <c r="S29" i="11" s="1"/>
  <c r="V29" i="11"/>
  <c r="U29" i="11"/>
  <c r="T30" i="11"/>
  <c r="S30" i="11" s="1"/>
  <c r="V30" i="11"/>
  <c r="U30" i="11"/>
  <c r="T31" i="11"/>
  <c r="S31" i="11" s="1"/>
  <c r="V31" i="11"/>
  <c r="U31" i="11"/>
  <c r="T32" i="11"/>
  <c r="S32" i="11" s="1"/>
  <c r="V32" i="11"/>
  <c r="U32" i="11"/>
  <c r="T33" i="11"/>
  <c r="S33" i="11" s="1"/>
  <c r="V33" i="11"/>
  <c r="U33" i="11"/>
  <c r="T34" i="11"/>
  <c r="S34" i="11" s="1"/>
  <c r="V34" i="11"/>
  <c r="U34" i="11"/>
  <c r="T35" i="11"/>
  <c r="S35" i="11" s="1"/>
  <c r="V35" i="11"/>
  <c r="U35" i="11"/>
  <c r="T36" i="11"/>
  <c r="S36" i="11" s="1"/>
  <c r="V36" i="11"/>
  <c r="U36" i="11"/>
  <c r="T37" i="11"/>
  <c r="S37" i="11" s="1"/>
  <c r="V37" i="11"/>
  <c r="U37" i="11"/>
  <c r="T38" i="11"/>
  <c r="S38" i="11" s="1"/>
  <c r="V38" i="11"/>
  <c r="U38" i="11"/>
  <c r="T39" i="11"/>
  <c r="S39" i="11" s="1"/>
  <c r="V39" i="11"/>
  <c r="U39" i="11"/>
  <c r="T40" i="11"/>
  <c r="S40" i="11" s="1"/>
  <c r="V40" i="11"/>
  <c r="U40" i="11"/>
  <c r="T41" i="11"/>
  <c r="S41" i="11" s="1"/>
  <c r="V41" i="11"/>
  <c r="U41" i="11"/>
  <c r="T42" i="11"/>
  <c r="S42" i="11" s="1"/>
  <c r="V42" i="11"/>
  <c r="U42" i="11"/>
  <c r="T43" i="11"/>
  <c r="S43" i="11" s="1"/>
  <c r="V43" i="11"/>
  <c r="U43" i="11"/>
  <c r="T44" i="11"/>
  <c r="S44" i="11" s="1"/>
  <c r="V44" i="11"/>
  <c r="U44" i="11"/>
  <c r="T45" i="11"/>
  <c r="S45" i="11" s="1"/>
  <c r="V45" i="11"/>
  <c r="U45" i="11"/>
  <c r="T46" i="11"/>
  <c r="S46" i="11" s="1"/>
  <c r="V46" i="11"/>
  <c r="U46" i="11"/>
  <c r="T47" i="11"/>
  <c r="S47" i="11" s="1"/>
  <c r="V47" i="11"/>
  <c r="U47" i="11"/>
  <c r="T48" i="11"/>
  <c r="S48" i="11" s="1"/>
  <c r="V48" i="11"/>
  <c r="U48" i="11"/>
  <c r="T49" i="11"/>
  <c r="S49" i="11" s="1"/>
  <c r="V49" i="11"/>
  <c r="U49" i="11"/>
  <c r="T50" i="11"/>
  <c r="S50" i="11" s="1"/>
  <c r="V50" i="11"/>
  <c r="U50" i="11"/>
  <c r="T51" i="11"/>
  <c r="S51" i="11" s="1"/>
  <c r="V51" i="11"/>
  <c r="U51" i="11"/>
  <c r="T52" i="11"/>
  <c r="S52" i="11" s="1"/>
  <c r="V52" i="11"/>
  <c r="U52" i="11"/>
  <c r="T53" i="11"/>
  <c r="S53" i="11" s="1"/>
  <c r="V53" i="11"/>
  <c r="U53" i="11"/>
  <c r="T54" i="11"/>
  <c r="S54" i="11" s="1"/>
  <c r="V54" i="11"/>
  <c r="U54" i="11"/>
  <c r="T55" i="11"/>
  <c r="S55" i="11" s="1"/>
  <c r="V55" i="11"/>
  <c r="U55" i="11"/>
  <c r="T56" i="11"/>
  <c r="S56" i="11" s="1"/>
  <c r="V56" i="11"/>
  <c r="U56" i="11"/>
  <c r="T57" i="11"/>
  <c r="S57" i="11" s="1"/>
  <c r="V57" i="11"/>
  <c r="U57" i="11"/>
  <c r="T58" i="11"/>
  <c r="S58" i="11" s="1"/>
  <c r="V58" i="11"/>
  <c r="U58" i="11"/>
  <c r="T59" i="11"/>
  <c r="S59" i="11" s="1"/>
  <c r="V59" i="11"/>
  <c r="U59" i="11"/>
  <c r="T60" i="11"/>
  <c r="S60" i="11" s="1"/>
  <c r="V60" i="11"/>
  <c r="U60" i="11"/>
  <c r="G60" i="10"/>
  <c r="G59" i="10"/>
  <c r="G58" i="10"/>
  <c r="G57" i="10"/>
  <c r="G56" i="10"/>
  <c r="G55" i="10"/>
  <c r="G54" i="10"/>
  <c r="G53" i="10"/>
  <c r="G52" i="10"/>
  <c r="G51" i="10"/>
  <c r="G50" i="10"/>
  <c r="G49" i="10"/>
  <c r="G48" i="10"/>
  <c r="G47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61" i="10" s="1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61" i="10" s="1"/>
  <c r="P2" i="10" s="1"/>
  <c r="R60" i="10"/>
  <c r="R59" i="10"/>
  <c r="R58" i="10"/>
  <c r="R57" i="10"/>
  <c r="R56" i="10"/>
  <c r="R55" i="10"/>
  <c r="R54" i="10"/>
  <c r="R53" i="10"/>
  <c r="R52" i="10"/>
  <c r="R51" i="10"/>
  <c r="R50" i="10"/>
  <c r="R49" i="10"/>
  <c r="R48" i="10"/>
  <c r="R47" i="10"/>
  <c r="R46" i="10"/>
  <c r="R45" i="10"/>
  <c r="R44" i="10"/>
  <c r="R43" i="10"/>
  <c r="R42" i="10"/>
  <c r="R41" i="10"/>
  <c r="R40" i="10"/>
  <c r="R39" i="10"/>
  <c r="R38" i="10"/>
  <c r="R37" i="10"/>
  <c r="R36" i="10"/>
  <c r="R35" i="10"/>
  <c r="R34" i="10"/>
  <c r="R33" i="10"/>
  <c r="R32" i="10"/>
  <c r="R31" i="10"/>
  <c r="R30" i="10"/>
  <c r="R29" i="10"/>
  <c r="R28" i="10"/>
  <c r="R27" i="10"/>
  <c r="R26" i="10"/>
  <c r="R25" i="10"/>
  <c r="R24" i="10"/>
  <c r="R23" i="10"/>
  <c r="R22" i="10"/>
  <c r="R21" i="10"/>
  <c r="R20" i="10"/>
  <c r="R19" i="10"/>
  <c r="R18" i="10"/>
  <c r="R61" i="10" s="1"/>
  <c r="J61" i="10"/>
  <c r="L18" i="10"/>
  <c r="K61" i="10"/>
  <c r="V18" i="10"/>
  <c r="U18" i="10"/>
  <c r="T19" i="10"/>
  <c r="S19" i="10" s="1"/>
  <c r="V19" i="10"/>
  <c r="U19" i="10"/>
  <c r="T20" i="10"/>
  <c r="S20" i="10" s="1"/>
  <c r="V20" i="10"/>
  <c r="U20" i="10"/>
  <c r="T21" i="10"/>
  <c r="S21" i="10" s="1"/>
  <c r="V21" i="10"/>
  <c r="U21" i="10"/>
  <c r="T22" i="10"/>
  <c r="S22" i="10" s="1"/>
  <c r="V22" i="10"/>
  <c r="U22" i="10"/>
  <c r="T23" i="10"/>
  <c r="S23" i="10" s="1"/>
  <c r="V23" i="10"/>
  <c r="U23" i="10"/>
  <c r="T24" i="10"/>
  <c r="S24" i="10" s="1"/>
  <c r="V24" i="10"/>
  <c r="U24" i="10"/>
  <c r="T25" i="10"/>
  <c r="S25" i="10" s="1"/>
  <c r="V25" i="10"/>
  <c r="U25" i="10"/>
  <c r="T26" i="10"/>
  <c r="S26" i="10" s="1"/>
  <c r="V26" i="10"/>
  <c r="U26" i="10"/>
  <c r="T27" i="10"/>
  <c r="S27" i="10" s="1"/>
  <c r="V27" i="10"/>
  <c r="U27" i="10"/>
  <c r="T28" i="10"/>
  <c r="S28" i="10" s="1"/>
  <c r="V28" i="10"/>
  <c r="U28" i="10"/>
  <c r="T29" i="10"/>
  <c r="S29" i="10" s="1"/>
  <c r="V29" i="10"/>
  <c r="U29" i="10"/>
  <c r="T30" i="10"/>
  <c r="S30" i="10" s="1"/>
  <c r="V30" i="10"/>
  <c r="U30" i="10"/>
  <c r="T31" i="10"/>
  <c r="S31" i="10" s="1"/>
  <c r="V31" i="10"/>
  <c r="U31" i="10"/>
  <c r="T32" i="10"/>
  <c r="S32" i="10" s="1"/>
  <c r="V32" i="10"/>
  <c r="U32" i="10"/>
  <c r="T33" i="10"/>
  <c r="S33" i="10" s="1"/>
  <c r="V33" i="10"/>
  <c r="U33" i="10"/>
  <c r="T34" i="10"/>
  <c r="S34" i="10" s="1"/>
  <c r="V34" i="10"/>
  <c r="U34" i="10"/>
  <c r="T35" i="10"/>
  <c r="S35" i="10" s="1"/>
  <c r="V35" i="10"/>
  <c r="U35" i="10"/>
  <c r="T36" i="10"/>
  <c r="S36" i="10" s="1"/>
  <c r="V36" i="10"/>
  <c r="U36" i="10"/>
  <c r="T37" i="10"/>
  <c r="S37" i="10" s="1"/>
  <c r="V37" i="10"/>
  <c r="U37" i="10"/>
  <c r="T38" i="10"/>
  <c r="S38" i="10" s="1"/>
  <c r="V38" i="10"/>
  <c r="U38" i="10"/>
  <c r="T39" i="10"/>
  <c r="S39" i="10" s="1"/>
  <c r="V39" i="10"/>
  <c r="U39" i="10"/>
  <c r="T40" i="10"/>
  <c r="S40" i="10" s="1"/>
  <c r="V40" i="10"/>
  <c r="U40" i="10"/>
  <c r="T41" i="10"/>
  <c r="S41" i="10" s="1"/>
  <c r="V41" i="10"/>
  <c r="U41" i="10"/>
  <c r="T42" i="10"/>
  <c r="S42" i="10" s="1"/>
  <c r="V42" i="10"/>
  <c r="U42" i="10"/>
  <c r="T43" i="10"/>
  <c r="S43" i="10" s="1"/>
  <c r="V43" i="10"/>
  <c r="U43" i="10"/>
  <c r="T44" i="10"/>
  <c r="S44" i="10" s="1"/>
  <c r="V44" i="10"/>
  <c r="U44" i="10"/>
  <c r="T45" i="10"/>
  <c r="S45" i="10" s="1"/>
  <c r="V45" i="10"/>
  <c r="U45" i="10"/>
  <c r="T46" i="10"/>
  <c r="S46" i="10" s="1"/>
  <c r="V46" i="10"/>
  <c r="U46" i="10"/>
  <c r="T47" i="10"/>
  <c r="S47" i="10" s="1"/>
  <c r="V47" i="10"/>
  <c r="U47" i="10"/>
  <c r="T48" i="10"/>
  <c r="S48" i="10" s="1"/>
  <c r="V48" i="10"/>
  <c r="U48" i="10"/>
  <c r="T49" i="10"/>
  <c r="S49" i="10" s="1"/>
  <c r="V49" i="10"/>
  <c r="U49" i="10"/>
  <c r="T50" i="10"/>
  <c r="S50" i="10" s="1"/>
  <c r="V50" i="10"/>
  <c r="U50" i="10"/>
  <c r="T51" i="10"/>
  <c r="S51" i="10" s="1"/>
  <c r="V51" i="10"/>
  <c r="U51" i="10"/>
  <c r="T52" i="10"/>
  <c r="S52" i="10" s="1"/>
  <c r="V52" i="10"/>
  <c r="U52" i="10"/>
  <c r="T53" i="10"/>
  <c r="S53" i="10" s="1"/>
  <c r="V53" i="10"/>
  <c r="U53" i="10"/>
  <c r="T54" i="10"/>
  <c r="S54" i="10" s="1"/>
  <c r="V54" i="10"/>
  <c r="U54" i="10"/>
  <c r="T55" i="10"/>
  <c r="S55" i="10" s="1"/>
  <c r="V55" i="10"/>
  <c r="U55" i="10"/>
  <c r="T56" i="10"/>
  <c r="S56" i="10" s="1"/>
  <c r="V56" i="10"/>
  <c r="U56" i="10"/>
  <c r="T57" i="10"/>
  <c r="S57" i="10" s="1"/>
  <c r="V57" i="10"/>
  <c r="U57" i="10"/>
  <c r="T58" i="10"/>
  <c r="S58" i="10" s="1"/>
  <c r="V58" i="10"/>
  <c r="U58" i="10"/>
  <c r="T59" i="10"/>
  <c r="S59" i="10" s="1"/>
  <c r="V59" i="10"/>
  <c r="U59" i="10"/>
  <c r="T60" i="10"/>
  <c r="S60" i="10" s="1"/>
  <c r="V60" i="10"/>
  <c r="U60" i="10"/>
  <c r="G60" i="9"/>
  <c r="G59" i="9"/>
  <c r="G58" i="9"/>
  <c r="G57" i="9"/>
  <c r="G56" i="9"/>
  <c r="G55" i="9"/>
  <c r="G54" i="9"/>
  <c r="G53" i="9"/>
  <c r="G52" i="9"/>
  <c r="G51" i="9"/>
  <c r="G50" i="9"/>
  <c r="G49" i="9"/>
  <c r="G48" i="9"/>
  <c r="G47" i="9"/>
  <c r="G46" i="9"/>
  <c r="G45" i="9"/>
  <c r="G44" i="9"/>
  <c r="G43" i="9"/>
  <c r="G42" i="9"/>
  <c r="G41" i="9"/>
  <c r="G40" i="9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61" i="9" s="1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61" i="9" s="1"/>
  <c r="P2" i="9" s="1"/>
  <c r="R60" i="9"/>
  <c r="R59" i="9"/>
  <c r="R58" i="9"/>
  <c r="R57" i="9"/>
  <c r="R56" i="9"/>
  <c r="R55" i="9"/>
  <c r="R54" i="9"/>
  <c r="R53" i="9"/>
  <c r="R52" i="9"/>
  <c r="R51" i="9"/>
  <c r="R50" i="9"/>
  <c r="R49" i="9"/>
  <c r="R48" i="9"/>
  <c r="R47" i="9"/>
  <c r="R46" i="9"/>
  <c r="R45" i="9"/>
  <c r="R44" i="9"/>
  <c r="R43" i="9"/>
  <c r="R42" i="9"/>
  <c r="R41" i="9"/>
  <c r="R40" i="9"/>
  <c r="R39" i="9"/>
  <c r="R38" i="9"/>
  <c r="R37" i="9"/>
  <c r="R36" i="9"/>
  <c r="R35" i="9"/>
  <c r="R34" i="9"/>
  <c r="R33" i="9"/>
  <c r="R32" i="9"/>
  <c r="R31" i="9"/>
  <c r="R30" i="9"/>
  <c r="R29" i="9"/>
  <c r="R28" i="9"/>
  <c r="R27" i="9"/>
  <c r="R26" i="9"/>
  <c r="R25" i="9"/>
  <c r="R24" i="9"/>
  <c r="R23" i="9"/>
  <c r="R22" i="9"/>
  <c r="R21" i="9"/>
  <c r="R20" i="9"/>
  <c r="R19" i="9"/>
  <c r="R18" i="9"/>
  <c r="R61" i="9" s="1"/>
  <c r="J61" i="9"/>
  <c r="L18" i="9"/>
  <c r="K61" i="9"/>
  <c r="V18" i="9"/>
  <c r="U18" i="9"/>
  <c r="T19" i="9"/>
  <c r="S19" i="9" s="1"/>
  <c r="V19" i="9"/>
  <c r="U19" i="9"/>
  <c r="T20" i="9"/>
  <c r="S20" i="9" s="1"/>
  <c r="V20" i="9"/>
  <c r="U20" i="9"/>
  <c r="T21" i="9"/>
  <c r="S21" i="9" s="1"/>
  <c r="V21" i="9"/>
  <c r="U21" i="9"/>
  <c r="T22" i="9"/>
  <c r="S22" i="9" s="1"/>
  <c r="V22" i="9"/>
  <c r="U22" i="9"/>
  <c r="T23" i="9"/>
  <c r="S23" i="9" s="1"/>
  <c r="V23" i="9"/>
  <c r="U23" i="9"/>
  <c r="T24" i="9"/>
  <c r="S24" i="9" s="1"/>
  <c r="V24" i="9"/>
  <c r="U24" i="9"/>
  <c r="T25" i="9"/>
  <c r="S25" i="9" s="1"/>
  <c r="V25" i="9"/>
  <c r="U25" i="9"/>
  <c r="T26" i="9"/>
  <c r="S26" i="9" s="1"/>
  <c r="V26" i="9"/>
  <c r="U26" i="9"/>
  <c r="T27" i="9"/>
  <c r="S27" i="9" s="1"/>
  <c r="V27" i="9"/>
  <c r="U27" i="9"/>
  <c r="T28" i="9"/>
  <c r="S28" i="9" s="1"/>
  <c r="V28" i="9"/>
  <c r="U28" i="9"/>
  <c r="T29" i="9"/>
  <c r="S29" i="9" s="1"/>
  <c r="V29" i="9"/>
  <c r="U29" i="9"/>
  <c r="T30" i="9"/>
  <c r="S30" i="9" s="1"/>
  <c r="V30" i="9"/>
  <c r="U30" i="9"/>
  <c r="T31" i="9"/>
  <c r="S31" i="9" s="1"/>
  <c r="V31" i="9"/>
  <c r="U31" i="9"/>
  <c r="T32" i="9"/>
  <c r="S32" i="9" s="1"/>
  <c r="V32" i="9"/>
  <c r="U32" i="9"/>
  <c r="T33" i="9"/>
  <c r="S33" i="9" s="1"/>
  <c r="V33" i="9"/>
  <c r="U33" i="9"/>
  <c r="T34" i="9"/>
  <c r="S34" i="9" s="1"/>
  <c r="V34" i="9"/>
  <c r="U34" i="9"/>
  <c r="T35" i="9"/>
  <c r="S35" i="9" s="1"/>
  <c r="V35" i="9"/>
  <c r="U35" i="9"/>
  <c r="T36" i="9"/>
  <c r="S36" i="9" s="1"/>
  <c r="V36" i="9"/>
  <c r="U36" i="9"/>
  <c r="T37" i="9"/>
  <c r="S37" i="9" s="1"/>
  <c r="V37" i="9"/>
  <c r="U37" i="9"/>
  <c r="T38" i="9"/>
  <c r="S38" i="9" s="1"/>
  <c r="V38" i="9"/>
  <c r="U38" i="9"/>
  <c r="T39" i="9"/>
  <c r="S39" i="9" s="1"/>
  <c r="V39" i="9"/>
  <c r="U39" i="9"/>
  <c r="T40" i="9"/>
  <c r="S40" i="9" s="1"/>
  <c r="V40" i="9"/>
  <c r="U40" i="9"/>
  <c r="T41" i="9"/>
  <c r="S41" i="9" s="1"/>
  <c r="V41" i="9"/>
  <c r="U41" i="9"/>
  <c r="T42" i="9"/>
  <c r="S42" i="9" s="1"/>
  <c r="V42" i="9"/>
  <c r="U42" i="9"/>
  <c r="T43" i="9"/>
  <c r="S43" i="9" s="1"/>
  <c r="V43" i="9"/>
  <c r="U43" i="9"/>
  <c r="T44" i="9"/>
  <c r="S44" i="9" s="1"/>
  <c r="V44" i="9"/>
  <c r="U44" i="9"/>
  <c r="T45" i="9"/>
  <c r="S45" i="9" s="1"/>
  <c r="V45" i="9"/>
  <c r="U45" i="9"/>
  <c r="T46" i="9"/>
  <c r="S46" i="9" s="1"/>
  <c r="V46" i="9"/>
  <c r="U46" i="9"/>
  <c r="T47" i="9"/>
  <c r="S47" i="9" s="1"/>
  <c r="V47" i="9"/>
  <c r="U47" i="9"/>
  <c r="T48" i="9"/>
  <c r="S48" i="9" s="1"/>
  <c r="V48" i="9"/>
  <c r="U48" i="9"/>
  <c r="T49" i="9"/>
  <c r="S49" i="9" s="1"/>
  <c r="V49" i="9"/>
  <c r="U49" i="9"/>
  <c r="T50" i="9"/>
  <c r="S50" i="9" s="1"/>
  <c r="V50" i="9"/>
  <c r="U50" i="9"/>
  <c r="T51" i="9"/>
  <c r="S51" i="9" s="1"/>
  <c r="V51" i="9"/>
  <c r="U51" i="9"/>
  <c r="T52" i="9"/>
  <c r="S52" i="9" s="1"/>
  <c r="V52" i="9"/>
  <c r="U52" i="9"/>
  <c r="T53" i="9"/>
  <c r="S53" i="9" s="1"/>
  <c r="V53" i="9"/>
  <c r="U53" i="9"/>
  <c r="T54" i="9"/>
  <c r="S54" i="9" s="1"/>
  <c r="V54" i="9"/>
  <c r="U54" i="9"/>
  <c r="T55" i="9"/>
  <c r="S55" i="9" s="1"/>
  <c r="V55" i="9"/>
  <c r="U55" i="9"/>
  <c r="T56" i="9"/>
  <c r="S56" i="9" s="1"/>
  <c r="V56" i="9"/>
  <c r="U56" i="9"/>
  <c r="T57" i="9"/>
  <c r="S57" i="9" s="1"/>
  <c r="V57" i="9"/>
  <c r="U57" i="9"/>
  <c r="T58" i="9"/>
  <c r="S58" i="9" s="1"/>
  <c r="V58" i="9"/>
  <c r="U58" i="9"/>
  <c r="T59" i="9"/>
  <c r="S59" i="9" s="1"/>
  <c r="V59" i="9"/>
  <c r="U59" i="9"/>
  <c r="T60" i="9"/>
  <c r="S60" i="9" s="1"/>
  <c r="V60" i="9"/>
  <c r="U60" i="9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61" i="8" s="1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61" i="8" s="1"/>
  <c r="P2" i="8" s="1"/>
  <c r="R60" i="8"/>
  <c r="R59" i="8"/>
  <c r="R58" i="8"/>
  <c r="R57" i="8"/>
  <c r="R56" i="8"/>
  <c r="R55" i="8"/>
  <c r="R54" i="8"/>
  <c r="R53" i="8"/>
  <c r="R52" i="8"/>
  <c r="R51" i="8"/>
  <c r="R50" i="8"/>
  <c r="R49" i="8"/>
  <c r="R48" i="8"/>
  <c r="R47" i="8"/>
  <c r="R46" i="8"/>
  <c r="R45" i="8"/>
  <c r="R44" i="8"/>
  <c r="R43" i="8"/>
  <c r="R42" i="8"/>
  <c r="R41" i="8"/>
  <c r="R40" i="8"/>
  <c r="R39" i="8"/>
  <c r="R38" i="8"/>
  <c r="R37" i="8"/>
  <c r="R36" i="8"/>
  <c r="R35" i="8"/>
  <c r="R34" i="8"/>
  <c r="R33" i="8"/>
  <c r="R32" i="8"/>
  <c r="R31" i="8"/>
  <c r="R30" i="8"/>
  <c r="R29" i="8"/>
  <c r="R28" i="8"/>
  <c r="R27" i="8"/>
  <c r="R26" i="8"/>
  <c r="R25" i="8"/>
  <c r="R24" i="8"/>
  <c r="R23" i="8"/>
  <c r="R22" i="8"/>
  <c r="R21" i="8"/>
  <c r="R20" i="8"/>
  <c r="R19" i="8"/>
  <c r="R18" i="8"/>
  <c r="R61" i="8" s="1"/>
  <c r="J61" i="8"/>
  <c r="L18" i="8"/>
  <c r="K61" i="8"/>
  <c r="V18" i="8"/>
  <c r="U18" i="8"/>
  <c r="T19" i="8"/>
  <c r="S19" i="8" s="1"/>
  <c r="V19" i="8"/>
  <c r="U19" i="8"/>
  <c r="T20" i="8"/>
  <c r="S20" i="8" s="1"/>
  <c r="V20" i="8"/>
  <c r="U20" i="8"/>
  <c r="T21" i="8"/>
  <c r="S21" i="8" s="1"/>
  <c r="V21" i="8"/>
  <c r="U21" i="8"/>
  <c r="T22" i="8"/>
  <c r="S22" i="8" s="1"/>
  <c r="V22" i="8"/>
  <c r="U22" i="8"/>
  <c r="T23" i="8"/>
  <c r="S23" i="8" s="1"/>
  <c r="V23" i="8"/>
  <c r="U23" i="8"/>
  <c r="T24" i="8"/>
  <c r="S24" i="8" s="1"/>
  <c r="V24" i="8"/>
  <c r="U24" i="8"/>
  <c r="T25" i="8"/>
  <c r="S25" i="8" s="1"/>
  <c r="V25" i="8"/>
  <c r="U25" i="8"/>
  <c r="T26" i="8"/>
  <c r="S26" i="8" s="1"/>
  <c r="V26" i="8"/>
  <c r="U26" i="8"/>
  <c r="T27" i="8"/>
  <c r="S27" i="8" s="1"/>
  <c r="V27" i="8"/>
  <c r="U27" i="8"/>
  <c r="T28" i="8"/>
  <c r="S28" i="8" s="1"/>
  <c r="V28" i="8"/>
  <c r="U28" i="8"/>
  <c r="T29" i="8"/>
  <c r="S29" i="8" s="1"/>
  <c r="V29" i="8"/>
  <c r="U29" i="8"/>
  <c r="T30" i="8"/>
  <c r="S30" i="8" s="1"/>
  <c r="V30" i="8"/>
  <c r="U30" i="8"/>
  <c r="T31" i="8"/>
  <c r="S31" i="8" s="1"/>
  <c r="V31" i="8"/>
  <c r="U31" i="8"/>
  <c r="T32" i="8"/>
  <c r="S32" i="8" s="1"/>
  <c r="V32" i="8"/>
  <c r="U32" i="8"/>
  <c r="T33" i="8"/>
  <c r="S33" i="8" s="1"/>
  <c r="V33" i="8"/>
  <c r="U33" i="8"/>
  <c r="T34" i="8"/>
  <c r="S34" i="8" s="1"/>
  <c r="V34" i="8"/>
  <c r="U34" i="8"/>
  <c r="T35" i="8"/>
  <c r="S35" i="8" s="1"/>
  <c r="V35" i="8"/>
  <c r="U35" i="8"/>
  <c r="T36" i="8"/>
  <c r="S36" i="8" s="1"/>
  <c r="V36" i="8"/>
  <c r="U36" i="8"/>
  <c r="T37" i="8"/>
  <c r="S37" i="8" s="1"/>
  <c r="V37" i="8"/>
  <c r="U37" i="8"/>
  <c r="T38" i="8"/>
  <c r="S38" i="8" s="1"/>
  <c r="V38" i="8"/>
  <c r="U38" i="8"/>
  <c r="T39" i="8"/>
  <c r="S39" i="8" s="1"/>
  <c r="V39" i="8"/>
  <c r="U39" i="8"/>
  <c r="T40" i="8"/>
  <c r="S40" i="8" s="1"/>
  <c r="V40" i="8"/>
  <c r="U40" i="8"/>
  <c r="T41" i="8"/>
  <c r="S41" i="8" s="1"/>
  <c r="V41" i="8"/>
  <c r="U41" i="8"/>
  <c r="T42" i="8"/>
  <c r="S42" i="8" s="1"/>
  <c r="V42" i="8"/>
  <c r="U42" i="8"/>
  <c r="T43" i="8"/>
  <c r="S43" i="8" s="1"/>
  <c r="V43" i="8"/>
  <c r="U43" i="8"/>
  <c r="T44" i="8"/>
  <c r="S44" i="8" s="1"/>
  <c r="V44" i="8"/>
  <c r="U44" i="8"/>
  <c r="T45" i="8"/>
  <c r="S45" i="8" s="1"/>
  <c r="V45" i="8"/>
  <c r="U45" i="8"/>
  <c r="T46" i="8"/>
  <c r="S46" i="8" s="1"/>
  <c r="V46" i="8"/>
  <c r="U46" i="8"/>
  <c r="T47" i="8"/>
  <c r="S47" i="8" s="1"/>
  <c r="V47" i="8"/>
  <c r="U47" i="8"/>
  <c r="T48" i="8"/>
  <c r="S48" i="8" s="1"/>
  <c r="V48" i="8"/>
  <c r="U48" i="8"/>
  <c r="T49" i="8"/>
  <c r="S49" i="8" s="1"/>
  <c r="V49" i="8"/>
  <c r="U49" i="8"/>
  <c r="T50" i="8"/>
  <c r="S50" i="8" s="1"/>
  <c r="V50" i="8"/>
  <c r="U50" i="8"/>
  <c r="T51" i="8"/>
  <c r="S51" i="8" s="1"/>
  <c r="V51" i="8"/>
  <c r="U51" i="8"/>
  <c r="T52" i="8"/>
  <c r="S52" i="8" s="1"/>
  <c r="V52" i="8"/>
  <c r="U52" i="8"/>
  <c r="T53" i="8"/>
  <c r="S53" i="8" s="1"/>
  <c r="V53" i="8"/>
  <c r="U53" i="8"/>
  <c r="T54" i="8"/>
  <c r="S54" i="8" s="1"/>
  <c r="V54" i="8"/>
  <c r="U54" i="8"/>
  <c r="T55" i="8"/>
  <c r="S55" i="8" s="1"/>
  <c r="V55" i="8"/>
  <c r="U55" i="8"/>
  <c r="T56" i="8"/>
  <c r="S56" i="8" s="1"/>
  <c r="V56" i="8"/>
  <c r="U56" i="8"/>
  <c r="T57" i="8"/>
  <c r="S57" i="8" s="1"/>
  <c r="V57" i="8"/>
  <c r="U57" i="8"/>
  <c r="T58" i="8"/>
  <c r="S58" i="8" s="1"/>
  <c r="V58" i="8"/>
  <c r="U58" i="8"/>
  <c r="T59" i="8"/>
  <c r="S59" i="8" s="1"/>
  <c r="V59" i="8"/>
  <c r="U59" i="8"/>
  <c r="T60" i="8"/>
  <c r="S60" i="8" s="1"/>
  <c r="V60" i="8"/>
  <c r="U60" i="8"/>
  <c r="P7" i="7"/>
  <c r="V14" i="7"/>
  <c r="P9" i="7" s="1"/>
  <c r="P4" i="7"/>
  <c r="P5" i="7"/>
  <c r="T59" i="6"/>
  <c r="S59" i="6" s="1"/>
  <c r="U42" i="6"/>
  <c r="T51" i="6"/>
  <c r="S51" i="6" s="1"/>
  <c r="T55" i="6"/>
  <c r="S55" i="6" s="1"/>
  <c r="T24" i="6"/>
  <c r="S24" i="6" s="1"/>
  <c r="T29" i="6"/>
  <c r="S29" i="6" s="1"/>
  <c r="T27" i="6"/>
  <c r="S27" i="6" s="1"/>
  <c r="T49" i="6"/>
  <c r="S49" i="6" s="1"/>
  <c r="V49" i="6"/>
  <c r="T60" i="6"/>
  <c r="S60" i="6" s="1"/>
  <c r="V43" i="6"/>
  <c r="U60" i="6"/>
  <c r="T23" i="6"/>
  <c r="S23" i="6" s="1"/>
  <c r="T44" i="6"/>
  <c r="S44" i="6" s="1"/>
  <c r="V44" i="6"/>
  <c r="T21" i="6"/>
  <c r="S21" i="6" s="1"/>
  <c r="V37" i="6"/>
  <c r="T30" i="6"/>
  <c r="S30" i="6" s="1"/>
  <c r="V26" i="6"/>
  <c r="V19" i="6"/>
  <c r="T36" i="6"/>
  <c r="S36" i="6" s="1"/>
  <c r="T53" i="6"/>
  <c r="S53" i="6" s="1"/>
  <c r="U40" i="6"/>
  <c r="V28" i="6"/>
  <c r="R38" i="6"/>
  <c r="U38" i="6" s="1"/>
  <c r="R44" i="6"/>
  <c r="H48" i="6"/>
  <c r="V52" i="6"/>
  <c r="H54" i="6"/>
  <c r="H60" i="6"/>
  <c r="U21" i="6"/>
  <c r="U27" i="6"/>
  <c r="U33" i="6"/>
  <c r="U39" i="6"/>
  <c r="U51" i="6"/>
  <c r="U57" i="6"/>
  <c r="H38" i="6"/>
  <c r="H19" i="6"/>
  <c r="R27" i="6"/>
  <c r="R33" i="6"/>
  <c r="T33" i="6" s="1"/>
  <c r="S33" i="6" s="1"/>
  <c r="R19" i="6"/>
  <c r="T19" i="6" s="1"/>
  <c r="S19" i="6" s="1"/>
  <c r="V21" i="6"/>
  <c r="H23" i="6"/>
  <c r="R25" i="6"/>
  <c r="T25" i="6" s="1"/>
  <c r="S25" i="6" s="1"/>
  <c r="V27" i="6"/>
  <c r="H29" i="6"/>
  <c r="R31" i="6"/>
  <c r="V31" i="6" s="1"/>
  <c r="V33" i="6"/>
  <c r="H35" i="6"/>
  <c r="R37" i="6"/>
  <c r="U37" i="6" s="1"/>
  <c r="H41" i="6"/>
  <c r="R43" i="6"/>
  <c r="T43" i="6" s="1"/>
  <c r="S43" i="6" s="1"/>
  <c r="H47" i="6"/>
  <c r="R49" i="6"/>
  <c r="U49" i="6" s="1"/>
  <c r="V51" i="6"/>
  <c r="H53" i="6"/>
  <c r="R55" i="6"/>
  <c r="V55" i="6" s="1"/>
  <c r="V57" i="6"/>
  <c r="H59" i="6"/>
  <c r="K61" i="6"/>
  <c r="H56" i="6"/>
  <c r="H30" i="6"/>
  <c r="U44" i="6"/>
  <c r="U50" i="6"/>
  <c r="U56" i="6"/>
  <c r="L61" i="6"/>
  <c r="P3" i="6" s="1"/>
  <c r="H44" i="6"/>
  <c r="R21" i="6"/>
  <c r="H25" i="6"/>
  <c r="H31" i="6"/>
  <c r="R39" i="6"/>
  <c r="T39" i="6" s="1"/>
  <c r="S39" i="6" s="1"/>
  <c r="H43" i="6"/>
  <c r="R51" i="6"/>
  <c r="V22" i="6"/>
  <c r="R26" i="6"/>
  <c r="U26" i="6" s="1"/>
  <c r="H42" i="6"/>
  <c r="V46" i="6"/>
  <c r="U20" i="6"/>
  <c r="R18" i="6"/>
  <c r="H22" i="6"/>
  <c r="R24" i="6"/>
  <c r="V24" i="6" s="1"/>
  <c r="H28" i="6"/>
  <c r="R30" i="6"/>
  <c r="V30" i="6" s="1"/>
  <c r="H34" i="6"/>
  <c r="R36" i="6"/>
  <c r="V36" i="6" s="1"/>
  <c r="H40" i="6"/>
  <c r="R42" i="6"/>
  <c r="V42" i="6" s="1"/>
  <c r="H46" i="6"/>
  <c r="R48" i="6"/>
  <c r="V48" i="6" s="1"/>
  <c r="H52" i="6"/>
  <c r="R54" i="6"/>
  <c r="V54" i="6" s="1"/>
  <c r="H58" i="6"/>
  <c r="R60" i="6"/>
  <c r="V60" i="6" s="1"/>
  <c r="H32" i="6"/>
  <c r="H50" i="6"/>
  <c r="H55" i="6"/>
  <c r="V58" i="6"/>
  <c r="U19" i="6"/>
  <c r="G21" i="6"/>
  <c r="U25" i="6"/>
  <c r="G27" i="6"/>
  <c r="U31" i="6"/>
  <c r="G33" i="6"/>
  <c r="G39" i="6"/>
  <c r="G45" i="6"/>
  <c r="G51" i="6"/>
  <c r="G57" i="6"/>
  <c r="H26" i="6"/>
  <c r="H37" i="6"/>
  <c r="R45" i="6"/>
  <c r="T45" i="6" s="1"/>
  <c r="S45" i="6" s="1"/>
  <c r="H49" i="6"/>
  <c r="U34" i="6"/>
  <c r="R56" i="6"/>
  <c r="T56" i="6" s="1"/>
  <c r="S56" i="6" s="1"/>
  <c r="H21" i="6"/>
  <c r="R23" i="6"/>
  <c r="H27" i="6"/>
  <c r="R29" i="6"/>
  <c r="H33" i="6"/>
  <c r="R35" i="6"/>
  <c r="T35" i="6" s="1"/>
  <c r="S35" i="6" s="1"/>
  <c r="H39" i="6"/>
  <c r="R41" i="6"/>
  <c r="H45" i="6"/>
  <c r="R47" i="6"/>
  <c r="H51" i="6"/>
  <c r="R53" i="6"/>
  <c r="H57" i="6"/>
  <c r="R59" i="6"/>
  <c r="R57" i="6"/>
  <c r="T57" i="6" s="1"/>
  <c r="S57" i="6" s="1"/>
  <c r="H18" i="6"/>
  <c r="R20" i="6"/>
  <c r="V20" i="6" s="1"/>
  <c r="H24" i="6"/>
  <c r="R32" i="6"/>
  <c r="T32" i="6" s="1"/>
  <c r="S32" i="6" s="1"/>
  <c r="G20" i="6"/>
  <c r="G61" i="6" s="1"/>
  <c r="G26" i="6"/>
  <c r="G32" i="6"/>
  <c r="G38" i="6"/>
  <c r="G44" i="6"/>
  <c r="G50" i="6"/>
  <c r="L61" i="5"/>
  <c r="P3" i="5" s="1"/>
  <c r="T34" i="5"/>
  <c r="S34" i="5" s="1"/>
  <c r="V36" i="5"/>
  <c r="T51" i="5"/>
  <c r="S51" i="5" s="1"/>
  <c r="L19" i="5"/>
  <c r="T19" i="5" s="1"/>
  <c r="S19" i="5" s="1"/>
  <c r="K61" i="5"/>
  <c r="T36" i="5"/>
  <c r="S36" i="5" s="1"/>
  <c r="T60" i="5"/>
  <c r="S60" i="5" s="1"/>
  <c r="V60" i="5"/>
  <c r="V19" i="5"/>
  <c r="U19" i="5"/>
  <c r="U25" i="5"/>
  <c r="V25" i="5"/>
  <c r="T28" i="5"/>
  <c r="S28" i="5" s="1"/>
  <c r="T30" i="5"/>
  <c r="S30" i="5" s="1"/>
  <c r="V30" i="5"/>
  <c r="T57" i="5"/>
  <c r="S57" i="5" s="1"/>
  <c r="V31" i="5"/>
  <c r="V32" i="5"/>
  <c r="U43" i="5"/>
  <c r="V37" i="5"/>
  <c r="V49" i="5"/>
  <c r="G20" i="5"/>
  <c r="G61" i="5" s="1"/>
  <c r="G26" i="5"/>
  <c r="U30" i="5"/>
  <c r="G32" i="5"/>
  <c r="U36" i="5"/>
  <c r="G38" i="5"/>
  <c r="G44" i="5"/>
  <c r="G50" i="5"/>
  <c r="G56" i="5"/>
  <c r="U60" i="5"/>
  <c r="H20" i="5"/>
  <c r="H61" i="5" s="1"/>
  <c r="P2" i="5" s="1"/>
  <c r="R22" i="5"/>
  <c r="H26" i="5"/>
  <c r="R28" i="5"/>
  <c r="H32" i="5"/>
  <c r="R34" i="5"/>
  <c r="H38" i="5"/>
  <c r="R40" i="5"/>
  <c r="T40" i="5" s="1"/>
  <c r="S40" i="5" s="1"/>
  <c r="H44" i="5"/>
  <c r="R46" i="5"/>
  <c r="H50" i="5"/>
  <c r="R52" i="5"/>
  <c r="T52" i="5" s="1"/>
  <c r="S52" i="5" s="1"/>
  <c r="H56" i="5"/>
  <c r="R58" i="5"/>
  <c r="G55" i="5"/>
  <c r="U59" i="5"/>
  <c r="U31" i="5"/>
  <c r="U55" i="5"/>
  <c r="U23" i="5"/>
  <c r="G31" i="5"/>
  <c r="U35" i="5"/>
  <c r="G37" i="5"/>
  <c r="U41" i="5"/>
  <c r="G43" i="5"/>
  <c r="U47" i="5"/>
  <c r="G49" i="5"/>
  <c r="U53" i="5"/>
  <c r="H19" i="5"/>
  <c r="R21" i="5"/>
  <c r="H25" i="5"/>
  <c r="R27" i="5"/>
  <c r="H31" i="5"/>
  <c r="R33" i="5"/>
  <c r="H37" i="5"/>
  <c r="R39" i="5"/>
  <c r="T39" i="5" s="1"/>
  <c r="S39" i="5" s="1"/>
  <c r="H43" i="5"/>
  <c r="R45" i="5"/>
  <c r="T45" i="5" s="1"/>
  <c r="S45" i="5" s="1"/>
  <c r="H49" i="5"/>
  <c r="R51" i="5"/>
  <c r="H55" i="5"/>
  <c r="R57" i="5"/>
  <c r="J61" i="5"/>
  <c r="G28" i="5"/>
  <c r="G34" i="5"/>
  <c r="G40" i="5"/>
  <c r="G46" i="5"/>
  <c r="G52" i="5"/>
  <c r="R18" i="5"/>
  <c r="U18" i="5" s="1"/>
  <c r="H22" i="5"/>
  <c r="R24" i="5"/>
  <c r="V24" i="5" s="1"/>
  <c r="H28" i="5"/>
  <c r="R30" i="5"/>
  <c r="H34" i="5"/>
  <c r="R36" i="5"/>
  <c r="H40" i="5"/>
  <c r="R42" i="5"/>
  <c r="V42" i="5" s="1"/>
  <c r="H46" i="5"/>
  <c r="R48" i="5"/>
  <c r="T48" i="5" s="1"/>
  <c r="S48" i="5" s="1"/>
  <c r="H52" i="5"/>
  <c r="R54" i="5"/>
  <c r="V54" i="5" s="1"/>
  <c r="L20" i="4"/>
  <c r="L26" i="4"/>
  <c r="L24" i="4"/>
  <c r="L29" i="4"/>
  <c r="L23" i="4"/>
  <c r="L41" i="4"/>
  <c r="L28" i="4"/>
  <c r="L34" i="4"/>
  <c r="V22" i="4"/>
  <c r="L25" i="4"/>
  <c r="T25" i="4" s="1"/>
  <c r="S25" i="4" s="1"/>
  <c r="L30" i="4"/>
  <c r="T30" i="4" s="1"/>
  <c r="S30" i="4" s="1"/>
  <c r="L50" i="4"/>
  <c r="T45" i="4"/>
  <c r="S45" i="4" s="1"/>
  <c r="T33" i="4"/>
  <c r="S33" i="4" s="1"/>
  <c r="G57" i="4"/>
  <c r="G51" i="4"/>
  <c r="G45" i="4"/>
  <c r="G39" i="4"/>
  <c r="G33" i="4"/>
  <c r="G27" i="4"/>
  <c r="G21" i="4"/>
  <c r="G53" i="4"/>
  <c r="G41" i="4"/>
  <c r="G29" i="4"/>
  <c r="G60" i="4"/>
  <c r="G47" i="4"/>
  <c r="G23" i="4"/>
  <c r="G54" i="4"/>
  <c r="G48" i="4"/>
  <c r="G42" i="4"/>
  <c r="G58" i="4"/>
  <c r="G52" i="4"/>
  <c r="G46" i="4"/>
  <c r="G40" i="4"/>
  <c r="G34" i="4"/>
  <c r="G28" i="4"/>
  <c r="G22" i="4"/>
  <c r="G59" i="4"/>
  <c r="G35" i="4"/>
  <c r="G37" i="4"/>
  <c r="T49" i="4"/>
  <c r="S49" i="4" s="1"/>
  <c r="G24" i="4"/>
  <c r="R59" i="4"/>
  <c r="R53" i="4"/>
  <c r="R47" i="4"/>
  <c r="R41" i="4"/>
  <c r="R35" i="4"/>
  <c r="R29" i="4"/>
  <c r="R23" i="4"/>
  <c r="R20" i="4"/>
  <c r="R60" i="4"/>
  <c r="R54" i="4"/>
  <c r="R48" i="4"/>
  <c r="R42" i="4"/>
  <c r="R36" i="4"/>
  <c r="R30" i="4"/>
  <c r="R24" i="4"/>
  <c r="T24" i="4" s="1"/>
  <c r="S24" i="4" s="1"/>
  <c r="R18" i="4"/>
  <c r="R55" i="4"/>
  <c r="R49" i="4"/>
  <c r="R43" i="4"/>
  <c r="R37" i="4"/>
  <c r="V37" i="4" s="1"/>
  <c r="R31" i="4"/>
  <c r="T31" i="4" s="1"/>
  <c r="S31" i="4" s="1"/>
  <c r="R25" i="4"/>
  <c r="U25" i="4" s="1"/>
  <c r="R19" i="4"/>
  <c r="V19" i="4" s="1"/>
  <c r="R56" i="4"/>
  <c r="V56" i="4" s="1"/>
  <c r="R50" i="4"/>
  <c r="T50" i="4" s="1"/>
  <c r="S50" i="4" s="1"/>
  <c r="R44" i="4"/>
  <c r="U44" i="4" s="1"/>
  <c r="R38" i="4"/>
  <c r="V38" i="4" s="1"/>
  <c r="R32" i="4"/>
  <c r="V32" i="4" s="1"/>
  <c r="R26" i="4"/>
  <c r="T26" i="4" s="1"/>
  <c r="S26" i="4" s="1"/>
  <c r="G31" i="4"/>
  <c r="R40" i="4"/>
  <c r="T40" i="4" s="1"/>
  <c r="S40" i="4" s="1"/>
  <c r="R57" i="4"/>
  <c r="T57" i="4" s="1"/>
  <c r="S57" i="4" s="1"/>
  <c r="V20" i="4"/>
  <c r="U20" i="4"/>
  <c r="H31" i="4"/>
  <c r="U22" i="4"/>
  <c r="G43" i="4"/>
  <c r="T60" i="4"/>
  <c r="S60" i="4" s="1"/>
  <c r="R27" i="4"/>
  <c r="V27" i="4" s="1"/>
  <c r="T55" i="4"/>
  <c r="S55" i="4" s="1"/>
  <c r="T43" i="4"/>
  <c r="S43" i="4" s="1"/>
  <c r="V55" i="4"/>
  <c r="T36" i="4"/>
  <c r="S36" i="4" s="1"/>
  <c r="V43" i="4"/>
  <c r="R46" i="4"/>
  <c r="G56" i="4"/>
  <c r="G19" i="4"/>
  <c r="R21" i="4"/>
  <c r="V21" i="4" s="1"/>
  <c r="V25" i="4"/>
  <c r="V39" i="4"/>
  <c r="G44" i="4"/>
  <c r="H56" i="4"/>
  <c r="G20" i="4"/>
  <c r="U33" i="4"/>
  <c r="V33" i="4"/>
  <c r="T42" i="4"/>
  <c r="S42" i="4" s="1"/>
  <c r="V49" i="4"/>
  <c r="H20" i="4"/>
  <c r="V45" i="4"/>
  <c r="R52" i="4"/>
  <c r="T52" i="4" s="1"/>
  <c r="S52" i="4" s="1"/>
  <c r="G18" i="4"/>
  <c r="G38" i="4"/>
  <c r="R45" i="4"/>
  <c r="U45" i="4" s="1"/>
  <c r="G25" i="4"/>
  <c r="T48" i="4"/>
  <c r="S48" i="4" s="1"/>
  <c r="H25" i="4"/>
  <c r="G36" i="4"/>
  <c r="G30" i="4"/>
  <c r="T56" i="4"/>
  <c r="S56" i="4" s="1"/>
  <c r="V44" i="4"/>
  <c r="U57" i="4"/>
  <c r="V57" i="4"/>
  <c r="H57" i="4"/>
  <c r="H51" i="4"/>
  <c r="H45" i="4"/>
  <c r="H39" i="4"/>
  <c r="H33" i="4"/>
  <c r="H27" i="4"/>
  <c r="H21" i="4"/>
  <c r="H54" i="4"/>
  <c r="H42" i="4"/>
  <c r="H24" i="4"/>
  <c r="H18" i="4"/>
  <c r="H58" i="4"/>
  <c r="H52" i="4"/>
  <c r="H46" i="4"/>
  <c r="H40" i="4"/>
  <c r="H34" i="4"/>
  <c r="H28" i="4"/>
  <c r="H22" i="4"/>
  <c r="H29" i="4"/>
  <c r="H36" i="4"/>
  <c r="H59" i="4"/>
  <c r="H53" i="4"/>
  <c r="H47" i="4"/>
  <c r="H41" i="4"/>
  <c r="H35" i="4"/>
  <c r="H23" i="4"/>
  <c r="H60" i="4"/>
  <c r="H48" i="4"/>
  <c r="H30" i="4"/>
  <c r="T37" i="4"/>
  <c r="S37" i="4" s="1"/>
  <c r="G50" i="4"/>
  <c r="R33" i="4"/>
  <c r="H50" i="4"/>
  <c r="G55" i="4"/>
  <c r="J61" i="4"/>
  <c r="H38" i="4"/>
  <c r="H55" i="4"/>
  <c r="K61" i="4"/>
  <c r="H43" i="4"/>
  <c r="G32" i="4"/>
  <c r="R58" i="4"/>
  <c r="R34" i="4"/>
  <c r="U51" i="4"/>
  <c r="H19" i="4"/>
  <c r="G26" i="4"/>
  <c r="H44" i="4"/>
  <c r="G49" i="4"/>
  <c r="R51" i="4"/>
  <c r="V51" i="4" s="1"/>
  <c r="H26" i="4"/>
  <c r="R28" i="4"/>
  <c r="R39" i="4"/>
  <c r="T39" i="4" s="1"/>
  <c r="S39" i="4" s="1"/>
  <c r="L44" i="4"/>
  <c r="H49" i="4"/>
  <c r="U56" i="4"/>
  <c r="L18" i="4"/>
  <c r="U19" i="4"/>
  <c r="U43" i="4"/>
  <c r="U49" i="4"/>
  <c r="U55" i="4"/>
  <c r="Q61" i="2"/>
  <c r="F61" i="2"/>
  <c r="E61" i="2"/>
  <c r="P10" i="2" s="1"/>
  <c r="K60" i="2"/>
  <c r="J60" i="2"/>
  <c r="L60" i="2" s="1"/>
  <c r="H60" i="2"/>
  <c r="G60" i="2"/>
  <c r="K59" i="2"/>
  <c r="J59" i="2"/>
  <c r="L59" i="2" s="1"/>
  <c r="G59" i="2"/>
  <c r="K58" i="2"/>
  <c r="J58" i="2"/>
  <c r="L58" i="2" s="1"/>
  <c r="G58" i="2"/>
  <c r="K57" i="2"/>
  <c r="J57" i="2"/>
  <c r="K56" i="2"/>
  <c r="L56" i="2" s="1"/>
  <c r="T56" i="2" s="1"/>
  <c r="S56" i="2" s="1"/>
  <c r="J56" i="2"/>
  <c r="K55" i="2"/>
  <c r="J55" i="2"/>
  <c r="H55" i="2"/>
  <c r="G55" i="2"/>
  <c r="K54" i="2"/>
  <c r="J54" i="2"/>
  <c r="L54" i="2" s="1"/>
  <c r="H54" i="2"/>
  <c r="G54" i="2"/>
  <c r="K53" i="2"/>
  <c r="J53" i="2"/>
  <c r="G53" i="2"/>
  <c r="K52" i="2"/>
  <c r="J52" i="2"/>
  <c r="L52" i="2" s="1"/>
  <c r="G52" i="2"/>
  <c r="K51" i="2"/>
  <c r="J51" i="2"/>
  <c r="K50" i="2"/>
  <c r="J50" i="2"/>
  <c r="K49" i="2"/>
  <c r="J49" i="2"/>
  <c r="H49" i="2"/>
  <c r="G49" i="2"/>
  <c r="K48" i="2"/>
  <c r="J48" i="2"/>
  <c r="L48" i="2" s="1"/>
  <c r="H48" i="2"/>
  <c r="G48" i="2"/>
  <c r="K47" i="2"/>
  <c r="J47" i="2"/>
  <c r="L47" i="2" s="1"/>
  <c r="G47" i="2"/>
  <c r="K46" i="2"/>
  <c r="J46" i="2"/>
  <c r="L46" i="2" s="1"/>
  <c r="G46" i="2"/>
  <c r="K45" i="2"/>
  <c r="J45" i="2"/>
  <c r="K44" i="2"/>
  <c r="L44" i="2" s="1"/>
  <c r="J44" i="2"/>
  <c r="K43" i="2"/>
  <c r="J43" i="2"/>
  <c r="H43" i="2"/>
  <c r="G43" i="2"/>
  <c r="K42" i="2"/>
  <c r="J42" i="2"/>
  <c r="H42" i="2"/>
  <c r="G42" i="2"/>
  <c r="K41" i="2"/>
  <c r="J41" i="2"/>
  <c r="L41" i="2" s="1"/>
  <c r="G41" i="2"/>
  <c r="K40" i="2"/>
  <c r="J40" i="2"/>
  <c r="G40" i="2"/>
  <c r="K39" i="2"/>
  <c r="J39" i="2"/>
  <c r="K38" i="2"/>
  <c r="L38" i="2" s="1"/>
  <c r="J38" i="2"/>
  <c r="K37" i="2"/>
  <c r="J37" i="2"/>
  <c r="L37" i="2" s="1"/>
  <c r="H37" i="2"/>
  <c r="G37" i="2"/>
  <c r="K36" i="2"/>
  <c r="J36" i="2"/>
  <c r="L36" i="2" s="1"/>
  <c r="H36" i="2"/>
  <c r="G36" i="2"/>
  <c r="K35" i="2"/>
  <c r="J35" i="2"/>
  <c r="L35" i="2" s="1"/>
  <c r="G35" i="2"/>
  <c r="K34" i="2"/>
  <c r="L34" i="2" s="1"/>
  <c r="J34" i="2"/>
  <c r="G34" i="2"/>
  <c r="K33" i="2"/>
  <c r="J33" i="2"/>
  <c r="K32" i="2"/>
  <c r="L32" i="2" s="1"/>
  <c r="J32" i="2"/>
  <c r="K31" i="2"/>
  <c r="J31" i="2"/>
  <c r="L31" i="2" s="1"/>
  <c r="H31" i="2"/>
  <c r="G31" i="2"/>
  <c r="K30" i="2"/>
  <c r="J30" i="2"/>
  <c r="L30" i="2" s="1"/>
  <c r="H30" i="2"/>
  <c r="G30" i="2"/>
  <c r="K29" i="2"/>
  <c r="J29" i="2"/>
  <c r="L29" i="2" s="1"/>
  <c r="G29" i="2"/>
  <c r="K28" i="2"/>
  <c r="J28" i="2"/>
  <c r="L28" i="2" s="1"/>
  <c r="G28" i="2"/>
  <c r="K27" i="2"/>
  <c r="J27" i="2"/>
  <c r="K26" i="2"/>
  <c r="L26" i="2" s="1"/>
  <c r="J26" i="2"/>
  <c r="K25" i="2"/>
  <c r="J25" i="2"/>
  <c r="H25" i="2"/>
  <c r="G25" i="2"/>
  <c r="K24" i="2"/>
  <c r="J24" i="2"/>
  <c r="H24" i="2"/>
  <c r="G24" i="2"/>
  <c r="K23" i="2"/>
  <c r="J23" i="2"/>
  <c r="G23" i="2"/>
  <c r="K22" i="2"/>
  <c r="J22" i="2"/>
  <c r="G22" i="2"/>
  <c r="K21" i="2"/>
  <c r="J21" i="2"/>
  <c r="K20" i="2"/>
  <c r="L20" i="2" s="1"/>
  <c r="J20" i="2"/>
  <c r="K19" i="2"/>
  <c r="J19" i="2"/>
  <c r="H19" i="2"/>
  <c r="G19" i="2"/>
  <c r="K18" i="2"/>
  <c r="J18" i="2"/>
  <c r="H18" i="2"/>
  <c r="G18" i="2"/>
  <c r="R17" i="2"/>
  <c r="R56" i="2" s="1"/>
  <c r="H17" i="2"/>
  <c r="H57" i="2" s="1"/>
  <c r="G17" i="2"/>
  <c r="H56" i="2" s="1"/>
  <c r="D15" i="2"/>
  <c r="G56" i="2" s="1"/>
  <c r="P8" i="2"/>
  <c r="P1" i="2"/>
  <c r="Q61" i="1"/>
  <c r="F61" i="1"/>
  <c r="E61" i="1"/>
  <c r="P10" i="1" s="1"/>
  <c r="R60" i="1"/>
  <c r="K60" i="1"/>
  <c r="L60" i="1" s="1"/>
  <c r="T60" i="1" s="1"/>
  <c r="S60" i="1" s="1"/>
  <c r="J60" i="1"/>
  <c r="R59" i="1"/>
  <c r="L59" i="1"/>
  <c r="T59" i="1" s="1"/>
  <c r="S59" i="1" s="1"/>
  <c r="K59" i="1"/>
  <c r="V59" i="1" s="1"/>
  <c r="J59" i="1"/>
  <c r="H59" i="1"/>
  <c r="K58" i="1"/>
  <c r="J58" i="1"/>
  <c r="L58" i="1" s="1"/>
  <c r="H58" i="1"/>
  <c r="G58" i="1"/>
  <c r="K57" i="1"/>
  <c r="J57" i="1"/>
  <c r="L57" i="1" s="1"/>
  <c r="H57" i="1"/>
  <c r="G57" i="1"/>
  <c r="K56" i="1"/>
  <c r="J56" i="1"/>
  <c r="R55" i="1"/>
  <c r="K55" i="1"/>
  <c r="L55" i="1" s="1"/>
  <c r="J55" i="1"/>
  <c r="R54" i="1"/>
  <c r="K54" i="1"/>
  <c r="L54" i="1" s="1"/>
  <c r="T54" i="1" s="1"/>
  <c r="S54" i="1" s="1"/>
  <c r="J54" i="1"/>
  <c r="R53" i="1"/>
  <c r="K53" i="1"/>
  <c r="V53" i="1" s="1"/>
  <c r="J53" i="1"/>
  <c r="H53" i="1"/>
  <c r="K52" i="1"/>
  <c r="J52" i="1"/>
  <c r="L52" i="1" s="1"/>
  <c r="H52" i="1"/>
  <c r="G52" i="1"/>
  <c r="K51" i="1"/>
  <c r="J51" i="1"/>
  <c r="L51" i="1" s="1"/>
  <c r="H51" i="1"/>
  <c r="G51" i="1"/>
  <c r="K50" i="1"/>
  <c r="J50" i="1"/>
  <c r="L50" i="1" s="1"/>
  <c r="R49" i="1"/>
  <c r="K49" i="1"/>
  <c r="L49" i="1" s="1"/>
  <c r="J49" i="1"/>
  <c r="R48" i="1"/>
  <c r="K48" i="1"/>
  <c r="L48" i="1" s="1"/>
  <c r="T48" i="1" s="1"/>
  <c r="S48" i="1" s="1"/>
  <c r="J48" i="1"/>
  <c r="R47" i="1"/>
  <c r="K47" i="1"/>
  <c r="V47" i="1" s="1"/>
  <c r="J47" i="1"/>
  <c r="H47" i="1"/>
  <c r="K46" i="1"/>
  <c r="J46" i="1"/>
  <c r="H46" i="1"/>
  <c r="G46" i="1"/>
  <c r="K45" i="1"/>
  <c r="J45" i="1"/>
  <c r="L45" i="1" s="1"/>
  <c r="H45" i="1"/>
  <c r="G45" i="1"/>
  <c r="K44" i="1"/>
  <c r="J44" i="1"/>
  <c r="L44" i="1" s="1"/>
  <c r="R43" i="1"/>
  <c r="K43" i="1"/>
  <c r="L43" i="1" s="1"/>
  <c r="J43" i="1"/>
  <c r="R42" i="1"/>
  <c r="K42" i="1"/>
  <c r="L42" i="1" s="1"/>
  <c r="T42" i="1" s="1"/>
  <c r="S42" i="1" s="1"/>
  <c r="J42" i="1"/>
  <c r="R41" i="1"/>
  <c r="K41" i="1"/>
  <c r="V41" i="1" s="1"/>
  <c r="J41" i="1"/>
  <c r="H41" i="1"/>
  <c r="K40" i="1"/>
  <c r="J40" i="1"/>
  <c r="H40" i="1"/>
  <c r="G40" i="1"/>
  <c r="K39" i="1"/>
  <c r="J39" i="1"/>
  <c r="L39" i="1" s="1"/>
  <c r="H39" i="1"/>
  <c r="G39" i="1"/>
  <c r="K38" i="1"/>
  <c r="J38" i="1"/>
  <c r="L38" i="1" s="1"/>
  <c r="R37" i="1"/>
  <c r="K37" i="1"/>
  <c r="L37" i="1" s="1"/>
  <c r="J37" i="1"/>
  <c r="R36" i="1"/>
  <c r="K36" i="1"/>
  <c r="J36" i="1"/>
  <c r="R35" i="1"/>
  <c r="K35" i="1"/>
  <c r="V35" i="1" s="1"/>
  <c r="J35" i="1"/>
  <c r="H35" i="1"/>
  <c r="K34" i="1"/>
  <c r="J34" i="1"/>
  <c r="H34" i="1"/>
  <c r="G34" i="1"/>
  <c r="K33" i="1"/>
  <c r="J33" i="1"/>
  <c r="H33" i="1"/>
  <c r="G33" i="1"/>
  <c r="K32" i="1"/>
  <c r="J32" i="1"/>
  <c r="R31" i="1"/>
  <c r="K31" i="1"/>
  <c r="L31" i="1" s="1"/>
  <c r="J31" i="1"/>
  <c r="R30" i="1"/>
  <c r="K30" i="1"/>
  <c r="L30" i="1" s="1"/>
  <c r="T30" i="1" s="1"/>
  <c r="S30" i="1" s="1"/>
  <c r="J30" i="1"/>
  <c r="R29" i="1"/>
  <c r="K29" i="1"/>
  <c r="V29" i="1" s="1"/>
  <c r="J29" i="1"/>
  <c r="H29" i="1"/>
  <c r="K28" i="1"/>
  <c r="J28" i="1"/>
  <c r="H28" i="1"/>
  <c r="G28" i="1"/>
  <c r="K27" i="1"/>
  <c r="J27" i="1"/>
  <c r="L27" i="1" s="1"/>
  <c r="H27" i="1"/>
  <c r="G27" i="1"/>
  <c r="K26" i="1"/>
  <c r="J26" i="1"/>
  <c r="R25" i="1"/>
  <c r="T25" i="1" s="1"/>
  <c r="S25" i="1" s="1"/>
  <c r="L25" i="1"/>
  <c r="K25" i="1"/>
  <c r="J25" i="1"/>
  <c r="R24" i="1"/>
  <c r="K24" i="1"/>
  <c r="L24" i="1" s="1"/>
  <c r="T24" i="1" s="1"/>
  <c r="S24" i="1" s="1"/>
  <c r="J24" i="1"/>
  <c r="R23" i="1"/>
  <c r="K23" i="1"/>
  <c r="V23" i="1" s="1"/>
  <c r="J23" i="1"/>
  <c r="H23" i="1"/>
  <c r="K22" i="1"/>
  <c r="J22" i="1"/>
  <c r="H22" i="1"/>
  <c r="G22" i="1"/>
  <c r="K21" i="1"/>
  <c r="J21" i="1"/>
  <c r="L21" i="1" s="1"/>
  <c r="H21" i="1"/>
  <c r="G21" i="1"/>
  <c r="K20" i="1"/>
  <c r="J20" i="1"/>
  <c r="R19" i="1"/>
  <c r="K19" i="1"/>
  <c r="L19" i="1" s="1"/>
  <c r="J19" i="1"/>
  <c r="R18" i="1"/>
  <c r="K18" i="1"/>
  <c r="L18" i="1" s="1"/>
  <c r="J18" i="1"/>
  <c r="R17" i="1"/>
  <c r="R56" i="1" s="1"/>
  <c r="H17" i="1"/>
  <c r="H60" i="1" s="1"/>
  <c r="G17" i="1"/>
  <c r="H49" i="1" s="1"/>
  <c r="D15" i="1"/>
  <c r="G59" i="1" s="1"/>
  <c r="P1" i="1"/>
  <c r="P8" i="1" s="1"/>
  <c r="V14" i="65" l="1"/>
  <c r="P9" i="65" s="1"/>
  <c r="P7" i="65"/>
  <c r="S9" i="65" s="1"/>
  <c r="U26" i="65"/>
  <c r="U59" i="65"/>
  <c r="U57" i="65"/>
  <c r="U55" i="65"/>
  <c r="T49" i="65"/>
  <c r="S49" i="65" s="1"/>
  <c r="T41" i="65"/>
  <c r="S41" i="65" s="1"/>
  <c r="T33" i="65"/>
  <c r="S33" i="65" s="1"/>
  <c r="T25" i="65"/>
  <c r="S25" i="65" s="1"/>
  <c r="S18" i="65"/>
  <c r="U53" i="65"/>
  <c r="U49" i="65"/>
  <c r="T42" i="65"/>
  <c r="S42" i="65" s="1"/>
  <c r="T38" i="65"/>
  <c r="S38" i="65" s="1"/>
  <c r="T34" i="65"/>
  <c r="S34" i="65" s="1"/>
  <c r="T30" i="65"/>
  <c r="S30" i="65" s="1"/>
  <c r="T26" i="65"/>
  <c r="S26" i="65" s="1"/>
  <c r="T22" i="65"/>
  <c r="S22" i="65" s="1"/>
  <c r="V51" i="65"/>
  <c r="V43" i="65"/>
  <c r="V35" i="65"/>
  <c r="V27" i="65"/>
  <c r="V19" i="65"/>
  <c r="V46" i="65"/>
  <c r="U39" i="65"/>
  <c r="U31" i="65"/>
  <c r="U23" i="65"/>
  <c r="L61" i="65"/>
  <c r="P3" i="65" s="1"/>
  <c r="U42" i="65"/>
  <c r="V57" i="65"/>
  <c r="T47" i="65"/>
  <c r="S47" i="65" s="1"/>
  <c r="T39" i="65"/>
  <c r="S39" i="65" s="1"/>
  <c r="T31" i="65"/>
  <c r="S31" i="65" s="1"/>
  <c r="T23" i="65"/>
  <c r="S23" i="65" s="1"/>
  <c r="G61" i="65"/>
  <c r="U47" i="65"/>
  <c r="V38" i="65"/>
  <c r="V34" i="65"/>
  <c r="V30" i="65"/>
  <c r="V22" i="65"/>
  <c r="U48" i="65"/>
  <c r="T48" i="65"/>
  <c r="S48" i="65" s="1"/>
  <c r="T20" i="65"/>
  <c r="S20" i="65" s="1"/>
  <c r="U50" i="65"/>
  <c r="U58" i="65"/>
  <c r="V58" i="65"/>
  <c r="U56" i="65"/>
  <c r="V56" i="65"/>
  <c r="U54" i="65"/>
  <c r="V54" i="65"/>
  <c r="T53" i="65"/>
  <c r="S53" i="65" s="1"/>
  <c r="T45" i="65"/>
  <c r="S45" i="65" s="1"/>
  <c r="T37" i="65"/>
  <c r="S37" i="65" s="1"/>
  <c r="T29" i="65"/>
  <c r="S29" i="65" s="1"/>
  <c r="T21" i="65"/>
  <c r="S21" i="65" s="1"/>
  <c r="T50" i="65"/>
  <c r="S50" i="65" s="1"/>
  <c r="T44" i="65"/>
  <c r="S44" i="65" s="1"/>
  <c r="T40" i="65"/>
  <c r="S40" i="65" s="1"/>
  <c r="T36" i="65"/>
  <c r="S36" i="65" s="1"/>
  <c r="T32" i="65"/>
  <c r="S32" i="65" s="1"/>
  <c r="T28" i="65"/>
  <c r="S28" i="65" s="1"/>
  <c r="T24" i="65"/>
  <c r="S24" i="65" s="1"/>
  <c r="T58" i="65"/>
  <c r="S58" i="65" s="1"/>
  <c r="T52" i="65"/>
  <c r="S52" i="65" s="1"/>
  <c r="T46" i="64"/>
  <c r="S46" i="64" s="1"/>
  <c r="U42" i="64"/>
  <c r="U30" i="64"/>
  <c r="V25" i="64"/>
  <c r="T22" i="64"/>
  <c r="S22" i="64" s="1"/>
  <c r="T42" i="64"/>
  <c r="S42" i="64" s="1"/>
  <c r="T34" i="64"/>
  <c r="S34" i="64" s="1"/>
  <c r="T26" i="64"/>
  <c r="S26" i="64" s="1"/>
  <c r="T19" i="64"/>
  <c r="S19" i="64" s="1"/>
  <c r="T41" i="64"/>
  <c r="S41" i="64" s="1"/>
  <c r="T33" i="64"/>
  <c r="S33" i="64" s="1"/>
  <c r="T25" i="64"/>
  <c r="S25" i="64" s="1"/>
  <c r="U38" i="64"/>
  <c r="V30" i="64"/>
  <c r="G47" i="64"/>
  <c r="R47" i="64"/>
  <c r="V14" i="64" s="1"/>
  <c r="P9" i="64" s="1"/>
  <c r="T45" i="64"/>
  <c r="S45" i="64" s="1"/>
  <c r="T37" i="64"/>
  <c r="S37" i="64" s="1"/>
  <c r="T29" i="64"/>
  <c r="S29" i="64" s="1"/>
  <c r="V20" i="64"/>
  <c r="T18" i="64"/>
  <c r="S18" i="64" s="1"/>
  <c r="U21" i="64"/>
  <c r="H47" i="64"/>
  <c r="P2" i="64" s="1"/>
  <c r="U18" i="64"/>
  <c r="V18" i="64"/>
  <c r="L47" i="64"/>
  <c r="P3" i="64" s="1"/>
  <c r="P7" i="64"/>
  <c r="S9" i="63"/>
  <c r="S9" i="62"/>
  <c r="S9" i="61"/>
  <c r="S9" i="60"/>
  <c r="S9" i="59"/>
  <c r="S9" i="58"/>
  <c r="S9" i="57"/>
  <c r="S9" i="56"/>
  <c r="S9" i="55"/>
  <c r="S9" i="54"/>
  <c r="G61" i="53"/>
  <c r="S9" i="53"/>
  <c r="V28" i="52"/>
  <c r="U28" i="52"/>
  <c r="K61" i="52"/>
  <c r="L61" i="52"/>
  <c r="P3" i="52" s="1"/>
  <c r="T18" i="52"/>
  <c r="V14" i="52"/>
  <c r="P9" i="52" s="1"/>
  <c r="P7" i="52"/>
  <c r="S9" i="52" s="1"/>
  <c r="P5" i="52"/>
  <c r="P4" i="52"/>
  <c r="S9" i="51"/>
  <c r="S9" i="50"/>
  <c r="S9" i="48"/>
  <c r="S9" i="47"/>
  <c r="S9" i="46"/>
  <c r="S9" i="45"/>
  <c r="S9" i="44"/>
  <c r="S9" i="43"/>
  <c r="S9" i="42"/>
  <c r="S9" i="41"/>
  <c r="L61" i="40"/>
  <c r="P3" i="40" s="1"/>
  <c r="T18" i="40"/>
  <c r="V14" i="40"/>
  <c r="P9" i="40" s="1"/>
  <c r="P7" i="40"/>
  <c r="S9" i="40" s="1"/>
  <c r="P5" i="40"/>
  <c r="P4" i="40"/>
  <c r="L61" i="39"/>
  <c r="P3" i="39" s="1"/>
  <c r="T18" i="39"/>
  <c r="V14" i="39"/>
  <c r="P9" i="39" s="1"/>
  <c r="P7" i="39"/>
  <c r="S9" i="39" s="1"/>
  <c r="P5" i="39"/>
  <c r="P4" i="39"/>
  <c r="L61" i="38"/>
  <c r="P3" i="38" s="1"/>
  <c r="T18" i="38"/>
  <c r="V14" i="38"/>
  <c r="P9" i="38" s="1"/>
  <c r="P7" i="38"/>
  <c r="S9" i="38" s="1"/>
  <c r="P5" i="38"/>
  <c r="P4" i="38"/>
  <c r="L61" i="37"/>
  <c r="P3" i="37" s="1"/>
  <c r="T18" i="37"/>
  <c r="V14" i="37"/>
  <c r="P9" i="37" s="1"/>
  <c r="P7" i="37"/>
  <c r="S9" i="37" s="1"/>
  <c r="P5" i="37"/>
  <c r="P4" i="37"/>
  <c r="L61" i="36"/>
  <c r="P3" i="36" s="1"/>
  <c r="T18" i="36"/>
  <c r="V14" i="36"/>
  <c r="P9" i="36" s="1"/>
  <c r="P7" i="36"/>
  <c r="S9" i="36" s="1"/>
  <c r="P5" i="36"/>
  <c r="P4" i="36"/>
  <c r="L61" i="35"/>
  <c r="P3" i="35" s="1"/>
  <c r="T18" i="35"/>
  <c r="V14" i="35"/>
  <c r="P9" i="35" s="1"/>
  <c r="P7" i="35"/>
  <c r="S9" i="35" s="1"/>
  <c r="P5" i="35"/>
  <c r="P4" i="35"/>
  <c r="L61" i="34"/>
  <c r="P3" i="34" s="1"/>
  <c r="T18" i="34"/>
  <c r="V14" i="34"/>
  <c r="P9" i="34" s="1"/>
  <c r="P7" i="34"/>
  <c r="S9" i="34" s="1"/>
  <c r="P5" i="34"/>
  <c r="P4" i="34"/>
  <c r="L61" i="33"/>
  <c r="P3" i="33" s="1"/>
  <c r="T18" i="33"/>
  <c r="V14" i="33"/>
  <c r="P9" i="33" s="1"/>
  <c r="P7" i="33"/>
  <c r="S9" i="33" s="1"/>
  <c r="P5" i="33"/>
  <c r="P4" i="33"/>
  <c r="L61" i="32"/>
  <c r="P3" i="32" s="1"/>
  <c r="T18" i="32"/>
  <c r="V14" i="32"/>
  <c r="P9" i="32" s="1"/>
  <c r="P7" i="32"/>
  <c r="S9" i="32" s="1"/>
  <c r="P5" i="32"/>
  <c r="P4" i="32"/>
  <c r="L61" i="31"/>
  <c r="P3" i="31" s="1"/>
  <c r="T18" i="31"/>
  <c r="V14" i="31"/>
  <c r="P9" i="31" s="1"/>
  <c r="P7" i="31"/>
  <c r="S9" i="31" s="1"/>
  <c r="P5" i="31"/>
  <c r="P4" i="31"/>
  <c r="L61" i="30"/>
  <c r="P3" i="30" s="1"/>
  <c r="T18" i="30"/>
  <c r="V14" i="30"/>
  <c r="P9" i="30" s="1"/>
  <c r="P7" i="30"/>
  <c r="S9" i="30" s="1"/>
  <c r="P5" i="30"/>
  <c r="P4" i="30"/>
  <c r="L61" i="29"/>
  <c r="P3" i="29" s="1"/>
  <c r="T18" i="29"/>
  <c r="V14" i="29"/>
  <c r="P9" i="29" s="1"/>
  <c r="P7" i="29"/>
  <c r="S9" i="29" s="1"/>
  <c r="P5" i="29"/>
  <c r="P4" i="29"/>
  <c r="L61" i="28"/>
  <c r="P3" i="28" s="1"/>
  <c r="T18" i="28"/>
  <c r="V14" i="28"/>
  <c r="P9" i="28" s="1"/>
  <c r="P7" i="28"/>
  <c r="S9" i="28" s="1"/>
  <c r="P5" i="28"/>
  <c r="P4" i="28"/>
  <c r="L61" i="27"/>
  <c r="P3" i="27" s="1"/>
  <c r="T18" i="27"/>
  <c r="V14" i="27"/>
  <c r="P9" i="27" s="1"/>
  <c r="P7" i="27"/>
  <c r="S9" i="27" s="1"/>
  <c r="P5" i="27"/>
  <c r="P4" i="27"/>
  <c r="L61" i="26"/>
  <c r="P3" i="26" s="1"/>
  <c r="T18" i="26"/>
  <c r="V14" i="26"/>
  <c r="P9" i="26" s="1"/>
  <c r="P7" i="26"/>
  <c r="S9" i="26" s="1"/>
  <c r="P5" i="26"/>
  <c r="P4" i="26"/>
  <c r="L61" i="25"/>
  <c r="P3" i="25" s="1"/>
  <c r="T18" i="25"/>
  <c r="V14" i="25"/>
  <c r="P9" i="25" s="1"/>
  <c r="P7" i="25"/>
  <c r="S9" i="25" s="1"/>
  <c r="P5" i="25"/>
  <c r="P4" i="25"/>
  <c r="L61" i="24"/>
  <c r="P3" i="24" s="1"/>
  <c r="T18" i="24"/>
  <c r="V14" i="24"/>
  <c r="P9" i="24" s="1"/>
  <c r="P7" i="24"/>
  <c r="S9" i="24" s="1"/>
  <c r="P5" i="24"/>
  <c r="P4" i="24"/>
  <c r="L61" i="23"/>
  <c r="P3" i="23" s="1"/>
  <c r="T18" i="23"/>
  <c r="V14" i="23"/>
  <c r="P9" i="23" s="1"/>
  <c r="P7" i="23"/>
  <c r="S9" i="23" s="1"/>
  <c r="P5" i="23"/>
  <c r="P4" i="23"/>
  <c r="L61" i="22"/>
  <c r="P3" i="22" s="1"/>
  <c r="T18" i="22"/>
  <c r="V14" i="22"/>
  <c r="P9" i="22" s="1"/>
  <c r="P7" i="22"/>
  <c r="S9" i="22" s="1"/>
  <c r="P5" i="22"/>
  <c r="P4" i="22"/>
  <c r="L61" i="21"/>
  <c r="P3" i="21" s="1"/>
  <c r="T18" i="21"/>
  <c r="V14" i="21"/>
  <c r="P9" i="21" s="1"/>
  <c r="P7" i="21"/>
  <c r="S9" i="21" s="1"/>
  <c r="P5" i="21"/>
  <c r="P4" i="21"/>
  <c r="L61" i="20"/>
  <c r="P3" i="20" s="1"/>
  <c r="T18" i="20"/>
  <c r="V14" i="20"/>
  <c r="P9" i="20" s="1"/>
  <c r="P7" i="20"/>
  <c r="S9" i="20" s="1"/>
  <c r="P5" i="20"/>
  <c r="P4" i="20"/>
  <c r="L61" i="19"/>
  <c r="P3" i="19" s="1"/>
  <c r="T18" i="19"/>
  <c r="V14" i="19"/>
  <c r="P9" i="19" s="1"/>
  <c r="P7" i="19"/>
  <c r="S9" i="19" s="1"/>
  <c r="P5" i="19"/>
  <c r="P4" i="19"/>
  <c r="L61" i="18"/>
  <c r="P3" i="18" s="1"/>
  <c r="T18" i="18"/>
  <c r="V14" i="18"/>
  <c r="P9" i="18" s="1"/>
  <c r="P7" i="18"/>
  <c r="S9" i="18" s="1"/>
  <c r="P5" i="18"/>
  <c r="P4" i="18"/>
  <c r="L61" i="17"/>
  <c r="P3" i="17" s="1"/>
  <c r="T18" i="17"/>
  <c r="V14" i="17"/>
  <c r="P9" i="17" s="1"/>
  <c r="P7" i="17"/>
  <c r="S9" i="17" s="1"/>
  <c r="P5" i="17"/>
  <c r="P4" i="17"/>
  <c r="L61" i="16"/>
  <c r="P3" i="16" s="1"/>
  <c r="T18" i="16"/>
  <c r="V14" i="16"/>
  <c r="P9" i="16" s="1"/>
  <c r="P7" i="16"/>
  <c r="S9" i="16" s="1"/>
  <c r="P5" i="16"/>
  <c r="P4" i="16"/>
  <c r="L61" i="15"/>
  <c r="P3" i="15" s="1"/>
  <c r="T18" i="15"/>
  <c r="V14" i="15"/>
  <c r="P9" i="15" s="1"/>
  <c r="P7" i="15"/>
  <c r="S9" i="15" s="1"/>
  <c r="P5" i="15"/>
  <c r="P4" i="15"/>
  <c r="L61" i="14"/>
  <c r="P3" i="14" s="1"/>
  <c r="T18" i="14"/>
  <c r="V14" i="14"/>
  <c r="P9" i="14" s="1"/>
  <c r="P7" i="14"/>
  <c r="S9" i="14" s="1"/>
  <c r="P5" i="14"/>
  <c r="P4" i="14"/>
  <c r="L61" i="13"/>
  <c r="P3" i="13" s="1"/>
  <c r="T18" i="13"/>
  <c r="V14" i="13"/>
  <c r="P9" i="13" s="1"/>
  <c r="P7" i="13"/>
  <c r="S9" i="13" s="1"/>
  <c r="P5" i="13"/>
  <c r="P4" i="13"/>
  <c r="L61" i="12"/>
  <c r="P3" i="12" s="1"/>
  <c r="T18" i="12"/>
  <c r="V14" i="12"/>
  <c r="P9" i="12" s="1"/>
  <c r="P7" i="12"/>
  <c r="S9" i="12" s="1"/>
  <c r="P5" i="12"/>
  <c r="P4" i="12"/>
  <c r="L61" i="11"/>
  <c r="P3" i="11" s="1"/>
  <c r="T18" i="11"/>
  <c r="V14" i="11"/>
  <c r="P9" i="11" s="1"/>
  <c r="P7" i="11"/>
  <c r="S9" i="11" s="1"/>
  <c r="P5" i="11"/>
  <c r="P4" i="11"/>
  <c r="L61" i="10"/>
  <c r="P3" i="10" s="1"/>
  <c r="T18" i="10"/>
  <c r="V14" i="10"/>
  <c r="P9" i="10" s="1"/>
  <c r="P7" i="10"/>
  <c r="S9" i="10" s="1"/>
  <c r="P5" i="10"/>
  <c r="P4" i="10"/>
  <c r="L61" i="9"/>
  <c r="P3" i="9" s="1"/>
  <c r="T18" i="9"/>
  <c r="V14" i="9"/>
  <c r="P9" i="9" s="1"/>
  <c r="P7" i="9"/>
  <c r="S9" i="9" s="1"/>
  <c r="P5" i="9"/>
  <c r="P4" i="9"/>
  <c r="L61" i="8"/>
  <c r="P3" i="8" s="1"/>
  <c r="T18" i="8"/>
  <c r="V14" i="8"/>
  <c r="P9" i="8" s="1"/>
  <c r="P7" i="8"/>
  <c r="S9" i="8" s="1"/>
  <c r="P5" i="8"/>
  <c r="P4" i="8"/>
  <c r="S9" i="7"/>
  <c r="V25" i="6"/>
  <c r="U32" i="6"/>
  <c r="V45" i="6"/>
  <c r="T31" i="6"/>
  <c r="S31" i="6" s="1"/>
  <c r="U55" i="6"/>
  <c r="V32" i="6"/>
  <c r="T42" i="6"/>
  <c r="S42" i="6" s="1"/>
  <c r="U59" i="6"/>
  <c r="V59" i="6"/>
  <c r="V23" i="6"/>
  <c r="U23" i="6"/>
  <c r="V56" i="6"/>
  <c r="U48" i="6"/>
  <c r="U30" i="6"/>
  <c r="T20" i="6"/>
  <c r="S20" i="6" s="1"/>
  <c r="U47" i="6"/>
  <c r="V47" i="6"/>
  <c r="T47" i="6"/>
  <c r="S47" i="6" s="1"/>
  <c r="T26" i="6"/>
  <c r="S26" i="6" s="1"/>
  <c r="H61" i="6"/>
  <c r="P2" i="6" s="1"/>
  <c r="U36" i="6"/>
  <c r="U43" i="6"/>
  <c r="V39" i="6"/>
  <c r="T38" i="6"/>
  <c r="S38" i="6" s="1"/>
  <c r="T37" i="6"/>
  <c r="S37" i="6" s="1"/>
  <c r="U54" i="6"/>
  <c r="R61" i="6"/>
  <c r="V18" i="6"/>
  <c r="U41" i="6"/>
  <c r="V41" i="6"/>
  <c r="V38" i="6"/>
  <c r="U35" i="6"/>
  <c r="V35" i="6"/>
  <c r="T18" i="6"/>
  <c r="U53" i="6"/>
  <c r="V53" i="6"/>
  <c r="T54" i="6"/>
  <c r="S54" i="6" s="1"/>
  <c r="T41" i="6"/>
  <c r="S41" i="6" s="1"/>
  <c r="U24" i="6"/>
  <c r="U18" i="6"/>
  <c r="U45" i="6"/>
  <c r="U29" i="6"/>
  <c r="V29" i="6"/>
  <c r="T48" i="6"/>
  <c r="S48" i="6" s="1"/>
  <c r="P5" i="5"/>
  <c r="P4" i="5"/>
  <c r="T33" i="5"/>
  <c r="S33" i="5" s="1"/>
  <c r="V33" i="5"/>
  <c r="U33" i="5"/>
  <c r="V28" i="5"/>
  <c r="U28" i="5"/>
  <c r="T54" i="5"/>
  <c r="S54" i="5" s="1"/>
  <c r="V51" i="5"/>
  <c r="U51" i="5"/>
  <c r="T42" i="5"/>
  <c r="S42" i="5" s="1"/>
  <c r="V46" i="5"/>
  <c r="U46" i="5"/>
  <c r="T18" i="5"/>
  <c r="V18" i="5"/>
  <c r="U24" i="5"/>
  <c r="U54" i="5"/>
  <c r="T24" i="5"/>
  <c r="S24" i="5" s="1"/>
  <c r="V45" i="5"/>
  <c r="U45" i="5"/>
  <c r="V22" i="5"/>
  <c r="U22" i="5"/>
  <c r="R61" i="5"/>
  <c r="V40" i="5"/>
  <c r="U40" i="5"/>
  <c r="U27" i="5"/>
  <c r="V27" i="5"/>
  <c r="T27" i="5"/>
  <c r="S27" i="5" s="1"/>
  <c r="U48" i="5"/>
  <c r="V34" i="5"/>
  <c r="U34" i="5"/>
  <c r="V48" i="5"/>
  <c r="U58" i="5"/>
  <c r="V58" i="5"/>
  <c r="U52" i="5"/>
  <c r="V52" i="5"/>
  <c r="U39" i="5"/>
  <c r="V39" i="5"/>
  <c r="T58" i="5"/>
  <c r="S58" i="5" s="1"/>
  <c r="V57" i="5"/>
  <c r="U57" i="5"/>
  <c r="U21" i="5"/>
  <c r="V21" i="5"/>
  <c r="T21" i="5"/>
  <c r="S21" i="5" s="1"/>
  <c r="U42" i="5"/>
  <c r="T46" i="5"/>
  <c r="S46" i="5" s="1"/>
  <c r="T22" i="5"/>
  <c r="S22" i="5" s="1"/>
  <c r="T20" i="4"/>
  <c r="S20" i="4" s="1"/>
  <c r="U37" i="4"/>
  <c r="U31" i="4"/>
  <c r="T34" i="4"/>
  <c r="S34" i="4" s="1"/>
  <c r="V26" i="4"/>
  <c r="V31" i="4"/>
  <c r="U26" i="4"/>
  <c r="U50" i="4"/>
  <c r="V50" i="4"/>
  <c r="V24" i="4"/>
  <c r="U24" i="4"/>
  <c r="V47" i="4"/>
  <c r="U47" i="4"/>
  <c r="T47" i="4"/>
  <c r="S47" i="4" s="1"/>
  <c r="T21" i="4"/>
  <c r="S21" i="4" s="1"/>
  <c r="V30" i="4"/>
  <c r="U30" i="4"/>
  <c r="V53" i="4"/>
  <c r="U53" i="4"/>
  <c r="T53" i="4"/>
  <c r="S53" i="4" s="1"/>
  <c r="T19" i="4"/>
  <c r="S19" i="4" s="1"/>
  <c r="V58" i="4"/>
  <c r="U58" i="4"/>
  <c r="V36" i="4"/>
  <c r="U36" i="4"/>
  <c r="U59" i="4"/>
  <c r="T59" i="4"/>
  <c r="S59" i="4" s="1"/>
  <c r="V59" i="4"/>
  <c r="U38" i="4"/>
  <c r="U42" i="4"/>
  <c r="V42" i="4"/>
  <c r="U46" i="4"/>
  <c r="V46" i="4"/>
  <c r="V48" i="4"/>
  <c r="U48" i="4"/>
  <c r="T32" i="4"/>
  <c r="S32" i="4" s="1"/>
  <c r="T18" i="4"/>
  <c r="L61" i="4"/>
  <c r="P3" i="4" s="1"/>
  <c r="U27" i="4"/>
  <c r="V54" i="4"/>
  <c r="U54" i="4"/>
  <c r="T27" i="4"/>
  <c r="S27" i="4" s="1"/>
  <c r="U41" i="4"/>
  <c r="T41" i="4"/>
  <c r="S41" i="4" s="1"/>
  <c r="V41" i="4"/>
  <c r="U32" i="4"/>
  <c r="T54" i="4"/>
  <c r="S54" i="4" s="1"/>
  <c r="U60" i="4"/>
  <c r="V60" i="4"/>
  <c r="T51" i="4"/>
  <c r="S51" i="4" s="1"/>
  <c r="T38" i="4"/>
  <c r="S38" i="4" s="1"/>
  <c r="H61" i="4"/>
  <c r="P2" i="4" s="1"/>
  <c r="R61" i="4"/>
  <c r="U18" i="4"/>
  <c r="V18" i="4"/>
  <c r="V28" i="4"/>
  <c r="U28" i="4"/>
  <c r="T28" i="4"/>
  <c r="S28" i="4" s="1"/>
  <c r="G61" i="4"/>
  <c r="V40" i="4"/>
  <c r="U40" i="4"/>
  <c r="U23" i="4"/>
  <c r="T23" i="4"/>
  <c r="S23" i="4" s="1"/>
  <c r="V23" i="4"/>
  <c r="T46" i="4"/>
  <c r="S46" i="4" s="1"/>
  <c r="V34" i="4"/>
  <c r="U34" i="4"/>
  <c r="T44" i="4"/>
  <c r="S44" i="4" s="1"/>
  <c r="U52" i="4"/>
  <c r="V52" i="4"/>
  <c r="U21" i="4"/>
  <c r="U29" i="4"/>
  <c r="V29" i="4"/>
  <c r="T29" i="4"/>
  <c r="S29" i="4" s="1"/>
  <c r="U39" i="4"/>
  <c r="U35" i="4"/>
  <c r="V35" i="4"/>
  <c r="T35" i="4"/>
  <c r="S35" i="4" s="1"/>
  <c r="T58" i="4"/>
  <c r="S58" i="4" s="1"/>
  <c r="L28" i="1"/>
  <c r="L23" i="1"/>
  <c r="T23" i="1" s="1"/>
  <c r="S23" i="1" s="1"/>
  <c r="L26" i="1"/>
  <c r="T43" i="1"/>
  <c r="S43" i="1" s="1"/>
  <c r="L47" i="1"/>
  <c r="T47" i="1" s="1"/>
  <c r="S47" i="1" s="1"/>
  <c r="L46" i="1"/>
  <c r="L35" i="1"/>
  <c r="T35" i="1" s="1"/>
  <c r="S35" i="1" s="1"/>
  <c r="L34" i="1"/>
  <c r="L40" i="1"/>
  <c r="L36" i="1"/>
  <c r="T36" i="1" s="1"/>
  <c r="S36" i="1" s="1"/>
  <c r="J61" i="1"/>
  <c r="T37" i="1"/>
  <c r="S37" i="1" s="1"/>
  <c r="T31" i="1"/>
  <c r="S31" i="1" s="1"/>
  <c r="L41" i="1"/>
  <c r="T41" i="1" s="1"/>
  <c r="S41" i="1" s="1"/>
  <c r="L22" i="1"/>
  <c r="T19" i="1"/>
  <c r="S19" i="1" s="1"/>
  <c r="L29" i="1"/>
  <c r="T29" i="1" s="1"/>
  <c r="S29" i="1" s="1"/>
  <c r="L20" i="1"/>
  <c r="L33" i="1"/>
  <c r="T55" i="1"/>
  <c r="S55" i="1" s="1"/>
  <c r="L56" i="1"/>
  <c r="T56" i="1" s="1"/>
  <c r="S56" i="1" s="1"/>
  <c r="T49" i="1"/>
  <c r="S49" i="1" s="1"/>
  <c r="L53" i="1"/>
  <c r="T53" i="1" s="1"/>
  <c r="S53" i="1" s="1"/>
  <c r="L32" i="1"/>
  <c r="L49" i="2"/>
  <c r="T49" i="2" s="1"/>
  <c r="S49" i="2" s="1"/>
  <c r="L43" i="2"/>
  <c r="L42" i="2"/>
  <c r="L55" i="2"/>
  <c r="L53" i="2"/>
  <c r="L40" i="2"/>
  <c r="L23" i="2"/>
  <c r="L22" i="2"/>
  <c r="L19" i="2"/>
  <c r="L24" i="2"/>
  <c r="L25" i="2"/>
  <c r="T25" i="2" s="1"/>
  <c r="S25" i="2" s="1"/>
  <c r="L18" i="2"/>
  <c r="T22" i="2"/>
  <c r="S22" i="2" s="1"/>
  <c r="V49" i="2"/>
  <c r="T58" i="2"/>
  <c r="S58" i="2" s="1"/>
  <c r="T18" i="2"/>
  <c r="T30" i="2"/>
  <c r="S30" i="2" s="1"/>
  <c r="U27" i="2"/>
  <c r="V50" i="2"/>
  <c r="T19" i="2"/>
  <c r="S19" i="2" s="1"/>
  <c r="U48" i="2"/>
  <c r="U60" i="2"/>
  <c r="U30" i="2"/>
  <c r="U54" i="2"/>
  <c r="U39" i="2"/>
  <c r="T48" i="2"/>
  <c r="S48" i="2" s="1"/>
  <c r="T29" i="2"/>
  <c r="S29" i="2" s="1"/>
  <c r="U21" i="2"/>
  <c r="U33" i="2"/>
  <c r="V55" i="2"/>
  <c r="T60" i="2"/>
  <c r="S60" i="2" s="1"/>
  <c r="H20" i="2"/>
  <c r="R22" i="2"/>
  <c r="H26" i="2"/>
  <c r="R28" i="2"/>
  <c r="H32" i="2"/>
  <c r="R34" i="2"/>
  <c r="T34" i="2" s="1"/>
  <c r="S34" i="2" s="1"/>
  <c r="H38" i="2"/>
  <c r="R40" i="2"/>
  <c r="H44" i="2"/>
  <c r="R46" i="2"/>
  <c r="H50" i="2"/>
  <c r="R52" i="2"/>
  <c r="R58" i="2"/>
  <c r="L21" i="2"/>
  <c r="L27" i="2"/>
  <c r="T27" i="2" s="1"/>
  <c r="S27" i="2" s="1"/>
  <c r="L33" i="2"/>
  <c r="T33" i="2" s="1"/>
  <c r="S33" i="2" s="1"/>
  <c r="L39" i="2"/>
  <c r="L45" i="2"/>
  <c r="L51" i="2"/>
  <c r="L57" i="2"/>
  <c r="R45" i="2"/>
  <c r="V45" i="2" s="1"/>
  <c r="L50" i="2"/>
  <c r="T50" i="2" s="1"/>
  <c r="S50" i="2" s="1"/>
  <c r="R50" i="2"/>
  <c r="R19" i="2"/>
  <c r="V19" i="2" s="1"/>
  <c r="H23" i="2"/>
  <c r="R25" i="2"/>
  <c r="V25" i="2" s="1"/>
  <c r="V27" i="2"/>
  <c r="H29" i="2"/>
  <c r="R31" i="2"/>
  <c r="V31" i="2" s="1"/>
  <c r="V33" i="2"/>
  <c r="H35" i="2"/>
  <c r="R37" i="2"/>
  <c r="U37" i="2" s="1"/>
  <c r="V39" i="2"/>
  <c r="H41" i="2"/>
  <c r="R43" i="2"/>
  <c r="V43" i="2" s="1"/>
  <c r="H47" i="2"/>
  <c r="R49" i="2"/>
  <c r="H53" i="2"/>
  <c r="R55" i="2"/>
  <c r="T55" i="2" s="1"/>
  <c r="S55" i="2" s="1"/>
  <c r="H59" i="2"/>
  <c r="K61" i="2"/>
  <c r="J61" i="2"/>
  <c r="U20" i="2"/>
  <c r="U50" i="2"/>
  <c r="U56" i="2"/>
  <c r="R51" i="2"/>
  <c r="V51" i="2" s="1"/>
  <c r="R38" i="2"/>
  <c r="T38" i="2" s="1"/>
  <c r="S38" i="2" s="1"/>
  <c r="R18" i="2"/>
  <c r="V20" i="2"/>
  <c r="H22" i="2"/>
  <c r="R24" i="2"/>
  <c r="V24" i="2" s="1"/>
  <c r="H28" i="2"/>
  <c r="R30" i="2"/>
  <c r="V30" i="2" s="1"/>
  <c r="H34" i="2"/>
  <c r="R36" i="2"/>
  <c r="V36" i="2" s="1"/>
  <c r="V38" i="2"/>
  <c r="H40" i="2"/>
  <c r="R42" i="2"/>
  <c r="V42" i="2" s="1"/>
  <c r="H46" i="2"/>
  <c r="R48" i="2"/>
  <c r="V48" i="2" s="1"/>
  <c r="H52" i="2"/>
  <c r="R54" i="2"/>
  <c r="V54" i="2" s="1"/>
  <c r="V56" i="2"/>
  <c r="H58" i="2"/>
  <c r="R60" i="2"/>
  <c r="V60" i="2" s="1"/>
  <c r="R39" i="2"/>
  <c r="R57" i="2"/>
  <c r="V57" i="2" s="1"/>
  <c r="R32" i="2"/>
  <c r="U32" i="2" s="1"/>
  <c r="U19" i="2"/>
  <c r="G21" i="2"/>
  <c r="U25" i="2"/>
  <c r="G27" i="2"/>
  <c r="G33" i="2"/>
  <c r="G39" i="2"/>
  <c r="G45" i="2"/>
  <c r="U49" i="2"/>
  <c r="G51" i="2"/>
  <c r="U55" i="2"/>
  <c r="G57" i="2"/>
  <c r="R26" i="2"/>
  <c r="T26" i="2" s="1"/>
  <c r="S26" i="2" s="1"/>
  <c r="H21" i="2"/>
  <c r="R23" i="2"/>
  <c r="H27" i="2"/>
  <c r="R29" i="2"/>
  <c r="H33" i="2"/>
  <c r="R35" i="2"/>
  <c r="H39" i="2"/>
  <c r="R41" i="2"/>
  <c r="H45" i="2"/>
  <c r="R47" i="2"/>
  <c r="H51" i="2"/>
  <c r="R53" i="2"/>
  <c r="T53" i="2" s="1"/>
  <c r="S53" i="2" s="1"/>
  <c r="R59" i="2"/>
  <c r="R21" i="2"/>
  <c r="V21" i="2" s="1"/>
  <c r="R27" i="2"/>
  <c r="R33" i="2"/>
  <c r="R20" i="2"/>
  <c r="T20" i="2" s="1"/>
  <c r="S20" i="2" s="1"/>
  <c r="R44" i="2"/>
  <c r="U44" i="2" s="1"/>
  <c r="G20" i="2"/>
  <c r="G26" i="2"/>
  <c r="G32" i="2"/>
  <c r="G38" i="2"/>
  <c r="G44" i="2"/>
  <c r="G50" i="2"/>
  <c r="V22" i="1"/>
  <c r="T27" i="1"/>
  <c r="S27" i="1" s="1"/>
  <c r="T52" i="1"/>
  <c r="S52" i="1" s="1"/>
  <c r="T50" i="1"/>
  <c r="S50" i="1" s="1"/>
  <c r="V58" i="1"/>
  <c r="V56" i="1"/>
  <c r="U56" i="1"/>
  <c r="T20" i="1"/>
  <c r="S20" i="1" s="1"/>
  <c r="T46" i="1"/>
  <c r="S46" i="1" s="1"/>
  <c r="V46" i="1"/>
  <c r="T18" i="1"/>
  <c r="T28" i="1"/>
  <c r="S28" i="1" s="1"/>
  <c r="V28" i="1"/>
  <c r="T22" i="1"/>
  <c r="S22" i="1" s="1"/>
  <c r="T45" i="1"/>
  <c r="S45" i="1" s="1"/>
  <c r="U24" i="1"/>
  <c r="U36" i="1"/>
  <c r="V18" i="1"/>
  <c r="H20" i="1"/>
  <c r="R22" i="1"/>
  <c r="V24" i="1"/>
  <c r="H26" i="1"/>
  <c r="R28" i="1"/>
  <c r="V30" i="1"/>
  <c r="H32" i="1"/>
  <c r="R34" i="1"/>
  <c r="T34" i="1" s="1"/>
  <c r="S34" i="1" s="1"/>
  <c r="V36" i="1"/>
  <c r="H38" i="1"/>
  <c r="R40" i="1"/>
  <c r="R61" i="1" s="1"/>
  <c r="V42" i="1"/>
  <c r="H44" i="1"/>
  <c r="R46" i="1"/>
  <c r="V48" i="1"/>
  <c r="H50" i="1"/>
  <c r="R52" i="1"/>
  <c r="V52" i="1" s="1"/>
  <c r="V54" i="1"/>
  <c r="H56" i="1"/>
  <c r="R58" i="1"/>
  <c r="U58" i="1" s="1"/>
  <c r="V60" i="1"/>
  <c r="U25" i="1"/>
  <c r="G38" i="1"/>
  <c r="U42" i="1"/>
  <c r="G50" i="1"/>
  <c r="U54" i="1"/>
  <c r="G19" i="1"/>
  <c r="U23" i="1"/>
  <c r="G25" i="1"/>
  <c r="U29" i="1"/>
  <c r="G31" i="1"/>
  <c r="U35" i="1"/>
  <c r="G37" i="1"/>
  <c r="U41" i="1"/>
  <c r="G43" i="1"/>
  <c r="U47" i="1"/>
  <c r="G49" i="1"/>
  <c r="U53" i="1"/>
  <c r="G55" i="1"/>
  <c r="U59" i="1"/>
  <c r="U19" i="1"/>
  <c r="U37" i="1"/>
  <c r="U49" i="1"/>
  <c r="V37" i="1"/>
  <c r="V49" i="1"/>
  <c r="G26" i="1"/>
  <c r="H19" i="1"/>
  <c r="R21" i="1"/>
  <c r="H25" i="1"/>
  <c r="R27" i="1"/>
  <c r="H31" i="1"/>
  <c r="R33" i="1"/>
  <c r="H37" i="1"/>
  <c r="R39" i="1"/>
  <c r="T39" i="1" s="1"/>
  <c r="S39" i="1" s="1"/>
  <c r="H43" i="1"/>
  <c r="R45" i="1"/>
  <c r="R51" i="1"/>
  <c r="H55" i="1"/>
  <c r="R57" i="1"/>
  <c r="V25" i="1"/>
  <c r="G20" i="1"/>
  <c r="G44" i="1"/>
  <c r="U48" i="1"/>
  <c r="U60" i="1"/>
  <c r="G18" i="1"/>
  <c r="U22" i="1"/>
  <c r="G24" i="1"/>
  <c r="U28" i="1"/>
  <c r="G30" i="1"/>
  <c r="G36" i="1"/>
  <c r="G42" i="1"/>
  <c r="U46" i="1"/>
  <c r="G48" i="1"/>
  <c r="U52" i="1"/>
  <c r="G54" i="1"/>
  <c r="G60" i="1"/>
  <c r="U55" i="1"/>
  <c r="U18" i="1"/>
  <c r="G32" i="1"/>
  <c r="G56" i="1"/>
  <c r="H18" i="1"/>
  <c r="R20" i="1"/>
  <c r="H24" i="1"/>
  <c r="R26" i="1"/>
  <c r="H30" i="1"/>
  <c r="R32" i="1"/>
  <c r="H36" i="1"/>
  <c r="R38" i="1"/>
  <c r="T38" i="1" s="1"/>
  <c r="S38" i="1" s="1"/>
  <c r="H42" i="1"/>
  <c r="R44" i="1"/>
  <c r="H48" i="1"/>
  <c r="R50" i="1"/>
  <c r="H54" i="1"/>
  <c r="U31" i="1"/>
  <c r="U43" i="1"/>
  <c r="V19" i="1"/>
  <c r="V31" i="1"/>
  <c r="V43" i="1"/>
  <c r="V55" i="1"/>
  <c r="U30" i="1"/>
  <c r="G23" i="1"/>
  <c r="G29" i="1"/>
  <c r="G35" i="1"/>
  <c r="G41" i="1"/>
  <c r="G47" i="1"/>
  <c r="G53" i="1"/>
  <c r="K61" i="1"/>
  <c r="T9" i="65" l="1"/>
  <c r="V9" i="65" s="1"/>
  <c r="U9" i="65"/>
  <c r="S61" i="65"/>
  <c r="P4" i="65"/>
  <c r="T61" i="65"/>
  <c r="P6" i="65" s="1"/>
  <c r="P5" i="65"/>
  <c r="P5" i="64"/>
  <c r="P4" i="64"/>
  <c r="S9" i="64"/>
  <c r="U9" i="64" s="1"/>
  <c r="T47" i="64"/>
  <c r="P6" i="64" s="1"/>
  <c r="S47" i="64"/>
  <c r="T9" i="64"/>
  <c r="V9" i="64" s="1"/>
  <c r="T9" i="62"/>
  <c r="V9" i="62" s="1"/>
  <c r="U9" i="62"/>
  <c r="T9" i="63"/>
  <c r="V9" i="63" s="1"/>
  <c r="U9" i="63"/>
  <c r="T9" i="61"/>
  <c r="V9" i="61" s="1"/>
  <c r="U9" i="61"/>
  <c r="T9" i="60"/>
  <c r="V9" i="60" s="1"/>
  <c r="U9" i="60"/>
  <c r="T9" i="59"/>
  <c r="V9" i="59" s="1"/>
  <c r="U9" i="59"/>
  <c r="T9" i="58"/>
  <c r="V9" i="58" s="1"/>
  <c r="U9" i="58"/>
  <c r="T9" i="57"/>
  <c r="V9" i="57" s="1"/>
  <c r="U9" i="57"/>
  <c r="T9" i="56"/>
  <c r="V9" i="56" s="1"/>
  <c r="U9" i="56"/>
  <c r="T9" i="55"/>
  <c r="V9" i="55" s="1"/>
  <c r="U9" i="55"/>
  <c r="T9" i="54"/>
  <c r="V9" i="54" s="1"/>
  <c r="U9" i="54"/>
  <c r="T9" i="53"/>
  <c r="V9" i="53" s="1"/>
  <c r="U9" i="53"/>
  <c r="T61" i="52"/>
  <c r="P6" i="52" s="1"/>
  <c r="S18" i="52"/>
  <c r="S61" i="52" s="1"/>
  <c r="U9" i="52"/>
  <c r="T9" i="52"/>
  <c r="V9" i="52" s="1"/>
  <c r="T9" i="51"/>
  <c r="V9" i="51" s="1"/>
  <c r="U9" i="51"/>
  <c r="T9" i="50"/>
  <c r="V9" i="50" s="1"/>
  <c r="U9" i="50"/>
  <c r="T9" i="46"/>
  <c r="V9" i="46" s="1"/>
  <c r="U9" i="46"/>
  <c r="T9" i="47"/>
  <c r="V9" i="47" s="1"/>
  <c r="U9" i="47"/>
  <c r="T9" i="48"/>
  <c r="V9" i="48" s="1"/>
  <c r="U9" i="48"/>
  <c r="T9" i="45"/>
  <c r="V9" i="45" s="1"/>
  <c r="U9" i="45"/>
  <c r="T9" i="44"/>
  <c r="V9" i="44" s="1"/>
  <c r="U9" i="44"/>
  <c r="T9" i="43"/>
  <c r="V9" i="43" s="1"/>
  <c r="U9" i="43"/>
  <c r="T9" i="42"/>
  <c r="V9" i="42" s="1"/>
  <c r="U9" i="42"/>
  <c r="T9" i="41"/>
  <c r="V9" i="41" s="1"/>
  <c r="U9" i="41"/>
  <c r="T61" i="40"/>
  <c r="P6" i="40" s="1"/>
  <c r="S18" i="40"/>
  <c r="S61" i="40" s="1"/>
  <c r="U9" i="40"/>
  <c r="T9" i="40"/>
  <c r="V9" i="40" s="1"/>
  <c r="T61" i="39"/>
  <c r="P6" i="39" s="1"/>
  <c r="S18" i="39"/>
  <c r="S61" i="39" s="1"/>
  <c r="U9" i="39"/>
  <c r="T9" i="39"/>
  <c r="V9" i="39" s="1"/>
  <c r="T61" i="38"/>
  <c r="P6" i="38" s="1"/>
  <c r="S18" i="38"/>
  <c r="S61" i="38" s="1"/>
  <c r="U9" i="38"/>
  <c r="T9" i="38"/>
  <c r="V9" i="38" s="1"/>
  <c r="T61" i="37"/>
  <c r="P6" i="37" s="1"/>
  <c r="S18" i="37"/>
  <c r="S61" i="37" s="1"/>
  <c r="U9" i="37"/>
  <c r="T9" i="37"/>
  <c r="V9" i="37" s="1"/>
  <c r="T61" i="36"/>
  <c r="P6" i="36" s="1"/>
  <c r="S18" i="36"/>
  <c r="S61" i="36" s="1"/>
  <c r="U9" i="36"/>
  <c r="T9" i="36"/>
  <c r="V9" i="36" s="1"/>
  <c r="T61" i="35"/>
  <c r="P6" i="35" s="1"/>
  <c r="S18" i="35"/>
  <c r="S61" i="35" s="1"/>
  <c r="U9" i="35"/>
  <c r="T9" i="35"/>
  <c r="V9" i="35" s="1"/>
  <c r="T61" i="34"/>
  <c r="P6" i="34" s="1"/>
  <c r="S18" i="34"/>
  <c r="S61" i="34" s="1"/>
  <c r="U9" i="34"/>
  <c r="T9" i="34"/>
  <c r="V9" i="34" s="1"/>
  <c r="T61" i="33"/>
  <c r="P6" i="33" s="1"/>
  <c r="S18" i="33"/>
  <c r="S61" i="33" s="1"/>
  <c r="U9" i="33"/>
  <c r="T9" i="33"/>
  <c r="V9" i="33" s="1"/>
  <c r="T61" i="32"/>
  <c r="P6" i="32" s="1"/>
  <c r="S18" i="32"/>
  <c r="S61" i="32" s="1"/>
  <c r="U9" i="32"/>
  <c r="T9" i="32"/>
  <c r="V9" i="32" s="1"/>
  <c r="T61" i="31"/>
  <c r="P6" i="31" s="1"/>
  <c r="S18" i="31"/>
  <c r="S61" i="31" s="1"/>
  <c r="U9" i="31"/>
  <c r="T9" i="31"/>
  <c r="V9" i="31" s="1"/>
  <c r="T61" i="30"/>
  <c r="P6" i="30" s="1"/>
  <c r="S18" i="30"/>
  <c r="S61" i="30" s="1"/>
  <c r="U9" i="30"/>
  <c r="T9" i="30"/>
  <c r="V9" i="30" s="1"/>
  <c r="T61" i="29"/>
  <c r="P6" i="29" s="1"/>
  <c r="S18" i="29"/>
  <c r="S61" i="29" s="1"/>
  <c r="U9" i="29"/>
  <c r="T9" i="29"/>
  <c r="V9" i="29" s="1"/>
  <c r="T61" i="28"/>
  <c r="P6" i="28" s="1"/>
  <c r="S18" i="28"/>
  <c r="S61" i="28" s="1"/>
  <c r="U9" i="28"/>
  <c r="T9" i="28"/>
  <c r="V9" i="28" s="1"/>
  <c r="T61" i="27"/>
  <c r="P6" i="27" s="1"/>
  <c r="S18" i="27"/>
  <c r="S61" i="27" s="1"/>
  <c r="U9" i="27"/>
  <c r="T9" i="27"/>
  <c r="V9" i="27" s="1"/>
  <c r="T61" i="26"/>
  <c r="P6" i="26" s="1"/>
  <c r="S18" i="26"/>
  <c r="S61" i="26" s="1"/>
  <c r="U9" i="26"/>
  <c r="T9" i="26"/>
  <c r="V9" i="26" s="1"/>
  <c r="T61" i="25"/>
  <c r="P6" i="25" s="1"/>
  <c r="S18" i="25"/>
  <c r="S61" i="25" s="1"/>
  <c r="U9" i="25"/>
  <c r="T9" i="25"/>
  <c r="V9" i="25" s="1"/>
  <c r="T61" i="24"/>
  <c r="P6" i="24" s="1"/>
  <c r="S18" i="24"/>
  <c r="S61" i="24" s="1"/>
  <c r="U9" i="24"/>
  <c r="T9" i="24"/>
  <c r="V9" i="24" s="1"/>
  <c r="T61" i="23"/>
  <c r="P6" i="23" s="1"/>
  <c r="S18" i="23"/>
  <c r="S61" i="23" s="1"/>
  <c r="U9" i="23"/>
  <c r="T9" i="23"/>
  <c r="V9" i="23" s="1"/>
  <c r="T61" i="22"/>
  <c r="P6" i="22" s="1"/>
  <c r="S18" i="22"/>
  <c r="S61" i="22" s="1"/>
  <c r="U9" i="22"/>
  <c r="T9" i="22"/>
  <c r="V9" i="22" s="1"/>
  <c r="T61" i="21"/>
  <c r="P6" i="21" s="1"/>
  <c r="S18" i="21"/>
  <c r="S61" i="21" s="1"/>
  <c r="U9" i="21"/>
  <c r="T9" i="21"/>
  <c r="V9" i="21" s="1"/>
  <c r="T61" i="20"/>
  <c r="P6" i="20" s="1"/>
  <c r="S18" i="20"/>
  <c r="S61" i="20" s="1"/>
  <c r="U9" i="20"/>
  <c r="T9" i="20"/>
  <c r="V9" i="20" s="1"/>
  <c r="T61" i="19"/>
  <c r="P6" i="19" s="1"/>
  <c r="S18" i="19"/>
  <c r="S61" i="19" s="1"/>
  <c r="U9" i="19"/>
  <c r="T9" i="19"/>
  <c r="V9" i="19" s="1"/>
  <c r="T61" i="18"/>
  <c r="P6" i="18" s="1"/>
  <c r="S18" i="18"/>
  <c r="S61" i="18" s="1"/>
  <c r="U9" i="18"/>
  <c r="T9" i="18"/>
  <c r="V9" i="18" s="1"/>
  <c r="T61" i="17"/>
  <c r="P6" i="17" s="1"/>
  <c r="S18" i="17"/>
  <c r="S61" i="17" s="1"/>
  <c r="U9" i="17"/>
  <c r="T9" i="17"/>
  <c r="V9" i="17" s="1"/>
  <c r="T61" i="16"/>
  <c r="P6" i="16" s="1"/>
  <c r="S18" i="16"/>
  <c r="S61" i="16" s="1"/>
  <c r="U9" i="16"/>
  <c r="T9" i="16"/>
  <c r="V9" i="16" s="1"/>
  <c r="T61" i="15"/>
  <c r="P6" i="15" s="1"/>
  <c r="S18" i="15"/>
  <c r="S61" i="15" s="1"/>
  <c r="U9" i="15"/>
  <c r="T9" i="15"/>
  <c r="V9" i="15" s="1"/>
  <c r="T61" i="14"/>
  <c r="P6" i="14" s="1"/>
  <c r="S18" i="14"/>
  <c r="S61" i="14" s="1"/>
  <c r="U9" i="14"/>
  <c r="T9" i="14"/>
  <c r="V9" i="14" s="1"/>
  <c r="T61" i="13"/>
  <c r="P6" i="13" s="1"/>
  <c r="S18" i="13"/>
  <c r="S61" i="13" s="1"/>
  <c r="U9" i="13"/>
  <c r="T9" i="13"/>
  <c r="V9" i="13" s="1"/>
  <c r="T61" i="12"/>
  <c r="P6" i="12" s="1"/>
  <c r="S18" i="12"/>
  <c r="S61" i="12" s="1"/>
  <c r="U9" i="12"/>
  <c r="T9" i="12"/>
  <c r="V9" i="12" s="1"/>
  <c r="T61" i="11"/>
  <c r="P6" i="11" s="1"/>
  <c r="S18" i="11"/>
  <c r="S61" i="11" s="1"/>
  <c r="U9" i="11"/>
  <c r="T9" i="11"/>
  <c r="V9" i="11" s="1"/>
  <c r="T61" i="10"/>
  <c r="P6" i="10" s="1"/>
  <c r="S18" i="10"/>
  <c r="S61" i="10" s="1"/>
  <c r="U9" i="10"/>
  <c r="T9" i="10"/>
  <c r="V9" i="10" s="1"/>
  <c r="T61" i="9"/>
  <c r="P6" i="9" s="1"/>
  <c r="S18" i="9"/>
  <c r="S61" i="9" s="1"/>
  <c r="U9" i="9"/>
  <c r="T9" i="9"/>
  <c r="V9" i="9" s="1"/>
  <c r="T61" i="8"/>
  <c r="P6" i="8" s="1"/>
  <c r="S18" i="8"/>
  <c r="S61" i="8" s="1"/>
  <c r="U9" i="8"/>
  <c r="T9" i="8"/>
  <c r="V9" i="8" s="1"/>
  <c r="T9" i="7"/>
  <c r="V9" i="7" s="1"/>
  <c r="U9" i="7"/>
  <c r="T61" i="6"/>
  <c r="P6" i="6" s="1"/>
  <c r="S18" i="6"/>
  <c r="S61" i="6" s="1"/>
  <c r="V14" i="6"/>
  <c r="P9" i="6" s="1"/>
  <c r="P7" i="6"/>
  <c r="S9" i="6" s="1"/>
  <c r="P4" i="6"/>
  <c r="P5" i="6"/>
  <c r="T61" i="5"/>
  <c r="P6" i="5" s="1"/>
  <c r="S18" i="5"/>
  <c r="S61" i="5" s="1"/>
  <c r="P7" i="5"/>
  <c r="V14" i="5"/>
  <c r="P9" i="5" s="1"/>
  <c r="V14" i="4"/>
  <c r="P9" i="4" s="1"/>
  <c r="P7" i="4"/>
  <c r="T61" i="4"/>
  <c r="P6" i="4" s="1"/>
  <c r="S18" i="4"/>
  <c r="S61" i="4" s="1"/>
  <c r="P5" i="4"/>
  <c r="P4" i="4"/>
  <c r="U34" i="1"/>
  <c r="L61" i="1"/>
  <c r="P3" i="1" s="1"/>
  <c r="G61" i="2"/>
  <c r="T44" i="2"/>
  <c r="S44" i="2" s="1"/>
  <c r="V44" i="2"/>
  <c r="T43" i="2"/>
  <c r="S43" i="2" s="1"/>
  <c r="L61" i="2"/>
  <c r="P3" i="2" s="1"/>
  <c r="T24" i="2"/>
  <c r="S24" i="2" s="1"/>
  <c r="H61" i="2"/>
  <c r="P2" i="2" s="1"/>
  <c r="V46" i="2"/>
  <c r="U46" i="2"/>
  <c r="V41" i="2"/>
  <c r="U41" i="2"/>
  <c r="T46" i="2"/>
  <c r="S46" i="2" s="1"/>
  <c r="V23" i="2"/>
  <c r="U23" i="2"/>
  <c r="U31" i="2"/>
  <c r="V26" i="2"/>
  <c r="U26" i="2"/>
  <c r="U52" i="2"/>
  <c r="V52" i="2"/>
  <c r="U57" i="2"/>
  <c r="T52" i="2"/>
  <c r="S52" i="2" s="1"/>
  <c r="T45" i="2"/>
  <c r="S45" i="2" s="1"/>
  <c r="V59" i="2"/>
  <c r="U59" i="2"/>
  <c r="T37" i="2"/>
  <c r="S37" i="2" s="1"/>
  <c r="U45" i="2"/>
  <c r="T59" i="2"/>
  <c r="S59" i="2" s="1"/>
  <c r="V47" i="2"/>
  <c r="U47" i="2"/>
  <c r="R61" i="2"/>
  <c r="V18" i="2"/>
  <c r="T57" i="2"/>
  <c r="S57" i="2" s="1"/>
  <c r="U40" i="2"/>
  <c r="V40" i="2"/>
  <c r="T41" i="2"/>
  <c r="S41" i="2" s="1"/>
  <c r="U51" i="2"/>
  <c r="T51" i="2"/>
  <c r="S51" i="2" s="1"/>
  <c r="T23" i="2"/>
  <c r="S23" i="2" s="1"/>
  <c r="S18" i="2"/>
  <c r="T39" i="2"/>
  <c r="S39" i="2" s="1"/>
  <c r="T40" i="2"/>
  <c r="S40" i="2" s="1"/>
  <c r="U36" i="2"/>
  <c r="U18" i="2"/>
  <c r="V37" i="2"/>
  <c r="V35" i="2"/>
  <c r="U35" i="2"/>
  <c r="U43" i="2"/>
  <c r="V28" i="2"/>
  <c r="U28" i="2"/>
  <c r="T31" i="2"/>
  <c r="S31" i="2" s="1"/>
  <c r="T32" i="2"/>
  <c r="S32" i="2" s="1"/>
  <c r="U42" i="2"/>
  <c r="U34" i="2"/>
  <c r="V34" i="2"/>
  <c r="V32" i="2"/>
  <c r="T35" i="2"/>
  <c r="S35" i="2" s="1"/>
  <c r="U24" i="2"/>
  <c r="U53" i="2"/>
  <c r="V53" i="2"/>
  <c r="V29" i="2"/>
  <c r="U29" i="2"/>
  <c r="U38" i="2"/>
  <c r="T21" i="2"/>
  <c r="S21" i="2" s="1"/>
  <c r="U22" i="2"/>
  <c r="V22" i="2"/>
  <c r="T28" i="2"/>
  <c r="S28" i="2" s="1"/>
  <c r="T54" i="2"/>
  <c r="S54" i="2" s="1"/>
  <c r="V58" i="2"/>
  <c r="U58" i="2"/>
  <c r="T36" i="2"/>
  <c r="S36" i="2" s="1"/>
  <c r="T42" i="2"/>
  <c r="S42" i="2" s="1"/>
  <c r="T47" i="2"/>
  <c r="S47" i="2" s="1"/>
  <c r="P7" i="1"/>
  <c r="V14" i="1"/>
  <c r="P9" i="1" s="1"/>
  <c r="V20" i="1"/>
  <c r="U20" i="1"/>
  <c r="V32" i="1"/>
  <c r="U32" i="1"/>
  <c r="V34" i="1"/>
  <c r="H61" i="1"/>
  <c r="P2" i="1" s="1"/>
  <c r="U40" i="1"/>
  <c r="U21" i="1"/>
  <c r="V21" i="1"/>
  <c r="G61" i="1"/>
  <c r="V50" i="1"/>
  <c r="U50" i="1"/>
  <c r="U57" i="1"/>
  <c r="V57" i="1"/>
  <c r="S18" i="1"/>
  <c r="V44" i="1"/>
  <c r="U44" i="1"/>
  <c r="V51" i="1"/>
  <c r="U51" i="1"/>
  <c r="T44" i="1"/>
  <c r="S44" i="1" s="1"/>
  <c r="V45" i="1"/>
  <c r="U45" i="1"/>
  <c r="T58" i="1"/>
  <c r="S58" i="1" s="1"/>
  <c r="V38" i="1"/>
  <c r="U38" i="1"/>
  <c r="V40" i="1"/>
  <c r="V39" i="1"/>
  <c r="U39" i="1"/>
  <c r="T32" i="1"/>
  <c r="S32" i="1" s="1"/>
  <c r="T40" i="1"/>
  <c r="S40" i="1" s="1"/>
  <c r="U33" i="1"/>
  <c r="V33" i="1"/>
  <c r="T33" i="1"/>
  <c r="S33" i="1" s="1"/>
  <c r="T57" i="1"/>
  <c r="S57" i="1" s="1"/>
  <c r="V26" i="1"/>
  <c r="U26" i="1"/>
  <c r="T26" i="1"/>
  <c r="S26" i="1" s="1"/>
  <c r="U27" i="1"/>
  <c r="V27" i="1"/>
  <c r="T51" i="1"/>
  <c r="S51" i="1" s="1"/>
  <c r="T21" i="1"/>
  <c r="S21" i="1" s="1"/>
  <c r="U9" i="6" l="1"/>
  <c r="T9" i="6"/>
  <c r="V9" i="6" s="1"/>
  <c r="S9" i="5"/>
  <c r="S9" i="4"/>
  <c r="P5" i="2"/>
  <c r="P4" i="2"/>
  <c r="T61" i="2"/>
  <c r="P6" i="2" s="1"/>
  <c r="S61" i="2"/>
  <c r="V14" i="2"/>
  <c r="P9" i="2" s="1"/>
  <c r="P7" i="2"/>
  <c r="P4" i="1"/>
  <c r="P5" i="1"/>
  <c r="S61" i="1"/>
  <c r="T61" i="1"/>
  <c r="P6" i="1" s="1"/>
  <c r="S9" i="1"/>
  <c r="T9" i="5" l="1"/>
  <c r="V9" i="5" s="1"/>
  <c r="U9" i="5"/>
  <c r="T9" i="4"/>
  <c r="V9" i="4" s="1"/>
  <c r="U9" i="4"/>
  <c r="S9" i="2"/>
  <c r="U9" i="1"/>
  <c r="T9" i="1"/>
  <c r="V9" i="1" s="1"/>
  <c r="U9" i="2" l="1"/>
  <c r="T9" i="2"/>
  <c r="V9" i="2" s="1"/>
</calcChain>
</file>

<file path=xl/sharedStrings.xml><?xml version="1.0" encoding="utf-8"?>
<sst xmlns="http://schemas.openxmlformats.org/spreadsheetml/2006/main" count="10216" uniqueCount="409">
  <si>
    <t>CUSTOMER INFORMATION</t>
  </si>
  <si>
    <t>MACHINE INFORMATION</t>
  </si>
  <si>
    <t>MACHINE SERVICE HR INTERVALS</t>
  </si>
  <si>
    <t>SUMMARY</t>
  </si>
  <si>
    <t>COMPLETED DEAL INFORMATION</t>
  </si>
  <si>
    <t>DATE:</t>
  </si>
  <si>
    <t>UNIT #</t>
  </si>
  <si>
    <t>ENGINE AIR</t>
  </si>
  <si>
    <t>OEM MSRP</t>
  </si>
  <si>
    <t>SALES REP</t>
  </si>
  <si>
    <t>COMPANY:</t>
  </si>
  <si>
    <t>Graham</t>
  </si>
  <si>
    <t>YEAR</t>
  </si>
  <si>
    <t>ENGINE OIL</t>
  </si>
  <si>
    <t>GQP LIST</t>
  </si>
  <si>
    <t>ORDER PO #</t>
  </si>
  <si>
    <t>CUSTOMER:</t>
  </si>
  <si>
    <t>MAKE</t>
  </si>
  <si>
    <t>BOBCAT</t>
  </si>
  <si>
    <t>FUEL FILTERS</t>
  </si>
  <si>
    <t>$ SAVINGS</t>
  </si>
  <si>
    <t>PROJECT #</t>
  </si>
  <si>
    <t>PHONE:</t>
  </si>
  <si>
    <t>MODEL</t>
  </si>
  <si>
    <t>T66</t>
  </si>
  <si>
    <t>HYDRAULIC FILTERS</t>
  </si>
  <si>
    <t>% SAVINGS</t>
  </si>
  <si>
    <t>CUST INVOICE #</t>
  </si>
  <si>
    <t>EMAIL:</t>
  </si>
  <si>
    <t>SERIAL NUMBER</t>
  </si>
  <si>
    <t>B4SB25667</t>
  </si>
  <si>
    <t>TRANSMISSION FILTERS</t>
  </si>
  <si>
    <t>TOTAL ORDER MARGIN</t>
  </si>
  <si>
    <t>PAYMENT TYPE</t>
  </si>
  <si>
    <t>SALES REP:</t>
  </si>
  <si>
    <t>ENGINE SER NUMBER</t>
  </si>
  <si>
    <t>CAB FILTERS</t>
  </si>
  <si>
    <t>TOTAL ITEM COST</t>
  </si>
  <si>
    <t>DATE DELIVERED</t>
  </si>
  <si>
    <t>CURRENT HOURS</t>
  </si>
  <si>
    <t>UNDERCARRIAGE / TIRES</t>
  </si>
  <si>
    <t>TOTAL ORDER FREIGHT</t>
  </si>
  <si>
    <t>TOTAL COST</t>
  </si>
  <si>
    <t>NET MARGIN</t>
  </si>
  <si>
    <t>NET MARKUP %</t>
  </si>
  <si>
    <t>NET MARGIN %</t>
  </si>
  <si>
    <t>USAGE/MONTH</t>
  </si>
  <si>
    <t>TOTAL CUSTOMS/BROKERAGE</t>
  </si>
  <si>
    <t>TOTAL NUMBER PIECES</t>
  </si>
  <si>
    <t>ENTER EXCHANGE RATES $</t>
  </si>
  <si>
    <t>CUSTOMER SELL PRICE</t>
  </si>
  <si>
    <t>COST ANALYSIS</t>
  </si>
  <si>
    <t>CAD $</t>
  </si>
  <si>
    <t>USD $</t>
  </si>
  <si>
    <t>SHOW OEM MSRP ON QUOTE:</t>
  </si>
  <si>
    <t>YES</t>
  </si>
  <si>
    <t>CAD-USD</t>
  </si>
  <si>
    <t>USD-CAD</t>
  </si>
  <si>
    <t>OEM NAME</t>
  </si>
  <si>
    <t>CUSTOMER TYPE/TIER</t>
  </si>
  <si>
    <t>IE: VIP - Gold</t>
  </si>
  <si>
    <t>FREIGHT TOTAL ORDER</t>
  </si>
  <si>
    <t>CUSTOMS AND BROKERAGE  %</t>
  </si>
  <si>
    <t>BROKERAGE FEES</t>
  </si>
  <si>
    <t>NO</t>
  </si>
  <si>
    <t>MARKUP LESS THAN 100% REQUIRES MANAGER APPROVAL</t>
  </si>
  <si>
    <t>PART NUMBER</t>
  </si>
  <si>
    <t>DESCRIPTION</t>
  </si>
  <si>
    <t>SERVICE INTERVAL</t>
  </si>
  <si>
    <t>QTY</t>
  </si>
  <si>
    <t>UNIT PRICE</t>
  </si>
  <si>
    <t>EXT AMOUNT</t>
  </si>
  <si>
    <t xml:space="preserve">UNIT PRICE </t>
  </si>
  <si>
    <t>EXTENDED AMOUNT</t>
  </si>
  <si>
    <t>PRCING METHOD
%OEM / MARKUP</t>
  </si>
  <si>
    <t>OEM DISC % / MARKUP %</t>
  </si>
  <si>
    <t>VENDOR</t>
  </si>
  <si>
    <t>COST EACH</t>
  </si>
  <si>
    <t>EXTENDED COST</t>
  </si>
  <si>
    <t>MARGIN EACH</t>
  </si>
  <si>
    <t>EXTENDED MARGIN</t>
  </si>
  <si>
    <t xml:space="preserve">MARKUP % </t>
  </si>
  <si>
    <t>MARGIN %</t>
  </si>
  <si>
    <t>ENGINE OIL FILTER</t>
  </si>
  <si>
    <t>OEM DISC %</t>
  </si>
  <si>
    <t>FUEL WATER SEPARATOR FILTER</t>
  </si>
  <si>
    <t>GQP</t>
  </si>
  <si>
    <t>CTP</t>
  </si>
  <si>
    <t>HYDRAULIC OIL FILTER ELEMENT</t>
  </si>
  <si>
    <t>BLMQ</t>
  </si>
  <si>
    <t>PRIMARY AIR FILTER ELEMENT (OUTER)</t>
  </si>
  <si>
    <t>CAT</t>
  </si>
  <si>
    <t>SECONDARY AIR FILTER ELEMENT</t>
  </si>
  <si>
    <t>FINNING</t>
  </si>
  <si>
    <t>CABIN AIR FILTER ELEMENT</t>
  </si>
  <si>
    <t>JD</t>
  </si>
  <si>
    <t>BRANDT</t>
  </si>
  <si>
    <t>SPROCKET</t>
  </si>
  <si>
    <t>PTI</t>
  </si>
  <si>
    <t>CONEQUIP</t>
  </si>
  <si>
    <t>CANDY</t>
  </si>
  <si>
    <t>AS REQ'D</t>
  </si>
  <si>
    <t>U/C</t>
  </si>
  <si>
    <t>74" Bucket - Severe Duty</t>
  </si>
  <si>
    <t>MARKUP %</t>
  </si>
  <si>
    <t>Rubber Track - 320x86x50</t>
  </si>
  <si>
    <t>Front Track Idler</t>
  </si>
  <si>
    <t>Rear Track Idler</t>
  </si>
  <si>
    <t>Rollers</t>
  </si>
  <si>
    <t>Upper Gasket Kit</t>
  </si>
  <si>
    <t>Lower Gasket Kit</t>
  </si>
  <si>
    <t>CRANKSHAFT / Gear</t>
  </si>
  <si>
    <t>CYLINDER HEAD</t>
  </si>
  <si>
    <t>Turbocharger AS</t>
  </si>
  <si>
    <t>Battery GP</t>
  </si>
  <si>
    <t>Injector</t>
  </si>
  <si>
    <t>TOTALS</t>
  </si>
  <si>
    <t>T64</t>
  </si>
  <si>
    <t>B4SD19736</t>
  </si>
  <si>
    <t>Front Idlers</t>
  </si>
  <si>
    <t>Rear Idlers</t>
  </si>
  <si>
    <t>Peterbilt</t>
  </si>
  <si>
    <t>2NP3LJ06LM682275</t>
  </si>
  <si>
    <t>FS1003FLG</t>
  </si>
  <si>
    <t>Separator FUE ME2B</t>
  </si>
  <si>
    <t>AF4878FLG</t>
  </si>
  <si>
    <t>Filter - Air MH3B</t>
  </si>
  <si>
    <t>5S013817</t>
  </si>
  <si>
    <t>Filter - HVAC C PEG8</t>
  </si>
  <si>
    <t>FF63041NNFLG</t>
  </si>
  <si>
    <t>Filter - Fuel MD4D</t>
  </si>
  <si>
    <t>LF14002NNFLG</t>
  </si>
  <si>
    <t>Lube Filter MB3C</t>
  </si>
  <si>
    <t>Turbocharger Kit</t>
  </si>
  <si>
    <t xml:space="preserve">Battery GP - 31T CCA 950A </t>
  </si>
  <si>
    <t>2NP3LJ06NM800232</t>
  </si>
  <si>
    <t>2NP3LJ06NM800233</t>
  </si>
  <si>
    <t>Kenworth</t>
  </si>
  <si>
    <t>T880</t>
  </si>
  <si>
    <t>1NKZLP0XXLJ953154</t>
  </si>
  <si>
    <t>Y194640 (PACCAR)</t>
  </si>
  <si>
    <t>FUEL WATER SEPARATOR</t>
  </si>
  <si>
    <t>P621725</t>
  </si>
  <si>
    <t>AIR FILTER</t>
  </si>
  <si>
    <t>1922496PE</t>
  </si>
  <si>
    <t>CENTRIFUGAL LUBE FILTER</t>
  </si>
  <si>
    <t xml:space="preserve">Filter - Fuel </t>
  </si>
  <si>
    <t>1972591PEX</t>
  </si>
  <si>
    <t>T800</t>
  </si>
  <si>
    <t>1XKDDBTX17R994503</t>
  </si>
  <si>
    <t>MXS79678</t>
  </si>
  <si>
    <t>212-9580</t>
  </si>
  <si>
    <t>326-1643</t>
  </si>
  <si>
    <t>filter assembly</t>
  </si>
  <si>
    <t>1r-0749</t>
  </si>
  <si>
    <t>secondary fuel filter</t>
  </si>
  <si>
    <t>9M-2342</t>
  </si>
  <si>
    <t>fuel filter screen</t>
  </si>
  <si>
    <t>1R-1808</t>
  </si>
  <si>
    <t>435-5142</t>
  </si>
  <si>
    <t>Coolant conditioner filter</t>
  </si>
  <si>
    <t>251-4820</t>
  </si>
  <si>
    <t>10R-3261</t>
  </si>
  <si>
    <t>Injector Reman</t>
  </si>
  <si>
    <t>1XKDDBTX57R994505</t>
  </si>
  <si>
    <t>MXS81048</t>
  </si>
  <si>
    <t>1XKDDBTX07R992838</t>
  </si>
  <si>
    <t>NXS04414</t>
  </si>
  <si>
    <t>1XKDDBTX97R992840</t>
  </si>
  <si>
    <t>NXS05120</t>
  </si>
  <si>
    <t>1XKDDBTXX7R992832</t>
  </si>
  <si>
    <t>MXS96219</t>
  </si>
  <si>
    <t>1XXDDBTX179992833</t>
  </si>
  <si>
    <t>MXS96376</t>
  </si>
  <si>
    <t>1XKDDBTX27R991528</t>
  </si>
  <si>
    <t>MXS91457</t>
  </si>
  <si>
    <t>BOMAG</t>
  </si>
  <si>
    <t>BW211D</t>
  </si>
  <si>
    <t>WATER SEPARATOR FUEL FILTER</t>
  </si>
  <si>
    <t>FUEL FILTER ELEMENT</t>
  </si>
  <si>
    <t>HYDRAULIC OIL FILTER</t>
  </si>
  <si>
    <t>PRIMARY AIR FILTER</t>
  </si>
  <si>
    <t>SECONDARY AIR FILTER</t>
  </si>
  <si>
    <t>SEAT</t>
  </si>
  <si>
    <t>BATTERY 12V 170 Ah</t>
  </si>
  <si>
    <t>TURBOCHARGER</t>
  </si>
  <si>
    <t>INJECTORS</t>
  </si>
  <si>
    <t>CYLINDER HEAD AS</t>
  </si>
  <si>
    <t>CAMSHAFT</t>
  </si>
  <si>
    <t>CRANKSHAFT</t>
  </si>
  <si>
    <t>TIRE 23.1-26 12PR</t>
  </si>
  <si>
    <t>INTAKE VALVE</t>
  </si>
  <si>
    <t>EXHAUST VALVE</t>
  </si>
  <si>
    <t>GUIDE VALVE</t>
  </si>
  <si>
    <t>INJECTOR VALVE</t>
  </si>
  <si>
    <t>OIL PUMP</t>
  </si>
  <si>
    <t>BW211</t>
  </si>
  <si>
    <t xml:space="preserve">SEAT AS </t>
  </si>
  <si>
    <t>BW211D-5</t>
  </si>
  <si>
    <t>BW213</t>
  </si>
  <si>
    <t>CABIN FILTER (OPTIONAL)</t>
  </si>
  <si>
    <t>BW213PD</t>
  </si>
  <si>
    <t>BW213PDH-4</t>
  </si>
  <si>
    <t>HITACHI</t>
  </si>
  <si>
    <t>ZX35U-5</t>
  </si>
  <si>
    <t>HCMADG60T00301751</t>
  </si>
  <si>
    <t>MIU800650</t>
  </si>
  <si>
    <t>Engine OIl Filter LF336</t>
  </si>
  <si>
    <t>MIU801267</t>
  </si>
  <si>
    <t>Fuel Filter Final</t>
  </si>
  <si>
    <t>AT308568</t>
  </si>
  <si>
    <t>Hydraulic Reservoir Oil Filter</t>
  </si>
  <si>
    <t>Hydraulic Pilot System Oil Filter</t>
  </si>
  <si>
    <t>AT542133</t>
  </si>
  <si>
    <t>Primary Air Filter</t>
  </si>
  <si>
    <t>AT542144</t>
  </si>
  <si>
    <t>Secondary Air Filter</t>
  </si>
  <si>
    <t>MIU801025</t>
  </si>
  <si>
    <t>Primary Fuel Filter</t>
  </si>
  <si>
    <t>Cab Air FIlter</t>
  </si>
  <si>
    <t>Recirculation Cab Air Filter</t>
  </si>
  <si>
    <t>TY27799B</t>
  </si>
  <si>
    <t>12 Volt Battery, Wet Charged, 70 Ah, 700 CCA, 24F BCI</t>
  </si>
  <si>
    <t>INGERSOLL RAND</t>
  </si>
  <si>
    <t>XP185WIR</t>
  </si>
  <si>
    <t>393737UIR821</t>
  </si>
  <si>
    <t>Engine OIl Filter</t>
  </si>
  <si>
    <t>Fuel WATER SEAPARATING FILTER</t>
  </si>
  <si>
    <t>HYDRAULIC Oil Filter</t>
  </si>
  <si>
    <t>AIR/OIL SEPARATOR FILTER</t>
  </si>
  <si>
    <t>12 Volt Battery</t>
  </si>
  <si>
    <t>TIRE ST175/80D13</t>
  </si>
  <si>
    <t>TIRE ST205/75D15</t>
  </si>
  <si>
    <t>FUEL INJECTOR</t>
  </si>
  <si>
    <t>XP185WJD</t>
  </si>
  <si>
    <t>398410UBS222</t>
  </si>
  <si>
    <t>P185WJD</t>
  </si>
  <si>
    <t>427165UFVD75</t>
  </si>
  <si>
    <t>L6-4MH</t>
  </si>
  <si>
    <t>433611UKVD88</t>
  </si>
  <si>
    <t>TIRE and wheel assembly 13"</t>
  </si>
  <si>
    <t>L8-4MH</t>
  </si>
  <si>
    <t>433873UKVD89</t>
  </si>
  <si>
    <t>International</t>
  </si>
  <si>
    <t>1HTWJADR1KH174432</t>
  </si>
  <si>
    <t>AF25707</t>
  </si>
  <si>
    <t>AF25732</t>
  </si>
  <si>
    <t xml:space="preserve">AIR FILTER </t>
  </si>
  <si>
    <t>AF26430</t>
  </si>
  <si>
    <t>CABIN AIR FILTER</t>
  </si>
  <si>
    <t>FS19547</t>
  </si>
  <si>
    <t>FUEL FILTER, FUEL/W</t>
  </si>
  <si>
    <t>1842816C2</t>
  </si>
  <si>
    <t>OIL FILTER</t>
  </si>
  <si>
    <t>4307248R91</t>
  </si>
  <si>
    <t>TURBOCHARGER KIT</t>
  </si>
  <si>
    <t>2593597C92</t>
  </si>
  <si>
    <t>FUEL INJECTOR KIT</t>
  </si>
  <si>
    <t>BSGA31SE</t>
  </si>
  <si>
    <t>BATTERY 31S 12V</t>
  </si>
  <si>
    <t>CV515</t>
  </si>
  <si>
    <t>1HTKTSWM1NH762643</t>
  </si>
  <si>
    <t>2518540C1</t>
  </si>
  <si>
    <t>AIR FILTER, ENGINE</t>
  </si>
  <si>
    <t>6040856C1</t>
  </si>
  <si>
    <t>AIR FILTER, CAB, PA</t>
  </si>
  <si>
    <t>2522151C91</t>
  </si>
  <si>
    <t>GM FUEL FILTER KIT</t>
  </si>
  <si>
    <t>6042658C1</t>
  </si>
  <si>
    <t>FILTER, OIL</t>
  </si>
  <si>
    <t>6042558C91</t>
  </si>
  <si>
    <t>TURBOCHARGER ASSEMB</t>
  </si>
  <si>
    <t>6042536C91</t>
  </si>
  <si>
    <t>INJECTOR ASSEMBLY</t>
  </si>
  <si>
    <t>7500 SBA</t>
  </si>
  <si>
    <t>1HTWNAZTXDJ245102</t>
  </si>
  <si>
    <t>AF27958</t>
  </si>
  <si>
    <t>FS19947</t>
  </si>
  <si>
    <t>FUEL FILTER</t>
  </si>
  <si>
    <t>LF17499</t>
  </si>
  <si>
    <t>5010930R91</t>
  </si>
  <si>
    <t>5010934R91</t>
  </si>
  <si>
    <t>TURBOCHARGER, REMAN</t>
  </si>
  <si>
    <t>5010717R91</t>
  </si>
  <si>
    <t>INJECTOR, FUEL</t>
  </si>
  <si>
    <t>Workstar 7400</t>
  </si>
  <si>
    <t>1HTWGAZTTEH77280</t>
  </si>
  <si>
    <t>5010715R91</t>
  </si>
  <si>
    <t>1HTWGAAR3BJ420621</t>
  </si>
  <si>
    <t>JLG</t>
  </si>
  <si>
    <t>oil filter</t>
  </si>
  <si>
    <t>SECONDARY FUEL FILTER</t>
  </si>
  <si>
    <t>PRIMARY FUEL FILTER</t>
  </si>
  <si>
    <t>CRANKCASE VENT FILTER ELEMENT</t>
  </si>
  <si>
    <t>PRIMARY AIR FILTER ELEMENT</t>
  </si>
  <si>
    <t>HYDRAULIC RETURN FILTER</t>
  </si>
  <si>
    <t>HYDRAULIC BREATHER</t>
  </si>
  <si>
    <t>TRANSMISSION FILTER</t>
  </si>
  <si>
    <t>INJECTOR</t>
  </si>
  <si>
    <t>600AJ</t>
  </si>
  <si>
    <t>IN-LINE FUEL FILTER STRAINER</t>
  </si>
  <si>
    <t>HYDRAULIC FILTER</t>
  </si>
  <si>
    <t>600S</t>
  </si>
  <si>
    <t>JCB</t>
  </si>
  <si>
    <t>510-56</t>
  </si>
  <si>
    <t>JCB5CG7GHL2931212</t>
  </si>
  <si>
    <t>D2696</t>
  </si>
  <si>
    <t>OUTER AIR FILTER</t>
  </si>
  <si>
    <t>B4420</t>
  </si>
  <si>
    <t>A7123</t>
  </si>
  <si>
    <t>FUEL/WATER FILTER</t>
  </si>
  <si>
    <t>HYRDAULIC FILTER</t>
  </si>
  <si>
    <t>CAB AIR FILTER</t>
  </si>
  <si>
    <t>F0330</t>
  </si>
  <si>
    <t>BATTERY</t>
  </si>
  <si>
    <t>A3232</t>
  </si>
  <si>
    <t>A6431</t>
  </si>
  <si>
    <t>TIRES 17.5R25</t>
  </si>
  <si>
    <t>TBD</t>
  </si>
  <si>
    <t>Link-Belt</t>
  </si>
  <si>
    <t>RTC_8065</t>
  </si>
  <si>
    <t>J9K44025</t>
  </si>
  <si>
    <t>D7J0149</t>
  </si>
  <si>
    <t>S2A1278</t>
  </si>
  <si>
    <t>DOSING FILTER</t>
  </si>
  <si>
    <t>S2H0172</t>
  </si>
  <si>
    <t>S2H0175</t>
  </si>
  <si>
    <t>ENGINE AIR FILTER</t>
  </si>
  <si>
    <t>S2H0176</t>
  </si>
  <si>
    <t>S2H0177</t>
  </si>
  <si>
    <t>CRANKCASE FILTER</t>
  </si>
  <si>
    <t>S3H0076</t>
  </si>
  <si>
    <t>S5H0183</t>
  </si>
  <si>
    <t>J9A0231</t>
  </si>
  <si>
    <t>N3N0219</t>
  </si>
  <si>
    <t>AIR CONDITIONER FILTER</t>
  </si>
  <si>
    <t>N4N0055</t>
  </si>
  <si>
    <t>WACKER NEUSON</t>
  </si>
  <si>
    <t>ST45</t>
  </si>
  <si>
    <t>WNMS0606JM0000593</t>
  </si>
  <si>
    <t>LTT6L</t>
  </si>
  <si>
    <t>WNML0302HP0001044</t>
  </si>
  <si>
    <t>Air cleaner cartridge</t>
  </si>
  <si>
    <t>Oil filter</t>
  </si>
  <si>
    <t>Fuel filter cpl.</t>
  </si>
  <si>
    <t>Fuel filter</t>
  </si>
  <si>
    <t>Crankcase</t>
  </si>
  <si>
    <t>Battery</t>
  </si>
  <si>
    <t>Cylinder Head</t>
  </si>
  <si>
    <t>Injection pump</t>
  </si>
  <si>
    <t>Wheel</t>
  </si>
  <si>
    <t>WNML0302AP0001042</t>
  </si>
  <si>
    <t>WNML0302VP0001041</t>
  </si>
  <si>
    <t>WNML0302VP0001038</t>
  </si>
  <si>
    <t>WNML0302CP0001037</t>
  </si>
  <si>
    <t>WNML0302AP0000988</t>
  </si>
  <si>
    <t>WNML0302CP0000986</t>
  </si>
  <si>
    <t>WNML0302CP0002097</t>
  </si>
  <si>
    <t>WNML0302AP0002093</t>
  </si>
  <si>
    <t>WNML0302EP0002099</t>
  </si>
  <si>
    <t>452627</t>
  </si>
  <si>
    <t>TAKEUCHI</t>
  </si>
  <si>
    <t>TL10V2</t>
  </si>
  <si>
    <t>410001939</t>
  </si>
  <si>
    <t>TRACK ROLLER</t>
  </si>
  <si>
    <t>Compact Track Loader</t>
  </si>
  <si>
    <t>Towable Light Tower</t>
  </si>
  <si>
    <t>434668 - WNML0302EP0002099</t>
  </si>
  <si>
    <t>434668 - WNML0302AP0002093</t>
  </si>
  <si>
    <t>434668 - WNML0302CP0002097</t>
  </si>
  <si>
    <t>434668 - WNML0302CP0000986</t>
  </si>
  <si>
    <t>434668 - WNML0302AP0000988</t>
  </si>
  <si>
    <t>434668 - WNML0302CP0001037</t>
  </si>
  <si>
    <t>434668 - WNML0302VP0001038</t>
  </si>
  <si>
    <t>434668 - WNML0302VP0001041</t>
  </si>
  <si>
    <t>434668 - WNML0302AP0001042</t>
  </si>
  <si>
    <t>434668 - WNML0302HP0001044</t>
  </si>
  <si>
    <t>Rough Terrain Crane</t>
  </si>
  <si>
    <t>Telescopic Handler</t>
  </si>
  <si>
    <t>300109568A</t>
  </si>
  <si>
    <t>Boom Lift</t>
  </si>
  <si>
    <t>300109566A</t>
  </si>
  <si>
    <t>Telescopic Boom Lift</t>
  </si>
  <si>
    <t>Articulating Boom Lift</t>
  </si>
  <si>
    <t>300137748A</t>
  </si>
  <si>
    <t>300137593A</t>
  </si>
  <si>
    <t>160111098A</t>
  </si>
  <si>
    <t>160108776A</t>
  </si>
  <si>
    <t>160093075A</t>
  </si>
  <si>
    <t>160093057A</t>
  </si>
  <si>
    <t>Vocational Truck</t>
  </si>
  <si>
    <t>Severe-Duty Vocational Truck</t>
  </si>
  <si>
    <t>Class 4–5 Commercial Truck</t>
  </si>
  <si>
    <t>Towable Air Compressor</t>
  </si>
  <si>
    <t>High-Pressure Towable Air Compressor</t>
  </si>
  <si>
    <t>Mini Excavator</t>
  </si>
  <si>
    <t>901582571113A</t>
  </si>
  <si>
    <t>Single Drum Padfoot Compactor</t>
  </si>
  <si>
    <t>901582571215A</t>
  </si>
  <si>
    <t>901582571158A</t>
  </si>
  <si>
    <t>Single Drum Vibratory Roller</t>
  </si>
  <si>
    <t>Single Drum Smooth Drum Vibratory Roller</t>
  </si>
  <si>
    <t>101587651168A</t>
  </si>
  <si>
    <t>101587651171A</t>
  </si>
  <si>
    <t>101587651138A</t>
  </si>
  <si>
    <t>901583251951A</t>
  </si>
  <si>
    <t>901583251560A</t>
  </si>
  <si>
    <t>Heavy-Duty Vocational Truck</t>
  </si>
  <si>
    <t>Medium/Heavy-Duty Vocational Truck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</si>
</sst>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[$-409]mmmm\ d\,\ yyyy;@"/>
    <numFmt numFmtId="165" formatCode="&quot;$&quot;#,##0.00"/>
    <numFmt numFmtId="166" formatCode="_-&quot;$&quot;* #,##0.00_-;\-&quot;$&quot;* #,##0.00_-;_-&quot;$&quot;* &quot;-&quot;??_-;_-@_-"/>
  </numFmts>
  <fonts count="5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0"/>
      <name val="Calibri"/>
      <family val="2"/>
    </font>
    <font>
      <b/>
      <sz val="11"/>
      <color theme="1"/>
      <name val="Calibri"/>
      <family val="2"/>
    </font>
    <font>
      <b/>
      <sz val="16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u/>
      <sz val="11"/>
      <color theme="10"/>
      <name val="Aptos Narrow"/>
      <family val="2"/>
      <scheme val="minor"/>
    </font>
    <font>
      <sz val="11"/>
      <color theme="10"/>
      <name val="Calibri"/>
      <family val="2"/>
    </font>
    <font>
      <sz val="11"/>
      <name val="Aptos Narrow"/>
      <family val="2"/>
      <scheme val="minor"/>
    </font>
    <font>
      <b/>
      <sz val="11"/>
      <color theme="0"/>
      <name val="Calibri"/>
      <family val="2"/>
    </font>
    <font>
      <b/>
      <sz val="12"/>
      <color theme="1"/>
      <name val="Calibri"/>
      <family val="2"/>
    </font>
    <font>
      <sz val="11"/>
      <color theme="0"/>
      <name val="Calibri"/>
      <family val="2"/>
    </font>
    <font>
      <b/>
      <sz val="18"/>
      <color theme="0"/>
      <name val="Calibri"/>
      <family val="2"/>
    </font>
    <font>
      <b/>
      <sz val="18"/>
      <name val="Calibri"/>
      <family val="2"/>
    </font>
    <font>
      <b/>
      <sz val="16"/>
      <color theme="0"/>
      <name val="Calibri"/>
      <family val="2"/>
    </font>
    <font>
      <b/>
      <sz val="10"/>
      <name val="Calibri"/>
      <family val="2"/>
    </font>
    <font>
      <b/>
      <sz val="14"/>
      <name val="Calibri"/>
      <family val="2"/>
    </font>
    <font>
      <b/>
      <sz val="10"/>
      <color theme="0"/>
      <name val="Calibri"/>
      <family val="2"/>
    </font>
    <font>
      <sz val="10"/>
      <name val="Calibri"/>
      <family val="2"/>
    </font>
    <font>
      <b/>
      <sz val="8"/>
      <color theme="0"/>
      <name val="Calibri"/>
      <family val="2"/>
    </font>
    <font>
      <b/>
      <sz val="10"/>
      <color rgb="FFFF0000"/>
      <name val="Calibri"/>
      <family val="2"/>
    </font>
    <font>
      <b/>
      <sz val="10"/>
      <color theme="6" tint="0.39997558519241921"/>
      <name val="Calibri"/>
      <family val="2"/>
    </font>
    <font>
      <b/>
      <sz val="11"/>
      <color theme="2"/>
      <name val="Calibri"/>
      <family val="2"/>
    </font>
    <font>
      <sz val="11"/>
      <color rgb="FF000000"/>
      <name val="Calibri"/>
      <family val="2"/>
    </font>
    <font>
      <sz val="11"/>
      <color rgb="FF363636"/>
      <name val="Calibri"/>
      <family val="2"/>
    </font>
    <font>
      <sz val="11"/>
      <color theme="1"/>
      <name val="Calibri"/>
    </font>
    <font>
      <b/>
      <sz val="12"/>
      <color theme="0"/>
      <name val="Calibri"/>
    </font>
    <font>
      <b/>
      <sz val="11"/>
      <color theme="1"/>
      <name val="Calibri"/>
    </font>
    <font>
      <b/>
      <sz val="16"/>
      <name val="Calibri"/>
    </font>
    <font>
      <sz val="11"/>
      <name val="Calibri"/>
    </font>
    <font>
      <b/>
      <sz val="11"/>
      <name val="Calibri"/>
    </font>
    <font>
      <b/>
      <sz val="12"/>
      <name val="Calibri"/>
    </font>
    <font>
      <sz val="11"/>
      <color theme="10"/>
      <name val="Calibri"/>
    </font>
    <font>
      <b/>
      <sz val="11"/>
      <color theme="0"/>
      <name val="Calibri"/>
    </font>
    <font>
      <b/>
      <sz val="12"/>
      <color theme="1"/>
      <name val="Calibri"/>
    </font>
    <font>
      <sz val="11"/>
      <color theme="0"/>
      <name val="Calibri"/>
    </font>
    <font>
      <b/>
      <sz val="18"/>
      <color theme="0"/>
      <name val="Calibri"/>
    </font>
    <font>
      <b/>
      <sz val="18"/>
      <name val="Calibri"/>
    </font>
    <font>
      <b/>
      <sz val="16"/>
      <color theme="0"/>
      <name val="Calibri"/>
    </font>
    <font>
      <b/>
      <sz val="10"/>
      <name val="Calibri"/>
    </font>
    <font>
      <b/>
      <sz val="14"/>
      <name val="Calibri"/>
    </font>
    <font>
      <b/>
      <sz val="10"/>
      <color theme="0"/>
      <name val="Calibri"/>
    </font>
    <font>
      <sz val="10"/>
      <name val="Calibri"/>
    </font>
    <font>
      <b/>
      <sz val="8"/>
      <color theme="0"/>
      <name val="Calibri"/>
    </font>
    <font>
      <b/>
      <sz val="10"/>
      <color rgb="FFFF0000"/>
      <name val="Calibri"/>
    </font>
    <font>
      <b/>
      <sz val="10"/>
      <color theme="6" tint="0.39997558519241921"/>
      <name val="Calibri"/>
    </font>
    <font>
      <sz val="11"/>
      <color rgb="FF000000"/>
      <name val="Calibri"/>
    </font>
    <font>
      <sz val="11"/>
      <color rgb="FF363636"/>
      <name val="Calibri"/>
    </font>
    <font>
      <b/>
      <sz val="11"/>
      <color theme="2"/>
      <name val="Calibri"/>
    </font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1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gray0625">
        <fgColor theme="2" tint="-9.9948118533890809E-2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EDEDED"/>
        <bgColor rgb="FFEDEDED"/>
      </patternFill>
    </fill>
    <fill>
      <patternFill patternType="solid">
        <fgColor theme="0"/>
        <bgColor indexed="64"/>
      </patternFill>
    </fill>
  </fills>
  <borders count="7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indexed="64"/>
      </top>
      <bottom style="thin">
        <color theme="0"/>
      </bottom>
      <diagonal/>
    </border>
    <border>
      <left style="thick">
        <color auto="1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C9C9C9"/>
      </top>
      <bottom style="thin">
        <color rgb="FFC9C9C9"/>
      </bottom>
      <diagonal/>
    </border>
    <border>
      <left style="thick">
        <color indexed="64"/>
      </left>
      <right style="thin">
        <color indexed="64"/>
      </right>
      <top style="thin">
        <color rgb="FFFFFFFF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ck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689">
    <xf numFmtId="0" fontId="0" fillId="0" borderId="0" xfId="0"/>
    <xf numFmtId="0" fontId="2" fillId="2" borderId="0" xfId="0" applyFont="1" applyFill="1"/>
    <xf numFmtId="0" fontId="4" fillId="2" borderId="0" xfId="0" applyFont="1" applyFill="1"/>
    <xf numFmtId="0" fontId="5" fillId="0" borderId="0" xfId="0" applyFont="1" applyAlignment="1">
      <alignment vertical="center"/>
    </xf>
    <xf numFmtId="0" fontId="6" fillId="0" borderId="0" xfId="0" applyFont="1"/>
    <xf numFmtId="0" fontId="2" fillId="0" borderId="0" xfId="0" applyFont="1"/>
    <xf numFmtId="0" fontId="4" fillId="4" borderId="8" xfId="0" applyFont="1" applyFill="1" applyBorder="1" applyAlignment="1">
      <alignment horizontal="right"/>
    </xf>
    <xf numFmtId="164" fontId="2" fillId="5" borderId="8" xfId="0" applyNumberFormat="1" applyFont="1" applyFill="1" applyBorder="1" applyAlignment="1" applyProtection="1">
      <alignment horizontal="left"/>
      <protection locked="0"/>
    </xf>
    <xf numFmtId="0" fontId="6" fillId="5" borderId="8" xfId="0" applyFont="1" applyFill="1" applyBorder="1" applyAlignment="1" applyProtection="1">
      <alignment horizontal="center"/>
      <protection locked="0"/>
    </xf>
    <xf numFmtId="0" fontId="5" fillId="7" borderId="12" xfId="0" applyFont="1" applyFill="1" applyBorder="1" applyAlignment="1">
      <alignment horizontal="center" vertical="center" wrapText="1"/>
    </xf>
    <xf numFmtId="164" fontId="2" fillId="5" borderId="13" xfId="0" applyNumberFormat="1" applyFont="1" applyFill="1" applyBorder="1" applyProtection="1">
      <protection locked="0"/>
    </xf>
    <xf numFmtId="164" fontId="2" fillId="2" borderId="0" xfId="0" applyNumberFormat="1" applyFont="1" applyFill="1"/>
    <xf numFmtId="0" fontId="4" fillId="4" borderId="14" xfId="0" applyFont="1" applyFill="1" applyBorder="1" applyAlignment="1">
      <alignment horizontal="right"/>
    </xf>
    <xf numFmtId="0" fontId="2" fillId="5" borderId="14" xfId="0" applyFont="1" applyFill="1" applyBorder="1" applyAlignment="1" applyProtection="1">
      <alignment horizontal="left"/>
      <protection locked="0"/>
    </xf>
    <xf numFmtId="0" fontId="6" fillId="5" borderId="14" xfId="0" applyFont="1" applyFill="1" applyBorder="1" applyAlignment="1" applyProtection="1">
      <alignment horizontal="center"/>
      <protection locked="0"/>
    </xf>
    <xf numFmtId="0" fontId="2" fillId="5" borderId="13" xfId="0" applyFont="1" applyFill="1" applyBorder="1" applyProtection="1">
      <protection locked="0"/>
    </xf>
    <xf numFmtId="165" fontId="8" fillId="0" borderId="0" xfId="0" applyNumberFormat="1" applyFont="1"/>
    <xf numFmtId="0" fontId="4" fillId="4" borderId="17" xfId="0" applyFont="1" applyFill="1" applyBorder="1" applyAlignment="1">
      <alignment horizontal="right"/>
    </xf>
    <xf numFmtId="1" fontId="10" fillId="5" borderId="14" xfId="3" applyNumberFormat="1" applyFont="1" applyFill="1" applyBorder="1" applyAlignment="1" applyProtection="1">
      <alignment horizontal="left"/>
      <protection locked="0"/>
    </xf>
    <xf numFmtId="0" fontId="9" fillId="5" borderId="13" xfId="3" applyFill="1" applyBorder="1" applyAlignment="1" applyProtection="1">
      <protection locked="0"/>
    </xf>
    <xf numFmtId="0" fontId="9" fillId="2" borderId="0" xfId="3" applyFill="1" applyBorder="1" applyAlignment="1" applyProtection="1"/>
    <xf numFmtId="9" fontId="8" fillId="0" borderId="0" xfId="2" applyFont="1" applyFill="1" applyBorder="1" applyAlignment="1" applyProtection="1"/>
    <xf numFmtId="0" fontId="6" fillId="5" borderId="14" xfId="3" applyFont="1" applyFill="1" applyBorder="1" applyAlignment="1" applyProtection="1">
      <alignment horizontal="left"/>
      <protection locked="0"/>
    </xf>
    <xf numFmtId="0" fontId="11" fillId="2" borderId="0" xfId="3" applyFont="1" applyFill="1" applyBorder="1" applyAlignment="1" applyProtection="1"/>
    <xf numFmtId="0" fontId="4" fillId="8" borderId="26" xfId="0" applyFont="1" applyFill="1" applyBorder="1" applyAlignment="1">
      <alignment horizontal="right"/>
    </xf>
    <xf numFmtId="0" fontId="2" fillId="8" borderId="0" xfId="0" applyFont="1" applyFill="1"/>
    <xf numFmtId="0" fontId="12" fillId="9" borderId="27" xfId="0" applyFont="1" applyFill="1" applyBorder="1" applyAlignment="1">
      <alignment horizontal="center"/>
    </xf>
    <xf numFmtId="0" fontId="12" fillId="9" borderId="1" xfId="0" applyFont="1" applyFill="1" applyBorder="1" applyAlignment="1">
      <alignment horizontal="center" vertical="center"/>
    </xf>
    <xf numFmtId="0" fontId="12" fillId="9" borderId="28" xfId="0" applyFont="1" applyFill="1" applyBorder="1" applyAlignment="1">
      <alignment horizontal="center" vertical="center"/>
    </xf>
    <xf numFmtId="0" fontId="2" fillId="5" borderId="0" xfId="0" applyFont="1" applyFill="1" applyProtection="1">
      <protection locked="0"/>
    </xf>
    <xf numFmtId="165" fontId="7" fillId="2" borderId="0" xfId="0" applyNumberFormat="1" applyFont="1" applyFill="1" applyAlignment="1">
      <alignment horizontal="center" vertical="center"/>
    </xf>
    <xf numFmtId="0" fontId="6" fillId="8" borderId="0" xfId="0" applyFont="1" applyFill="1" applyAlignment="1">
      <alignment horizontal="left"/>
    </xf>
    <xf numFmtId="0" fontId="8" fillId="8" borderId="0" xfId="0" applyFont="1" applyFill="1" applyAlignment="1">
      <alignment horizontal="center"/>
    </xf>
    <xf numFmtId="9" fontId="6" fillId="8" borderId="0" xfId="2" applyFont="1" applyFill="1" applyBorder="1" applyAlignment="1" applyProtection="1">
      <alignment horizontal="center"/>
    </xf>
    <xf numFmtId="0" fontId="7" fillId="8" borderId="0" xfId="0" applyFont="1" applyFill="1" applyAlignment="1">
      <alignment horizontal="right"/>
    </xf>
    <xf numFmtId="0" fontId="16" fillId="7" borderId="12" xfId="0" applyFont="1" applyFill="1" applyBorder="1" applyAlignment="1">
      <alignment horizontal="center" vertical="center"/>
    </xf>
    <xf numFmtId="0" fontId="16" fillId="0" borderId="39" xfId="0" applyFont="1" applyBorder="1" applyAlignment="1" applyProtection="1">
      <alignment vertical="center"/>
      <protection locked="0"/>
    </xf>
    <xf numFmtId="0" fontId="16" fillId="2" borderId="0" xfId="0" applyFont="1" applyFill="1" applyAlignment="1">
      <alignment horizontal="center" vertical="center"/>
    </xf>
    <xf numFmtId="0" fontId="16" fillId="7" borderId="13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 wrapText="1"/>
    </xf>
    <xf numFmtId="0" fontId="16" fillId="0" borderId="44" xfId="0" applyFont="1" applyBorder="1" applyAlignment="1" applyProtection="1">
      <alignment vertical="center"/>
      <protection locked="0"/>
    </xf>
    <xf numFmtId="0" fontId="7" fillId="5" borderId="2" xfId="0" applyFont="1" applyFill="1" applyBorder="1" applyAlignment="1" applyProtection="1">
      <alignment horizontal="center"/>
      <protection locked="0"/>
    </xf>
    <xf numFmtId="0" fontId="7" fillId="7" borderId="13" xfId="0" applyFont="1" applyFill="1" applyBorder="1" applyAlignment="1">
      <alignment horizontal="center"/>
    </xf>
    <xf numFmtId="0" fontId="16" fillId="0" borderId="47" xfId="0" applyFont="1" applyBorder="1" applyAlignment="1" applyProtection="1">
      <alignment vertical="center"/>
      <protection locked="0"/>
    </xf>
    <xf numFmtId="0" fontId="7" fillId="4" borderId="48" xfId="0" applyFont="1" applyFill="1" applyBorder="1" applyAlignment="1">
      <alignment horizontal="center" vertical="center"/>
    </xf>
    <xf numFmtId="0" fontId="7" fillId="4" borderId="49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/>
    </xf>
    <xf numFmtId="0" fontId="18" fillId="4" borderId="54" xfId="0" applyFont="1" applyFill="1" applyBorder="1" applyAlignment="1">
      <alignment horizontal="center" vertical="center" wrapText="1"/>
    </xf>
    <xf numFmtId="0" fontId="7" fillId="5" borderId="47" xfId="0" applyFont="1" applyFill="1" applyBorder="1" applyAlignment="1" applyProtection="1">
      <alignment horizontal="center" vertical="center" wrapText="1"/>
      <protection locked="0"/>
    </xf>
    <xf numFmtId="44" fontId="4" fillId="5" borderId="54" xfId="1" applyFont="1" applyFill="1" applyBorder="1" applyAlignment="1" applyProtection="1">
      <alignment horizontal="center" vertical="center"/>
      <protection locked="0"/>
    </xf>
    <xf numFmtId="10" fontId="13" fillId="5" borderId="54" xfId="2" applyNumberFormat="1" applyFont="1" applyFill="1" applyBorder="1" applyAlignment="1" applyProtection="1">
      <alignment horizontal="center" vertical="center"/>
      <protection locked="0"/>
    </xf>
    <xf numFmtId="44" fontId="8" fillId="12" borderId="27" xfId="0" applyNumberFormat="1" applyFont="1" applyFill="1" applyBorder="1" applyAlignment="1">
      <alignment vertical="center"/>
    </xf>
    <xf numFmtId="0" fontId="2" fillId="1" borderId="0" xfId="0" applyFont="1" applyFill="1" applyProtection="1">
      <protection locked="0"/>
    </xf>
    <xf numFmtId="2" fontId="19" fillId="0" borderId="17" xfId="0" applyNumberFormat="1" applyFont="1" applyBorder="1" applyAlignment="1">
      <alignment horizontal="center" vertical="center"/>
    </xf>
    <xf numFmtId="0" fontId="19" fillId="5" borderId="17" xfId="0" applyFont="1" applyFill="1" applyBorder="1" applyAlignment="1" applyProtection="1">
      <alignment horizontal="center" vertical="center"/>
      <protection locked="0"/>
    </xf>
    <xf numFmtId="0" fontId="19" fillId="7" borderId="13" xfId="0" applyFont="1" applyFill="1" applyBorder="1" applyAlignment="1">
      <alignment horizontal="center" vertical="center"/>
    </xf>
    <xf numFmtId="0" fontId="21" fillId="0" borderId="15" xfId="0" applyFont="1" applyBorder="1" applyAlignment="1" applyProtection="1">
      <alignment vertical="center"/>
      <protection locked="0"/>
    </xf>
    <xf numFmtId="0" fontId="21" fillId="2" borderId="0" xfId="0" applyFont="1" applyFill="1" applyAlignment="1">
      <alignment horizontal="center" vertical="center"/>
    </xf>
    <xf numFmtId="0" fontId="12" fillId="11" borderId="41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12" fillId="11" borderId="62" xfId="0" applyFont="1" applyFill="1" applyBorder="1" applyAlignment="1">
      <alignment horizontal="center" vertical="center" wrapText="1"/>
    </xf>
    <xf numFmtId="0" fontId="20" fillId="11" borderId="62" xfId="0" applyFont="1" applyFill="1" applyBorder="1" applyAlignment="1">
      <alignment horizontal="center" vertical="center" wrapText="1"/>
    </xf>
    <xf numFmtId="0" fontId="18" fillId="7" borderId="13" xfId="0" applyFont="1" applyFill="1" applyBorder="1" applyAlignment="1">
      <alignment horizontal="center" vertical="center" wrapText="1"/>
    </xf>
    <xf numFmtId="0" fontId="23" fillId="11" borderId="46" xfId="0" applyFont="1" applyFill="1" applyBorder="1" applyAlignment="1">
      <alignment horizontal="center" vertical="center" wrapText="1"/>
    </xf>
    <xf numFmtId="0" fontId="24" fillId="11" borderId="62" xfId="0" applyFont="1" applyFill="1" applyBorder="1" applyAlignment="1">
      <alignment horizontal="center" vertical="center" wrapText="1"/>
    </xf>
    <xf numFmtId="0" fontId="18" fillId="0" borderId="0" xfId="0" applyFont="1" applyAlignment="1" applyProtection="1">
      <alignment horizontal="center" vertical="center" wrapText="1"/>
      <protection locked="0"/>
    </xf>
    <xf numFmtId="0" fontId="18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wrapText="1"/>
    </xf>
    <xf numFmtId="0" fontId="7" fillId="0" borderId="31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7" borderId="31" xfId="0" applyFont="1" applyFill="1" applyBorder="1" applyAlignment="1">
      <alignment horizontal="center" vertical="center" wrapText="1"/>
    </xf>
    <xf numFmtId="0" fontId="18" fillId="7" borderId="31" xfId="0" applyFont="1" applyFill="1" applyBorder="1" applyAlignment="1">
      <alignment horizontal="center" vertical="center" wrapText="1"/>
    </xf>
    <xf numFmtId="0" fontId="7" fillId="0" borderId="0" xfId="0" applyFont="1" applyAlignment="1" applyProtection="1">
      <alignment vertical="center" wrapText="1"/>
      <protection locked="0"/>
    </xf>
    <xf numFmtId="0" fontId="7" fillId="2" borderId="0" xfId="0" applyFont="1" applyFill="1" applyAlignment="1">
      <alignment horizontal="center" vertical="center" wrapText="1"/>
    </xf>
    <xf numFmtId="0" fontId="6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31" xfId="0" applyFont="1" applyBorder="1" applyAlignment="1" applyProtection="1">
      <alignment horizontal="left"/>
      <protection locked="0"/>
    </xf>
    <xf numFmtId="0" fontId="2" fillId="0" borderId="8" xfId="0" applyFont="1" applyBorder="1" applyAlignment="1" applyProtection="1">
      <alignment horizontal="left"/>
      <protection locked="0"/>
    </xf>
    <xf numFmtId="0" fontId="6" fillId="0" borderId="66" xfId="0" applyFont="1" applyBorder="1" applyAlignment="1" applyProtection="1">
      <alignment horizontal="center"/>
      <protection locked="0"/>
    </xf>
    <xf numFmtId="3" fontId="6" fillId="0" borderId="31" xfId="0" applyNumberFormat="1" applyFont="1" applyBorder="1" applyAlignment="1" applyProtection="1">
      <alignment horizontal="center"/>
      <protection locked="0"/>
    </xf>
    <xf numFmtId="44" fontId="6" fillId="0" borderId="31" xfId="1" applyFont="1" applyFill="1" applyBorder="1" applyProtection="1">
      <protection locked="0"/>
    </xf>
    <xf numFmtId="44" fontId="6" fillId="0" borderId="31" xfId="1" applyFont="1" applyFill="1" applyBorder="1" applyProtection="1"/>
    <xf numFmtId="44" fontId="6" fillId="0" borderId="8" xfId="1" applyFont="1" applyFill="1" applyBorder="1" applyProtection="1"/>
    <xf numFmtId="44" fontId="6" fillId="7" borderId="13" xfId="1" applyFont="1" applyFill="1" applyBorder="1" applyProtection="1"/>
    <xf numFmtId="3" fontId="6" fillId="0" borderId="31" xfId="0" applyNumberFormat="1" applyFont="1" applyBorder="1" applyAlignment="1">
      <alignment horizontal="center"/>
    </xf>
    <xf numFmtId="9" fontId="6" fillId="0" borderId="8" xfId="2" applyFont="1" applyBorder="1" applyProtection="1">
      <protection locked="0"/>
    </xf>
    <xf numFmtId="9" fontId="6" fillId="7" borderId="13" xfId="2" applyFont="1" applyFill="1" applyBorder="1" applyProtection="1"/>
    <xf numFmtId="44" fontId="6" fillId="0" borderId="17" xfId="1" applyFont="1" applyFill="1" applyBorder="1" applyProtection="1">
      <protection locked="0"/>
    </xf>
    <xf numFmtId="44" fontId="6" fillId="0" borderId="17" xfId="1" applyFont="1" applyFill="1" applyBorder="1" applyProtection="1"/>
    <xf numFmtId="10" fontId="6" fillId="0" borderId="17" xfId="2" applyNumberFormat="1" applyFont="1" applyBorder="1" applyProtection="1"/>
    <xf numFmtId="10" fontId="6" fillId="0" borderId="0" xfId="2" applyNumberFormat="1" applyFont="1" applyBorder="1" applyProtection="1">
      <protection locked="0"/>
    </xf>
    <xf numFmtId="10" fontId="6" fillId="2" borderId="0" xfId="2" applyNumberFormat="1" applyFont="1" applyFill="1" applyBorder="1" applyProtection="1"/>
    <xf numFmtId="44" fontId="6" fillId="0" borderId="0" xfId="0" applyNumberFormat="1" applyFont="1"/>
    <xf numFmtId="166" fontId="6" fillId="0" borderId="0" xfId="0" applyNumberFormat="1" applyFont="1"/>
    <xf numFmtId="0" fontId="2" fillId="5" borderId="17" xfId="0" applyFont="1" applyFill="1" applyBorder="1" applyAlignment="1" applyProtection="1">
      <alignment horizontal="left"/>
      <protection locked="0"/>
    </xf>
    <xf numFmtId="0" fontId="6" fillId="5" borderId="67" xfId="0" applyFont="1" applyFill="1" applyBorder="1" applyAlignment="1" applyProtection="1">
      <alignment horizontal="center"/>
      <protection locked="0"/>
    </xf>
    <xf numFmtId="3" fontId="6" fillId="5" borderId="17" xfId="0" applyNumberFormat="1" applyFont="1" applyFill="1" applyBorder="1" applyAlignment="1" applyProtection="1">
      <alignment horizontal="center"/>
      <protection locked="0"/>
    </xf>
    <xf numFmtId="44" fontId="6" fillId="5" borderId="17" xfId="1" applyFont="1" applyFill="1" applyBorder="1" applyProtection="1">
      <protection locked="0"/>
    </xf>
    <xf numFmtId="44" fontId="6" fillId="12" borderId="31" xfId="1" applyFont="1" applyFill="1" applyBorder="1" applyProtection="1"/>
    <xf numFmtId="44" fontId="6" fillId="12" borderId="8" xfId="1" applyFont="1" applyFill="1" applyBorder="1" applyProtection="1"/>
    <xf numFmtId="44" fontId="6" fillId="2" borderId="13" xfId="1" applyFont="1" applyFill="1" applyBorder="1" applyProtection="1"/>
    <xf numFmtId="3" fontId="6" fillId="12" borderId="31" xfId="0" applyNumberFormat="1" applyFont="1" applyFill="1" applyBorder="1" applyAlignment="1">
      <alignment horizontal="center"/>
    </xf>
    <xf numFmtId="44" fontId="6" fillId="12" borderId="31" xfId="1" applyFont="1" applyFill="1" applyBorder="1" applyProtection="1">
      <protection locked="0"/>
    </xf>
    <xf numFmtId="9" fontId="6" fillId="5" borderId="14" xfId="2" applyFont="1" applyFill="1" applyBorder="1" applyProtection="1">
      <protection locked="0"/>
    </xf>
    <xf numFmtId="44" fontId="6" fillId="12" borderId="17" xfId="1" applyFont="1" applyFill="1" applyBorder="1" applyProtection="1"/>
    <xf numFmtId="44" fontId="6" fillId="13" borderId="17" xfId="1" applyFont="1" applyFill="1" applyBorder="1" applyProtection="1"/>
    <xf numFmtId="10" fontId="6" fillId="12" borderId="17" xfId="2" applyNumberFormat="1" applyFont="1" applyFill="1" applyBorder="1" applyProtection="1"/>
    <xf numFmtId="10" fontId="6" fillId="5" borderId="0" xfId="2" applyNumberFormat="1" applyFont="1" applyFill="1" applyBorder="1" applyProtection="1">
      <protection locked="0"/>
    </xf>
    <xf numFmtId="0" fontId="2" fillId="0" borderId="14" xfId="0" applyFont="1" applyBorder="1" applyAlignment="1" applyProtection="1">
      <alignment horizontal="left"/>
      <protection locked="0"/>
    </xf>
    <xf numFmtId="0" fontId="6" fillId="0" borderId="67" xfId="0" applyFont="1" applyBorder="1" applyAlignment="1" applyProtection="1">
      <alignment horizontal="center"/>
      <protection locked="0"/>
    </xf>
    <xf numFmtId="9" fontId="6" fillId="0" borderId="14" xfId="2" applyFont="1" applyBorder="1" applyProtection="1">
      <protection locked="0"/>
    </xf>
    <xf numFmtId="0" fontId="2" fillId="0" borderId="17" xfId="0" applyFont="1" applyBorder="1" applyAlignment="1" applyProtection="1">
      <alignment horizontal="left"/>
      <protection locked="0"/>
    </xf>
    <xf numFmtId="3" fontId="6" fillId="0" borderId="0" xfId="0" applyNumberFormat="1" applyFont="1"/>
    <xf numFmtId="11" fontId="2" fillId="0" borderId="31" xfId="0" applyNumberFormat="1" applyFont="1" applyBorder="1" applyAlignment="1" applyProtection="1">
      <alignment horizontal="left"/>
      <protection locked="0"/>
    </xf>
    <xf numFmtId="0" fontId="2" fillId="2" borderId="17" xfId="0" applyFont="1" applyFill="1" applyBorder="1"/>
    <xf numFmtId="0" fontId="2" fillId="12" borderId="16" xfId="0" applyFont="1" applyFill="1" applyBorder="1"/>
    <xf numFmtId="0" fontId="13" fillId="12" borderId="68" xfId="0" applyFont="1" applyFill="1" applyBorder="1" applyAlignment="1">
      <alignment horizontal="right"/>
    </xf>
    <xf numFmtId="3" fontId="4" fillId="12" borderId="17" xfId="0" applyNumberFormat="1" applyFont="1" applyFill="1" applyBorder="1"/>
    <xf numFmtId="44" fontId="4" fillId="12" borderId="17" xfId="1" applyFont="1" applyFill="1" applyBorder="1" applyAlignment="1" applyProtection="1">
      <alignment horizontal="center"/>
    </xf>
    <xf numFmtId="44" fontId="4" fillId="12" borderId="17" xfId="0" applyNumberFormat="1" applyFont="1" applyFill="1" applyBorder="1" applyAlignment="1">
      <alignment horizontal="right"/>
    </xf>
    <xf numFmtId="44" fontId="4" fillId="12" borderId="17" xfId="0" applyNumberFormat="1" applyFont="1" applyFill="1" applyBorder="1"/>
    <xf numFmtId="44" fontId="25" fillId="2" borderId="17" xfId="0" applyNumberFormat="1" applyFont="1" applyFill="1" applyBorder="1"/>
    <xf numFmtId="3" fontId="4" fillId="12" borderId="17" xfId="0" applyNumberFormat="1" applyFont="1" applyFill="1" applyBorder="1" applyAlignment="1">
      <alignment horizontal="center"/>
    </xf>
    <xf numFmtId="44" fontId="7" fillId="2" borderId="17" xfId="0" applyNumberFormat="1" applyFont="1" applyFill="1" applyBorder="1"/>
    <xf numFmtId="0" fontId="13" fillId="12" borderId="16" xfId="0" applyFont="1" applyFill="1" applyBorder="1"/>
    <xf numFmtId="10" fontId="4" fillId="12" borderId="17" xfId="0" applyNumberFormat="1" applyFont="1" applyFill="1" applyBorder="1" applyAlignment="1">
      <alignment horizontal="center"/>
    </xf>
    <xf numFmtId="10" fontId="13" fillId="12" borderId="17" xfId="0" applyNumberFormat="1" applyFont="1" applyFill="1" applyBorder="1" applyAlignment="1">
      <alignment horizontal="center"/>
    </xf>
    <xf numFmtId="10" fontId="13" fillId="2" borderId="17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6" fontId="2" fillId="0" borderId="0" xfId="0" applyNumberFormat="1" applyFont="1"/>
    <xf numFmtId="0" fontId="26" fillId="0" borderId="31" xfId="0" applyFont="1" applyBorder="1" applyAlignment="1">
      <alignment horizontal="left"/>
    </xf>
    <xf numFmtId="0" fontId="26" fillId="0" borderId="8" xfId="0" applyFont="1" applyBorder="1" applyAlignment="1">
      <alignment horizontal="left"/>
    </xf>
    <xf numFmtId="0" fontId="26" fillId="14" borderId="17" xfId="0" applyFont="1" applyFill="1" applyBorder="1" applyAlignment="1">
      <alignment horizontal="left"/>
    </xf>
    <xf numFmtId="0" fontId="26" fillId="14" borderId="14" xfId="0" applyFont="1" applyFill="1" applyBorder="1" applyAlignment="1">
      <alignment horizontal="left"/>
    </xf>
    <xf numFmtId="0" fontId="26" fillId="0" borderId="17" xfId="0" applyFont="1" applyBorder="1" applyAlignment="1">
      <alignment horizontal="left"/>
    </xf>
    <xf numFmtId="0" fontId="26" fillId="0" borderId="14" xfId="0" applyFont="1" applyBorder="1" applyAlignment="1">
      <alignment horizontal="left"/>
    </xf>
    <xf numFmtId="0" fontId="2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8" fillId="0" borderId="0" xfId="0" applyFont="1"/>
    <xf numFmtId="0" fontId="28" fillId="0" borderId="0" xfId="0" applyFont="1" applyAlignment="1">
      <alignment wrapText="1"/>
    </xf>
    <xf numFmtId="0" fontId="28" fillId="0" borderId="0" xfId="0" applyFont="1" applyAlignment="1">
      <alignment horizontal="center"/>
    </xf>
    <xf numFmtId="0" fontId="28" fillId="2" borderId="0" xfId="0" applyFont="1" applyFill="1"/>
    <xf numFmtId="0" fontId="30" fillId="2" borderId="0" xfId="0" applyFont="1" applyFill="1"/>
    <xf numFmtId="0" fontId="31" fillId="0" borderId="0" xfId="0" applyFont="1" applyAlignment="1">
      <alignment vertical="center"/>
    </xf>
    <xf numFmtId="0" fontId="32" fillId="0" borderId="0" xfId="0" applyFont="1"/>
    <xf numFmtId="0" fontId="30" fillId="4" borderId="8" xfId="0" applyFont="1" applyFill="1" applyBorder="1" applyAlignment="1">
      <alignment horizontal="right"/>
    </xf>
    <xf numFmtId="164" fontId="28" fillId="5" borderId="8" xfId="0" applyNumberFormat="1" applyFont="1" applyFill="1" applyBorder="1" applyAlignment="1" applyProtection="1">
      <alignment horizontal="left"/>
      <protection locked="0"/>
    </xf>
    <xf numFmtId="0" fontId="32" fillId="5" borderId="8" xfId="0" applyFont="1" applyFill="1" applyBorder="1" applyAlignment="1" applyProtection="1">
      <alignment horizontal="center"/>
      <protection locked="0"/>
    </xf>
    <xf numFmtId="0" fontId="31" fillId="7" borderId="12" xfId="0" applyFont="1" applyFill="1" applyBorder="1" applyAlignment="1">
      <alignment horizontal="center" vertical="center" wrapText="1"/>
    </xf>
    <xf numFmtId="164" fontId="28" fillId="5" borderId="13" xfId="0" applyNumberFormat="1" applyFont="1" applyFill="1" applyBorder="1" applyProtection="1">
      <protection locked="0"/>
    </xf>
    <xf numFmtId="164" fontId="28" fillId="2" borderId="0" xfId="0" applyNumberFormat="1" applyFont="1" applyFill="1"/>
    <xf numFmtId="0" fontId="30" fillId="4" borderId="14" xfId="0" applyFont="1" applyFill="1" applyBorder="1" applyAlignment="1">
      <alignment horizontal="right"/>
    </xf>
    <xf numFmtId="0" fontId="28" fillId="5" borderId="14" xfId="0" applyFont="1" applyFill="1" applyBorder="1" applyAlignment="1" applyProtection="1">
      <alignment horizontal="left"/>
      <protection locked="0"/>
    </xf>
    <xf numFmtId="0" fontId="32" fillId="5" borderId="14" xfId="0" applyFont="1" applyFill="1" applyBorder="1" applyAlignment="1" applyProtection="1">
      <alignment horizontal="center"/>
      <protection locked="0"/>
    </xf>
    <xf numFmtId="0" fontId="28" fillId="5" borderId="13" xfId="0" applyFont="1" applyFill="1" applyBorder="1" applyProtection="1">
      <protection locked="0"/>
    </xf>
    <xf numFmtId="165" fontId="34" fillId="0" borderId="0" xfId="0" applyNumberFormat="1" applyFont="1"/>
    <xf numFmtId="0" fontId="30" fillId="4" borderId="17" xfId="0" applyFont="1" applyFill="1" applyBorder="1" applyAlignment="1">
      <alignment horizontal="right"/>
    </xf>
    <xf numFmtId="1" fontId="35" fillId="5" borderId="14" xfId="3" applyNumberFormat="1" applyFont="1" applyFill="1" applyBorder="1" applyAlignment="1" applyProtection="1">
      <alignment horizontal="left"/>
      <protection locked="0"/>
    </xf>
    <xf numFmtId="0" fontId="9" fillId="5" borderId="13" xfId="3" applyFill="1" applyBorder="1" applyProtection="1">
      <protection locked="0"/>
    </xf>
    <xf numFmtId="0" fontId="9" fillId="2" borderId="0" xfId="3" applyFill="1"/>
    <xf numFmtId="9" fontId="34" fillId="0" borderId="0" xfId="2" applyFont="1"/>
    <xf numFmtId="0" fontId="32" fillId="5" borderId="14" xfId="3" applyFont="1" applyFill="1" applyBorder="1" applyAlignment="1" applyProtection="1">
      <alignment horizontal="left"/>
      <protection locked="0"/>
    </xf>
    <xf numFmtId="0" fontId="11" fillId="2" borderId="0" xfId="3" applyFont="1" applyFill="1"/>
    <xf numFmtId="0" fontId="30" fillId="8" borderId="26" xfId="0" applyFont="1" applyFill="1" applyBorder="1" applyAlignment="1">
      <alignment horizontal="right"/>
    </xf>
    <xf numFmtId="0" fontId="28" fillId="8" borderId="0" xfId="0" applyFont="1" applyFill="1"/>
    <xf numFmtId="0" fontId="36" fillId="9" borderId="27" xfId="0" applyFont="1" applyFill="1" applyBorder="1" applyAlignment="1">
      <alignment horizontal="center"/>
    </xf>
    <xf numFmtId="0" fontId="36" fillId="9" borderId="1" xfId="0" applyFont="1" applyFill="1" applyBorder="1" applyAlignment="1">
      <alignment horizontal="center" vertical="center"/>
    </xf>
    <xf numFmtId="0" fontId="36" fillId="9" borderId="28" xfId="0" applyFont="1" applyFill="1" applyBorder="1" applyAlignment="1">
      <alignment horizontal="center" vertical="center"/>
    </xf>
    <xf numFmtId="0" fontId="28" fillId="5" borderId="0" xfId="0" applyFont="1" applyFill="1" applyProtection="1">
      <protection locked="0"/>
    </xf>
    <xf numFmtId="165" fontId="33" fillId="2" borderId="0" xfId="0" applyNumberFormat="1" applyFont="1" applyFill="1" applyAlignment="1">
      <alignment horizontal="center" vertical="center"/>
    </xf>
    <xf numFmtId="0" fontId="32" fillId="8" borderId="0" xfId="0" applyFont="1" applyFill="1" applyAlignment="1">
      <alignment horizontal="left"/>
    </xf>
    <xf numFmtId="0" fontId="34" fillId="8" borderId="0" xfId="0" applyFont="1" applyFill="1" applyAlignment="1">
      <alignment horizontal="center"/>
    </xf>
    <xf numFmtId="9" fontId="32" fillId="8" borderId="0" xfId="2" applyFont="1" applyFill="1" applyAlignment="1">
      <alignment horizontal="center"/>
    </xf>
    <xf numFmtId="0" fontId="33" fillId="8" borderId="0" xfId="0" applyFont="1" applyFill="1" applyAlignment="1">
      <alignment horizontal="right"/>
    </xf>
    <xf numFmtId="0" fontId="40" fillId="7" borderId="12" xfId="0" applyFont="1" applyFill="1" applyBorder="1" applyAlignment="1">
      <alignment horizontal="center" vertical="center"/>
    </xf>
    <xf numFmtId="0" fontId="40" fillId="0" borderId="39" xfId="0" applyFont="1" applyBorder="1" applyAlignment="1" applyProtection="1">
      <alignment vertical="center"/>
      <protection locked="0"/>
    </xf>
    <xf numFmtId="0" fontId="40" fillId="2" borderId="0" xfId="0" applyFont="1" applyFill="1" applyAlignment="1">
      <alignment horizontal="center" vertical="center"/>
    </xf>
    <xf numFmtId="0" fontId="40" fillId="7" borderId="13" xfId="0" applyFont="1" applyFill="1" applyBorder="1" applyAlignment="1">
      <alignment horizontal="center" vertical="center"/>
    </xf>
    <xf numFmtId="0" fontId="31" fillId="7" borderId="13" xfId="0" applyFont="1" applyFill="1" applyBorder="1" applyAlignment="1">
      <alignment horizontal="center" vertical="center" wrapText="1"/>
    </xf>
    <xf numFmtId="0" fontId="40" fillId="0" borderId="44" xfId="0" applyFont="1" applyBorder="1" applyAlignment="1" applyProtection="1">
      <alignment vertical="center"/>
      <protection locked="0"/>
    </xf>
    <xf numFmtId="0" fontId="33" fillId="5" borderId="2" xfId="0" applyFont="1" applyFill="1" applyBorder="1" applyAlignment="1" applyProtection="1">
      <alignment horizontal="center"/>
      <protection locked="0"/>
    </xf>
    <xf numFmtId="0" fontId="33" fillId="7" borderId="13" xfId="0" applyFont="1" applyFill="1" applyBorder="1" applyAlignment="1">
      <alignment horizontal="center"/>
    </xf>
    <xf numFmtId="0" fontId="40" fillId="0" borderId="47" xfId="0" applyFont="1" applyBorder="1" applyAlignment="1" applyProtection="1">
      <alignment vertical="center"/>
      <protection locked="0"/>
    </xf>
    <xf numFmtId="0" fontId="33" fillId="4" borderId="48" xfId="0" applyFont="1" applyFill="1" applyBorder="1" applyAlignment="1">
      <alignment horizontal="center" vertical="center"/>
    </xf>
    <xf numFmtId="0" fontId="33" fillId="4" borderId="49" xfId="0" applyFont="1" applyFill="1" applyBorder="1" applyAlignment="1">
      <alignment horizontal="center" vertical="center"/>
    </xf>
    <xf numFmtId="0" fontId="33" fillId="7" borderId="13" xfId="0" applyFont="1" applyFill="1" applyBorder="1" applyAlignment="1">
      <alignment horizontal="center" vertical="center"/>
    </xf>
    <xf numFmtId="0" fontId="32" fillId="7" borderId="13" xfId="0" applyFont="1" applyFill="1" applyBorder="1" applyAlignment="1">
      <alignment horizontal="center"/>
    </xf>
    <xf numFmtId="0" fontId="42" fillId="4" borderId="54" xfId="0" applyFont="1" applyFill="1" applyBorder="1" applyAlignment="1">
      <alignment horizontal="center" vertical="center" wrapText="1"/>
    </xf>
    <xf numFmtId="0" fontId="33" fillId="5" borderId="47" xfId="0" applyFont="1" applyFill="1" applyBorder="1" applyAlignment="1" applyProtection="1">
      <alignment horizontal="center" vertical="center" wrapText="1"/>
      <protection locked="0"/>
    </xf>
    <xf numFmtId="44" fontId="30" fillId="5" borderId="54" xfId="1" applyFont="1" applyFill="1" applyBorder="1" applyAlignment="1" applyProtection="1">
      <alignment horizontal="center" vertical="center"/>
      <protection locked="0"/>
    </xf>
    <xf numFmtId="10" fontId="37" fillId="5" borderId="54" xfId="2" applyNumberFormat="1" applyFont="1" applyFill="1" applyBorder="1" applyAlignment="1" applyProtection="1">
      <alignment horizontal="center" vertical="center"/>
      <protection locked="0"/>
    </xf>
    <xf numFmtId="44" fontId="34" fillId="12" borderId="27" xfId="0" applyNumberFormat="1" applyFont="1" applyFill="1" applyBorder="1" applyAlignment="1">
      <alignment vertical="center"/>
    </xf>
    <xf numFmtId="0" fontId="28" fillId="1" borderId="0" xfId="0" applyFont="1" applyFill="1" applyProtection="1">
      <protection locked="0"/>
    </xf>
    <xf numFmtId="2" fontId="43" fillId="0" borderId="17" xfId="0" applyNumberFormat="1" applyFont="1" applyBorder="1" applyAlignment="1">
      <alignment horizontal="center" vertical="center"/>
    </xf>
    <xf numFmtId="0" fontId="43" fillId="5" borderId="17" xfId="0" applyFont="1" applyFill="1" applyBorder="1" applyAlignment="1" applyProtection="1">
      <alignment horizontal="center" vertical="center"/>
      <protection locked="0"/>
    </xf>
    <xf numFmtId="0" fontId="43" fillId="7" borderId="13" xfId="0" applyFont="1" applyFill="1" applyBorder="1" applyAlignment="1">
      <alignment horizontal="center" vertical="center"/>
    </xf>
    <xf numFmtId="0" fontId="45" fillId="0" borderId="15" xfId="0" applyFont="1" applyBorder="1" applyAlignment="1" applyProtection="1">
      <alignment vertical="center"/>
      <protection locked="0"/>
    </xf>
    <xf numFmtId="0" fontId="45" fillId="2" borderId="0" xfId="0" applyFont="1" applyFill="1" applyAlignment="1">
      <alignment horizontal="center" vertical="center"/>
    </xf>
    <xf numFmtId="0" fontId="36" fillId="11" borderId="41" xfId="0" applyFont="1" applyFill="1" applyBorder="1" applyAlignment="1">
      <alignment horizontal="center" vertical="center" wrapText="1"/>
    </xf>
    <xf numFmtId="0" fontId="33" fillId="7" borderId="13" xfId="0" applyFont="1" applyFill="1" applyBorder="1" applyAlignment="1">
      <alignment horizontal="center" vertical="center" wrapText="1"/>
    </xf>
    <xf numFmtId="0" fontId="36" fillId="11" borderId="62" xfId="0" applyFont="1" applyFill="1" applyBorder="1" applyAlignment="1">
      <alignment horizontal="center" vertical="center" wrapText="1"/>
    </xf>
    <xf numFmtId="0" fontId="44" fillId="11" borderId="62" xfId="0" applyFont="1" applyFill="1" applyBorder="1" applyAlignment="1">
      <alignment horizontal="center" vertical="center" wrapText="1"/>
    </xf>
    <xf numFmtId="0" fontId="42" fillId="7" borderId="13" xfId="0" applyFont="1" applyFill="1" applyBorder="1" applyAlignment="1">
      <alignment horizontal="center" vertical="center" wrapText="1"/>
    </xf>
    <xf numFmtId="0" fontId="47" fillId="11" borderId="46" xfId="0" applyFont="1" applyFill="1" applyBorder="1" applyAlignment="1">
      <alignment horizontal="center" vertical="center" wrapText="1"/>
    </xf>
    <xf numFmtId="0" fontId="48" fillId="11" borderId="62" xfId="0" applyFont="1" applyFill="1" applyBorder="1" applyAlignment="1">
      <alignment horizontal="center" vertical="center" wrapText="1"/>
    </xf>
    <xf numFmtId="0" fontId="42" fillId="0" borderId="0" xfId="0" applyFont="1" applyAlignment="1" applyProtection="1">
      <alignment horizontal="center" vertical="center" wrapText="1"/>
      <protection locked="0"/>
    </xf>
    <xf numFmtId="0" fontId="42" fillId="2" borderId="0" xfId="0" applyFont="1" applyFill="1" applyAlignment="1">
      <alignment horizontal="center" vertical="center" wrapText="1"/>
    </xf>
    <xf numFmtId="0" fontId="28" fillId="2" borderId="0" xfId="0" applyFont="1" applyFill="1" applyAlignment="1">
      <alignment wrapText="1"/>
    </xf>
    <xf numFmtId="0" fontId="33" fillId="0" borderId="31" xfId="0" applyFont="1" applyBorder="1" applyAlignment="1">
      <alignment horizontal="center" vertical="center" wrapText="1"/>
    </xf>
    <xf numFmtId="0" fontId="33" fillId="0" borderId="8" xfId="0" applyFont="1" applyBorder="1" applyAlignment="1">
      <alignment horizontal="center" vertical="center" wrapText="1"/>
    </xf>
    <xf numFmtId="0" fontId="33" fillId="7" borderId="31" xfId="0" applyFont="1" applyFill="1" applyBorder="1" applyAlignment="1">
      <alignment horizontal="center" vertical="center" wrapText="1"/>
    </xf>
    <xf numFmtId="0" fontId="42" fillId="7" borderId="31" xfId="0" applyFont="1" applyFill="1" applyBorder="1" applyAlignment="1">
      <alignment horizontal="center" vertical="center" wrapText="1"/>
    </xf>
    <xf numFmtId="0" fontId="33" fillId="0" borderId="0" xfId="0" applyFont="1" applyAlignment="1" applyProtection="1">
      <alignment vertical="center" wrapText="1"/>
      <protection locked="0"/>
    </xf>
    <xf numFmtId="0" fontId="33" fillId="2" borderId="0" xfId="0" applyFont="1" applyFill="1" applyAlignment="1">
      <alignment horizontal="center" vertical="center" wrapText="1"/>
    </xf>
    <xf numFmtId="0" fontId="32" fillId="0" borderId="0" xfId="0" applyFont="1" applyAlignment="1">
      <alignment wrapText="1"/>
    </xf>
    <xf numFmtId="0" fontId="49" fillId="0" borderId="31" xfId="0" applyFont="1" applyBorder="1" applyAlignment="1">
      <alignment horizontal="left"/>
    </xf>
    <xf numFmtId="0" fontId="49" fillId="0" borderId="8" xfId="0" applyFont="1" applyBorder="1" applyAlignment="1">
      <alignment horizontal="left"/>
    </xf>
    <xf numFmtId="0" fontId="32" fillId="0" borderId="66" xfId="0" applyFont="1" applyBorder="1" applyAlignment="1" applyProtection="1">
      <alignment horizontal="center"/>
      <protection locked="0"/>
    </xf>
    <xf numFmtId="3" fontId="32" fillId="0" borderId="31" xfId="0" applyNumberFormat="1" applyFont="1" applyBorder="1" applyAlignment="1" applyProtection="1">
      <alignment horizontal="center"/>
      <protection locked="0"/>
    </xf>
    <xf numFmtId="44" fontId="32" fillId="0" borderId="31" xfId="1" applyFont="1" applyBorder="1" applyProtection="1">
      <protection locked="0"/>
    </xf>
    <xf numFmtId="44" fontId="32" fillId="0" borderId="31" xfId="1" applyFont="1" applyBorder="1"/>
    <xf numFmtId="44" fontId="32" fillId="0" borderId="8" xfId="1" applyFont="1" applyBorder="1"/>
    <xf numFmtId="44" fontId="32" fillId="7" borderId="13" xfId="1" applyFont="1" applyFill="1" applyBorder="1"/>
    <xf numFmtId="3" fontId="32" fillId="0" borderId="31" xfId="0" applyNumberFormat="1" applyFont="1" applyBorder="1" applyAlignment="1">
      <alignment horizontal="center"/>
    </xf>
    <xf numFmtId="9" fontId="32" fillId="0" borderId="8" xfId="2" applyFont="1" applyBorder="1" applyProtection="1">
      <protection locked="0"/>
    </xf>
    <xf numFmtId="9" fontId="32" fillId="7" borderId="13" xfId="2" applyFont="1" applyFill="1" applyBorder="1"/>
    <xf numFmtId="0" fontId="28" fillId="0" borderId="31" xfId="0" applyFont="1" applyBorder="1" applyAlignment="1" applyProtection="1">
      <alignment horizontal="left"/>
      <protection locked="0"/>
    </xf>
    <xf numFmtId="44" fontId="32" fillId="0" borderId="17" xfId="1" applyFont="1" applyBorder="1" applyProtection="1">
      <protection locked="0"/>
    </xf>
    <xf numFmtId="44" fontId="32" fillId="0" borderId="17" xfId="1" applyFont="1" applyBorder="1"/>
    <xf numFmtId="10" fontId="32" fillId="0" borderId="17" xfId="2" applyNumberFormat="1" applyFont="1" applyBorder="1"/>
    <xf numFmtId="10" fontId="32" fillId="0" borderId="0" xfId="2" applyNumberFormat="1" applyFont="1" applyProtection="1">
      <protection locked="0"/>
    </xf>
    <xf numFmtId="10" fontId="32" fillId="2" borderId="0" xfId="2" applyNumberFormat="1" applyFont="1" applyFill="1"/>
    <xf numFmtId="44" fontId="32" fillId="0" borderId="0" xfId="0" applyNumberFormat="1" applyFont="1"/>
    <xf numFmtId="166" fontId="32" fillId="0" borderId="0" xfId="0" applyNumberFormat="1" applyFont="1"/>
    <xf numFmtId="0" fontId="49" fillId="14" borderId="17" xfId="0" applyFont="1" applyFill="1" applyBorder="1" applyAlignment="1">
      <alignment horizontal="left"/>
    </xf>
    <xf numFmtId="0" fontId="49" fillId="14" borderId="14" xfId="0" applyFont="1" applyFill="1" applyBorder="1" applyAlignment="1">
      <alignment horizontal="left"/>
    </xf>
    <xf numFmtId="0" fontId="32" fillId="5" borderId="67" xfId="0" applyFont="1" applyFill="1" applyBorder="1" applyAlignment="1" applyProtection="1">
      <alignment horizontal="center"/>
      <protection locked="0"/>
    </xf>
    <xf numFmtId="3" fontId="32" fillId="5" borderId="17" xfId="0" applyNumberFormat="1" applyFont="1" applyFill="1" applyBorder="1" applyAlignment="1" applyProtection="1">
      <alignment horizontal="center"/>
      <protection locked="0"/>
    </xf>
    <xf numFmtId="44" fontId="32" fillId="5" borderId="17" xfId="1" applyFont="1" applyFill="1" applyBorder="1" applyProtection="1">
      <protection locked="0"/>
    </xf>
    <xf numFmtId="44" fontId="32" fillId="12" borderId="31" xfId="1" applyFont="1" applyFill="1" applyBorder="1"/>
    <xf numFmtId="44" fontId="32" fillId="12" borderId="8" xfId="1" applyFont="1" applyFill="1" applyBorder="1"/>
    <xf numFmtId="44" fontId="32" fillId="2" borderId="13" xfId="1" applyFont="1" applyFill="1" applyBorder="1"/>
    <xf numFmtId="3" fontId="32" fillId="12" borderId="31" xfId="0" applyNumberFormat="1" applyFont="1" applyFill="1" applyBorder="1" applyAlignment="1">
      <alignment horizontal="center"/>
    </xf>
    <xf numFmtId="44" fontId="32" fillId="12" borderId="31" xfId="1" applyFont="1" applyFill="1" applyBorder="1" applyProtection="1">
      <protection locked="0"/>
    </xf>
    <xf numFmtId="9" fontId="32" fillId="5" borderId="14" xfId="2" applyFont="1" applyFill="1" applyBorder="1" applyProtection="1">
      <protection locked="0"/>
    </xf>
    <xf numFmtId="0" fontId="28" fillId="5" borderId="17" xfId="0" applyFont="1" applyFill="1" applyBorder="1" applyAlignment="1" applyProtection="1">
      <alignment horizontal="left"/>
      <protection locked="0"/>
    </xf>
    <xf numFmtId="44" fontId="32" fillId="12" borderId="17" xfId="1" applyFont="1" applyFill="1" applyBorder="1"/>
    <xf numFmtId="44" fontId="32" fillId="13" borderId="17" xfId="1" applyFont="1" applyFill="1" applyBorder="1"/>
    <xf numFmtId="10" fontId="32" fillId="12" borderId="17" xfId="2" applyNumberFormat="1" applyFont="1" applyFill="1" applyBorder="1"/>
    <xf numFmtId="10" fontId="32" fillId="5" borderId="0" xfId="2" applyNumberFormat="1" applyFont="1" applyFill="1" applyProtection="1">
      <protection locked="0"/>
    </xf>
    <xf numFmtId="0" fontId="49" fillId="0" borderId="17" xfId="0" applyFont="1" applyBorder="1" applyAlignment="1">
      <alignment horizontal="left"/>
    </xf>
    <xf numFmtId="0" fontId="49" fillId="0" borderId="14" xfId="0" applyFont="1" applyBorder="1" applyAlignment="1">
      <alignment horizontal="left"/>
    </xf>
    <xf numFmtId="0" fontId="32" fillId="0" borderId="67" xfId="0" applyFont="1" applyBorder="1" applyAlignment="1" applyProtection="1">
      <alignment horizontal="center"/>
      <protection locked="0"/>
    </xf>
    <xf numFmtId="9" fontId="32" fillId="0" borderId="14" xfId="2" applyFont="1" applyBorder="1" applyProtection="1">
      <protection locked="0"/>
    </xf>
    <xf numFmtId="0" fontId="28" fillId="0" borderId="17" xfId="0" applyFont="1" applyBorder="1" applyAlignment="1" applyProtection="1">
      <alignment horizontal="left"/>
      <protection locked="0"/>
    </xf>
    <xf numFmtId="0" fontId="50" fillId="0" borderId="0" xfId="0" applyFont="1" applyAlignment="1">
      <alignment horizontal="left"/>
    </xf>
    <xf numFmtId="0" fontId="28" fillId="0" borderId="14" xfId="0" applyFont="1" applyBorder="1" applyAlignment="1" applyProtection="1">
      <alignment horizontal="left"/>
      <protection locked="0"/>
    </xf>
    <xf numFmtId="0" fontId="28" fillId="0" borderId="0" xfId="0" applyFont="1" applyAlignment="1">
      <alignment horizontal="left"/>
    </xf>
    <xf numFmtId="3" fontId="32" fillId="0" borderId="0" xfId="0" applyNumberFormat="1" applyFont="1"/>
    <xf numFmtId="11" fontId="28" fillId="0" borderId="31" xfId="0" applyNumberFormat="1" applyFont="1" applyBorder="1" applyAlignment="1" applyProtection="1">
      <alignment horizontal="left"/>
      <protection locked="0"/>
    </xf>
    <xf numFmtId="0" fontId="28" fillId="2" borderId="17" xfId="0" applyFont="1" applyFill="1" applyBorder="1"/>
    <xf numFmtId="0" fontId="28" fillId="12" borderId="16" xfId="0" applyFont="1" applyFill="1" applyBorder="1"/>
    <xf numFmtId="0" fontId="37" fillId="12" borderId="68" xfId="0" applyFont="1" applyFill="1" applyBorder="1" applyAlignment="1">
      <alignment horizontal="right"/>
    </xf>
    <xf numFmtId="3" fontId="30" fillId="12" borderId="17" xfId="0" applyNumberFormat="1" applyFont="1" applyFill="1" applyBorder="1"/>
    <xf numFmtId="44" fontId="30" fillId="12" borderId="17" xfId="1" applyFont="1" applyFill="1" applyBorder="1" applyAlignment="1">
      <alignment horizontal="center"/>
    </xf>
    <xf numFmtId="44" fontId="30" fillId="12" borderId="17" xfId="0" applyNumberFormat="1" applyFont="1" applyFill="1" applyBorder="1" applyAlignment="1">
      <alignment horizontal="right"/>
    </xf>
    <xf numFmtId="44" fontId="30" fillId="12" borderId="17" xfId="0" applyNumberFormat="1" applyFont="1" applyFill="1" applyBorder="1"/>
    <xf numFmtId="44" fontId="51" fillId="2" borderId="17" xfId="0" applyNumberFormat="1" applyFont="1" applyFill="1" applyBorder="1"/>
    <xf numFmtId="3" fontId="30" fillId="12" borderId="17" xfId="0" applyNumberFormat="1" applyFont="1" applyFill="1" applyBorder="1" applyAlignment="1">
      <alignment horizontal="center"/>
    </xf>
    <xf numFmtId="44" fontId="33" fillId="2" borderId="17" xfId="0" applyNumberFormat="1" applyFont="1" applyFill="1" applyBorder="1"/>
    <xf numFmtId="0" fontId="37" fillId="12" borderId="16" xfId="0" applyFont="1" applyFill="1" applyBorder="1"/>
    <xf numFmtId="10" fontId="30" fillId="12" borderId="17" xfId="0" applyNumberFormat="1" applyFont="1" applyFill="1" applyBorder="1" applyAlignment="1">
      <alignment horizontal="center"/>
    </xf>
    <xf numFmtId="10" fontId="37" fillId="12" borderId="17" xfId="0" applyNumberFormat="1" applyFont="1" applyFill="1" applyBorder="1" applyAlignment="1">
      <alignment horizontal="center"/>
    </xf>
    <xf numFmtId="10" fontId="37" fillId="2" borderId="17" xfId="0" applyNumberFormat="1" applyFont="1" applyFill="1" applyBorder="1" applyAlignment="1">
      <alignment horizontal="center"/>
    </xf>
    <xf numFmtId="166" fontId="28" fillId="0" borderId="0" xfId="0" applyNumberFormat="1" applyFont="1"/>
    <xf numFmtId="0" fontId="26" fillId="0" borderId="31" xfId="0" applyFont="1" applyBorder="1"/>
    <xf numFmtId="0" fontId="26" fillId="0" borderId="8" xfId="0" applyFont="1" applyBorder="1"/>
    <xf numFmtId="0" fontId="6" fillId="0" borderId="70" xfId="0" applyFont="1" applyBorder="1"/>
    <xf numFmtId="0" fontId="6" fillId="0" borderId="31" xfId="0" applyFont="1" applyBorder="1"/>
    <xf numFmtId="0" fontId="26" fillId="14" borderId="17" xfId="0" applyFont="1" applyFill="1" applyBorder="1"/>
    <xf numFmtId="0" fontId="26" fillId="14" borderId="14" xfId="0" applyFont="1" applyFill="1" applyBorder="1"/>
    <xf numFmtId="0" fontId="6" fillId="14" borderId="67" xfId="0" applyFont="1" applyFill="1" applyBorder="1"/>
    <xf numFmtId="0" fontId="6" fillId="14" borderId="17" xfId="0" applyFont="1" applyFill="1" applyBorder="1"/>
    <xf numFmtId="0" fontId="26" fillId="0" borderId="14" xfId="0" applyFont="1" applyBorder="1"/>
    <xf numFmtId="0" fontId="6" fillId="0" borderId="67" xfId="0" applyFont="1" applyBorder="1"/>
    <xf numFmtId="0" fontId="32" fillId="14" borderId="67" xfId="0" applyFont="1" applyFill="1" applyBorder="1"/>
    <xf numFmtId="0" fontId="32" fillId="0" borderId="67" xfId="0" applyFont="1" applyBorder="1"/>
    <xf numFmtId="44" fontId="32" fillId="0" borderId="31" xfId="1" applyFont="1" applyFill="1" applyBorder="1" applyProtection="1">
      <protection locked="0"/>
    </xf>
    <xf numFmtId="44" fontId="32" fillId="0" borderId="17" xfId="1" applyFont="1" applyFill="1" applyBorder="1" applyProtection="1">
      <protection locked="0"/>
    </xf>
    <xf numFmtId="4" fontId="0" fillId="0" borderId="0" xfId="0" applyNumberFormat="1"/>
    <xf numFmtId="0" fontId="0" fillId="5" borderId="0" xfId="0" applyFill="1"/>
    <xf numFmtId="0" fontId="0" fillId="0" borderId="72" xfId="0" applyBorder="1"/>
    <xf numFmtId="0" fontId="26" fillId="0" borderId="72" xfId="0" applyFont="1" applyBorder="1" applyAlignment="1">
      <alignment horizontal="left"/>
    </xf>
    <xf numFmtId="0" fontId="0" fillId="5" borderId="72" xfId="0" applyFill="1" applyBorder="1"/>
    <xf numFmtId="0" fontId="6" fillId="0" borderId="10" xfId="0" applyFont="1" applyBorder="1" applyAlignment="1" applyProtection="1">
      <alignment horizontal="center"/>
      <protection locked="0"/>
    </xf>
    <xf numFmtId="0" fontId="6" fillId="5" borderId="47" xfId="0" applyFont="1" applyFill="1" applyBorder="1" applyAlignment="1" applyProtection="1">
      <alignment horizontal="center"/>
      <protection locked="0"/>
    </xf>
    <xf numFmtId="0" fontId="6" fillId="0" borderId="47" xfId="0" applyFont="1" applyBorder="1" applyAlignment="1" applyProtection="1">
      <alignment horizontal="center"/>
      <protection locked="0"/>
    </xf>
    <xf numFmtId="0" fontId="26" fillId="0" borderId="72" xfId="0" applyFont="1" applyBorder="1"/>
    <xf numFmtId="0" fontId="26" fillId="14" borderId="72" xfId="0" applyFont="1" applyFill="1" applyBorder="1"/>
    <xf numFmtId="0" fontId="6" fillId="14" borderId="47" xfId="0" applyFont="1" applyFill="1" applyBorder="1"/>
    <xf numFmtId="0" fontId="6" fillId="0" borderId="47" xfId="0" applyFont="1" applyBorder="1"/>
    <xf numFmtId="0" fontId="29" fillId="3" borderId="2" xfId="0" applyFont="1" applyFill="1" applyBorder="1" applyAlignment="1">
      <alignment horizontal="center"/>
    </xf>
    <xf numFmtId="0" fontId="29" fillId="3" borderId="4" xfId="0" applyFont="1" applyFill="1" applyBorder="1" applyAlignment="1">
      <alignment horizontal="center"/>
    </xf>
    <xf numFmtId="0" fontId="29" fillId="3" borderId="5" xfId="0" applyFont="1" applyFill="1" applyBorder="1" applyAlignment="1">
      <alignment horizontal="center"/>
    </xf>
    <xf numFmtId="0" fontId="29" fillId="3" borderId="6" xfId="0" applyFont="1" applyFill="1" applyBorder="1" applyAlignment="1">
      <alignment horizontal="center"/>
    </xf>
    <xf numFmtId="0" fontId="29" fillId="3" borderId="7" xfId="0" applyFont="1" applyFill="1" applyBorder="1" applyAlignment="1">
      <alignment horizontal="center"/>
    </xf>
    <xf numFmtId="0" fontId="33" fillId="4" borderId="14" xfId="0" applyFont="1" applyFill="1" applyBorder="1" applyAlignment="1">
      <alignment horizontal="right"/>
    </xf>
    <xf numFmtId="0" fontId="33" fillId="4" borderId="15" xfId="0" applyFont="1" applyFill="1" applyBorder="1" applyAlignment="1">
      <alignment horizontal="right"/>
    </xf>
    <xf numFmtId="0" fontId="33" fillId="4" borderId="16" xfId="0" applyFont="1" applyFill="1" applyBorder="1" applyAlignment="1">
      <alignment horizontal="right"/>
    </xf>
    <xf numFmtId="0" fontId="33" fillId="6" borderId="14" xfId="0" applyFont="1" applyFill="1" applyBorder="1" applyAlignment="1">
      <alignment horizontal="center"/>
    </xf>
    <xf numFmtId="0" fontId="33" fillId="6" borderId="16" xfId="0" applyFont="1" applyFill="1" applyBorder="1" applyAlignment="1">
      <alignment horizontal="center"/>
    </xf>
    <xf numFmtId="0" fontId="33" fillId="6" borderId="15" xfId="0" applyFont="1" applyFill="1" applyBorder="1" applyAlignment="1">
      <alignment horizontal="center"/>
    </xf>
    <xf numFmtId="0" fontId="30" fillId="6" borderId="14" xfId="0" applyFont="1" applyFill="1" applyBorder="1" applyAlignment="1">
      <alignment horizontal="center"/>
    </xf>
    <xf numFmtId="0" fontId="30" fillId="6" borderId="15" xfId="0" applyFont="1" applyFill="1" applyBorder="1" applyAlignment="1">
      <alignment horizontal="center"/>
    </xf>
    <xf numFmtId="0" fontId="33" fillId="4" borderId="9" xfId="0" applyFont="1" applyFill="1" applyBorder="1" applyAlignment="1">
      <alignment horizontal="right"/>
    </xf>
    <xf numFmtId="0" fontId="33" fillId="4" borderId="10" xfId="0" applyFont="1" applyFill="1" applyBorder="1" applyAlignment="1">
      <alignment horizontal="right"/>
    </xf>
    <xf numFmtId="0" fontId="33" fillId="4" borderId="11" xfId="0" applyFont="1" applyFill="1" applyBorder="1" applyAlignment="1">
      <alignment horizontal="right"/>
    </xf>
    <xf numFmtId="0" fontId="33" fillId="6" borderId="9" xfId="0" applyFont="1" applyFill="1" applyBorder="1" applyAlignment="1">
      <alignment horizontal="center"/>
    </xf>
    <xf numFmtId="0" fontId="33" fillId="6" borderId="11" xfId="0" applyFont="1" applyFill="1" applyBorder="1" applyAlignment="1">
      <alignment horizontal="center"/>
    </xf>
    <xf numFmtId="0" fontId="33" fillId="6" borderId="10" xfId="0" applyFont="1" applyFill="1" applyBorder="1" applyAlignment="1">
      <alignment horizontal="center"/>
    </xf>
    <xf numFmtId="0" fontId="33" fillId="6" borderId="18" xfId="0" applyFont="1" applyFill="1" applyBorder="1" applyAlignment="1">
      <alignment horizontal="center"/>
    </xf>
    <xf numFmtId="0" fontId="33" fillId="6" borderId="19" xfId="0" applyFont="1" applyFill="1" applyBorder="1" applyAlignment="1">
      <alignment horizontal="center"/>
    </xf>
    <xf numFmtId="0" fontId="33" fillId="6" borderId="20" xfId="0" applyFont="1" applyFill="1" applyBorder="1" applyAlignment="1">
      <alignment horizontal="center"/>
    </xf>
    <xf numFmtId="0" fontId="33" fillId="6" borderId="14" xfId="0" applyFont="1" applyFill="1" applyBorder="1" applyAlignment="1">
      <alignment horizontal="center" vertical="center"/>
    </xf>
    <xf numFmtId="0" fontId="33" fillId="6" borderId="16" xfId="0" applyFont="1" applyFill="1" applyBorder="1" applyAlignment="1">
      <alignment horizontal="center" vertical="center"/>
    </xf>
    <xf numFmtId="0" fontId="33" fillId="6" borderId="15" xfId="0" applyFont="1" applyFill="1" applyBorder="1" applyAlignment="1">
      <alignment horizontal="center" vertical="center"/>
    </xf>
    <xf numFmtId="0" fontId="33" fillId="6" borderId="21" xfId="0" applyFont="1" applyFill="1" applyBorder="1" applyAlignment="1">
      <alignment horizontal="center" vertical="center"/>
    </xf>
    <xf numFmtId="0" fontId="33" fillId="6" borderId="22" xfId="0" applyFont="1" applyFill="1" applyBorder="1" applyAlignment="1">
      <alignment horizontal="center" vertical="center"/>
    </xf>
    <xf numFmtId="0" fontId="33" fillId="6" borderId="23" xfId="0" applyFont="1" applyFill="1" applyBorder="1" applyAlignment="1">
      <alignment horizontal="center" vertical="center"/>
    </xf>
    <xf numFmtId="0" fontId="30" fillId="6" borderId="16" xfId="0" applyFont="1" applyFill="1" applyBorder="1" applyAlignment="1">
      <alignment horizontal="center"/>
    </xf>
    <xf numFmtId="0" fontId="29" fillId="11" borderId="51" xfId="0" applyFont="1" applyFill="1" applyBorder="1" applyAlignment="1">
      <alignment horizontal="center" vertical="center" wrapText="1"/>
    </xf>
    <xf numFmtId="0" fontId="29" fillId="11" borderId="52" xfId="0" applyFont="1" applyFill="1" applyBorder="1" applyAlignment="1">
      <alignment horizontal="center" vertical="center" wrapText="1"/>
    </xf>
    <xf numFmtId="0" fontId="29" fillId="11" borderId="45" xfId="0" applyFont="1" applyFill="1" applyBorder="1" applyAlignment="1">
      <alignment horizontal="center" vertical="center" wrapText="1"/>
    </xf>
    <xf numFmtId="0" fontId="29" fillId="11" borderId="46" xfId="0" applyFont="1" applyFill="1" applyBorder="1" applyAlignment="1">
      <alignment horizontal="center" vertical="center" wrapText="1"/>
    </xf>
    <xf numFmtId="9" fontId="31" fillId="5" borderId="6" xfId="2" applyFont="1" applyFill="1" applyBorder="1" applyAlignment="1" applyProtection="1">
      <alignment horizontal="center" vertical="center" wrapText="1"/>
      <protection locked="0"/>
    </xf>
    <xf numFmtId="9" fontId="31" fillId="5" borderId="7" xfId="2" applyFont="1" applyFill="1" applyBorder="1" applyAlignment="1" applyProtection="1">
      <alignment horizontal="center" vertical="center" wrapText="1"/>
      <protection locked="0"/>
    </xf>
    <xf numFmtId="9" fontId="31" fillId="5" borderId="53" xfId="2" applyFont="1" applyFill="1" applyBorder="1" applyAlignment="1" applyProtection="1">
      <alignment horizontal="center" vertical="center" wrapText="1"/>
      <protection locked="0"/>
    </xf>
    <xf numFmtId="9" fontId="31" fillId="5" borderId="55" xfId="2" applyFont="1" applyFill="1" applyBorder="1" applyAlignment="1" applyProtection="1">
      <alignment horizontal="center" vertical="center" wrapText="1"/>
      <protection locked="0"/>
    </xf>
    <xf numFmtId="9" fontId="31" fillId="5" borderId="0" xfId="2" applyFont="1" applyFill="1" applyAlignment="1" applyProtection="1">
      <alignment horizontal="center" vertical="center" wrapText="1"/>
      <protection locked="0"/>
    </xf>
    <xf numFmtId="9" fontId="31" fillId="5" borderId="44" xfId="2" applyFont="1" applyFill="1" applyBorder="1" applyAlignment="1" applyProtection="1">
      <alignment horizontal="center" vertical="center" wrapText="1"/>
      <protection locked="0"/>
    </xf>
    <xf numFmtId="0" fontId="33" fillId="5" borderId="50" xfId="0" applyFont="1" applyFill="1" applyBorder="1" applyAlignment="1" applyProtection="1">
      <alignment horizontal="center" vertical="center" wrapText="1"/>
      <protection locked="0"/>
    </xf>
    <xf numFmtId="0" fontId="33" fillId="5" borderId="10" xfId="0" applyFont="1" applyFill="1" applyBorder="1" applyAlignment="1" applyProtection="1">
      <alignment horizontal="center" vertical="center" wrapText="1"/>
      <protection locked="0"/>
    </xf>
    <xf numFmtId="0" fontId="36" fillId="11" borderId="61" xfId="0" applyFont="1" applyFill="1" applyBorder="1" applyAlignment="1">
      <alignment horizontal="center" vertical="center" wrapText="1"/>
    </xf>
    <xf numFmtId="0" fontId="36" fillId="11" borderId="64" xfId="0" applyFont="1" applyFill="1" applyBorder="1" applyAlignment="1">
      <alignment horizontal="center" vertical="center" wrapText="1"/>
    </xf>
    <xf numFmtId="0" fontId="46" fillId="11" borderId="44" xfId="0" applyFont="1" applyFill="1" applyBorder="1" applyAlignment="1">
      <alignment horizontal="center" vertical="center" wrapText="1"/>
    </xf>
    <xf numFmtId="0" fontId="46" fillId="11" borderId="43" xfId="0" applyFont="1" applyFill="1" applyBorder="1" applyAlignment="1">
      <alignment horizontal="center" vertical="center" wrapText="1"/>
    </xf>
    <xf numFmtId="0" fontId="41" fillId="11" borderId="35" xfId="0" applyFont="1" applyFill="1" applyBorder="1" applyAlignment="1">
      <alignment horizontal="center" vertical="center" wrapText="1"/>
    </xf>
    <xf numFmtId="0" fontId="41" fillId="11" borderId="26" xfId="0" applyFont="1" applyFill="1" applyBorder="1" applyAlignment="1">
      <alignment horizontal="center" vertical="center" wrapText="1"/>
    </xf>
    <xf numFmtId="0" fontId="41" fillId="11" borderId="38" xfId="0" applyFont="1" applyFill="1" applyBorder="1" applyAlignment="1">
      <alignment horizontal="center" vertical="center" wrapText="1"/>
    </xf>
    <xf numFmtId="0" fontId="41" fillId="11" borderId="30" xfId="0" applyFont="1" applyFill="1" applyBorder="1" applyAlignment="1">
      <alignment horizontal="center" vertical="center" wrapText="1"/>
    </xf>
    <xf numFmtId="0" fontId="41" fillId="11" borderId="0" xfId="0" applyFont="1" applyFill="1" applyAlignment="1">
      <alignment horizontal="center" vertical="center" wrapText="1"/>
    </xf>
    <xf numFmtId="0" fontId="41" fillId="11" borderId="44" xfId="0" applyFont="1" applyFill="1" applyBorder="1" applyAlignment="1">
      <alignment horizontal="center" vertical="center" wrapText="1"/>
    </xf>
    <xf numFmtId="0" fontId="41" fillId="11" borderId="45" xfId="0" applyFont="1" applyFill="1" applyBorder="1" applyAlignment="1">
      <alignment horizontal="center" vertical="center" wrapText="1"/>
    </xf>
    <xf numFmtId="0" fontId="41" fillId="11" borderId="42" xfId="0" applyFont="1" applyFill="1" applyBorder="1" applyAlignment="1">
      <alignment horizontal="center" vertical="center" wrapText="1"/>
    </xf>
    <xf numFmtId="0" fontId="41" fillId="11" borderId="43" xfId="0" applyFont="1" applyFill="1" applyBorder="1" applyAlignment="1">
      <alignment horizontal="center" vertical="center" wrapText="1"/>
    </xf>
    <xf numFmtId="0" fontId="6" fillId="14" borderId="17" xfId="0" applyFont="1" applyFill="1" applyBorder="1" applyAlignment="1">
      <alignment vertical="center"/>
    </xf>
    <xf numFmtId="0" fontId="0" fillId="16" borderId="72" xfId="0" applyFill="1" applyBorder="1"/>
    <xf numFmtId="0" fontId="49" fillId="0" borderId="31" xfId="0" applyFont="1" applyBorder="1"/>
    <xf numFmtId="0" fontId="49" fillId="0" borderId="8" xfId="0" applyFont="1" applyBorder="1"/>
    <xf numFmtId="0" fontId="32" fillId="0" borderId="70" xfId="0" applyFont="1" applyBorder="1"/>
    <xf numFmtId="0" fontId="32" fillId="0" borderId="31" xfId="0" applyFont="1" applyBorder="1"/>
    <xf numFmtId="0" fontId="49" fillId="14" borderId="17" xfId="0" applyFont="1" applyFill="1" applyBorder="1"/>
    <xf numFmtId="0" fontId="49" fillId="14" borderId="14" xfId="0" applyFont="1" applyFill="1" applyBorder="1"/>
    <xf numFmtId="0" fontId="32" fillId="14" borderId="17" xfId="0" applyFont="1" applyFill="1" applyBorder="1"/>
    <xf numFmtId="0" fontId="49" fillId="0" borderId="14" xfId="0" applyFont="1" applyBorder="1"/>
    <xf numFmtId="0" fontId="49" fillId="0" borderId="72" xfId="0" applyFont="1" applyBorder="1" applyAlignment="1">
      <alignment horizontal="left"/>
    </xf>
    <xf numFmtId="0" fontId="32" fillId="0" borderId="10" xfId="0" applyFont="1" applyBorder="1" applyAlignment="1" applyProtection="1">
      <alignment horizontal="center"/>
      <protection locked="0"/>
    </xf>
    <xf numFmtId="0" fontId="32" fillId="5" borderId="47" xfId="0" applyFont="1" applyFill="1" applyBorder="1" applyAlignment="1" applyProtection="1">
      <alignment horizontal="center"/>
      <protection locked="0"/>
    </xf>
    <xf numFmtId="0" fontId="32" fillId="0" borderId="47" xfId="0" applyFont="1" applyBorder="1" applyAlignment="1" applyProtection="1">
      <alignment horizontal="center"/>
      <protection locked="0"/>
    </xf>
    <xf numFmtId="0" fontId="32" fillId="14" borderId="47" xfId="0" applyFont="1" applyFill="1" applyBorder="1"/>
    <xf numFmtId="0" fontId="32" fillId="14" borderId="17" xfId="0" applyFont="1" applyFill="1" applyBorder="1" applyAlignment="1">
      <alignment vertical="center"/>
    </xf>
    <xf numFmtId="0" fontId="49" fillId="0" borderId="72" xfId="0" applyFont="1" applyBorder="1"/>
    <xf numFmtId="0" fontId="32" fillId="0" borderId="47" xfId="0" applyFont="1" applyBorder="1"/>
    <xf numFmtId="0" fontId="49" fillId="14" borderId="72" xfId="0" applyFont="1" applyFill="1" applyBorder="1"/>
    <xf numFmtId="0" fontId="49" fillId="0" borderId="8" xfId="0" applyFont="1" applyBorder="1" applyAlignment="1" applyProtection="1">
      <alignment horizontal="left"/>
      <protection locked="0"/>
    </xf>
    <xf numFmtId="0" fontId="49" fillId="14" borderId="8" xfId="0" applyFont="1" applyFill="1" applyBorder="1" applyAlignment="1" applyProtection="1">
      <alignment horizontal="left"/>
      <protection locked="0"/>
    </xf>
    <xf numFmtId="0" fontId="49" fillId="0" borderId="73" xfId="0" applyFont="1" applyBorder="1" applyAlignment="1" applyProtection="1">
      <alignment horizontal="left"/>
      <protection locked="0"/>
    </xf>
    <xf numFmtId="0" fontId="49" fillId="14" borderId="73" xfId="0" applyFont="1" applyFill="1" applyBorder="1" applyAlignment="1" applyProtection="1">
      <alignment horizontal="left"/>
      <protection locked="0"/>
    </xf>
    <xf numFmtId="0" fontId="49" fillId="0" borderId="74" xfId="0" applyFont="1" applyBorder="1"/>
    <xf numFmtId="0" fontId="0" fillId="0" borderId="75" xfId="0" applyBorder="1"/>
    <xf numFmtId="0" fontId="0" fillId="5" borderId="74" xfId="0" applyFill="1" applyBorder="1"/>
    <xf numFmtId="0" fontId="32" fillId="14" borderId="17" xfId="0" applyFont="1" applyFill="1" applyBorder="1" applyAlignment="1">
      <alignment horizontal="center" vertical="center"/>
    </xf>
    <xf numFmtId="0" fontId="0" fillId="0" borderId="72" xfId="0" applyBorder="1" applyAlignment="1">
      <alignment horizontal="left"/>
    </xf>
    <xf numFmtId="0" fontId="0" fillId="5" borderId="72" xfId="0" applyFill="1" applyBorder="1" applyAlignment="1">
      <alignment horizontal="left"/>
    </xf>
    <xf numFmtId="0" fontId="0" fillId="16" borderId="72" xfId="0" applyFill="1" applyBorder="1" applyAlignment="1">
      <alignment horizontal="left"/>
    </xf>
    <xf numFmtId="0" fontId="49" fillId="14" borderId="72" xfId="0" applyFont="1" applyFill="1" applyBorder="1" applyAlignment="1">
      <alignment horizontal="left"/>
    </xf>
    <xf numFmtId="0" fontId="32" fillId="0" borderId="31" xfId="0" applyFont="1" applyBorder="1" applyAlignment="1">
      <alignment horizontal="center"/>
    </xf>
    <xf numFmtId="8" fontId="32" fillId="0" borderId="31" xfId="1" applyNumberFormat="1" applyFont="1" applyBorder="1" applyProtection="1">
      <protection locked="0"/>
    </xf>
    <xf numFmtId="0" fontId="3" fillId="3" borderId="2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4" fillId="5" borderId="9" xfId="0" applyFont="1" applyFill="1" applyBorder="1" applyAlignment="1" applyProtection="1">
      <alignment horizontal="left"/>
      <protection locked="0"/>
    </xf>
    <xf numFmtId="0" fontId="4" fillId="5" borderId="10" xfId="0" applyFont="1" applyFill="1" applyBorder="1" applyAlignment="1" applyProtection="1">
      <alignment horizontal="left"/>
      <protection locked="0"/>
    </xf>
    <xf numFmtId="0" fontId="7" fillId="4" borderId="14" xfId="0" applyFont="1" applyFill="1" applyBorder="1" applyAlignment="1">
      <alignment horizontal="right"/>
    </xf>
    <xf numFmtId="0" fontId="7" fillId="4" borderId="15" xfId="0" applyFont="1" applyFill="1" applyBorder="1" applyAlignment="1">
      <alignment horizontal="right"/>
    </xf>
    <xf numFmtId="0" fontId="6" fillId="5" borderId="14" xfId="0" applyFont="1" applyFill="1" applyBorder="1" applyAlignment="1" applyProtection="1">
      <alignment horizontal="left"/>
      <protection locked="0"/>
    </xf>
    <xf numFmtId="0" fontId="6" fillId="5" borderId="15" xfId="0" applyFont="1" applyFill="1" applyBorder="1" applyAlignment="1" applyProtection="1">
      <alignment horizontal="left"/>
      <protection locked="0"/>
    </xf>
    <xf numFmtId="0" fontId="7" fillId="4" borderId="16" xfId="0" applyFont="1" applyFill="1" applyBorder="1" applyAlignment="1">
      <alignment horizontal="right"/>
    </xf>
    <xf numFmtId="0" fontId="7" fillId="6" borderId="14" xfId="0" applyFont="1" applyFill="1" applyBorder="1" applyAlignment="1">
      <alignment horizontal="center"/>
    </xf>
    <xf numFmtId="0" fontId="7" fillId="6" borderId="16" xfId="0" applyFont="1" applyFill="1" applyBorder="1" applyAlignment="1">
      <alignment horizontal="center"/>
    </xf>
    <xf numFmtId="0" fontId="7" fillId="6" borderId="15" xfId="0" applyFont="1" applyFill="1" applyBorder="1" applyAlignment="1">
      <alignment horizontal="center"/>
    </xf>
    <xf numFmtId="165" fontId="8" fillId="0" borderId="16" xfId="0" applyNumberFormat="1" applyFont="1" applyBorder="1" applyAlignment="1">
      <alignment horizontal="center"/>
    </xf>
    <xf numFmtId="165" fontId="8" fillId="0" borderId="15" xfId="0" applyNumberFormat="1" applyFont="1" applyBorder="1" applyAlignment="1">
      <alignment horizontal="center"/>
    </xf>
    <xf numFmtId="0" fontId="4" fillId="6" borderId="14" xfId="0" applyFont="1" applyFill="1" applyBorder="1" applyAlignment="1">
      <alignment horizontal="center"/>
    </xf>
    <xf numFmtId="0" fontId="4" fillId="6" borderId="15" xfId="0" applyFont="1" applyFill="1" applyBorder="1" applyAlignment="1">
      <alignment horizontal="center"/>
    </xf>
    <xf numFmtId="0" fontId="4" fillId="5" borderId="14" xfId="0" applyFont="1" applyFill="1" applyBorder="1" applyAlignment="1" applyProtection="1">
      <alignment horizontal="left"/>
      <protection locked="0"/>
    </xf>
    <xf numFmtId="0" fontId="4" fillId="5" borderId="15" xfId="0" applyFont="1" applyFill="1" applyBorder="1" applyAlignment="1" applyProtection="1">
      <alignment horizontal="left"/>
      <protection locked="0"/>
    </xf>
    <xf numFmtId="0" fontId="7" fillId="4" borderId="9" xfId="0" applyFont="1" applyFill="1" applyBorder="1" applyAlignment="1">
      <alignment horizontal="right"/>
    </xf>
    <xf numFmtId="0" fontId="7" fillId="4" borderId="10" xfId="0" applyFont="1" applyFill="1" applyBorder="1" applyAlignment="1">
      <alignment horizontal="right"/>
    </xf>
    <xf numFmtId="0" fontId="6" fillId="5" borderId="9" xfId="0" applyFont="1" applyFill="1" applyBorder="1" applyAlignment="1" applyProtection="1">
      <alignment horizontal="left"/>
      <protection locked="0"/>
    </xf>
    <xf numFmtId="0" fontId="6" fillId="5" borderId="10" xfId="0" applyFont="1" applyFill="1" applyBorder="1" applyAlignment="1" applyProtection="1">
      <alignment horizontal="left"/>
      <protection locked="0"/>
    </xf>
    <xf numFmtId="0" fontId="7" fillId="4" borderId="11" xfId="0" applyFont="1" applyFill="1" applyBorder="1" applyAlignment="1">
      <alignment horizontal="right"/>
    </xf>
    <xf numFmtId="0" fontId="7" fillId="6" borderId="9" xfId="0" applyFont="1" applyFill="1" applyBorder="1" applyAlignment="1">
      <alignment horizontal="center"/>
    </xf>
    <xf numFmtId="0" fontId="7" fillId="6" borderId="11" xfId="0" applyFont="1" applyFill="1" applyBorder="1" applyAlignment="1">
      <alignment horizontal="center"/>
    </xf>
    <xf numFmtId="0" fontId="7" fillId="6" borderId="10" xfId="0" applyFont="1" applyFill="1" applyBorder="1" applyAlignment="1">
      <alignment horizontal="center"/>
    </xf>
    <xf numFmtId="165" fontId="8" fillId="0" borderId="11" xfId="0" applyNumberFormat="1" applyFont="1" applyBorder="1" applyAlignment="1">
      <alignment horizontal="center"/>
    </xf>
    <xf numFmtId="165" fontId="8" fillId="0" borderId="10" xfId="0" applyNumberFormat="1" applyFont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7" fillId="6" borderId="18" xfId="0" applyFont="1" applyFill="1" applyBorder="1" applyAlignment="1">
      <alignment horizontal="center"/>
    </xf>
    <xf numFmtId="0" fontId="7" fillId="6" borderId="19" xfId="0" applyFont="1" applyFill="1" applyBorder="1" applyAlignment="1">
      <alignment horizontal="center"/>
    </xf>
    <xf numFmtId="0" fontId="7" fillId="6" borderId="20" xfId="0" applyFont="1" applyFill="1" applyBorder="1" applyAlignment="1">
      <alignment horizontal="center"/>
    </xf>
    <xf numFmtId="9" fontId="8" fillId="0" borderId="19" xfId="2" applyFont="1" applyFill="1" applyBorder="1" applyAlignment="1" applyProtection="1">
      <alignment horizontal="center"/>
    </xf>
    <xf numFmtId="9" fontId="8" fillId="0" borderId="20" xfId="2" applyFont="1" applyFill="1" applyBorder="1" applyAlignment="1" applyProtection="1">
      <alignment horizontal="center"/>
    </xf>
    <xf numFmtId="0" fontId="7" fillId="6" borderId="14" xfId="0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165" fontId="4" fillId="0" borderId="16" xfId="0" applyNumberFormat="1" applyFont="1" applyBorder="1" applyAlignment="1">
      <alignment horizontal="center"/>
    </xf>
    <xf numFmtId="165" fontId="4" fillId="0" borderId="15" xfId="0" applyNumberFormat="1" applyFont="1" applyBorder="1" applyAlignment="1">
      <alignment horizontal="center"/>
    </xf>
    <xf numFmtId="0" fontId="4" fillId="6" borderId="24" xfId="0" applyFont="1" applyFill="1" applyBorder="1" applyAlignment="1">
      <alignment horizontal="center"/>
    </xf>
    <xf numFmtId="0" fontId="4" fillId="6" borderId="25" xfId="0" applyFont="1" applyFill="1" applyBorder="1" applyAlignment="1">
      <alignment horizontal="center"/>
    </xf>
    <xf numFmtId="0" fontId="4" fillId="5" borderId="24" xfId="0" applyFont="1" applyFill="1" applyBorder="1" applyAlignment="1" applyProtection="1">
      <alignment horizontal="left"/>
      <protection locked="0"/>
    </xf>
    <xf numFmtId="0" fontId="4" fillId="5" borderId="25" xfId="0" applyFont="1" applyFill="1" applyBorder="1" applyAlignment="1" applyProtection="1">
      <alignment horizontal="left"/>
      <protection locked="0"/>
    </xf>
    <xf numFmtId="0" fontId="7" fillId="6" borderId="21" xfId="0" applyFont="1" applyFill="1" applyBorder="1" applyAlignment="1">
      <alignment horizontal="center" vertical="center"/>
    </xf>
    <xf numFmtId="0" fontId="7" fillId="6" borderId="22" xfId="0" applyFont="1" applyFill="1" applyBorder="1" applyAlignment="1">
      <alignment horizontal="center" vertical="center"/>
    </xf>
    <xf numFmtId="0" fontId="7" fillId="6" borderId="23" xfId="0" applyFont="1" applyFill="1" applyBorder="1" applyAlignment="1">
      <alignment horizontal="center" vertical="center"/>
    </xf>
    <xf numFmtId="165" fontId="7" fillId="0" borderId="22" xfId="0" applyNumberFormat="1" applyFont="1" applyBorder="1" applyAlignment="1">
      <alignment horizontal="center" vertical="center"/>
    </xf>
    <xf numFmtId="165" fontId="7" fillId="0" borderId="23" xfId="0" applyNumberFormat="1" applyFont="1" applyBorder="1" applyAlignment="1">
      <alignment horizontal="center" vertical="center"/>
    </xf>
    <xf numFmtId="0" fontId="4" fillId="6" borderId="16" xfId="0" applyFont="1" applyFill="1" applyBorder="1" applyAlignment="1">
      <alignment horizontal="center"/>
    </xf>
    <xf numFmtId="3" fontId="4" fillId="0" borderId="16" xfId="0" applyNumberFormat="1" applyFont="1" applyBorder="1" applyAlignment="1">
      <alignment horizontal="center"/>
    </xf>
    <xf numFmtId="3" fontId="4" fillId="0" borderId="15" xfId="0" applyNumberFormat="1" applyFont="1" applyBorder="1" applyAlignment="1">
      <alignment horizontal="center"/>
    </xf>
    <xf numFmtId="165" fontId="7" fillId="0" borderId="16" xfId="0" applyNumberFormat="1" applyFont="1" applyBorder="1" applyAlignment="1">
      <alignment horizontal="center" vertical="center"/>
    </xf>
    <xf numFmtId="165" fontId="7" fillId="0" borderId="15" xfId="0" applyNumberFormat="1" applyFont="1" applyBorder="1" applyAlignment="1">
      <alignment horizontal="center" vertical="center"/>
    </xf>
    <xf numFmtId="165" fontId="4" fillId="10" borderId="29" xfId="0" applyNumberFormat="1" applyFont="1" applyFill="1" applyBorder="1" applyAlignment="1">
      <alignment horizontal="center" vertical="center"/>
    </xf>
    <xf numFmtId="165" fontId="4" fillId="10" borderId="31" xfId="0" applyNumberFormat="1" applyFont="1" applyFill="1" applyBorder="1" applyAlignment="1">
      <alignment horizontal="center" vertical="center"/>
    </xf>
    <xf numFmtId="9" fontId="13" fillId="0" borderId="29" xfId="2" applyFont="1" applyBorder="1" applyAlignment="1" applyProtection="1">
      <alignment horizontal="center" vertical="center"/>
    </xf>
    <xf numFmtId="9" fontId="13" fillId="0" borderId="31" xfId="2" applyFont="1" applyBorder="1" applyAlignment="1" applyProtection="1">
      <alignment horizontal="center" vertical="center"/>
    </xf>
    <xf numFmtId="0" fontId="2" fillId="5" borderId="30" xfId="0" applyFont="1" applyFill="1" applyBorder="1" applyAlignment="1" applyProtection="1">
      <alignment horizontal="center"/>
      <protection locked="0"/>
    </xf>
    <xf numFmtId="0" fontId="2" fillId="5" borderId="32" xfId="0" applyFont="1" applyFill="1" applyBorder="1" applyAlignment="1" applyProtection="1">
      <alignment horizontal="center"/>
      <protection locked="0"/>
    </xf>
    <xf numFmtId="0" fontId="15" fillId="11" borderId="35" xfId="0" applyFont="1" applyFill="1" applyBorder="1" applyAlignment="1">
      <alignment horizontal="center" vertical="center"/>
    </xf>
    <xf numFmtId="0" fontId="15" fillId="11" borderId="26" xfId="0" applyFont="1" applyFill="1" applyBorder="1" applyAlignment="1">
      <alignment horizontal="center" vertical="center"/>
    </xf>
    <xf numFmtId="0" fontId="15" fillId="11" borderId="36" xfId="0" applyFont="1" applyFill="1" applyBorder="1" applyAlignment="1">
      <alignment horizontal="center" vertical="center"/>
    </xf>
    <xf numFmtId="0" fontId="15" fillId="11" borderId="30" xfId="0" applyFont="1" applyFill="1" applyBorder="1" applyAlignment="1">
      <alignment horizontal="center" vertical="center"/>
    </xf>
    <xf numFmtId="0" fontId="15" fillId="11" borderId="0" xfId="0" applyFont="1" applyFill="1" applyAlignment="1">
      <alignment horizontal="center" vertical="center"/>
    </xf>
    <xf numFmtId="0" fontId="15" fillId="11" borderId="40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right" vertical="center"/>
    </xf>
    <xf numFmtId="0" fontId="18" fillId="4" borderId="5" xfId="0" applyFont="1" applyFill="1" applyBorder="1" applyAlignment="1">
      <alignment horizontal="right" vertical="center"/>
    </xf>
    <xf numFmtId="0" fontId="15" fillId="11" borderId="50" xfId="0" applyFont="1" applyFill="1" applyBorder="1" applyAlignment="1">
      <alignment horizontal="center" vertical="center"/>
    </xf>
    <xf numFmtId="0" fontId="15" fillId="11" borderId="11" xfId="0" applyFont="1" applyFill="1" applyBorder="1" applyAlignment="1">
      <alignment horizontal="center" vertical="center"/>
    </xf>
    <xf numFmtId="0" fontId="15" fillId="11" borderId="10" xfId="0" applyFont="1" applyFill="1" applyBorder="1" applyAlignment="1">
      <alignment horizontal="center" vertical="center"/>
    </xf>
    <xf numFmtId="0" fontId="3" fillId="11" borderId="51" xfId="0" applyFont="1" applyFill="1" applyBorder="1" applyAlignment="1">
      <alignment horizontal="center" vertical="center" wrapText="1"/>
    </xf>
    <xf numFmtId="0" fontId="3" fillId="11" borderId="52" xfId="0" applyFont="1" applyFill="1" applyBorder="1" applyAlignment="1">
      <alignment horizontal="center" vertical="center" wrapText="1"/>
    </xf>
    <xf numFmtId="0" fontId="3" fillId="11" borderId="45" xfId="0" applyFont="1" applyFill="1" applyBorder="1" applyAlignment="1">
      <alignment horizontal="center" vertical="center" wrapText="1"/>
    </xf>
    <xf numFmtId="0" fontId="3" fillId="11" borderId="46" xfId="0" applyFont="1" applyFill="1" applyBorder="1" applyAlignment="1">
      <alignment horizontal="center" vertical="center" wrapText="1"/>
    </xf>
    <xf numFmtId="9" fontId="5" fillId="5" borderId="6" xfId="2" applyFont="1" applyFill="1" applyBorder="1" applyAlignment="1" applyProtection="1">
      <alignment horizontal="center" vertical="center" wrapText="1"/>
      <protection locked="0"/>
    </xf>
    <xf numFmtId="9" fontId="5" fillId="5" borderId="7" xfId="2" applyFont="1" applyFill="1" applyBorder="1" applyAlignment="1" applyProtection="1">
      <alignment horizontal="center" vertical="center" wrapText="1"/>
      <protection locked="0"/>
    </xf>
    <xf numFmtId="9" fontId="5" fillId="5" borderId="53" xfId="2" applyFont="1" applyFill="1" applyBorder="1" applyAlignment="1" applyProtection="1">
      <alignment horizontal="center" vertical="center" wrapText="1"/>
      <protection locked="0"/>
    </xf>
    <xf numFmtId="9" fontId="5" fillId="5" borderId="55" xfId="2" applyFont="1" applyFill="1" applyBorder="1" applyAlignment="1" applyProtection="1">
      <alignment horizontal="center" vertical="center" wrapText="1"/>
      <protection locked="0"/>
    </xf>
    <xf numFmtId="9" fontId="5" fillId="5" borderId="0" xfId="2" applyFont="1" applyFill="1" applyBorder="1" applyAlignment="1" applyProtection="1">
      <alignment horizontal="center" vertical="center" wrapText="1"/>
      <protection locked="0"/>
    </xf>
    <xf numFmtId="9" fontId="5" fillId="5" borderId="44" xfId="2" applyFont="1" applyFill="1" applyBorder="1" applyAlignment="1" applyProtection="1">
      <alignment horizontal="center" vertical="center" wrapText="1"/>
      <protection locked="0"/>
    </xf>
    <xf numFmtId="0" fontId="19" fillId="5" borderId="14" xfId="0" applyFont="1" applyFill="1" applyBorder="1" applyAlignment="1" applyProtection="1">
      <alignment horizontal="center" vertical="center"/>
      <protection locked="0"/>
    </xf>
    <xf numFmtId="0" fontId="19" fillId="5" borderId="16" xfId="0" applyFont="1" applyFill="1" applyBorder="1" applyAlignment="1" applyProtection="1">
      <alignment horizontal="center" vertical="center"/>
      <protection locked="0"/>
    </xf>
    <xf numFmtId="0" fontId="19" fillId="5" borderId="15" xfId="0" applyFont="1" applyFill="1" applyBorder="1" applyAlignment="1" applyProtection="1">
      <alignment horizontal="center" vertical="center"/>
      <protection locked="0"/>
    </xf>
    <xf numFmtId="0" fontId="7" fillId="5" borderId="50" xfId="0" applyFont="1" applyFill="1" applyBorder="1" applyAlignment="1" applyProtection="1">
      <alignment horizontal="center" vertical="center" wrapText="1"/>
      <protection locked="0"/>
    </xf>
    <xf numFmtId="0" fontId="7" fillId="5" borderId="10" xfId="0" applyFont="1" applyFill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20" fillId="11" borderId="45" xfId="0" applyFont="1" applyFill="1" applyBorder="1" applyAlignment="1">
      <alignment horizontal="center" vertical="center"/>
    </xf>
    <xf numFmtId="0" fontId="20" fillId="11" borderId="42" xfId="0" applyFont="1" applyFill="1" applyBorder="1" applyAlignment="1">
      <alignment horizontal="center" vertical="center"/>
    </xf>
    <xf numFmtId="0" fontId="20" fillId="11" borderId="46" xfId="0" applyFont="1" applyFill="1" applyBorder="1" applyAlignment="1">
      <alignment horizontal="center" vertical="center"/>
    </xf>
    <xf numFmtId="0" fontId="12" fillId="11" borderId="56" xfId="0" applyFont="1" applyFill="1" applyBorder="1" applyAlignment="1">
      <alignment horizontal="center" vertical="center" wrapText="1"/>
    </xf>
    <xf numFmtId="0" fontId="12" fillId="11" borderId="33" xfId="0" applyFont="1" applyFill="1" applyBorder="1" applyAlignment="1">
      <alignment horizontal="center" vertical="center" wrapText="1"/>
    </xf>
    <xf numFmtId="0" fontId="12" fillId="11" borderId="57" xfId="0" applyFont="1" applyFill="1" applyBorder="1" applyAlignment="1">
      <alignment horizontal="center" vertical="center" wrapText="1"/>
    </xf>
    <xf numFmtId="0" fontId="12" fillId="11" borderId="34" xfId="0" applyFont="1" applyFill="1" applyBorder="1" applyAlignment="1">
      <alignment horizontal="center" vertical="center" wrapText="1"/>
    </xf>
    <xf numFmtId="0" fontId="20" fillId="11" borderId="58" xfId="0" applyFont="1" applyFill="1" applyBorder="1" applyAlignment="1">
      <alignment horizontal="center" vertical="center" wrapText="1"/>
    </xf>
    <xf numFmtId="0" fontId="20" fillId="11" borderId="64" xfId="0" applyFont="1" applyFill="1" applyBorder="1" applyAlignment="1">
      <alignment horizontal="center" vertical="center" wrapText="1"/>
    </xf>
    <xf numFmtId="0" fontId="12" fillId="11" borderId="59" xfId="0" applyFont="1" applyFill="1" applyBorder="1" applyAlignment="1">
      <alignment horizontal="center" vertical="center" wrapText="1"/>
    </xf>
    <xf numFmtId="0" fontId="12" fillId="11" borderId="62" xfId="0" applyFont="1" applyFill="1" applyBorder="1" applyAlignment="1">
      <alignment horizontal="center" vertical="center" wrapText="1"/>
    </xf>
    <xf numFmtId="0" fontId="12" fillId="11" borderId="60" xfId="0" applyFont="1" applyFill="1" applyBorder="1" applyAlignment="1">
      <alignment horizontal="center" vertical="center" wrapText="1"/>
    </xf>
    <xf numFmtId="0" fontId="12" fillId="11" borderId="61" xfId="0" applyFont="1" applyFill="1" applyBorder="1" applyAlignment="1">
      <alignment horizontal="center" vertical="center" wrapText="1"/>
    </xf>
    <xf numFmtId="0" fontId="12" fillId="11" borderId="64" xfId="0" applyFont="1" applyFill="1" applyBorder="1" applyAlignment="1">
      <alignment horizontal="center" vertical="center" wrapText="1"/>
    </xf>
    <xf numFmtId="0" fontId="22" fillId="11" borderId="44" xfId="0" applyFont="1" applyFill="1" applyBorder="1" applyAlignment="1">
      <alignment horizontal="center" vertical="center" wrapText="1"/>
    </xf>
    <xf numFmtId="0" fontId="22" fillId="11" borderId="43" xfId="0" applyFont="1" applyFill="1" applyBorder="1" applyAlignment="1">
      <alignment horizontal="center" vertical="center" wrapText="1"/>
    </xf>
    <xf numFmtId="0" fontId="12" fillId="11" borderId="63" xfId="0" applyFont="1" applyFill="1" applyBorder="1" applyAlignment="1">
      <alignment horizontal="center" vertical="center"/>
    </xf>
    <xf numFmtId="0" fontId="12" fillId="11" borderId="65" xfId="0" applyFont="1" applyFill="1" applyBorder="1" applyAlignment="1">
      <alignment horizontal="center" vertical="center"/>
    </xf>
    <xf numFmtId="0" fontId="14" fillId="9" borderId="33" xfId="0" applyFont="1" applyFill="1" applyBorder="1" applyAlignment="1">
      <alignment horizontal="center"/>
    </xf>
    <xf numFmtId="0" fontId="14" fillId="9" borderId="34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center"/>
    </xf>
    <xf numFmtId="0" fontId="14" fillId="9" borderId="2" xfId="0" applyFont="1" applyFill="1" applyBorder="1" applyAlignment="1">
      <alignment horizontal="center"/>
    </xf>
    <xf numFmtId="0" fontId="3" fillId="11" borderId="35" xfId="0" applyFont="1" applyFill="1" applyBorder="1" applyAlignment="1">
      <alignment horizontal="center" vertical="center" wrapText="1"/>
    </xf>
    <xf numFmtId="0" fontId="3" fillId="11" borderId="36" xfId="0" applyFont="1" applyFill="1" applyBorder="1" applyAlignment="1">
      <alignment horizontal="center" vertical="center" wrapText="1"/>
    </xf>
    <xf numFmtId="0" fontId="3" fillId="11" borderId="30" xfId="0" applyFont="1" applyFill="1" applyBorder="1" applyAlignment="1">
      <alignment horizontal="center" vertical="center" wrapText="1"/>
    </xf>
    <xf numFmtId="0" fontId="3" fillId="11" borderId="40" xfId="0" applyFont="1" applyFill="1" applyBorder="1" applyAlignment="1">
      <alignment horizontal="center" vertical="center" wrapText="1"/>
    </xf>
    <xf numFmtId="0" fontId="15" fillId="11" borderId="37" xfId="0" applyFont="1" applyFill="1" applyBorder="1" applyAlignment="1">
      <alignment horizontal="center" vertical="center"/>
    </xf>
    <xf numFmtId="0" fontId="15" fillId="11" borderId="38" xfId="0" applyFont="1" applyFill="1" applyBorder="1" applyAlignment="1">
      <alignment horizontal="center" vertical="center"/>
    </xf>
    <xf numFmtId="0" fontId="15" fillId="11" borderId="41" xfId="0" applyFont="1" applyFill="1" applyBorder="1" applyAlignment="1">
      <alignment horizontal="center" vertical="center"/>
    </xf>
    <xf numFmtId="0" fontId="15" fillId="11" borderId="42" xfId="0" applyFont="1" applyFill="1" applyBorder="1" applyAlignment="1">
      <alignment horizontal="center" vertical="center"/>
    </xf>
    <xf numFmtId="0" fontId="15" fillId="11" borderId="43" xfId="0" applyFont="1" applyFill="1" applyBorder="1" applyAlignment="1">
      <alignment horizontal="center" vertical="center"/>
    </xf>
    <xf numFmtId="0" fontId="17" fillId="11" borderId="35" xfId="0" applyFont="1" applyFill="1" applyBorder="1" applyAlignment="1">
      <alignment horizontal="center" vertical="center" wrapText="1"/>
    </xf>
    <xf numFmtId="0" fontId="17" fillId="11" borderId="26" xfId="0" applyFont="1" applyFill="1" applyBorder="1" applyAlignment="1">
      <alignment horizontal="center" vertical="center" wrapText="1"/>
    </xf>
    <xf numFmtId="0" fontId="17" fillId="11" borderId="38" xfId="0" applyFont="1" applyFill="1" applyBorder="1" applyAlignment="1">
      <alignment horizontal="center" vertical="center" wrapText="1"/>
    </xf>
    <xf numFmtId="0" fontId="17" fillId="11" borderId="30" xfId="0" applyFont="1" applyFill="1" applyBorder="1" applyAlignment="1">
      <alignment horizontal="center" vertical="center" wrapText="1"/>
    </xf>
    <xf numFmtId="0" fontId="17" fillId="11" borderId="0" xfId="0" applyFont="1" applyFill="1" applyAlignment="1">
      <alignment horizontal="center" vertical="center" wrapText="1"/>
    </xf>
    <xf numFmtId="0" fontId="17" fillId="11" borderId="44" xfId="0" applyFont="1" applyFill="1" applyBorder="1" applyAlignment="1">
      <alignment horizontal="center" vertical="center" wrapText="1"/>
    </xf>
    <xf numFmtId="0" fontId="17" fillId="11" borderId="45" xfId="0" applyFont="1" applyFill="1" applyBorder="1" applyAlignment="1">
      <alignment horizontal="center" vertical="center" wrapText="1"/>
    </xf>
    <xf numFmtId="0" fontId="17" fillId="11" borderId="42" xfId="0" applyFont="1" applyFill="1" applyBorder="1" applyAlignment="1">
      <alignment horizontal="center" vertical="center" wrapText="1"/>
    </xf>
    <xf numFmtId="0" fontId="17" fillId="11" borderId="43" xfId="0" applyFont="1" applyFill="1" applyBorder="1" applyAlignment="1">
      <alignment horizontal="center" vertical="center" wrapText="1"/>
    </xf>
    <xf numFmtId="0" fontId="29" fillId="3" borderId="2" xfId="0" applyFont="1" applyFill="1" applyBorder="1" applyAlignment="1">
      <alignment horizontal="center"/>
    </xf>
    <xf numFmtId="0" fontId="29" fillId="3" borderId="4" xfId="0" applyFont="1" applyFill="1" applyBorder="1" applyAlignment="1">
      <alignment horizontal="center"/>
    </xf>
    <xf numFmtId="0" fontId="29" fillId="3" borderId="5" xfId="0" applyFont="1" applyFill="1" applyBorder="1" applyAlignment="1">
      <alignment horizontal="center"/>
    </xf>
    <xf numFmtId="0" fontId="29" fillId="3" borderId="1" xfId="0" applyFont="1" applyFill="1" applyBorder="1" applyAlignment="1">
      <alignment horizontal="center"/>
    </xf>
    <xf numFmtId="0" fontId="29" fillId="3" borderId="3" xfId="0" applyFont="1" applyFill="1" applyBorder="1" applyAlignment="1">
      <alignment horizontal="center"/>
    </xf>
    <xf numFmtId="0" fontId="29" fillId="3" borderId="6" xfId="0" applyFont="1" applyFill="1" applyBorder="1" applyAlignment="1">
      <alignment horizontal="center"/>
    </xf>
    <xf numFmtId="0" fontId="29" fillId="3" borderId="7" xfId="0" applyFont="1" applyFill="1" applyBorder="1" applyAlignment="1">
      <alignment horizontal="center"/>
    </xf>
    <xf numFmtId="0" fontId="30" fillId="5" borderId="9" xfId="0" applyFont="1" applyFill="1" applyBorder="1" applyAlignment="1" applyProtection="1">
      <alignment horizontal="left"/>
      <protection locked="0"/>
    </xf>
    <xf numFmtId="0" fontId="30" fillId="5" borderId="10" xfId="0" applyFont="1" applyFill="1" applyBorder="1" applyAlignment="1" applyProtection="1">
      <alignment horizontal="left"/>
      <protection locked="0"/>
    </xf>
    <xf numFmtId="0" fontId="33" fillId="4" borderId="14" xfId="0" applyFont="1" applyFill="1" applyBorder="1" applyAlignment="1">
      <alignment horizontal="right"/>
    </xf>
    <xf numFmtId="0" fontId="33" fillId="4" borderId="15" xfId="0" applyFont="1" applyFill="1" applyBorder="1" applyAlignment="1">
      <alignment horizontal="right"/>
    </xf>
    <xf numFmtId="0" fontId="32" fillId="5" borderId="14" xfId="0" applyFont="1" applyFill="1" applyBorder="1" applyAlignment="1" applyProtection="1">
      <alignment horizontal="left"/>
      <protection locked="0"/>
    </xf>
    <xf numFmtId="0" fontId="32" fillId="5" borderId="15" xfId="0" applyFont="1" applyFill="1" applyBorder="1" applyAlignment="1" applyProtection="1">
      <alignment horizontal="left"/>
      <protection locked="0"/>
    </xf>
    <xf numFmtId="0" fontId="33" fillId="4" borderId="16" xfId="0" applyFont="1" applyFill="1" applyBorder="1" applyAlignment="1">
      <alignment horizontal="right"/>
    </xf>
    <xf numFmtId="0" fontId="33" fillId="6" borderId="14" xfId="0" applyFont="1" applyFill="1" applyBorder="1" applyAlignment="1">
      <alignment horizontal="center"/>
    </xf>
    <xf numFmtId="0" fontId="33" fillId="6" borderId="16" xfId="0" applyFont="1" applyFill="1" applyBorder="1" applyAlignment="1">
      <alignment horizontal="center"/>
    </xf>
    <xf numFmtId="0" fontId="33" fillId="6" borderId="15" xfId="0" applyFont="1" applyFill="1" applyBorder="1" applyAlignment="1">
      <alignment horizontal="center"/>
    </xf>
    <xf numFmtId="165" fontId="34" fillId="0" borderId="16" xfId="0" applyNumberFormat="1" applyFont="1" applyBorder="1" applyAlignment="1">
      <alignment horizontal="center"/>
    </xf>
    <xf numFmtId="165" fontId="34" fillId="0" borderId="15" xfId="0" applyNumberFormat="1" applyFont="1" applyBorder="1" applyAlignment="1">
      <alignment horizontal="center"/>
    </xf>
    <xf numFmtId="0" fontId="30" fillId="6" borderId="14" xfId="0" applyFont="1" applyFill="1" applyBorder="1" applyAlignment="1">
      <alignment horizontal="center"/>
    </xf>
    <xf numFmtId="0" fontId="30" fillId="6" borderId="15" xfId="0" applyFont="1" applyFill="1" applyBorder="1" applyAlignment="1">
      <alignment horizontal="center"/>
    </xf>
    <xf numFmtId="0" fontId="30" fillId="5" borderId="14" xfId="0" applyFont="1" applyFill="1" applyBorder="1" applyAlignment="1" applyProtection="1">
      <alignment horizontal="left"/>
      <protection locked="0"/>
    </xf>
    <xf numFmtId="0" fontId="30" fillId="5" borderId="15" xfId="0" applyFont="1" applyFill="1" applyBorder="1" applyAlignment="1" applyProtection="1">
      <alignment horizontal="left"/>
      <protection locked="0"/>
    </xf>
    <xf numFmtId="0" fontId="33" fillId="4" borderId="9" xfId="0" applyFont="1" applyFill="1" applyBorder="1" applyAlignment="1">
      <alignment horizontal="right"/>
    </xf>
    <xf numFmtId="0" fontId="33" fillId="4" borderId="10" xfId="0" applyFont="1" applyFill="1" applyBorder="1" applyAlignment="1">
      <alignment horizontal="right"/>
    </xf>
    <xf numFmtId="0" fontId="32" fillId="5" borderId="9" xfId="0" applyFont="1" applyFill="1" applyBorder="1" applyAlignment="1" applyProtection="1">
      <alignment horizontal="left"/>
      <protection locked="0"/>
    </xf>
    <xf numFmtId="0" fontId="32" fillId="5" borderId="10" xfId="0" applyFont="1" applyFill="1" applyBorder="1" applyAlignment="1" applyProtection="1">
      <alignment horizontal="left"/>
      <protection locked="0"/>
    </xf>
    <xf numFmtId="0" fontId="33" fillId="4" borderId="11" xfId="0" applyFont="1" applyFill="1" applyBorder="1" applyAlignment="1">
      <alignment horizontal="right"/>
    </xf>
    <xf numFmtId="0" fontId="33" fillId="6" borderId="9" xfId="0" applyFont="1" applyFill="1" applyBorder="1" applyAlignment="1">
      <alignment horizontal="center"/>
    </xf>
    <xf numFmtId="0" fontId="33" fillId="6" borderId="11" xfId="0" applyFont="1" applyFill="1" applyBorder="1" applyAlignment="1">
      <alignment horizontal="center"/>
    </xf>
    <xf numFmtId="0" fontId="33" fillId="6" borderId="10" xfId="0" applyFont="1" applyFill="1" applyBorder="1" applyAlignment="1">
      <alignment horizontal="center"/>
    </xf>
    <xf numFmtId="165" fontId="34" fillId="0" borderId="11" xfId="0" applyNumberFormat="1" applyFont="1" applyBorder="1" applyAlignment="1">
      <alignment horizontal="center"/>
    </xf>
    <xf numFmtId="165" fontId="34" fillId="0" borderId="10" xfId="0" applyNumberFormat="1" applyFont="1" applyBorder="1" applyAlignment="1">
      <alignment horizontal="center"/>
    </xf>
    <xf numFmtId="0" fontId="30" fillId="6" borderId="9" xfId="0" applyFont="1" applyFill="1" applyBorder="1" applyAlignment="1">
      <alignment horizontal="center"/>
    </xf>
    <xf numFmtId="0" fontId="30" fillId="6" borderId="10" xfId="0" applyFont="1" applyFill="1" applyBorder="1" applyAlignment="1">
      <alignment horizontal="center"/>
    </xf>
    <xf numFmtId="0" fontId="33" fillId="6" borderId="18" xfId="0" applyFont="1" applyFill="1" applyBorder="1" applyAlignment="1">
      <alignment horizontal="center"/>
    </xf>
    <xf numFmtId="0" fontId="33" fillId="6" borderId="19" xfId="0" applyFont="1" applyFill="1" applyBorder="1" applyAlignment="1">
      <alignment horizontal="center"/>
    </xf>
    <xf numFmtId="0" fontId="33" fillId="6" borderId="20" xfId="0" applyFont="1" applyFill="1" applyBorder="1" applyAlignment="1">
      <alignment horizontal="center"/>
    </xf>
    <xf numFmtId="9" fontId="34" fillId="0" borderId="19" xfId="2" applyFont="1" applyBorder="1" applyAlignment="1">
      <alignment horizontal="center"/>
    </xf>
    <xf numFmtId="9" fontId="34" fillId="0" borderId="20" xfId="2" applyFont="1" applyBorder="1" applyAlignment="1">
      <alignment horizontal="center"/>
    </xf>
    <xf numFmtId="0" fontId="26" fillId="5" borderId="17" xfId="0" applyFont="1" applyFill="1" applyBorder="1" applyAlignment="1" applyProtection="1">
      <alignment horizontal="left"/>
      <protection locked="0"/>
    </xf>
    <xf numFmtId="0" fontId="33" fillId="6" borderId="14" xfId="0" applyFont="1" applyFill="1" applyBorder="1" applyAlignment="1">
      <alignment horizontal="center" vertical="center"/>
    </xf>
    <xf numFmtId="0" fontId="33" fillId="6" borderId="16" xfId="0" applyFont="1" applyFill="1" applyBorder="1" applyAlignment="1">
      <alignment horizontal="center" vertical="center"/>
    </xf>
    <xf numFmtId="0" fontId="33" fillId="6" borderId="15" xfId="0" applyFont="1" applyFill="1" applyBorder="1" applyAlignment="1">
      <alignment horizontal="center" vertical="center"/>
    </xf>
    <xf numFmtId="165" fontId="30" fillId="0" borderId="16" xfId="0" applyNumberFormat="1" applyFont="1" applyBorder="1" applyAlignment="1">
      <alignment horizontal="center"/>
    </xf>
    <xf numFmtId="165" fontId="30" fillId="0" borderId="15" xfId="0" applyNumberFormat="1" applyFont="1" applyBorder="1" applyAlignment="1">
      <alignment horizontal="center"/>
    </xf>
    <xf numFmtId="0" fontId="30" fillId="6" borderId="24" xfId="0" applyFont="1" applyFill="1" applyBorder="1" applyAlignment="1">
      <alignment horizontal="center"/>
    </xf>
    <xf numFmtId="0" fontId="30" fillId="6" borderId="25" xfId="0" applyFont="1" applyFill="1" applyBorder="1" applyAlignment="1">
      <alignment horizontal="center"/>
    </xf>
    <xf numFmtId="0" fontId="30" fillId="5" borderId="24" xfId="0" applyFont="1" applyFill="1" applyBorder="1" applyAlignment="1" applyProtection="1">
      <alignment horizontal="left"/>
      <protection locked="0"/>
    </xf>
    <xf numFmtId="0" fontId="30" fillId="5" borderId="25" xfId="0" applyFont="1" applyFill="1" applyBorder="1" applyAlignment="1" applyProtection="1">
      <alignment horizontal="left"/>
      <protection locked="0"/>
    </xf>
    <xf numFmtId="0" fontId="26" fillId="5" borderId="69" xfId="0" applyFont="1" applyFill="1" applyBorder="1" applyAlignment="1" applyProtection="1">
      <alignment horizontal="left"/>
      <protection locked="0"/>
    </xf>
    <xf numFmtId="0" fontId="33" fillId="6" borderId="21" xfId="0" applyFont="1" applyFill="1" applyBorder="1" applyAlignment="1">
      <alignment horizontal="center" vertical="center"/>
    </xf>
    <xf numFmtId="0" fontId="33" fillId="6" borderId="22" xfId="0" applyFont="1" applyFill="1" applyBorder="1" applyAlignment="1">
      <alignment horizontal="center" vertical="center"/>
    </xf>
    <xf numFmtId="0" fontId="33" fillId="6" borderId="23" xfId="0" applyFont="1" applyFill="1" applyBorder="1" applyAlignment="1">
      <alignment horizontal="center" vertical="center"/>
    </xf>
    <xf numFmtId="165" fontId="33" fillId="0" borderId="22" xfId="0" applyNumberFormat="1" applyFont="1" applyBorder="1" applyAlignment="1">
      <alignment horizontal="center" vertical="center"/>
    </xf>
    <xf numFmtId="165" fontId="33" fillId="0" borderId="23" xfId="0" applyNumberFormat="1" applyFont="1" applyBorder="1" applyAlignment="1">
      <alignment horizontal="center" vertical="center"/>
    </xf>
    <xf numFmtId="0" fontId="30" fillId="6" borderId="16" xfId="0" applyFont="1" applyFill="1" applyBorder="1" applyAlignment="1">
      <alignment horizontal="center"/>
    </xf>
    <xf numFmtId="3" fontId="30" fillId="0" borderId="16" xfId="0" applyNumberFormat="1" applyFont="1" applyBorder="1" applyAlignment="1">
      <alignment horizontal="center"/>
    </xf>
    <xf numFmtId="3" fontId="30" fillId="0" borderId="15" xfId="0" applyNumberFormat="1" applyFont="1" applyBorder="1" applyAlignment="1">
      <alignment horizontal="center"/>
    </xf>
    <xf numFmtId="165" fontId="33" fillId="0" borderId="16" xfId="0" applyNumberFormat="1" applyFont="1" applyBorder="1" applyAlignment="1">
      <alignment horizontal="center" vertical="center"/>
    </xf>
    <xf numFmtId="165" fontId="33" fillId="0" borderId="15" xfId="0" applyNumberFormat="1" applyFont="1" applyBorder="1" applyAlignment="1">
      <alignment horizontal="center" vertical="center"/>
    </xf>
    <xf numFmtId="165" fontId="30" fillId="10" borderId="29" xfId="0" applyNumberFormat="1" applyFont="1" applyFill="1" applyBorder="1" applyAlignment="1">
      <alignment horizontal="center" vertical="center"/>
    </xf>
    <xf numFmtId="165" fontId="30" fillId="10" borderId="31" xfId="0" applyNumberFormat="1" applyFont="1" applyFill="1" applyBorder="1" applyAlignment="1">
      <alignment horizontal="center" vertical="center"/>
    </xf>
    <xf numFmtId="9" fontId="37" fillId="0" borderId="29" xfId="2" applyFont="1" applyBorder="1" applyAlignment="1">
      <alignment horizontal="center" vertical="center"/>
    </xf>
    <xf numFmtId="9" fontId="37" fillId="0" borderId="31" xfId="2" applyFont="1" applyBorder="1" applyAlignment="1">
      <alignment horizontal="center" vertical="center"/>
    </xf>
    <xf numFmtId="0" fontId="28" fillId="5" borderId="30" xfId="0" applyFont="1" applyFill="1" applyBorder="1" applyAlignment="1" applyProtection="1">
      <alignment horizontal="center"/>
      <protection locked="0"/>
    </xf>
    <xf numFmtId="0" fontId="28" fillId="5" borderId="32" xfId="0" applyFont="1" applyFill="1" applyBorder="1" applyAlignment="1" applyProtection="1">
      <alignment horizontal="center"/>
      <protection locked="0"/>
    </xf>
    <xf numFmtId="0" fontId="39" fillId="11" borderId="35" xfId="0" applyFont="1" applyFill="1" applyBorder="1" applyAlignment="1">
      <alignment horizontal="center" vertical="center"/>
    </xf>
    <xf numFmtId="0" fontId="39" fillId="11" borderId="26" xfId="0" applyFont="1" applyFill="1" applyBorder="1" applyAlignment="1">
      <alignment horizontal="center" vertical="center"/>
    </xf>
    <xf numFmtId="0" fontId="39" fillId="11" borderId="36" xfId="0" applyFont="1" applyFill="1" applyBorder="1" applyAlignment="1">
      <alignment horizontal="center" vertical="center"/>
    </xf>
    <xf numFmtId="0" fontId="39" fillId="11" borderId="30" xfId="0" applyFont="1" applyFill="1" applyBorder="1" applyAlignment="1">
      <alignment horizontal="center" vertical="center"/>
    </xf>
    <xf numFmtId="0" fontId="39" fillId="11" borderId="0" xfId="0" applyFont="1" applyFill="1" applyAlignment="1">
      <alignment horizontal="center" vertical="center"/>
    </xf>
    <xf numFmtId="0" fontId="39" fillId="11" borderId="40" xfId="0" applyFont="1" applyFill="1" applyBorder="1" applyAlignment="1">
      <alignment horizontal="center" vertical="center"/>
    </xf>
    <xf numFmtId="0" fontId="42" fillId="4" borderId="2" xfId="0" applyFont="1" applyFill="1" applyBorder="1" applyAlignment="1">
      <alignment horizontal="right" vertical="center"/>
    </xf>
    <xf numFmtId="0" fontId="42" fillId="4" borderId="5" xfId="0" applyFont="1" applyFill="1" applyBorder="1" applyAlignment="1">
      <alignment horizontal="right" vertical="center"/>
    </xf>
    <xf numFmtId="0" fontId="39" fillId="11" borderId="50" xfId="0" applyFont="1" applyFill="1" applyBorder="1" applyAlignment="1">
      <alignment horizontal="center" vertical="center"/>
    </xf>
    <xf numFmtId="0" fontId="39" fillId="11" borderId="11" xfId="0" applyFont="1" applyFill="1" applyBorder="1" applyAlignment="1">
      <alignment horizontal="center" vertical="center"/>
    </xf>
    <xf numFmtId="0" fontId="39" fillId="11" borderId="10" xfId="0" applyFont="1" applyFill="1" applyBorder="1" applyAlignment="1">
      <alignment horizontal="center" vertical="center"/>
    </xf>
    <xf numFmtId="0" fontId="29" fillId="11" borderId="51" xfId="0" applyFont="1" applyFill="1" applyBorder="1" applyAlignment="1">
      <alignment horizontal="center" vertical="center" wrapText="1"/>
    </xf>
    <xf numFmtId="0" fontId="29" fillId="11" borderId="52" xfId="0" applyFont="1" applyFill="1" applyBorder="1" applyAlignment="1">
      <alignment horizontal="center" vertical="center" wrapText="1"/>
    </xf>
    <xf numFmtId="0" fontId="29" fillId="11" borderId="45" xfId="0" applyFont="1" applyFill="1" applyBorder="1" applyAlignment="1">
      <alignment horizontal="center" vertical="center" wrapText="1"/>
    </xf>
    <xf numFmtId="0" fontId="29" fillId="11" borderId="46" xfId="0" applyFont="1" applyFill="1" applyBorder="1" applyAlignment="1">
      <alignment horizontal="center" vertical="center" wrapText="1"/>
    </xf>
    <xf numFmtId="9" fontId="31" fillId="5" borderId="6" xfId="2" applyFont="1" applyFill="1" applyBorder="1" applyAlignment="1" applyProtection="1">
      <alignment horizontal="center" vertical="center" wrapText="1"/>
      <protection locked="0"/>
    </xf>
    <xf numFmtId="9" fontId="31" fillId="5" borderId="7" xfId="2" applyFont="1" applyFill="1" applyBorder="1" applyAlignment="1" applyProtection="1">
      <alignment horizontal="center" vertical="center" wrapText="1"/>
      <protection locked="0"/>
    </xf>
    <xf numFmtId="9" fontId="31" fillId="5" borderId="53" xfId="2" applyFont="1" applyFill="1" applyBorder="1" applyAlignment="1" applyProtection="1">
      <alignment horizontal="center" vertical="center" wrapText="1"/>
      <protection locked="0"/>
    </xf>
    <xf numFmtId="9" fontId="31" fillId="5" borderId="55" xfId="2" applyFont="1" applyFill="1" applyBorder="1" applyAlignment="1" applyProtection="1">
      <alignment horizontal="center" vertical="center" wrapText="1"/>
      <protection locked="0"/>
    </xf>
    <xf numFmtId="9" fontId="31" fillId="5" borderId="0" xfId="2" applyFont="1" applyFill="1" applyAlignment="1" applyProtection="1">
      <alignment horizontal="center" vertical="center" wrapText="1"/>
      <protection locked="0"/>
    </xf>
    <xf numFmtId="9" fontId="31" fillId="5" borderId="44" xfId="2" applyFont="1" applyFill="1" applyBorder="1" applyAlignment="1" applyProtection="1">
      <alignment horizontal="center" vertical="center" wrapText="1"/>
      <protection locked="0"/>
    </xf>
    <xf numFmtId="0" fontId="43" fillId="5" borderId="14" xfId="0" applyFont="1" applyFill="1" applyBorder="1" applyAlignment="1" applyProtection="1">
      <alignment horizontal="center" vertical="center"/>
      <protection locked="0"/>
    </xf>
    <xf numFmtId="0" fontId="43" fillId="5" borderId="16" xfId="0" applyFont="1" applyFill="1" applyBorder="1" applyAlignment="1" applyProtection="1">
      <alignment horizontal="center" vertical="center"/>
      <protection locked="0"/>
    </xf>
    <xf numFmtId="0" fontId="43" fillId="5" borderId="15" xfId="0" applyFont="1" applyFill="1" applyBorder="1" applyAlignment="1" applyProtection="1">
      <alignment horizontal="center" vertical="center"/>
      <protection locked="0"/>
    </xf>
    <xf numFmtId="0" fontId="33" fillId="5" borderId="50" xfId="0" applyFont="1" applyFill="1" applyBorder="1" applyAlignment="1" applyProtection="1">
      <alignment horizontal="center" vertical="center" wrapText="1"/>
      <protection locked="0"/>
    </xf>
    <xf numFmtId="0" fontId="33" fillId="5" borderId="10" xfId="0" applyFont="1" applyFill="1" applyBorder="1" applyAlignment="1" applyProtection="1">
      <alignment horizontal="center" vertical="center" wrapText="1"/>
      <protection locked="0"/>
    </xf>
    <xf numFmtId="0" fontId="33" fillId="0" borderId="9" xfId="0" applyFont="1" applyBorder="1" applyAlignment="1">
      <alignment horizontal="center" vertical="center" wrapText="1"/>
    </xf>
    <xf numFmtId="0" fontId="33" fillId="0" borderId="11" xfId="0" applyFont="1" applyBorder="1" applyAlignment="1">
      <alignment horizontal="center" vertical="center" wrapText="1"/>
    </xf>
    <xf numFmtId="0" fontId="33" fillId="0" borderId="10" xfId="0" applyFont="1" applyBorder="1" applyAlignment="1">
      <alignment horizontal="center" vertical="center" wrapText="1"/>
    </xf>
    <xf numFmtId="0" fontId="44" fillId="11" borderId="45" xfId="0" applyFont="1" applyFill="1" applyBorder="1" applyAlignment="1">
      <alignment horizontal="center" vertical="center"/>
    </xf>
    <xf numFmtId="0" fontId="44" fillId="11" borderId="42" xfId="0" applyFont="1" applyFill="1" applyBorder="1" applyAlignment="1">
      <alignment horizontal="center" vertical="center"/>
    </xf>
    <xf numFmtId="0" fontId="44" fillId="11" borderId="46" xfId="0" applyFont="1" applyFill="1" applyBorder="1" applyAlignment="1">
      <alignment horizontal="center" vertical="center"/>
    </xf>
    <xf numFmtId="0" fontId="36" fillId="11" borderId="56" xfId="0" applyFont="1" applyFill="1" applyBorder="1" applyAlignment="1">
      <alignment horizontal="center" vertical="center" wrapText="1"/>
    </xf>
    <xf numFmtId="0" fontId="36" fillId="11" borderId="33" xfId="0" applyFont="1" applyFill="1" applyBorder="1" applyAlignment="1">
      <alignment horizontal="center" vertical="center" wrapText="1"/>
    </xf>
    <xf numFmtId="0" fontId="36" fillId="11" borderId="57" xfId="0" applyFont="1" applyFill="1" applyBorder="1" applyAlignment="1">
      <alignment horizontal="center" vertical="center" wrapText="1"/>
    </xf>
    <xf numFmtId="0" fontId="36" fillId="11" borderId="34" xfId="0" applyFont="1" applyFill="1" applyBorder="1" applyAlignment="1">
      <alignment horizontal="center" vertical="center" wrapText="1"/>
    </xf>
    <xf numFmtId="0" fontId="44" fillId="11" borderId="58" xfId="0" applyFont="1" applyFill="1" applyBorder="1" applyAlignment="1">
      <alignment horizontal="center" vertical="center" wrapText="1"/>
    </xf>
    <xf numFmtId="0" fontId="44" fillId="11" borderId="64" xfId="0" applyFont="1" applyFill="1" applyBorder="1" applyAlignment="1">
      <alignment horizontal="center" vertical="center" wrapText="1"/>
    </xf>
    <xf numFmtId="0" fontId="36" fillId="11" borderId="59" xfId="0" applyFont="1" applyFill="1" applyBorder="1" applyAlignment="1">
      <alignment horizontal="center" vertical="center" wrapText="1"/>
    </xf>
    <xf numFmtId="0" fontId="36" fillId="11" borderId="62" xfId="0" applyFont="1" applyFill="1" applyBorder="1" applyAlignment="1">
      <alignment horizontal="center" vertical="center" wrapText="1"/>
    </xf>
    <xf numFmtId="0" fontId="36" fillId="11" borderId="60" xfId="0" applyFont="1" applyFill="1" applyBorder="1" applyAlignment="1">
      <alignment horizontal="center" vertical="center" wrapText="1"/>
    </xf>
    <xf numFmtId="0" fontId="36" fillId="11" borderId="61" xfId="0" applyFont="1" applyFill="1" applyBorder="1" applyAlignment="1">
      <alignment horizontal="center" vertical="center" wrapText="1"/>
    </xf>
    <xf numFmtId="0" fontId="36" fillId="11" borderId="64" xfId="0" applyFont="1" applyFill="1" applyBorder="1" applyAlignment="1">
      <alignment horizontal="center" vertical="center" wrapText="1"/>
    </xf>
    <xf numFmtId="0" fontId="46" fillId="11" borderId="44" xfId="0" applyFont="1" applyFill="1" applyBorder="1" applyAlignment="1">
      <alignment horizontal="center" vertical="center" wrapText="1"/>
    </xf>
    <xf numFmtId="0" fontId="46" fillId="11" borderId="43" xfId="0" applyFont="1" applyFill="1" applyBorder="1" applyAlignment="1">
      <alignment horizontal="center" vertical="center" wrapText="1"/>
    </xf>
    <xf numFmtId="0" fontId="36" fillId="11" borderId="63" xfId="0" applyFont="1" applyFill="1" applyBorder="1" applyAlignment="1">
      <alignment horizontal="center" vertical="center"/>
    </xf>
    <xf numFmtId="0" fontId="36" fillId="11" borderId="65" xfId="0" applyFont="1" applyFill="1" applyBorder="1" applyAlignment="1">
      <alignment horizontal="center" vertical="center"/>
    </xf>
    <xf numFmtId="0" fontId="38" fillId="9" borderId="33" xfId="0" applyFont="1" applyFill="1" applyBorder="1" applyAlignment="1">
      <alignment horizontal="center"/>
    </xf>
    <xf numFmtId="0" fontId="38" fillId="9" borderId="34" xfId="0" applyFont="1" applyFill="1" applyBorder="1" applyAlignment="1">
      <alignment horizontal="center"/>
    </xf>
    <xf numFmtId="0" fontId="38" fillId="9" borderId="1" xfId="0" applyFont="1" applyFill="1" applyBorder="1" applyAlignment="1">
      <alignment horizontal="center"/>
    </xf>
    <xf numFmtId="0" fontId="38" fillId="9" borderId="2" xfId="0" applyFont="1" applyFill="1" applyBorder="1" applyAlignment="1">
      <alignment horizontal="center"/>
    </xf>
    <xf numFmtId="0" fontId="29" fillId="11" borderId="35" xfId="0" applyFont="1" applyFill="1" applyBorder="1" applyAlignment="1">
      <alignment horizontal="center" vertical="center" wrapText="1"/>
    </xf>
    <xf numFmtId="0" fontId="29" fillId="11" borderId="36" xfId="0" applyFont="1" applyFill="1" applyBorder="1" applyAlignment="1">
      <alignment horizontal="center" vertical="center" wrapText="1"/>
    </xf>
    <xf numFmtId="0" fontId="29" fillId="11" borderId="30" xfId="0" applyFont="1" applyFill="1" applyBorder="1" applyAlignment="1">
      <alignment horizontal="center" vertical="center" wrapText="1"/>
    </xf>
    <xf numFmtId="0" fontId="29" fillId="11" borderId="40" xfId="0" applyFont="1" applyFill="1" applyBorder="1" applyAlignment="1">
      <alignment horizontal="center" vertical="center" wrapText="1"/>
    </xf>
    <xf numFmtId="0" fontId="39" fillId="11" borderId="37" xfId="0" applyFont="1" applyFill="1" applyBorder="1" applyAlignment="1">
      <alignment horizontal="center" vertical="center"/>
    </xf>
    <xf numFmtId="0" fontId="39" fillId="11" borderId="38" xfId="0" applyFont="1" applyFill="1" applyBorder="1" applyAlignment="1">
      <alignment horizontal="center" vertical="center"/>
    </xf>
    <xf numFmtId="0" fontId="39" fillId="11" borderId="41" xfId="0" applyFont="1" applyFill="1" applyBorder="1" applyAlignment="1">
      <alignment horizontal="center" vertical="center"/>
    </xf>
    <xf numFmtId="0" fontId="39" fillId="11" borderId="42" xfId="0" applyFont="1" applyFill="1" applyBorder="1" applyAlignment="1">
      <alignment horizontal="center" vertical="center"/>
    </xf>
    <xf numFmtId="0" fontId="39" fillId="11" borderId="43" xfId="0" applyFont="1" applyFill="1" applyBorder="1" applyAlignment="1">
      <alignment horizontal="center" vertical="center"/>
    </xf>
    <xf numFmtId="0" fontId="41" fillId="11" borderId="35" xfId="0" applyFont="1" applyFill="1" applyBorder="1" applyAlignment="1">
      <alignment horizontal="center" vertical="center" wrapText="1"/>
    </xf>
    <xf numFmtId="0" fontId="41" fillId="11" borderId="26" xfId="0" applyFont="1" applyFill="1" applyBorder="1" applyAlignment="1">
      <alignment horizontal="center" vertical="center" wrapText="1"/>
    </xf>
    <xf numFmtId="0" fontId="41" fillId="11" borderId="38" xfId="0" applyFont="1" applyFill="1" applyBorder="1" applyAlignment="1">
      <alignment horizontal="center" vertical="center" wrapText="1"/>
    </xf>
    <xf numFmtId="0" fontId="41" fillId="11" borderId="30" xfId="0" applyFont="1" applyFill="1" applyBorder="1" applyAlignment="1">
      <alignment horizontal="center" vertical="center" wrapText="1"/>
    </xf>
    <xf numFmtId="0" fontId="41" fillId="11" borderId="0" xfId="0" applyFont="1" applyFill="1" applyAlignment="1">
      <alignment horizontal="center" vertical="center" wrapText="1"/>
    </xf>
    <xf numFmtId="0" fontId="41" fillId="11" borderId="44" xfId="0" applyFont="1" applyFill="1" applyBorder="1" applyAlignment="1">
      <alignment horizontal="center" vertical="center" wrapText="1"/>
    </xf>
    <xf numFmtId="0" fontId="41" fillId="11" borderId="45" xfId="0" applyFont="1" applyFill="1" applyBorder="1" applyAlignment="1">
      <alignment horizontal="center" vertical="center" wrapText="1"/>
    </xf>
    <xf numFmtId="0" fontId="41" fillId="11" borderId="42" xfId="0" applyFont="1" applyFill="1" applyBorder="1" applyAlignment="1">
      <alignment horizontal="center" vertical="center" wrapText="1"/>
    </xf>
    <xf numFmtId="0" fontId="41" fillId="11" borderId="43" xfId="0" applyFont="1" applyFill="1" applyBorder="1" applyAlignment="1">
      <alignment horizontal="center" vertical="center" wrapText="1"/>
    </xf>
    <xf numFmtId="0" fontId="53" fillId="15" borderId="69" xfId="0" applyFont="1" applyFill="1" applyBorder="1" applyAlignment="1" applyProtection="1">
      <alignment horizontal="left"/>
      <protection locked="0"/>
    </xf>
    <xf numFmtId="0" fontId="26" fillId="15" borderId="69" xfId="0" applyFont="1" applyFill="1" applyBorder="1" applyAlignment="1" applyProtection="1">
      <alignment horizontal="left"/>
      <protection locked="0"/>
    </xf>
    <xf numFmtId="0" fontId="52" fillId="15" borderId="69" xfId="0" applyFont="1" applyFill="1" applyBorder="1" applyAlignment="1" applyProtection="1">
      <alignment horizontal="left"/>
      <protection locked="0"/>
    </xf>
    <xf numFmtId="0" fontId="26" fillId="15" borderId="71" xfId="0" applyFont="1" applyFill="1" applyBorder="1" applyAlignment="1" applyProtection="1">
      <alignment horizontal="left"/>
      <protection locked="0"/>
    </xf>
    <xf numFmtId="0" fontId="6" fillId="5" borderId="0" xfId="0" applyFont="1" applyFill="1" applyAlignment="1" applyProtection="1">
      <alignment horizontal="left"/>
      <protection locked="0"/>
    </xf>
    <xf numFmtId="0" fontId="52" fillId="15" borderId="71" xfId="0" applyFont="1" applyFill="1" applyBorder="1" applyAlignment="1" applyProtection="1">
      <alignment horizontal="left"/>
      <protection locked="0"/>
    </xf>
    <xf numFmtId="0" fontId="6" fillId="14" borderId="14" xfId="0" applyFont="1" applyFill="1" applyBorder="1"/>
    <xf numFmtId="0" fontId="6" fillId="14" borderId="16" xfId="0" applyFont="1" applyFill="1" applyBorder="1"/>
    <xf numFmtId="0" fontId="52" fillId="14" borderId="14" xfId="0" applyFont="1" applyFill="1" applyBorder="1"/>
    <xf numFmtId="11" fontId="6" fillId="14" borderId="14" xfId="0" applyNumberFormat="1" applyFont="1" applyFill="1" applyBorder="1"/>
    <xf numFmtId="11" fontId="26" fillId="15" borderId="69" xfId="0" applyNumberFormat="1" applyFont="1" applyFill="1" applyBorder="1"/>
    <xf numFmtId="11" fontId="26" fillId="14" borderId="69" xfId="0" applyNumberFormat="1" applyFont="1" applyFill="1" applyBorder="1"/>
    <xf numFmtId="0" fontId="49" fillId="5" borderId="17" xfId="0" applyFont="1" applyFill="1" applyBorder="1" applyAlignment="1" applyProtection="1">
      <alignment horizontal="left"/>
      <protection locked="0"/>
    </xf>
    <xf numFmtId="11" fontId="49" fillId="15" borderId="69" xfId="0" applyNumberFormat="1" applyFont="1" applyFill="1" applyBorder="1"/>
    <xf numFmtId="0" fontId="32" fillId="14" borderId="16" xfId="0" applyFont="1" applyFill="1" applyBorder="1"/>
    <xf numFmtId="0" fontId="52" fillId="14" borderId="14" xfId="0" applyFont="1" applyFill="1" applyBorder="1" applyAlignment="1">
      <alignment horizontal="left"/>
    </xf>
    <xf numFmtId="0" fontId="32" fillId="14" borderId="16" xfId="0" applyFont="1" applyFill="1" applyBorder="1" applyAlignment="1">
      <alignment horizontal="left"/>
    </xf>
    <xf numFmtId="0" fontId="32" fillId="14" borderId="14" xfId="0" applyFont="1" applyFill="1" applyBorder="1"/>
    <xf numFmtId="0" fontId="54" fillId="15" borderId="69" xfId="0" applyFont="1" applyFill="1" applyBorder="1" applyAlignment="1" applyProtection="1">
      <alignment horizontal="left"/>
      <protection locked="0"/>
    </xf>
    <xf numFmtId="0" fontId="36" fillId="11" borderId="37" xfId="0" applyFont="1" applyFill="1" applyBorder="1" applyAlignment="1">
      <alignment horizontal="center" vertical="center" wrapText="1"/>
    </xf>
    <xf numFmtId="0" fontId="26" fillId="5" borderId="69" xfId="0" applyFont="1" applyFill="1" applyBorder="1"/>
    <xf numFmtId="0" fontId="6" fillId="5" borderId="16" xfId="0" applyFont="1" applyFill="1" applyBorder="1"/>
    <xf numFmtId="11" fontId="52" fillId="15" borderId="69" xfId="0" applyNumberFormat="1" applyFont="1" applyFill="1" applyBorder="1"/>
    <xf numFmtId="1" fontId="49" fillId="15" borderId="69" xfId="0" applyNumberFormat="1" applyFont="1" applyFill="1" applyBorder="1"/>
    <xf numFmtId="1" fontId="32" fillId="14" borderId="16" xfId="0" applyNumberFormat="1" applyFont="1" applyFill="1" applyBorder="1"/>
    <xf numFmtId="0" fontId="49" fillId="5" borderId="69" xfId="0" applyFont="1" applyFill="1" applyBorder="1"/>
    <xf numFmtId="0" fontId="32" fillId="5" borderId="16" xfId="0" applyFont="1" applyFill="1" applyBorder="1"/>
    <xf numFmtId="11" fontId="49" fillId="15" borderId="8" xfId="0" applyNumberFormat="1" applyFont="1" applyFill="1" applyBorder="1"/>
    <xf numFmtId="11" fontId="49" fillId="15" borderId="47" xfId="0" applyNumberFormat="1" applyFont="1" applyFill="1" applyBorder="1"/>
    <xf numFmtId="0" fontId="52" fillId="5" borderId="69" xfId="0" applyFont="1" applyFill="1" applyBorder="1"/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252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907108-B595-4442-A68B-38918FB79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BB6F88-24D3-4A32-B704-2A6ED6FD8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8120F8-7F19-4063-917A-176D2B8E1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2D2071-5361-42CE-A145-2378FD13E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63EF04-6816-499C-A2F9-D2B661275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42CA5A-9598-4992-8E14-A271BC70B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94CCCF-C561-43CC-A212-E7CAFCE1B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04AC19-CC1D-4BEB-B44E-0C6774641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28CAA8-8143-4395-83F2-604835242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081C0C-9282-415E-A8D0-7E2004CD4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93D1C8-902D-4BAD-B62B-7E1F233F6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5E1399-258A-4AAE-B3EF-F29617562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CF7485-BEC5-42BA-A5EA-7B30CA7FC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8459F8-5D58-4D18-A54C-89F621FCA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AAC0A6-AA59-48DA-A552-75AAACEB9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52E491-93A8-4A8D-9033-9FD5979E9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CF86D4-C903-44B8-8464-02E47E517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ED0901-C7C2-4A80-A8C9-4C6D2FA72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C45F16-AFC0-447C-A5F5-8EE8BAF94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D0019D-70C8-44D0-8101-6C4DFD26E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46BDA4-3625-46F1-BCCB-00A6905F2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E20D03-F5D5-4C36-818A-A36880FA4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08379A-0531-4E34-9802-A18E77C55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C97B9D-3635-4A6C-8B38-722125862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BAA67B-39EA-476D-95B7-9B6D83465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4071BD-7FFB-405A-8016-A1B7EB80F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B2995C-FEAA-49ED-A5D9-D8F46125A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771B01-9BFF-438C-8D18-41C209C78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2C5E5F-E1B6-47C1-ADB7-9FC8235A1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301466-ADC7-4356-AA79-2580F8FCC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C8C3C3-5477-4ABB-A144-A372EA55F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BBF970-7E5D-44B4-BBB1-C66CBA46C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4737D2-310B-4D66-889F-2F94A3B9D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A9386A-B7D9-4511-9ADC-261AA56B6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6D5187-8BB8-4B46-9616-1C16F7E78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24A83F-E365-43C7-A6E5-C97EC6BB1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D67CF3-CAC5-4D8F-9D23-077576395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422651-13C6-4713-B99F-3ECCC7458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ABCD9C-335B-42A6-9BB2-BCF10A72B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3DC1B2-0294-446C-AFAF-263E680B7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84D6C7-80BC-47BE-91D8-C1B2D5B29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E72FAE-555A-4925-8DEF-C24BA88B1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330052-B233-4CFE-BCE6-74AB529D6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72241D-7988-4620-871B-27013DBDB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4C0666-2F52-4C17-92BB-FA24C83C6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BF2F59-6F4D-4F4B-BDAD-0CBF97E1C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345B57-8F8E-4DCA-85AF-2E7957732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6EC673-8CAE-4563-B917-8706450F3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4CBFD9-C4F9-47F6-8736-53EF8DD89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516D8F-6A4A-40A2-AEF2-9DB57761F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16D9C8-C5EC-4BF3-BDA1-CBF0A60B1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CD7C83-6373-4048-8A80-912708382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79EA2A-B730-45A0-8462-E8EFFABC7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4381E5-B050-43E9-A985-A0FDBCF99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C811C9-47BD-4FB2-821D-3B4BCB7EC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F76A44-2C8F-490C-91B6-726C9E11D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02CFE5-6343-4F13-8BBC-8338D4177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DF9037-903C-4BC5-9F44-AAB354AB2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4D8006-832A-48A7-B09D-E78355FD5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45FDFE-6929-45BB-AA96-20D20C203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EB6CBB-E1F6-42CA-9556-8885F114B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1C2461-B77E-4FBD-B0E7-058F0A499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184EA-90A9-4329-AB1E-009A43F12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45BEC-C5BF-44CD-91A8-EE3189FEFFF8}">
  <sheetPr>
    <pageSetUpPr fitToPage="1"/>
  </sheetPr>
  <dimension ref="A1:AB63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" customWidth="1"/>
    <col min="2" max="2" width="25.7109375" style="5" customWidth="1"/>
    <col min="3" max="3" width="43.28515625" style="5" customWidth="1"/>
    <col min="4" max="4" width="9.7109375" style="129" customWidth="1"/>
    <col min="5" max="5" width="9.7109375" style="5" customWidth="1"/>
    <col min="6" max="8" width="18.7109375" style="5" customWidth="1"/>
    <col min="9" max="9" width="0.85546875" style="5" customWidth="1"/>
    <col min="10" max="10" width="9.5703125" style="5" customWidth="1"/>
    <col min="11" max="13" width="18.7109375" style="5" customWidth="1"/>
    <col min="14" max="14" width="13.7109375" style="5" customWidth="1"/>
    <col min="15" max="15" width="0.85546875" style="5" customWidth="1"/>
    <col min="16" max="16" width="17.85546875" style="5" customWidth="1"/>
    <col min="17" max="20" width="18.7109375" style="5" customWidth="1"/>
    <col min="21" max="21" width="15" style="5" bestFit="1" customWidth="1"/>
    <col min="22" max="22" width="14.7109375" style="5" bestFit="1" customWidth="1"/>
    <col min="23" max="23" width="13.42578125" style="5" hidden="1" customWidth="1"/>
    <col min="24" max="24" width="0.85546875" style="5" customWidth="1"/>
    <col min="25" max="26" width="9.140625" style="5" hidden="1" customWidth="1"/>
    <col min="27" max="27" width="9.140625" style="5" customWidth="1"/>
    <col min="28" max="28" width="10.5703125" style="5" bestFit="1" customWidth="1"/>
    <col min="29" max="16384" width="9.140625" style="5"/>
  </cols>
  <sheetData>
    <row r="1" spans="1:28" ht="23.25" customHeight="1" x14ac:dyDescent="0.25">
      <c r="A1" s="1"/>
      <c r="B1" s="392" t="s">
        <v>0</v>
      </c>
      <c r="C1" s="389"/>
      <c r="D1" s="393" t="s">
        <v>1</v>
      </c>
      <c r="E1" s="390"/>
      <c r="F1" s="390"/>
      <c r="G1" s="391"/>
      <c r="H1" s="389" t="s">
        <v>2</v>
      </c>
      <c r="I1" s="390"/>
      <c r="J1" s="390"/>
      <c r="K1" s="391"/>
      <c r="L1" s="394" t="s">
        <v>3</v>
      </c>
      <c r="M1" s="395"/>
      <c r="N1" s="395"/>
      <c r="O1" s="395"/>
      <c r="P1" s="390" t="str">
        <f>K17</f>
        <v>CAD $</v>
      </c>
      <c r="Q1" s="390"/>
      <c r="R1" s="391"/>
      <c r="S1" s="389" t="s">
        <v>4</v>
      </c>
      <c r="T1" s="390"/>
      <c r="U1" s="390"/>
      <c r="V1" s="390"/>
      <c r="W1" s="391"/>
      <c r="X1" s="2"/>
      <c r="Y1" s="3"/>
      <c r="Z1" s="4"/>
      <c r="AA1" s="4"/>
      <c r="AB1" s="4"/>
    </row>
    <row r="2" spans="1:28" ht="15" customHeight="1" x14ac:dyDescent="0.25">
      <c r="A2" s="1"/>
      <c r="B2" s="6" t="s">
        <v>5</v>
      </c>
      <c r="C2" s="7">
        <v>45919</v>
      </c>
      <c r="D2" s="412" t="s">
        <v>6</v>
      </c>
      <c r="E2" s="413"/>
      <c r="F2" s="414">
        <v>452631</v>
      </c>
      <c r="G2" s="415"/>
      <c r="H2" s="412" t="s">
        <v>7</v>
      </c>
      <c r="I2" s="416"/>
      <c r="J2" s="413"/>
      <c r="K2" s="8"/>
      <c r="L2" s="417" t="s">
        <v>8</v>
      </c>
      <c r="M2" s="418"/>
      <c r="N2" s="419"/>
      <c r="O2" s="9"/>
      <c r="P2" s="420">
        <f>H61</f>
        <v>23433.679999999997</v>
      </c>
      <c r="Q2" s="420"/>
      <c r="R2" s="421"/>
      <c r="S2" s="422" t="s">
        <v>9</v>
      </c>
      <c r="T2" s="423"/>
      <c r="U2" s="396"/>
      <c r="V2" s="397"/>
      <c r="W2" s="10"/>
      <c r="X2" s="11"/>
      <c r="Y2" s="3"/>
      <c r="Z2" s="4"/>
      <c r="AA2" s="4"/>
      <c r="AB2" s="4"/>
    </row>
    <row r="3" spans="1:28" ht="15" customHeight="1" x14ac:dyDescent="0.25">
      <c r="A3" s="1"/>
      <c r="B3" s="12" t="s">
        <v>10</v>
      </c>
      <c r="C3" s="13" t="s">
        <v>11</v>
      </c>
      <c r="D3" s="398" t="s">
        <v>12</v>
      </c>
      <c r="E3" s="399"/>
      <c r="F3" s="400"/>
      <c r="G3" s="401"/>
      <c r="H3" s="398" t="s">
        <v>13</v>
      </c>
      <c r="I3" s="402"/>
      <c r="J3" s="399"/>
      <c r="K3" s="14"/>
      <c r="L3" s="403" t="s">
        <v>14</v>
      </c>
      <c r="M3" s="404"/>
      <c r="N3" s="405"/>
      <c r="O3" s="9"/>
      <c r="P3" s="406">
        <f>L61</f>
        <v>15531</v>
      </c>
      <c r="Q3" s="406"/>
      <c r="R3" s="407"/>
      <c r="S3" s="408" t="s">
        <v>15</v>
      </c>
      <c r="T3" s="409"/>
      <c r="U3" s="410"/>
      <c r="V3" s="411"/>
      <c r="W3" s="15"/>
      <c r="X3" s="1"/>
      <c r="Y3" s="16"/>
      <c r="Z3" s="4"/>
      <c r="AA3" s="4"/>
      <c r="AB3" s="4"/>
    </row>
    <row r="4" spans="1:28" ht="15" customHeight="1" x14ac:dyDescent="0.25">
      <c r="A4" s="1"/>
      <c r="B4" s="17" t="s">
        <v>16</v>
      </c>
      <c r="C4" s="13"/>
      <c r="D4" s="398" t="s">
        <v>17</v>
      </c>
      <c r="E4" s="399"/>
      <c r="F4" s="400" t="s">
        <v>18</v>
      </c>
      <c r="G4" s="401"/>
      <c r="H4" s="398" t="s">
        <v>19</v>
      </c>
      <c r="I4" s="402"/>
      <c r="J4" s="399"/>
      <c r="K4" s="14"/>
      <c r="L4" s="403" t="s">
        <v>20</v>
      </c>
      <c r="M4" s="404"/>
      <c r="N4" s="405"/>
      <c r="O4" s="9"/>
      <c r="P4" s="406">
        <f>P2-P3</f>
        <v>7902.6799999999967</v>
      </c>
      <c r="Q4" s="406"/>
      <c r="R4" s="407"/>
      <c r="S4" s="408" t="s">
        <v>21</v>
      </c>
      <c r="T4" s="409"/>
      <c r="U4" s="410"/>
      <c r="V4" s="411"/>
      <c r="W4" s="15"/>
      <c r="X4" s="1"/>
      <c r="Y4" s="16"/>
      <c r="Z4" s="4"/>
      <c r="AA4" s="4"/>
      <c r="AB4" s="4"/>
    </row>
    <row r="5" spans="1:28" ht="15" customHeight="1" thickBot="1" x14ac:dyDescent="0.3">
      <c r="A5" s="1"/>
      <c r="B5" s="17" t="s">
        <v>22</v>
      </c>
      <c r="C5" s="13"/>
      <c r="D5" s="398" t="s">
        <v>23</v>
      </c>
      <c r="E5" s="399"/>
      <c r="F5" s="400" t="s">
        <v>24</v>
      </c>
      <c r="G5" s="401"/>
      <c r="H5" s="398" t="s">
        <v>25</v>
      </c>
      <c r="I5" s="402"/>
      <c r="J5" s="399"/>
      <c r="K5" s="14"/>
      <c r="L5" s="424" t="s">
        <v>26</v>
      </c>
      <c r="M5" s="425"/>
      <c r="N5" s="426"/>
      <c r="O5" s="9"/>
      <c r="P5" s="427">
        <f>IFERROR((P2-P3)/P2,"")</f>
        <v>0.33723597830131663</v>
      </c>
      <c r="Q5" s="427"/>
      <c r="R5" s="428"/>
      <c r="S5" s="408" t="s">
        <v>27</v>
      </c>
      <c r="T5" s="409"/>
      <c r="U5" s="410"/>
      <c r="V5" s="411"/>
      <c r="W5" s="15"/>
      <c r="X5" s="1"/>
      <c r="Y5" s="16"/>
      <c r="Z5" s="4"/>
      <c r="AA5" s="4"/>
      <c r="AB5" s="4"/>
    </row>
    <row r="6" spans="1:28" ht="15" customHeight="1" x14ac:dyDescent="0.25">
      <c r="A6" s="1"/>
      <c r="B6" s="17" t="s">
        <v>28</v>
      </c>
      <c r="C6" s="18"/>
      <c r="D6" s="398" t="s">
        <v>29</v>
      </c>
      <c r="E6" s="399"/>
      <c r="F6" s="400" t="s">
        <v>30</v>
      </c>
      <c r="G6" s="401"/>
      <c r="H6" s="398" t="s">
        <v>31</v>
      </c>
      <c r="I6" s="402"/>
      <c r="J6" s="399"/>
      <c r="K6" s="14"/>
      <c r="L6" s="438" t="s">
        <v>32</v>
      </c>
      <c r="M6" s="439"/>
      <c r="N6" s="440"/>
      <c r="O6" s="9"/>
      <c r="P6" s="441">
        <f>T61</f>
        <v>15531</v>
      </c>
      <c r="Q6" s="441"/>
      <c r="R6" s="442"/>
      <c r="S6" s="408" t="s">
        <v>33</v>
      </c>
      <c r="T6" s="409"/>
      <c r="U6" s="410"/>
      <c r="V6" s="411"/>
      <c r="W6" s="19"/>
      <c r="X6" s="20"/>
      <c r="Y6" s="21"/>
      <c r="Z6" s="4"/>
      <c r="AA6" s="4"/>
      <c r="AB6" s="4"/>
    </row>
    <row r="7" spans="1:28" ht="15" customHeight="1" x14ac:dyDescent="0.25">
      <c r="A7" s="1"/>
      <c r="B7" s="17" t="s">
        <v>34</v>
      </c>
      <c r="C7" s="22"/>
      <c r="D7" s="398" t="s">
        <v>35</v>
      </c>
      <c r="E7" s="399"/>
      <c r="F7" s="400"/>
      <c r="G7" s="401"/>
      <c r="H7" s="398" t="s">
        <v>36</v>
      </c>
      <c r="I7" s="402"/>
      <c r="J7" s="399"/>
      <c r="K7" s="14"/>
      <c r="L7" s="429" t="s">
        <v>37</v>
      </c>
      <c r="M7" s="430"/>
      <c r="N7" s="431"/>
      <c r="O7" s="9"/>
      <c r="P7" s="432">
        <f>R61</f>
        <v>0</v>
      </c>
      <c r="Q7" s="432"/>
      <c r="R7" s="433"/>
      <c r="S7" s="434" t="s">
        <v>38</v>
      </c>
      <c r="T7" s="435"/>
      <c r="U7" s="436"/>
      <c r="V7" s="437"/>
      <c r="W7" s="19"/>
      <c r="X7" s="23"/>
      <c r="Y7" s="4"/>
      <c r="Z7" s="4"/>
      <c r="AA7" s="4"/>
      <c r="AB7" s="4"/>
    </row>
    <row r="8" spans="1:28" ht="15" customHeight="1" x14ac:dyDescent="0.25">
      <c r="A8" s="1"/>
      <c r="B8" s="24"/>
      <c r="C8" s="25"/>
      <c r="D8" s="398" t="s">
        <v>39</v>
      </c>
      <c r="E8" s="399"/>
      <c r="F8" s="400"/>
      <c r="G8" s="401"/>
      <c r="H8" s="398" t="s">
        <v>40</v>
      </c>
      <c r="I8" s="402"/>
      <c r="J8" s="399"/>
      <c r="K8" s="14"/>
      <c r="L8" s="429" t="s">
        <v>41</v>
      </c>
      <c r="M8" s="430"/>
      <c r="N8" s="431"/>
      <c r="O8" s="9"/>
      <c r="P8" s="432">
        <f>IF(P1=Q14,R14,IF(Q14="CAD $",R14*D15,IF(Q14="USD $",R14*E15,0)))</f>
        <v>0</v>
      </c>
      <c r="Q8" s="432"/>
      <c r="R8" s="433"/>
      <c r="S8" s="26" t="s">
        <v>42</v>
      </c>
      <c r="T8" s="27" t="s">
        <v>43</v>
      </c>
      <c r="U8" s="27" t="s">
        <v>44</v>
      </c>
      <c r="V8" s="28" t="s">
        <v>45</v>
      </c>
      <c r="W8" s="29"/>
      <c r="X8" s="30"/>
      <c r="Y8" s="4"/>
      <c r="Z8" s="4"/>
      <c r="AA8" s="4"/>
      <c r="AB8" s="4"/>
    </row>
    <row r="9" spans="1:28" ht="15" customHeight="1" x14ac:dyDescent="0.25">
      <c r="A9" s="1"/>
      <c r="B9" s="25"/>
      <c r="C9" s="25"/>
      <c r="D9" s="398" t="s">
        <v>46</v>
      </c>
      <c r="E9" s="399"/>
      <c r="F9" s="400" t="s">
        <v>365</v>
      </c>
      <c r="G9" s="401"/>
      <c r="H9" s="31"/>
      <c r="I9" s="32"/>
      <c r="J9" s="32"/>
      <c r="K9" s="33"/>
      <c r="L9" s="429" t="s">
        <v>47</v>
      </c>
      <c r="M9" s="430"/>
      <c r="N9" s="431"/>
      <c r="O9" s="9"/>
      <c r="P9" s="446">
        <f>V14</f>
        <v>0</v>
      </c>
      <c r="Q9" s="446"/>
      <c r="R9" s="447"/>
      <c r="S9" s="448">
        <f>P7+P8+P9</f>
        <v>0</v>
      </c>
      <c r="T9" s="448">
        <f>P3-S9</f>
        <v>15531</v>
      </c>
      <c r="U9" s="450">
        <f>IFERROR(((P3-S9)/S9),0)</f>
        <v>0</v>
      </c>
      <c r="V9" s="450">
        <f>IFERROR(T9/P3,0)</f>
        <v>1</v>
      </c>
      <c r="W9" s="452"/>
      <c r="X9" s="30"/>
      <c r="Y9" s="4"/>
      <c r="Z9" s="4"/>
      <c r="AA9" s="4"/>
      <c r="AB9" s="4"/>
    </row>
    <row r="10" spans="1:28" ht="15" customHeight="1" thickBot="1" x14ac:dyDescent="0.3">
      <c r="A10" s="1"/>
      <c r="B10" s="25"/>
      <c r="C10" s="25"/>
      <c r="D10" s="34"/>
      <c r="E10" s="34"/>
      <c r="F10" s="31"/>
      <c r="G10" s="31"/>
      <c r="H10" s="31"/>
      <c r="I10" s="32"/>
      <c r="J10" s="32"/>
      <c r="K10" s="33"/>
      <c r="L10" s="408" t="s">
        <v>48</v>
      </c>
      <c r="M10" s="443"/>
      <c r="N10" s="409"/>
      <c r="O10" s="9"/>
      <c r="P10" s="444">
        <f>E61</f>
        <v>38</v>
      </c>
      <c r="Q10" s="444"/>
      <c r="R10" s="445"/>
      <c r="S10" s="449"/>
      <c r="T10" s="449"/>
      <c r="U10" s="451"/>
      <c r="V10" s="451"/>
      <c r="W10" s="453"/>
      <c r="X10" s="30"/>
      <c r="Y10" s="4"/>
      <c r="Z10" s="4"/>
      <c r="AA10" s="4"/>
      <c r="AB10" s="4"/>
    </row>
    <row r="11" spans="1:28" ht="15" customHeight="1" x14ac:dyDescent="0.25">
      <c r="A11" s="1"/>
      <c r="B11" s="501"/>
      <c r="C11" s="502"/>
      <c r="D11" s="505" t="s">
        <v>49</v>
      </c>
      <c r="E11" s="506"/>
      <c r="F11" s="509" t="s">
        <v>8</v>
      </c>
      <c r="G11" s="455"/>
      <c r="H11" s="510"/>
      <c r="I11" s="35"/>
      <c r="J11" s="514" t="s">
        <v>50</v>
      </c>
      <c r="K11" s="515"/>
      <c r="L11" s="515"/>
      <c r="M11" s="515"/>
      <c r="N11" s="516"/>
      <c r="O11" s="9"/>
      <c r="P11" s="454" t="s">
        <v>51</v>
      </c>
      <c r="Q11" s="455"/>
      <c r="R11" s="455"/>
      <c r="S11" s="455"/>
      <c r="T11" s="455"/>
      <c r="U11" s="455"/>
      <c r="V11" s="456"/>
      <c r="W11" s="36"/>
      <c r="X11" s="37"/>
      <c r="Y11" s="4" t="s">
        <v>52</v>
      </c>
      <c r="Z11" s="4"/>
      <c r="AA11" s="4"/>
      <c r="AB11" s="4"/>
    </row>
    <row r="12" spans="1:28" ht="15" customHeight="1" x14ac:dyDescent="0.25">
      <c r="A12" s="1"/>
      <c r="B12" s="503"/>
      <c r="C12" s="504"/>
      <c r="D12" s="507"/>
      <c r="E12" s="508"/>
      <c r="F12" s="511"/>
      <c r="G12" s="512"/>
      <c r="H12" s="513"/>
      <c r="I12" s="38"/>
      <c r="J12" s="517"/>
      <c r="K12" s="518"/>
      <c r="L12" s="518"/>
      <c r="M12" s="518"/>
      <c r="N12" s="519"/>
      <c r="O12" s="39"/>
      <c r="P12" s="457"/>
      <c r="Q12" s="458"/>
      <c r="R12" s="458"/>
      <c r="S12" s="458"/>
      <c r="T12" s="458"/>
      <c r="U12" s="458"/>
      <c r="V12" s="459"/>
      <c r="W12" s="40"/>
      <c r="X12" s="37"/>
      <c r="Y12" s="4" t="s">
        <v>53</v>
      </c>
      <c r="Z12" s="4"/>
      <c r="AA12" s="4"/>
      <c r="AB12" s="4"/>
    </row>
    <row r="13" spans="1:28" ht="15" customHeight="1" x14ac:dyDescent="0.25">
      <c r="A13" s="1"/>
      <c r="B13" s="503"/>
      <c r="C13" s="504"/>
      <c r="D13" s="467"/>
      <c r="E13" s="468"/>
      <c r="F13" s="460" t="s">
        <v>54</v>
      </c>
      <c r="G13" s="461"/>
      <c r="H13" s="41" t="s">
        <v>55</v>
      </c>
      <c r="I13" s="42"/>
      <c r="J13" s="520"/>
      <c r="K13" s="521"/>
      <c r="L13" s="521"/>
      <c r="M13" s="521"/>
      <c r="N13" s="522"/>
      <c r="O13" s="39"/>
      <c r="P13" s="457"/>
      <c r="Q13" s="458"/>
      <c r="R13" s="458"/>
      <c r="S13" s="458"/>
      <c r="T13" s="458"/>
      <c r="U13" s="458"/>
      <c r="V13" s="459"/>
      <c r="W13" s="43"/>
      <c r="X13" s="37"/>
      <c r="Y13" s="4" t="s">
        <v>55</v>
      </c>
      <c r="Z13" s="4"/>
      <c r="AA13" s="4"/>
      <c r="AB13" s="4"/>
    </row>
    <row r="14" spans="1:28" ht="30" customHeight="1" x14ac:dyDescent="0.25">
      <c r="A14" s="1"/>
      <c r="B14" s="503"/>
      <c r="C14" s="504"/>
      <c r="D14" s="44" t="s">
        <v>56</v>
      </c>
      <c r="E14" s="45" t="s">
        <v>57</v>
      </c>
      <c r="F14" s="462" t="s">
        <v>58</v>
      </c>
      <c r="G14" s="463"/>
      <c r="H14" s="464"/>
      <c r="I14" s="46"/>
      <c r="J14" s="465" t="s">
        <v>59</v>
      </c>
      <c r="K14" s="466"/>
      <c r="L14" s="469" t="s">
        <v>60</v>
      </c>
      <c r="M14" s="470"/>
      <c r="N14" s="471"/>
      <c r="O14" s="47"/>
      <c r="P14" s="48" t="s">
        <v>61</v>
      </c>
      <c r="Q14" s="49" t="s">
        <v>53</v>
      </c>
      <c r="R14" s="50"/>
      <c r="S14" s="48" t="s">
        <v>62</v>
      </c>
      <c r="T14" s="51">
        <v>2.5000000000000001E-2</v>
      </c>
      <c r="U14" s="48" t="s">
        <v>63</v>
      </c>
      <c r="V14" s="52">
        <f>ROUND(R61*T14,2)</f>
        <v>0</v>
      </c>
      <c r="W14" s="53"/>
      <c r="X14" s="37"/>
      <c r="Y14" s="4" t="s">
        <v>64</v>
      </c>
      <c r="Z14" s="4"/>
      <c r="AA14" s="4"/>
      <c r="AB14" s="4"/>
    </row>
    <row r="15" spans="1:28" ht="15" customHeight="1" x14ac:dyDescent="0.25">
      <c r="A15" s="1"/>
      <c r="B15" s="503"/>
      <c r="C15" s="504"/>
      <c r="D15" s="54">
        <f>1/E15</f>
        <v>0.68965517241379315</v>
      </c>
      <c r="E15" s="55">
        <v>1.45</v>
      </c>
      <c r="F15" s="475"/>
      <c r="G15" s="476"/>
      <c r="H15" s="477"/>
      <c r="I15" s="56"/>
      <c r="J15" s="467"/>
      <c r="K15" s="468"/>
      <c r="L15" s="472"/>
      <c r="M15" s="473"/>
      <c r="N15" s="474"/>
      <c r="O15" s="47"/>
      <c r="P15" s="483" t="s">
        <v>65</v>
      </c>
      <c r="Q15" s="484"/>
      <c r="R15" s="484"/>
      <c r="S15" s="484"/>
      <c r="T15" s="484"/>
      <c r="U15" s="484"/>
      <c r="V15" s="485"/>
      <c r="W15" s="57"/>
      <c r="X15" s="58"/>
      <c r="Y15" s="4"/>
      <c r="Z15" s="4"/>
      <c r="AA15" s="4"/>
      <c r="AB15" s="4"/>
    </row>
    <row r="16" spans="1:28" ht="15" customHeight="1" x14ac:dyDescent="0.25">
      <c r="A16" s="1"/>
      <c r="B16" s="486" t="s">
        <v>66</v>
      </c>
      <c r="C16" s="488" t="s">
        <v>67</v>
      </c>
      <c r="D16" s="490" t="s">
        <v>68</v>
      </c>
      <c r="E16" s="492" t="s">
        <v>69</v>
      </c>
      <c r="F16" s="489" t="s">
        <v>70</v>
      </c>
      <c r="G16" s="494"/>
      <c r="H16" s="59" t="s">
        <v>71</v>
      </c>
      <c r="I16" s="60"/>
      <c r="J16" s="495" t="s">
        <v>69</v>
      </c>
      <c r="K16" s="61" t="s">
        <v>72</v>
      </c>
      <c r="L16" s="62" t="s">
        <v>73</v>
      </c>
      <c r="M16" s="497" t="s">
        <v>74</v>
      </c>
      <c r="N16" s="497" t="s">
        <v>75</v>
      </c>
      <c r="O16" s="63"/>
      <c r="P16" s="499" t="s">
        <v>76</v>
      </c>
      <c r="Q16" s="64" t="s">
        <v>77</v>
      </c>
      <c r="R16" s="64" t="s">
        <v>78</v>
      </c>
      <c r="S16" s="65" t="s">
        <v>79</v>
      </c>
      <c r="T16" s="65" t="s">
        <v>80</v>
      </c>
      <c r="U16" s="62" t="s">
        <v>81</v>
      </c>
      <c r="V16" s="62" t="s">
        <v>82</v>
      </c>
      <c r="W16" s="66"/>
      <c r="X16" s="67"/>
      <c r="Y16" s="4"/>
      <c r="Z16" s="4"/>
      <c r="AA16" s="4"/>
      <c r="AB16" s="4"/>
    </row>
    <row r="17" spans="1:28" s="76" customFormat="1" ht="15" customHeight="1" x14ac:dyDescent="0.25">
      <c r="A17" s="68"/>
      <c r="B17" s="487"/>
      <c r="C17" s="489"/>
      <c r="D17" s="491"/>
      <c r="E17" s="493"/>
      <c r="F17" s="49" t="s">
        <v>52</v>
      </c>
      <c r="G17" s="69" t="str">
        <f>IF(F17="USD $", "CAD $", "USD $")</f>
        <v>USD $</v>
      </c>
      <c r="H17" s="70" t="str">
        <f>K17</f>
        <v>CAD $</v>
      </c>
      <c r="I17" s="71"/>
      <c r="J17" s="496"/>
      <c r="K17" s="478" t="s">
        <v>52</v>
      </c>
      <c r="L17" s="479"/>
      <c r="M17" s="498"/>
      <c r="N17" s="498"/>
      <c r="O17" s="72"/>
      <c r="P17" s="500"/>
      <c r="Q17" s="49" t="s">
        <v>52</v>
      </c>
      <c r="R17" s="480" t="str">
        <f>K17</f>
        <v>CAD $</v>
      </c>
      <c r="S17" s="481"/>
      <c r="T17" s="481"/>
      <c r="U17" s="481"/>
      <c r="V17" s="482"/>
      <c r="W17" s="73"/>
      <c r="X17" s="74"/>
      <c r="Y17" s="75"/>
      <c r="Z17" s="75"/>
      <c r="AA17" s="75"/>
      <c r="AB17" s="75"/>
    </row>
    <row r="18" spans="1:28" x14ac:dyDescent="0.25">
      <c r="A18" s="1"/>
      <c r="B18" s="77">
        <v>7343102</v>
      </c>
      <c r="C18" s="78" t="s">
        <v>83</v>
      </c>
      <c r="D18" s="79"/>
      <c r="E18" s="80">
        <v>1</v>
      </c>
      <c r="F18" s="81">
        <v>43.99</v>
      </c>
      <c r="G18" s="82">
        <f>ROUND(IF($F$17="USD $", F18*$E$15,F18*$D$15),2)</f>
        <v>30.34</v>
      </c>
      <c r="H18" s="83">
        <f>ROUND(IF($H$17=$G$17,E18*G18,E18*F18),2)</f>
        <v>43.99</v>
      </c>
      <c r="I18" s="84"/>
      <c r="J18" s="85">
        <f t="shared" ref="J18:J60" si="0">E18</f>
        <v>1</v>
      </c>
      <c r="K18" s="82">
        <f>IFERROR(IF(M18="OEM DISC %",ROUND(IF($K$17=$F$17,F18*(1-N18),G18*(1-N18)),2),IF(M18="MARKUP %",ROUND(R18/J18*(1+N18),2))),0)</f>
        <v>16.72</v>
      </c>
      <c r="L18" s="82">
        <f>ROUND((J18*K18),2)</f>
        <v>16.72</v>
      </c>
      <c r="M18" s="81" t="s">
        <v>84</v>
      </c>
      <c r="N18" s="86">
        <v>0.62</v>
      </c>
      <c r="O18" s="87"/>
      <c r="P18" s="77"/>
      <c r="Q18" s="88"/>
      <c r="R18" s="89">
        <f>ROUND(IF($R$17=$Q$17,Q18,IF($R$17="USD $",Q18*$D$15,Q18*$E$15))*E18,2)</f>
        <v>0</v>
      </c>
      <c r="S18" s="89">
        <f>IFERROR(ROUND(T18/E18,2),0)</f>
        <v>16.72</v>
      </c>
      <c r="T18" s="89">
        <f>ROUND(L18-R18,2)</f>
        <v>16.72</v>
      </c>
      <c r="U18" s="90">
        <f>IFERROR(((K18-(R18/J18))/(R18/J18)),0)</f>
        <v>0</v>
      </c>
      <c r="V18" s="90">
        <f>IFERROR(((K18-(R18/J18))/K18),0)</f>
        <v>1</v>
      </c>
      <c r="W18" s="91"/>
      <c r="X18" s="92"/>
      <c r="Y18" s="4"/>
      <c r="Z18" s="4">
        <v>250</v>
      </c>
      <c r="AA18" s="93"/>
      <c r="AB18" s="94"/>
    </row>
    <row r="19" spans="1:28" x14ac:dyDescent="0.25">
      <c r="A19" s="1"/>
      <c r="B19" s="95">
        <v>7319444</v>
      </c>
      <c r="C19" s="13" t="s">
        <v>85</v>
      </c>
      <c r="D19" s="96"/>
      <c r="E19" s="97">
        <v>1</v>
      </c>
      <c r="F19" s="98">
        <v>62.99</v>
      </c>
      <c r="G19" s="99">
        <f t="shared" ref="G19:G60" si="1">ROUND(IF($F$17="USD $", F19*$E$15,F19*$D$15),2)</f>
        <v>43.44</v>
      </c>
      <c r="H19" s="100">
        <f t="shared" ref="H19:H60" si="2">ROUND(IF($H$17=$G$17,E19*G19,E19*F19),2)</f>
        <v>62.99</v>
      </c>
      <c r="I19" s="101"/>
      <c r="J19" s="102">
        <f t="shared" si="0"/>
        <v>1</v>
      </c>
      <c r="K19" s="99">
        <f t="shared" ref="K19:K60" si="3">IFERROR(IF(M19="OEM DISC %",ROUND(IF($K$17=$F$17,F19*(1-N19),G19*(1-N19)),2),IF(M19="MARKUP %",ROUND(R19/J19*(1+N19),2))),0)</f>
        <v>23.94</v>
      </c>
      <c r="L19" s="99">
        <f t="shared" ref="L19:L60" si="4">ROUND((J19*K19),2)</f>
        <v>23.94</v>
      </c>
      <c r="M19" s="103" t="s">
        <v>84</v>
      </c>
      <c r="N19" s="104">
        <v>0.62</v>
      </c>
      <c r="O19" s="87"/>
      <c r="P19" s="95"/>
      <c r="Q19" s="98"/>
      <c r="R19" s="105">
        <f>ROUND(IF($R$17=$Q$17,Q19,IF($R$17="USD $",Q19*$D$15,Q19*$E$15))*E19,2)</f>
        <v>0</v>
      </c>
      <c r="S19" s="106">
        <f t="shared" ref="S19:S60" si="5">IFERROR(ROUND(T19/E19,2),0)</f>
        <v>23.94</v>
      </c>
      <c r="T19" s="106">
        <f t="shared" ref="T19:T60" si="6">ROUND(L19-R19,2)</f>
        <v>23.94</v>
      </c>
      <c r="U19" s="107">
        <f t="shared" ref="U19:U60" si="7">IFERROR(((K19-(R19/J19))/(R19/J19)),0)</f>
        <v>0</v>
      </c>
      <c r="V19" s="107">
        <f t="shared" ref="V19:V60" si="8">IFERROR(((K19-(R19/J19))/K19),0)</f>
        <v>1</v>
      </c>
      <c r="W19" s="108"/>
      <c r="X19" s="92"/>
      <c r="Y19" s="4" t="s">
        <v>86</v>
      </c>
      <c r="Z19" s="4">
        <v>500</v>
      </c>
      <c r="AA19" s="4"/>
      <c r="AB19" s="4"/>
    </row>
    <row r="20" spans="1:28" x14ac:dyDescent="0.25">
      <c r="A20" s="1"/>
      <c r="B20" s="77"/>
      <c r="C20" s="109"/>
      <c r="D20" s="110"/>
      <c r="E20" s="80">
        <v>1</v>
      </c>
      <c r="F20" s="81"/>
      <c r="G20" s="82">
        <f t="shared" si="1"/>
        <v>0</v>
      </c>
      <c r="H20" s="83">
        <f t="shared" si="2"/>
        <v>0</v>
      </c>
      <c r="I20" s="101"/>
      <c r="J20" s="85">
        <f t="shared" si="0"/>
        <v>1</v>
      </c>
      <c r="K20" s="82">
        <f t="shared" si="3"/>
        <v>0</v>
      </c>
      <c r="L20" s="82">
        <f t="shared" si="4"/>
        <v>0</v>
      </c>
      <c r="M20" s="81" t="s">
        <v>84</v>
      </c>
      <c r="N20" s="111">
        <v>0.62</v>
      </c>
      <c r="O20" s="87"/>
      <c r="P20" s="112"/>
      <c r="Q20" s="88"/>
      <c r="R20" s="89">
        <f t="shared" ref="R20:R60" si="9">ROUND(IF($R$17=$Q$17,Q20,IF($R$17="USD $",Q20*$D$15,Q20*$E$15))*E20,2)</f>
        <v>0</v>
      </c>
      <c r="S20" s="89">
        <f t="shared" si="5"/>
        <v>0</v>
      </c>
      <c r="T20" s="89">
        <f t="shared" si="6"/>
        <v>0</v>
      </c>
      <c r="U20" s="90">
        <f t="shared" si="7"/>
        <v>0</v>
      </c>
      <c r="V20" s="90">
        <f t="shared" si="8"/>
        <v>0</v>
      </c>
      <c r="W20" s="91"/>
      <c r="X20" s="92"/>
      <c r="Y20" s="4" t="s">
        <v>87</v>
      </c>
      <c r="Z20" s="4">
        <v>750</v>
      </c>
      <c r="AA20" s="4"/>
      <c r="AB20" s="4"/>
    </row>
    <row r="21" spans="1:28" x14ac:dyDescent="0.25">
      <c r="A21" s="1"/>
      <c r="B21" s="95">
        <v>7414582</v>
      </c>
      <c r="C21" s="13" t="s">
        <v>88</v>
      </c>
      <c r="D21" s="96"/>
      <c r="E21" s="97">
        <v>1</v>
      </c>
      <c r="F21" s="98">
        <v>117.99</v>
      </c>
      <c r="G21" s="99">
        <f t="shared" si="1"/>
        <v>81.37</v>
      </c>
      <c r="H21" s="100">
        <f t="shared" si="2"/>
        <v>117.99</v>
      </c>
      <c r="I21" s="101"/>
      <c r="J21" s="102">
        <f t="shared" si="0"/>
        <v>1</v>
      </c>
      <c r="K21" s="99">
        <f t="shared" si="3"/>
        <v>44.84</v>
      </c>
      <c r="L21" s="99">
        <f t="shared" si="4"/>
        <v>44.84</v>
      </c>
      <c r="M21" s="103" t="s">
        <v>84</v>
      </c>
      <c r="N21" s="104">
        <v>0.62</v>
      </c>
      <c r="O21" s="87"/>
      <c r="P21" s="95"/>
      <c r="Q21" s="98"/>
      <c r="R21" s="105">
        <f t="shared" si="9"/>
        <v>0</v>
      </c>
      <c r="S21" s="106">
        <f t="shared" si="5"/>
        <v>44.84</v>
      </c>
      <c r="T21" s="106">
        <f t="shared" si="6"/>
        <v>44.84</v>
      </c>
      <c r="U21" s="107">
        <f t="shared" si="7"/>
        <v>0</v>
      </c>
      <c r="V21" s="107">
        <f t="shared" si="8"/>
        <v>1</v>
      </c>
      <c r="W21" s="108"/>
      <c r="X21" s="92"/>
      <c r="Y21" s="4" t="s">
        <v>89</v>
      </c>
      <c r="Z21" s="4">
        <v>1000</v>
      </c>
      <c r="AA21" s="4"/>
      <c r="AB21" s="4"/>
    </row>
    <row r="22" spans="1:28" x14ac:dyDescent="0.25">
      <c r="A22" s="1"/>
      <c r="B22" s="77">
        <v>7386225</v>
      </c>
      <c r="C22" s="109" t="s">
        <v>90</v>
      </c>
      <c r="D22" s="110"/>
      <c r="E22" s="80">
        <v>1</v>
      </c>
      <c r="F22" s="81">
        <v>46.49</v>
      </c>
      <c r="G22" s="82">
        <f t="shared" si="1"/>
        <v>32.06</v>
      </c>
      <c r="H22" s="83">
        <f t="shared" si="2"/>
        <v>46.49</v>
      </c>
      <c r="I22" s="101"/>
      <c r="J22" s="85">
        <f t="shared" si="0"/>
        <v>1</v>
      </c>
      <c r="K22" s="82">
        <f t="shared" si="3"/>
        <v>17.670000000000002</v>
      </c>
      <c r="L22" s="82">
        <f t="shared" si="4"/>
        <v>17.670000000000002</v>
      </c>
      <c r="M22" s="81" t="s">
        <v>84</v>
      </c>
      <c r="N22" s="111">
        <v>0.62</v>
      </c>
      <c r="O22" s="87"/>
      <c r="P22" s="112"/>
      <c r="Q22" s="88"/>
      <c r="R22" s="89">
        <f t="shared" si="9"/>
        <v>0</v>
      </c>
      <c r="S22" s="89">
        <f t="shared" si="5"/>
        <v>17.670000000000002</v>
      </c>
      <c r="T22" s="89">
        <f t="shared" si="6"/>
        <v>17.670000000000002</v>
      </c>
      <c r="U22" s="90">
        <f t="shared" si="7"/>
        <v>0</v>
      </c>
      <c r="V22" s="90">
        <f t="shared" si="8"/>
        <v>1</v>
      </c>
      <c r="W22" s="91"/>
      <c r="X22" s="92"/>
      <c r="Y22" s="4" t="s">
        <v>91</v>
      </c>
      <c r="Z22" s="4">
        <v>1200</v>
      </c>
      <c r="AA22" s="4"/>
      <c r="AB22" s="4"/>
    </row>
    <row r="23" spans="1:28" x14ac:dyDescent="0.25">
      <c r="A23" s="1"/>
      <c r="B23" s="95">
        <v>7386224</v>
      </c>
      <c r="C23" s="13" t="s">
        <v>92</v>
      </c>
      <c r="D23" s="96"/>
      <c r="E23" s="97">
        <v>1</v>
      </c>
      <c r="F23" s="98">
        <v>30.99</v>
      </c>
      <c r="G23" s="99">
        <f t="shared" si="1"/>
        <v>21.37</v>
      </c>
      <c r="H23" s="100">
        <f t="shared" si="2"/>
        <v>30.99</v>
      </c>
      <c r="I23" s="101"/>
      <c r="J23" s="102">
        <f t="shared" si="0"/>
        <v>1</v>
      </c>
      <c r="K23" s="99">
        <f t="shared" si="3"/>
        <v>11.78</v>
      </c>
      <c r="L23" s="99">
        <f t="shared" si="4"/>
        <v>11.78</v>
      </c>
      <c r="M23" s="103" t="s">
        <v>84</v>
      </c>
      <c r="N23" s="104">
        <v>0.62</v>
      </c>
      <c r="O23" s="87"/>
      <c r="P23" s="95"/>
      <c r="Q23" s="98"/>
      <c r="R23" s="105">
        <f t="shared" si="9"/>
        <v>0</v>
      </c>
      <c r="S23" s="106">
        <f t="shared" si="5"/>
        <v>11.78</v>
      </c>
      <c r="T23" s="106">
        <f t="shared" si="6"/>
        <v>11.78</v>
      </c>
      <c r="U23" s="107">
        <f t="shared" si="7"/>
        <v>0</v>
      </c>
      <c r="V23" s="107">
        <f t="shared" si="8"/>
        <v>1</v>
      </c>
      <c r="W23" s="108"/>
      <c r="X23" s="92"/>
      <c r="Y23" s="4" t="s">
        <v>93</v>
      </c>
      <c r="Z23" s="4">
        <v>2000</v>
      </c>
      <c r="AA23" s="4"/>
      <c r="AB23" s="4"/>
    </row>
    <row r="24" spans="1:28" x14ac:dyDescent="0.25">
      <c r="A24" s="1"/>
      <c r="B24" s="77">
        <v>7310820</v>
      </c>
      <c r="C24" s="109" t="s">
        <v>94</v>
      </c>
      <c r="D24" s="110"/>
      <c r="E24" s="80">
        <v>1</v>
      </c>
      <c r="F24" s="81">
        <v>44.99</v>
      </c>
      <c r="G24" s="82">
        <f t="shared" si="1"/>
        <v>31.03</v>
      </c>
      <c r="H24" s="83">
        <f t="shared" si="2"/>
        <v>44.99</v>
      </c>
      <c r="I24" s="101"/>
      <c r="J24" s="85">
        <f t="shared" si="0"/>
        <v>1</v>
      </c>
      <c r="K24" s="82">
        <f t="shared" si="3"/>
        <v>17.100000000000001</v>
      </c>
      <c r="L24" s="82">
        <f t="shared" si="4"/>
        <v>17.100000000000001</v>
      </c>
      <c r="M24" s="81" t="s">
        <v>84</v>
      </c>
      <c r="N24" s="111">
        <v>0.62</v>
      </c>
      <c r="O24" s="87"/>
      <c r="P24" s="112"/>
      <c r="Q24" s="88"/>
      <c r="R24" s="89">
        <f t="shared" si="9"/>
        <v>0</v>
      </c>
      <c r="S24" s="89">
        <f t="shared" si="5"/>
        <v>17.100000000000001</v>
      </c>
      <c r="T24" s="89">
        <f t="shared" si="6"/>
        <v>17.100000000000001</v>
      </c>
      <c r="U24" s="90">
        <f t="shared" si="7"/>
        <v>0</v>
      </c>
      <c r="V24" s="90">
        <f t="shared" si="8"/>
        <v>1</v>
      </c>
      <c r="W24" s="91"/>
      <c r="X24" s="92"/>
      <c r="Y24" s="4" t="s">
        <v>95</v>
      </c>
      <c r="Z24" s="4">
        <v>4000</v>
      </c>
      <c r="AA24" s="4"/>
      <c r="AB24" s="4"/>
    </row>
    <row r="25" spans="1:28" x14ac:dyDescent="0.25">
      <c r="A25" s="1"/>
      <c r="B25" s="95"/>
      <c r="C25" s="13"/>
      <c r="D25" s="96"/>
      <c r="E25" s="97"/>
      <c r="F25" s="98"/>
      <c r="G25" s="99">
        <f t="shared" si="1"/>
        <v>0</v>
      </c>
      <c r="H25" s="100">
        <f t="shared" si="2"/>
        <v>0</v>
      </c>
      <c r="I25" s="101"/>
      <c r="J25" s="102">
        <f t="shared" si="0"/>
        <v>0</v>
      </c>
      <c r="K25" s="99">
        <f t="shared" si="3"/>
        <v>0</v>
      </c>
      <c r="L25" s="99">
        <f t="shared" si="4"/>
        <v>0</v>
      </c>
      <c r="M25" s="103" t="s">
        <v>84</v>
      </c>
      <c r="N25" s="104"/>
      <c r="O25" s="87"/>
      <c r="P25" s="95"/>
      <c r="Q25" s="98"/>
      <c r="R25" s="105">
        <f t="shared" si="9"/>
        <v>0</v>
      </c>
      <c r="S25" s="106">
        <f t="shared" si="5"/>
        <v>0</v>
      </c>
      <c r="T25" s="106">
        <f t="shared" si="6"/>
        <v>0</v>
      </c>
      <c r="U25" s="107">
        <f t="shared" si="7"/>
        <v>0</v>
      </c>
      <c r="V25" s="107">
        <f t="shared" si="8"/>
        <v>0</v>
      </c>
      <c r="W25" s="108"/>
      <c r="X25" s="92"/>
      <c r="Y25" s="4" t="s">
        <v>96</v>
      </c>
      <c r="Z25" s="4">
        <v>6000</v>
      </c>
      <c r="AA25" s="4"/>
      <c r="AB25" s="4"/>
    </row>
    <row r="26" spans="1:28" x14ac:dyDescent="0.25">
      <c r="A26" s="1"/>
      <c r="B26" s="77">
        <v>7316550</v>
      </c>
      <c r="C26" s="109" t="s">
        <v>97</v>
      </c>
      <c r="D26" s="110"/>
      <c r="E26" s="80">
        <v>4</v>
      </c>
      <c r="F26" s="81">
        <v>578.99</v>
      </c>
      <c r="G26" s="82">
        <f t="shared" si="1"/>
        <v>399.3</v>
      </c>
      <c r="H26" s="83">
        <f t="shared" si="2"/>
        <v>2315.96</v>
      </c>
      <c r="I26" s="101"/>
      <c r="J26" s="85">
        <f t="shared" si="0"/>
        <v>4</v>
      </c>
      <c r="K26" s="82">
        <f t="shared" si="3"/>
        <v>289.5</v>
      </c>
      <c r="L26" s="82">
        <f t="shared" si="4"/>
        <v>1158</v>
      </c>
      <c r="M26" s="81" t="s">
        <v>84</v>
      </c>
      <c r="N26" s="111">
        <v>0.5</v>
      </c>
      <c r="O26" s="87"/>
      <c r="P26" s="112"/>
      <c r="Q26" s="88"/>
      <c r="R26" s="89">
        <f t="shared" si="9"/>
        <v>0</v>
      </c>
      <c r="S26" s="89">
        <f t="shared" si="5"/>
        <v>289.5</v>
      </c>
      <c r="T26" s="89">
        <f t="shared" si="6"/>
        <v>1158</v>
      </c>
      <c r="U26" s="90">
        <f t="shared" si="7"/>
        <v>0</v>
      </c>
      <c r="V26" s="90">
        <f t="shared" si="8"/>
        <v>1</v>
      </c>
      <c r="W26" s="91"/>
      <c r="X26" s="92"/>
      <c r="Y26" s="4" t="s">
        <v>98</v>
      </c>
      <c r="Z26" s="4">
        <v>8000</v>
      </c>
      <c r="AA26" s="4"/>
      <c r="AB26" s="4"/>
    </row>
    <row r="27" spans="1:28" x14ac:dyDescent="0.25">
      <c r="A27" s="1"/>
      <c r="B27" s="95"/>
      <c r="C27" s="13"/>
      <c r="D27" s="96"/>
      <c r="E27" s="97"/>
      <c r="F27" s="98"/>
      <c r="G27" s="99">
        <f t="shared" si="1"/>
        <v>0</v>
      </c>
      <c r="H27" s="100">
        <f t="shared" si="2"/>
        <v>0</v>
      </c>
      <c r="I27" s="101"/>
      <c r="J27" s="102">
        <f t="shared" si="0"/>
        <v>0</v>
      </c>
      <c r="K27" s="99">
        <f t="shared" si="3"/>
        <v>0</v>
      </c>
      <c r="L27" s="99">
        <f t="shared" si="4"/>
        <v>0</v>
      </c>
      <c r="M27" s="103" t="s">
        <v>84</v>
      </c>
      <c r="N27" s="104">
        <v>0.5</v>
      </c>
      <c r="O27" s="87"/>
      <c r="P27" s="95"/>
      <c r="Q27" s="98"/>
      <c r="R27" s="105">
        <f t="shared" si="9"/>
        <v>0</v>
      </c>
      <c r="S27" s="106">
        <f t="shared" si="5"/>
        <v>0</v>
      </c>
      <c r="T27" s="106">
        <f t="shared" si="6"/>
        <v>0</v>
      </c>
      <c r="U27" s="107">
        <f t="shared" si="7"/>
        <v>0</v>
      </c>
      <c r="V27" s="107">
        <f t="shared" si="8"/>
        <v>0</v>
      </c>
      <c r="W27" s="108"/>
      <c r="X27" s="92"/>
      <c r="Y27" s="4" t="s">
        <v>99</v>
      </c>
      <c r="Z27" s="113">
        <v>10000</v>
      </c>
      <c r="AA27" s="4"/>
      <c r="AB27" s="4"/>
    </row>
    <row r="28" spans="1:28" x14ac:dyDescent="0.25">
      <c r="A28" s="1"/>
      <c r="B28" s="114"/>
      <c r="C28" s="109"/>
      <c r="D28" s="110"/>
      <c r="E28" s="80"/>
      <c r="F28" s="81"/>
      <c r="G28" s="82">
        <f t="shared" si="1"/>
        <v>0</v>
      </c>
      <c r="H28" s="83">
        <f t="shared" si="2"/>
        <v>0</v>
      </c>
      <c r="I28" s="101"/>
      <c r="J28" s="85">
        <f t="shared" si="0"/>
        <v>0</v>
      </c>
      <c r="K28" s="82">
        <f t="shared" si="3"/>
        <v>0</v>
      </c>
      <c r="L28" s="82">
        <f t="shared" si="4"/>
        <v>0</v>
      </c>
      <c r="M28" s="81" t="s">
        <v>84</v>
      </c>
      <c r="N28" s="111">
        <v>0.5</v>
      </c>
      <c r="O28" s="87"/>
      <c r="P28" s="112"/>
      <c r="Q28" s="88"/>
      <c r="R28" s="89">
        <f t="shared" si="9"/>
        <v>0</v>
      </c>
      <c r="S28" s="89">
        <f t="shared" si="5"/>
        <v>0</v>
      </c>
      <c r="T28" s="89">
        <f t="shared" si="6"/>
        <v>0</v>
      </c>
      <c r="U28" s="90">
        <f t="shared" si="7"/>
        <v>0</v>
      </c>
      <c r="V28" s="90">
        <f t="shared" si="8"/>
        <v>0</v>
      </c>
      <c r="W28" s="91"/>
      <c r="X28" s="92"/>
      <c r="Y28" s="4" t="s">
        <v>100</v>
      </c>
      <c r="Z28" s="4" t="s">
        <v>101</v>
      </c>
      <c r="AA28" s="4"/>
      <c r="AB28" s="4"/>
    </row>
    <row r="29" spans="1:28" x14ac:dyDescent="0.25">
      <c r="A29" s="1"/>
      <c r="B29" s="95"/>
      <c r="C29" s="13"/>
      <c r="D29" s="96"/>
      <c r="E29" s="97"/>
      <c r="F29" s="98"/>
      <c r="G29" s="99">
        <f>ROUND(IF($F$17="USD $", F29*$E$15,F29*$D$15),2)</f>
        <v>0</v>
      </c>
      <c r="H29" s="100">
        <f>ROUND(IF($H$17=$G$17,E29*G29,E29*F29),2)</f>
        <v>0</v>
      </c>
      <c r="I29" s="101"/>
      <c r="J29" s="102">
        <f t="shared" si="0"/>
        <v>0</v>
      </c>
      <c r="K29" s="99">
        <f t="shared" si="3"/>
        <v>0</v>
      </c>
      <c r="L29" s="99">
        <f>ROUND((J29*K29),2)</f>
        <v>0</v>
      </c>
      <c r="M29" s="103" t="s">
        <v>84</v>
      </c>
      <c r="N29" s="104"/>
      <c r="O29" s="87"/>
      <c r="P29" s="95"/>
      <c r="Q29" s="98"/>
      <c r="R29" s="105">
        <f t="shared" si="9"/>
        <v>0</v>
      </c>
      <c r="S29" s="106">
        <f t="shared" si="5"/>
        <v>0</v>
      </c>
      <c r="T29" s="106">
        <f t="shared" si="6"/>
        <v>0</v>
      </c>
      <c r="U29" s="107">
        <f t="shared" si="7"/>
        <v>0</v>
      </c>
      <c r="V29" s="107">
        <f t="shared" si="8"/>
        <v>0</v>
      </c>
      <c r="W29" s="108"/>
      <c r="X29" s="92"/>
      <c r="Y29" s="4" t="s">
        <v>102</v>
      </c>
      <c r="Z29" s="4"/>
      <c r="AA29" s="4"/>
      <c r="AB29" s="4"/>
    </row>
    <row r="30" spans="1:28" x14ac:dyDescent="0.25">
      <c r="A30" s="1"/>
      <c r="B30" s="77"/>
      <c r="C30" s="109"/>
      <c r="D30" s="110"/>
      <c r="E30" s="80"/>
      <c r="F30" s="81"/>
      <c r="G30" s="82">
        <f t="shared" si="1"/>
        <v>0</v>
      </c>
      <c r="H30" s="83">
        <f t="shared" si="2"/>
        <v>0</v>
      </c>
      <c r="I30" s="101"/>
      <c r="J30" s="85">
        <f t="shared" si="0"/>
        <v>0</v>
      </c>
      <c r="K30" s="82">
        <f t="shared" si="3"/>
        <v>0</v>
      </c>
      <c r="L30" s="82">
        <f t="shared" si="4"/>
        <v>0</v>
      </c>
      <c r="M30" s="81" t="s">
        <v>84</v>
      </c>
      <c r="N30" s="111">
        <v>0.5</v>
      </c>
      <c r="O30" s="87"/>
      <c r="P30" s="112"/>
      <c r="Q30" s="88"/>
      <c r="R30" s="89">
        <f t="shared" si="9"/>
        <v>0</v>
      </c>
      <c r="S30" s="89">
        <f t="shared" si="5"/>
        <v>0</v>
      </c>
      <c r="T30" s="89">
        <f t="shared" si="6"/>
        <v>0</v>
      </c>
      <c r="U30" s="90">
        <f t="shared" si="7"/>
        <v>0</v>
      </c>
      <c r="V30" s="90">
        <f t="shared" si="8"/>
        <v>0</v>
      </c>
      <c r="W30" s="91"/>
      <c r="X30" s="92"/>
      <c r="Y30" s="4"/>
      <c r="Z30" s="4"/>
      <c r="AA30" s="4"/>
      <c r="AB30" s="4"/>
    </row>
    <row r="31" spans="1:28" x14ac:dyDescent="0.25">
      <c r="A31" s="1"/>
      <c r="B31" s="95"/>
      <c r="C31" s="13"/>
      <c r="D31" s="96"/>
      <c r="E31" s="97"/>
      <c r="F31" s="98"/>
      <c r="G31" s="99">
        <f t="shared" si="1"/>
        <v>0</v>
      </c>
      <c r="H31" s="100">
        <f t="shared" si="2"/>
        <v>0</v>
      </c>
      <c r="I31" s="101"/>
      <c r="J31" s="102">
        <f t="shared" si="0"/>
        <v>0</v>
      </c>
      <c r="K31" s="99">
        <f t="shared" si="3"/>
        <v>0</v>
      </c>
      <c r="L31" s="99">
        <f t="shared" si="4"/>
        <v>0</v>
      </c>
      <c r="M31" s="103" t="s">
        <v>84</v>
      </c>
      <c r="N31" s="104">
        <v>0.5</v>
      </c>
      <c r="O31" s="87"/>
      <c r="P31" s="95"/>
      <c r="Q31" s="98"/>
      <c r="R31" s="105">
        <f>ROUND(IF($R$17=$Q$17,Q31,IF($R$17="USD $",Q31*$D$15,Q31*$E$15))*E31,2)</f>
        <v>0</v>
      </c>
      <c r="S31" s="106">
        <f t="shared" si="5"/>
        <v>0</v>
      </c>
      <c r="T31" s="106">
        <f t="shared" si="6"/>
        <v>0</v>
      </c>
      <c r="U31" s="107">
        <f t="shared" si="7"/>
        <v>0</v>
      </c>
      <c r="V31" s="107">
        <f t="shared" si="8"/>
        <v>0</v>
      </c>
      <c r="W31" s="108"/>
      <c r="X31" s="92"/>
      <c r="Y31" s="4" t="s">
        <v>84</v>
      </c>
      <c r="Z31" s="4"/>
      <c r="AA31" s="4"/>
      <c r="AB31" s="4"/>
    </row>
    <row r="32" spans="1:28" x14ac:dyDescent="0.25">
      <c r="A32" s="1"/>
      <c r="B32" s="77">
        <v>7326130</v>
      </c>
      <c r="C32" s="109" t="s">
        <v>103</v>
      </c>
      <c r="D32" s="110"/>
      <c r="E32" s="80">
        <v>1</v>
      </c>
      <c r="F32" s="81">
        <v>2758.99</v>
      </c>
      <c r="G32" s="82">
        <f t="shared" si="1"/>
        <v>1902.75</v>
      </c>
      <c r="H32" s="83">
        <f t="shared" si="2"/>
        <v>2758.99</v>
      </c>
      <c r="I32" s="101"/>
      <c r="J32" s="85">
        <f t="shared" si="0"/>
        <v>1</v>
      </c>
      <c r="K32" s="82">
        <f t="shared" si="3"/>
        <v>1379.5</v>
      </c>
      <c r="L32" s="82">
        <f t="shared" si="4"/>
        <v>1379.5</v>
      </c>
      <c r="M32" s="81" t="s">
        <v>84</v>
      </c>
      <c r="N32" s="111">
        <v>0.5</v>
      </c>
      <c r="O32" s="87"/>
      <c r="P32" s="112"/>
      <c r="Q32" s="88"/>
      <c r="R32" s="89">
        <f t="shared" si="9"/>
        <v>0</v>
      </c>
      <c r="S32" s="89">
        <f t="shared" si="5"/>
        <v>1379.5</v>
      </c>
      <c r="T32" s="89">
        <f t="shared" si="6"/>
        <v>1379.5</v>
      </c>
      <c r="U32" s="90">
        <f t="shared" si="7"/>
        <v>0</v>
      </c>
      <c r="V32" s="90">
        <f t="shared" si="8"/>
        <v>1</v>
      </c>
      <c r="W32" s="91"/>
      <c r="X32" s="92"/>
      <c r="Y32" s="4" t="s">
        <v>104</v>
      </c>
      <c r="Z32" s="4"/>
      <c r="AA32" s="4"/>
      <c r="AB32" s="4"/>
    </row>
    <row r="33" spans="1:28" x14ac:dyDescent="0.25">
      <c r="A33" s="1"/>
      <c r="B33" s="95"/>
      <c r="C33" s="13"/>
      <c r="D33" s="96"/>
      <c r="E33" s="97"/>
      <c r="F33" s="98"/>
      <c r="G33" s="99">
        <f t="shared" si="1"/>
        <v>0</v>
      </c>
      <c r="H33" s="100">
        <f t="shared" si="2"/>
        <v>0</v>
      </c>
      <c r="I33" s="101"/>
      <c r="J33" s="102">
        <f t="shared" si="0"/>
        <v>0</v>
      </c>
      <c r="K33" s="99">
        <f t="shared" si="3"/>
        <v>0</v>
      </c>
      <c r="L33" s="99">
        <f t="shared" si="4"/>
        <v>0</v>
      </c>
      <c r="M33" s="103" t="s">
        <v>84</v>
      </c>
      <c r="N33" s="104">
        <v>0.5</v>
      </c>
      <c r="O33" s="87"/>
      <c r="P33" s="95"/>
      <c r="Q33" s="98"/>
      <c r="R33" s="105">
        <f t="shared" si="9"/>
        <v>0</v>
      </c>
      <c r="S33" s="106">
        <f t="shared" si="5"/>
        <v>0</v>
      </c>
      <c r="T33" s="106">
        <f t="shared" si="6"/>
        <v>0</v>
      </c>
      <c r="U33" s="107">
        <f t="shared" si="7"/>
        <v>0</v>
      </c>
      <c r="V33" s="107">
        <f t="shared" si="8"/>
        <v>0</v>
      </c>
      <c r="W33" s="108"/>
      <c r="X33" s="92"/>
      <c r="Y33" s="4"/>
      <c r="Z33" s="4"/>
      <c r="AA33" s="4"/>
      <c r="AB33" s="4"/>
    </row>
    <row r="34" spans="1:28" x14ac:dyDescent="0.25">
      <c r="A34" s="1"/>
      <c r="B34" s="77"/>
      <c r="C34" s="109"/>
      <c r="D34" s="110"/>
      <c r="E34" s="80"/>
      <c r="F34" s="81"/>
      <c r="G34" s="82">
        <f t="shared" si="1"/>
        <v>0</v>
      </c>
      <c r="H34" s="83">
        <f t="shared" si="2"/>
        <v>0</v>
      </c>
      <c r="I34" s="101"/>
      <c r="J34" s="85">
        <f t="shared" si="0"/>
        <v>0</v>
      </c>
      <c r="K34" s="82">
        <f t="shared" si="3"/>
        <v>0</v>
      </c>
      <c r="L34" s="82">
        <f t="shared" si="4"/>
        <v>0</v>
      </c>
      <c r="M34" s="81" t="s">
        <v>84</v>
      </c>
      <c r="N34" s="111">
        <v>0.5</v>
      </c>
      <c r="O34" s="87"/>
      <c r="P34" s="112"/>
      <c r="Q34" s="88"/>
      <c r="R34" s="89">
        <f t="shared" si="9"/>
        <v>0</v>
      </c>
      <c r="S34" s="89">
        <f t="shared" si="5"/>
        <v>0</v>
      </c>
      <c r="T34" s="89">
        <f t="shared" si="6"/>
        <v>0</v>
      </c>
      <c r="U34" s="90">
        <f t="shared" si="7"/>
        <v>0</v>
      </c>
      <c r="V34" s="90">
        <f t="shared" si="8"/>
        <v>0</v>
      </c>
      <c r="W34" s="91"/>
      <c r="X34" s="92"/>
      <c r="Y34" s="4"/>
      <c r="Z34" s="4"/>
      <c r="AA34" s="4"/>
      <c r="AB34" s="4"/>
    </row>
    <row r="35" spans="1:28" x14ac:dyDescent="0.25">
      <c r="A35" s="1"/>
      <c r="B35" s="95"/>
      <c r="C35" s="13"/>
      <c r="D35" s="96"/>
      <c r="E35" s="97"/>
      <c r="F35" s="98"/>
      <c r="G35" s="99">
        <f t="shared" si="1"/>
        <v>0</v>
      </c>
      <c r="H35" s="100">
        <f t="shared" si="2"/>
        <v>0</v>
      </c>
      <c r="I35" s="101"/>
      <c r="J35" s="102">
        <f t="shared" si="0"/>
        <v>0</v>
      </c>
      <c r="K35" s="99">
        <f t="shared" si="3"/>
        <v>0</v>
      </c>
      <c r="L35" s="99">
        <f t="shared" si="4"/>
        <v>0</v>
      </c>
      <c r="M35" s="103" t="s">
        <v>84</v>
      </c>
      <c r="N35" s="104">
        <v>0.5</v>
      </c>
      <c r="O35" s="87"/>
      <c r="P35" s="95"/>
      <c r="Q35" s="98"/>
      <c r="R35" s="105">
        <f t="shared" si="9"/>
        <v>0</v>
      </c>
      <c r="S35" s="106">
        <f t="shared" si="5"/>
        <v>0</v>
      </c>
      <c r="T35" s="106">
        <f t="shared" si="6"/>
        <v>0</v>
      </c>
      <c r="U35" s="107">
        <f t="shared" si="7"/>
        <v>0</v>
      </c>
      <c r="V35" s="107">
        <f t="shared" si="8"/>
        <v>0</v>
      </c>
      <c r="W35" s="108"/>
      <c r="X35" s="92"/>
      <c r="Y35" s="4"/>
      <c r="Z35" s="4"/>
      <c r="AA35" s="4"/>
      <c r="AB35" s="4"/>
    </row>
    <row r="36" spans="1:28" x14ac:dyDescent="0.25">
      <c r="A36" s="1"/>
      <c r="B36" s="77"/>
      <c r="C36" s="109"/>
      <c r="D36" s="110"/>
      <c r="E36" s="80"/>
      <c r="F36" s="81"/>
      <c r="G36" s="82">
        <f t="shared" si="1"/>
        <v>0</v>
      </c>
      <c r="H36" s="83">
        <f t="shared" si="2"/>
        <v>0</v>
      </c>
      <c r="I36" s="101"/>
      <c r="J36" s="85">
        <f t="shared" si="0"/>
        <v>0</v>
      </c>
      <c r="K36" s="82">
        <f t="shared" si="3"/>
        <v>0</v>
      </c>
      <c r="L36" s="82">
        <f t="shared" si="4"/>
        <v>0</v>
      </c>
      <c r="M36" s="81" t="s">
        <v>84</v>
      </c>
      <c r="N36" s="111"/>
      <c r="O36" s="87"/>
      <c r="P36" s="112"/>
      <c r="Q36" s="88"/>
      <c r="R36" s="89">
        <f t="shared" si="9"/>
        <v>0</v>
      </c>
      <c r="S36" s="89">
        <f t="shared" si="5"/>
        <v>0</v>
      </c>
      <c r="T36" s="89">
        <f t="shared" si="6"/>
        <v>0</v>
      </c>
      <c r="U36" s="90">
        <f t="shared" si="7"/>
        <v>0</v>
      </c>
      <c r="V36" s="90">
        <f t="shared" si="8"/>
        <v>0</v>
      </c>
      <c r="W36" s="91"/>
      <c r="X36" s="92"/>
      <c r="Y36" s="4"/>
      <c r="Z36" s="4"/>
      <c r="AA36" s="4"/>
      <c r="AB36" s="4"/>
    </row>
    <row r="37" spans="1:28" x14ac:dyDescent="0.25">
      <c r="A37" s="1"/>
      <c r="B37" s="95"/>
      <c r="C37" s="13"/>
      <c r="D37" s="96"/>
      <c r="E37" s="97"/>
      <c r="F37" s="98"/>
      <c r="G37" s="99">
        <f t="shared" si="1"/>
        <v>0</v>
      </c>
      <c r="H37" s="100">
        <f t="shared" si="2"/>
        <v>0</v>
      </c>
      <c r="I37" s="101"/>
      <c r="J37" s="102">
        <f t="shared" si="0"/>
        <v>0</v>
      </c>
      <c r="K37" s="99">
        <f t="shared" si="3"/>
        <v>0</v>
      </c>
      <c r="L37" s="99">
        <f t="shared" si="4"/>
        <v>0</v>
      </c>
      <c r="M37" s="103" t="s">
        <v>84</v>
      </c>
      <c r="N37" s="104"/>
      <c r="O37" s="87"/>
      <c r="P37" s="95"/>
      <c r="Q37" s="98"/>
      <c r="R37" s="105">
        <f t="shared" si="9"/>
        <v>0</v>
      </c>
      <c r="S37" s="106">
        <f t="shared" si="5"/>
        <v>0</v>
      </c>
      <c r="T37" s="106">
        <f t="shared" si="6"/>
        <v>0</v>
      </c>
      <c r="U37" s="107">
        <f t="shared" si="7"/>
        <v>0</v>
      </c>
      <c r="V37" s="107">
        <f t="shared" si="8"/>
        <v>0</v>
      </c>
      <c r="W37" s="108"/>
      <c r="X37" s="92"/>
      <c r="Y37" s="4"/>
      <c r="Z37" s="4"/>
      <c r="AA37" s="4"/>
      <c r="AB37" s="4"/>
    </row>
    <row r="38" spans="1:28" x14ac:dyDescent="0.25">
      <c r="A38" s="1"/>
      <c r="B38" s="77"/>
      <c r="C38" s="109"/>
      <c r="D38" s="110"/>
      <c r="E38" s="80"/>
      <c r="F38" s="81"/>
      <c r="G38" s="82">
        <f t="shared" si="1"/>
        <v>0</v>
      </c>
      <c r="H38" s="83">
        <f t="shared" si="2"/>
        <v>0</v>
      </c>
      <c r="I38" s="101"/>
      <c r="J38" s="85">
        <f t="shared" si="0"/>
        <v>0</v>
      </c>
      <c r="K38" s="82">
        <f t="shared" si="3"/>
        <v>0</v>
      </c>
      <c r="L38" s="82">
        <f t="shared" si="4"/>
        <v>0</v>
      </c>
      <c r="M38" s="81" t="s">
        <v>84</v>
      </c>
      <c r="N38" s="111"/>
      <c r="O38" s="87"/>
      <c r="P38" s="112"/>
      <c r="Q38" s="88"/>
      <c r="R38" s="89">
        <f t="shared" si="9"/>
        <v>0</v>
      </c>
      <c r="S38" s="89">
        <f t="shared" si="5"/>
        <v>0</v>
      </c>
      <c r="T38" s="89">
        <f t="shared" si="6"/>
        <v>0</v>
      </c>
      <c r="U38" s="90">
        <f t="shared" si="7"/>
        <v>0</v>
      </c>
      <c r="V38" s="90">
        <f t="shared" si="8"/>
        <v>0</v>
      </c>
      <c r="W38" s="108"/>
      <c r="X38" s="92"/>
      <c r="Y38" s="4"/>
      <c r="Z38" s="4"/>
      <c r="AA38" s="4"/>
      <c r="AB38" s="4"/>
    </row>
    <row r="39" spans="1:28" x14ac:dyDescent="0.25">
      <c r="A39" s="1"/>
      <c r="B39" s="95"/>
      <c r="C39" s="13"/>
      <c r="D39" s="96"/>
      <c r="E39" s="97"/>
      <c r="F39" s="98"/>
      <c r="G39" s="99">
        <f t="shared" si="1"/>
        <v>0</v>
      </c>
      <c r="H39" s="100">
        <f t="shared" si="2"/>
        <v>0</v>
      </c>
      <c r="I39" s="101"/>
      <c r="J39" s="102">
        <f t="shared" si="0"/>
        <v>0</v>
      </c>
      <c r="K39" s="99">
        <f t="shared" si="3"/>
        <v>0</v>
      </c>
      <c r="L39" s="99">
        <f t="shared" si="4"/>
        <v>0</v>
      </c>
      <c r="M39" s="103" t="s">
        <v>84</v>
      </c>
      <c r="N39" s="104"/>
      <c r="O39" s="87"/>
      <c r="P39" s="95"/>
      <c r="Q39" s="98"/>
      <c r="R39" s="105">
        <f t="shared" si="9"/>
        <v>0</v>
      </c>
      <c r="S39" s="106">
        <f t="shared" si="5"/>
        <v>0</v>
      </c>
      <c r="T39" s="106">
        <f t="shared" si="6"/>
        <v>0</v>
      </c>
      <c r="U39" s="107">
        <f t="shared" si="7"/>
        <v>0</v>
      </c>
      <c r="V39" s="107">
        <f t="shared" si="8"/>
        <v>0</v>
      </c>
      <c r="W39" s="108"/>
      <c r="X39" s="92"/>
      <c r="Y39" s="4"/>
      <c r="Z39" s="4"/>
      <c r="AA39" s="4"/>
      <c r="AB39" s="4"/>
    </row>
    <row r="40" spans="1:28" x14ac:dyDescent="0.25">
      <c r="A40" s="1"/>
      <c r="B40" s="77">
        <v>7408138</v>
      </c>
      <c r="C40" s="109" t="s">
        <v>105</v>
      </c>
      <c r="D40" s="110"/>
      <c r="E40" s="80">
        <v>2</v>
      </c>
      <c r="F40" s="81">
        <v>1497.99</v>
      </c>
      <c r="G40" s="82">
        <f t="shared" si="1"/>
        <v>1033.0999999999999</v>
      </c>
      <c r="H40" s="83">
        <f t="shared" si="2"/>
        <v>2995.98</v>
      </c>
      <c r="I40" s="101"/>
      <c r="J40" s="85">
        <f t="shared" si="0"/>
        <v>2</v>
      </c>
      <c r="K40" s="82">
        <f t="shared" si="3"/>
        <v>749</v>
      </c>
      <c r="L40" s="82">
        <f t="shared" si="4"/>
        <v>1498</v>
      </c>
      <c r="M40" s="81" t="s">
        <v>84</v>
      </c>
      <c r="N40" s="111">
        <v>0.5</v>
      </c>
      <c r="O40" s="87"/>
      <c r="P40" s="112"/>
      <c r="Q40" s="88"/>
      <c r="R40" s="89">
        <f t="shared" si="9"/>
        <v>0</v>
      </c>
      <c r="S40" s="89">
        <f t="shared" si="5"/>
        <v>749</v>
      </c>
      <c r="T40" s="89">
        <f t="shared" si="6"/>
        <v>1498</v>
      </c>
      <c r="U40" s="90">
        <f t="shared" si="7"/>
        <v>0</v>
      </c>
      <c r="V40" s="90">
        <f t="shared" si="8"/>
        <v>1</v>
      </c>
      <c r="W40" s="108"/>
      <c r="X40" s="92"/>
      <c r="Y40" s="4"/>
      <c r="Z40" s="4"/>
      <c r="AA40" s="4"/>
      <c r="AB40" s="4"/>
    </row>
    <row r="41" spans="1:28" x14ac:dyDescent="0.25">
      <c r="A41" s="1"/>
      <c r="B41" s="95"/>
      <c r="C41" s="13"/>
      <c r="D41" s="96"/>
      <c r="E41" s="97"/>
      <c r="F41" s="98"/>
      <c r="G41" s="99">
        <f t="shared" si="1"/>
        <v>0</v>
      </c>
      <c r="H41" s="100">
        <f t="shared" si="2"/>
        <v>0</v>
      </c>
      <c r="I41" s="101"/>
      <c r="J41" s="102">
        <f t="shared" si="0"/>
        <v>0</v>
      </c>
      <c r="K41" s="99">
        <f t="shared" si="3"/>
        <v>0</v>
      </c>
      <c r="L41" s="99">
        <f t="shared" si="4"/>
        <v>0</v>
      </c>
      <c r="M41" s="103" t="s">
        <v>84</v>
      </c>
      <c r="N41" s="104">
        <v>0.5</v>
      </c>
      <c r="O41" s="87"/>
      <c r="P41" s="95"/>
      <c r="Q41" s="98"/>
      <c r="R41" s="105">
        <f t="shared" si="9"/>
        <v>0</v>
      </c>
      <c r="S41" s="106">
        <f t="shared" si="5"/>
        <v>0</v>
      </c>
      <c r="T41" s="106">
        <f t="shared" si="6"/>
        <v>0</v>
      </c>
      <c r="U41" s="107">
        <f t="shared" si="7"/>
        <v>0</v>
      </c>
      <c r="V41" s="107">
        <f t="shared" si="8"/>
        <v>0</v>
      </c>
      <c r="W41" s="108"/>
      <c r="X41" s="92"/>
      <c r="Y41" s="4"/>
      <c r="Z41" s="4"/>
      <c r="AA41" s="4"/>
      <c r="AB41" s="4"/>
    </row>
    <row r="42" spans="1:28" x14ac:dyDescent="0.25">
      <c r="A42" s="1"/>
      <c r="B42" s="77">
        <v>7229101</v>
      </c>
      <c r="C42" s="109" t="s">
        <v>106</v>
      </c>
      <c r="D42" s="110"/>
      <c r="E42" s="80">
        <v>2</v>
      </c>
      <c r="F42" s="81">
        <v>840.99</v>
      </c>
      <c r="G42" s="82">
        <f t="shared" si="1"/>
        <v>579.99</v>
      </c>
      <c r="H42" s="83">
        <f t="shared" si="2"/>
        <v>1681.98</v>
      </c>
      <c r="I42" s="101"/>
      <c r="J42" s="85">
        <f t="shared" si="0"/>
        <v>2</v>
      </c>
      <c r="K42" s="82">
        <f t="shared" si="3"/>
        <v>420.5</v>
      </c>
      <c r="L42" s="82">
        <f t="shared" si="4"/>
        <v>841</v>
      </c>
      <c r="M42" s="81" t="s">
        <v>84</v>
      </c>
      <c r="N42" s="111">
        <v>0.5</v>
      </c>
      <c r="O42" s="87"/>
      <c r="P42" s="112"/>
      <c r="Q42" s="88"/>
      <c r="R42" s="89">
        <f t="shared" si="9"/>
        <v>0</v>
      </c>
      <c r="S42" s="89">
        <f t="shared" si="5"/>
        <v>420.5</v>
      </c>
      <c r="T42" s="89">
        <f t="shared" si="6"/>
        <v>841</v>
      </c>
      <c r="U42" s="90">
        <f t="shared" si="7"/>
        <v>0</v>
      </c>
      <c r="V42" s="90">
        <f t="shared" si="8"/>
        <v>1</v>
      </c>
      <c r="W42" s="108"/>
      <c r="X42" s="92"/>
      <c r="Y42" s="4"/>
      <c r="Z42" s="4"/>
      <c r="AA42" s="4"/>
      <c r="AB42" s="4"/>
    </row>
    <row r="43" spans="1:28" x14ac:dyDescent="0.25">
      <c r="A43" s="1"/>
      <c r="B43" s="95">
        <v>7233630</v>
      </c>
      <c r="C43" s="13" t="s">
        <v>107</v>
      </c>
      <c r="D43" s="96"/>
      <c r="E43" s="97">
        <v>2</v>
      </c>
      <c r="F43" s="98">
        <v>620.99</v>
      </c>
      <c r="G43" s="99">
        <f t="shared" si="1"/>
        <v>428.27</v>
      </c>
      <c r="H43" s="100">
        <f t="shared" si="2"/>
        <v>1241.98</v>
      </c>
      <c r="I43" s="101"/>
      <c r="J43" s="102">
        <f t="shared" si="0"/>
        <v>2</v>
      </c>
      <c r="K43" s="99">
        <f t="shared" si="3"/>
        <v>310.5</v>
      </c>
      <c r="L43" s="99">
        <f t="shared" si="4"/>
        <v>621</v>
      </c>
      <c r="M43" s="103" t="s">
        <v>84</v>
      </c>
      <c r="N43" s="104">
        <v>0.5</v>
      </c>
      <c r="O43" s="87"/>
      <c r="P43" s="95"/>
      <c r="Q43" s="98"/>
      <c r="R43" s="105">
        <f t="shared" si="9"/>
        <v>0</v>
      </c>
      <c r="S43" s="106">
        <f t="shared" si="5"/>
        <v>310.5</v>
      </c>
      <c r="T43" s="106">
        <f t="shared" si="6"/>
        <v>621</v>
      </c>
      <c r="U43" s="107">
        <f t="shared" si="7"/>
        <v>0</v>
      </c>
      <c r="V43" s="107">
        <f t="shared" si="8"/>
        <v>1</v>
      </c>
      <c r="W43" s="108"/>
      <c r="X43" s="92"/>
      <c r="Y43" s="4"/>
      <c r="Z43" s="4"/>
      <c r="AA43" s="4"/>
      <c r="AB43" s="4"/>
    </row>
    <row r="44" spans="1:28" x14ac:dyDescent="0.25">
      <c r="A44" s="1"/>
      <c r="B44" s="77">
        <v>7352427</v>
      </c>
      <c r="C44" s="109" t="s">
        <v>108</v>
      </c>
      <c r="D44" s="110"/>
      <c r="E44" s="80">
        <v>10</v>
      </c>
      <c r="F44" s="81">
        <v>437.99</v>
      </c>
      <c r="G44" s="82">
        <f t="shared" si="1"/>
        <v>302.06</v>
      </c>
      <c r="H44" s="83">
        <f t="shared" si="2"/>
        <v>4379.8999999999996</v>
      </c>
      <c r="I44" s="101"/>
      <c r="J44" s="85">
        <f t="shared" si="0"/>
        <v>10</v>
      </c>
      <c r="K44" s="82">
        <f t="shared" si="3"/>
        <v>219</v>
      </c>
      <c r="L44" s="82">
        <f t="shared" si="4"/>
        <v>2190</v>
      </c>
      <c r="M44" s="81" t="s">
        <v>84</v>
      </c>
      <c r="N44" s="111">
        <v>0.5</v>
      </c>
      <c r="O44" s="87"/>
      <c r="P44" s="112"/>
      <c r="Q44" s="88"/>
      <c r="R44" s="89">
        <f t="shared" si="9"/>
        <v>0</v>
      </c>
      <c r="S44" s="89">
        <f t="shared" si="5"/>
        <v>219</v>
      </c>
      <c r="T44" s="89">
        <f t="shared" si="6"/>
        <v>2190</v>
      </c>
      <c r="U44" s="90">
        <f t="shared" si="7"/>
        <v>0</v>
      </c>
      <c r="V44" s="90">
        <f t="shared" si="8"/>
        <v>1</v>
      </c>
      <c r="W44" s="108"/>
      <c r="X44" s="92"/>
      <c r="Y44" s="4"/>
      <c r="Z44" s="4"/>
      <c r="AA44" s="4"/>
      <c r="AB44" s="4"/>
    </row>
    <row r="45" spans="1:28" x14ac:dyDescent="0.25">
      <c r="A45" s="1"/>
      <c r="B45" s="95"/>
      <c r="C45" s="13"/>
      <c r="D45" s="96"/>
      <c r="E45" s="97"/>
      <c r="F45" s="98"/>
      <c r="G45" s="99">
        <f t="shared" si="1"/>
        <v>0</v>
      </c>
      <c r="H45" s="100">
        <f t="shared" si="2"/>
        <v>0</v>
      </c>
      <c r="I45" s="101"/>
      <c r="J45" s="102">
        <f t="shared" si="0"/>
        <v>0</v>
      </c>
      <c r="K45" s="99">
        <f t="shared" si="3"/>
        <v>0</v>
      </c>
      <c r="L45" s="99">
        <f t="shared" si="4"/>
        <v>0</v>
      </c>
      <c r="M45" s="103" t="s">
        <v>84</v>
      </c>
      <c r="N45" s="104">
        <v>0.5</v>
      </c>
      <c r="O45" s="87"/>
      <c r="P45" s="95"/>
      <c r="Q45" s="98"/>
      <c r="R45" s="105">
        <f t="shared" si="9"/>
        <v>0</v>
      </c>
      <c r="S45" s="106">
        <f t="shared" si="5"/>
        <v>0</v>
      </c>
      <c r="T45" s="106">
        <f t="shared" si="6"/>
        <v>0</v>
      </c>
      <c r="U45" s="107">
        <f t="shared" si="7"/>
        <v>0</v>
      </c>
      <c r="V45" s="107">
        <f t="shared" si="8"/>
        <v>0</v>
      </c>
      <c r="W45" s="108"/>
      <c r="X45" s="92"/>
      <c r="Y45" s="4"/>
      <c r="Z45" s="4"/>
      <c r="AA45" s="4"/>
      <c r="AB45" s="4"/>
    </row>
    <row r="46" spans="1:28" x14ac:dyDescent="0.25">
      <c r="A46" s="1"/>
      <c r="B46" s="77"/>
      <c r="C46" s="109"/>
      <c r="D46" s="110"/>
      <c r="E46" s="80"/>
      <c r="F46" s="81"/>
      <c r="G46" s="82">
        <f t="shared" si="1"/>
        <v>0</v>
      </c>
      <c r="H46" s="83">
        <f t="shared" si="2"/>
        <v>0</v>
      </c>
      <c r="I46" s="101"/>
      <c r="J46" s="85">
        <f t="shared" si="0"/>
        <v>0</v>
      </c>
      <c r="K46" s="82">
        <f t="shared" si="3"/>
        <v>0</v>
      </c>
      <c r="L46" s="82">
        <f t="shared" si="4"/>
        <v>0</v>
      </c>
      <c r="M46" s="81" t="s">
        <v>84</v>
      </c>
      <c r="N46" s="111">
        <v>0.5</v>
      </c>
      <c r="O46" s="87"/>
      <c r="P46" s="112"/>
      <c r="Q46" s="88"/>
      <c r="R46" s="89">
        <f t="shared" si="9"/>
        <v>0</v>
      </c>
      <c r="S46" s="89">
        <f t="shared" si="5"/>
        <v>0</v>
      </c>
      <c r="T46" s="89">
        <f t="shared" si="6"/>
        <v>0</v>
      </c>
      <c r="U46" s="90">
        <f t="shared" si="7"/>
        <v>0</v>
      </c>
      <c r="V46" s="90">
        <f t="shared" si="8"/>
        <v>0</v>
      </c>
      <c r="W46" s="108"/>
      <c r="X46" s="92"/>
      <c r="Y46" s="4"/>
      <c r="Z46" s="4"/>
      <c r="AA46" s="4"/>
      <c r="AB46" s="4"/>
    </row>
    <row r="47" spans="1:28" x14ac:dyDescent="0.25">
      <c r="A47" s="1"/>
      <c r="B47" s="95"/>
      <c r="C47" s="13"/>
      <c r="D47" s="96"/>
      <c r="E47" s="97"/>
      <c r="F47" s="98"/>
      <c r="G47" s="99">
        <f t="shared" si="1"/>
        <v>0</v>
      </c>
      <c r="H47" s="100">
        <f t="shared" si="2"/>
        <v>0</v>
      </c>
      <c r="I47" s="101"/>
      <c r="J47" s="102">
        <f t="shared" si="0"/>
        <v>0</v>
      </c>
      <c r="K47" s="99">
        <f t="shared" si="3"/>
        <v>0</v>
      </c>
      <c r="L47" s="99">
        <f t="shared" si="4"/>
        <v>0</v>
      </c>
      <c r="M47" s="103" t="s">
        <v>84</v>
      </c>
      <c r="N47" s="104">
        <v>0.5</v>
      </c>
      <c r="O47" s="87"/>
      <c r="P47" s="95"/>
      <c r="Q47" s="98"/>
      <c r="R47" s="105">
        <f t="shared" si="9"/>
        <v>0</v>
      </c>
      <c r="S47" s="106">
        <f t="shared" si="5"/>
        <v>0</v>
      </c>
      <c r="T47" s="106">
        <f t="shared" si="6"/>
        <v>0</v>
      </c>
      <c r="U47" s="107">
        <f t="shared" si="7"/>
        <v>0</v>
      </c>
      <c r="V47" s="107">
        <f t="shared" si="8"/>
        <v>0</v>
      </c>
      <c r="W47" s="108"/>
      <c r="X47" s="92"/>
      <c r="Y47" s="4"/>
      <c r="Z47" s="4"/>
      <c r="AA47" s="4"/>
      <c r="AB47" s="4"/>
    </row>
    <row r="48" spans="1:28" x14ac:dyDescent="0.25">
      <c r="A48" s="1"/>
      <c r="B48" s="77"/>
      <c r="C48" s="109"/>
      <c r="D48" s="110"/>
      <c r="E48" s="80"/>
      <c r="F48" s="81"/>
      <c r="G48" s="82">
        <f t="shared" si="1"/>
        <v>0</v>
      </c>
      <c r="H48" s="83">
        <f t="shared" si="2"/>
        <v>0</v>
      </c>
      <c r="I48" s="101"/>
      <c r="J48" s="85">
        <f t="shared" si="0"/>
        <v>0</v>
      </c>
      <c r="K48" s="82">
        <f t="shared" si="3"/>
        <v>0</v>
      </c>
      <c r="L48" s="82">
        <f t="shared" si="4"/>
        <v>0</v>
      </c>
      <c r="M48" s="81" t="s">
        <v>84</v>
      </c>
      <c r="N48" s="111"/>
      <c r="O48" s="87"/>
      <c r="P48" s="112"/>
      <c r="Q48" s="88"/>
      <c r="R48" s="89">
        <f t="shared" si="9"/>
        <v>0</v>
      </c>
      <c r="S48" s="89">
        <f t="shared" si="5"/>
        <v>0</v>
      </c>
      <c r="T48" s="89">
        <f t="shared" si="6"/>
        <v>0</v>
      </c>
      <c r="U48" s="90">
        <f t="shared" si="7"/>
        <v>0</v>
      </c>
      <c r="V48" s="90">
        <f t="shared" si="8"/>
        <v>0</v>
      </c>
      <c r="W48" s="108"/>
      <c r="X48" s="92"/>
      <c r="Y48" s="4"/>
      <c r="Z48" s="4"/>
      <c r="AA48" s="4"/>
      <c r="AB48" s="4"/>
    </row>
    <row r="49" spans="1:28" x14ac:dyDescent="0.25">
      <c r="A49" s="1"/>
      <c r="B49" s="95"/>
      <c r="C49" s="13" t="s">
        <v>109</v>
      </c>
      <c r="D49" s="96"/>
      <c r="E49" s="97">
        <v>1</v>
      </c>
      <c r="F49" s="98"/>
      <c r="G49" s="99">
        <f t="shared" si="1"/>
        <v>0</v>
      </c>
      <c r="H49" s="100">
        <f t="shared" si="2"/>
        <v>0</v>
      </c>
      <c r="I49" s="101"/>
      <c r="J49" s="102">
        <f t="shared" si="0"/>
        <v>1</v>
      </c>
      <c r="K49" s="99">
        <f t="shared" si="3"/>
        <v>0</v>
      </c>
      <c r="L49" s="99">
        <f t="shared" si="4"/>
        <v>0</v>
      </c>
      <c r="M49" s="103" t="s">
        <v>84</v>
      </c>
      <c r="N49" s="104">
        <v>0.5</v>
      </c>
      <c r="O49" s="87"/>
      <c r="P49" s="95"/>
      <c r="Q49" s="98"/>
      <c r="R49" s="105">
        <f t="shared" si="9"/>
        <v>0</v>
      </c>
      <c r="S49" s="106">
        <f t="shared" si="5"/>
        <v>0</v>
      </c>
      <c r="T49" s="106">
        <f t="shared" si="6"/>
        <v>0</v>
      </c>
      <c r="U49" s="107">
        <f t="shared" si="7"/>
        <v>0</v>
      </c>
      <c r="V49" s="107">
        <f t="shared" si="8"/>
        <v>0</v>
      </c>
      <c r="W49" s="108"/>
      <c r="X49" s="92"/>
      <c r="Y49" s="4"/>
      <c r="Z49" s="4"/>
      <c r="AA49" s="4"/>
      <c r="AB49" s="4"/>
    </row>
    <row r="50" spans="1:28" x14ac:dyDescent="0.25">
      <c r="A50" s="1"/>
      <c r="B50" s="77"/>
      <c r="C50" s="109" t="s">
        <v>110</v>
      </c>
      <c r="D50" s="110"/>
      <c r="E50" s="80">
        <v>1</v>
      </c>
      <c r="F50" s="81"/>
      <c r="G50" s="82">
        <f t="shared" si="1"/>
        <v>0</v>
      </c>
      <c r="H50" s="83">
        <f t="shared" si="2"/>
        <v>0</v>
      </c>
      <c r="I50" s="101"/>
      <c r="J50" s="85">
        <f t="shared" si="0"/>
        <v>1</v>
      </c>
      <c r="K50" s="82">
        <f t="shared" si="3"/>
        <v>0</v>
      </c>
      <c r="L50" s="82">
        <f t="shared" si="4"/>
        <v>0</v>
      </c>
      <c r="M50" s="81" t="s">
        <v>84</v>
      </c>
      <c r="N50" s="111">
        <v>0.5</v>
      </c>
      <c r="O50" s="87"/>
      <c r="P50" s="112"/>
      <c r="Q50" s="88"/>
      <c r="R50" s="89">
        <f t="shared" si="9"/>
        <v>0</v>
      </c>
      <c r="S50" s="89">
        <f t="shared" si="5"/>
        <v>0</v>
      </c>
      <c r="T50" s="89">
        <f t="shared" si="6"/>
        <v>0</v>
      </c>
      <c r="U50" s="90">
        <f t="shared" si="7"/>
        <v>0</v>
      </c>
      <c r="V50" s="90">
        <f t="shared" si="8"/>
        <v>0</v>
      </c>
      <c r="W50" s="108"/>
      <c r="X50" s="92"/>
      <c r="Y50" s="4"/>
      <c r="Z50" s="4"/>
      <c r="AA50" s="4"/>
      <c r="AB50" s="4"/>
    </row>
    <row r="51" spans="1:28" x14ac:dyDescent="0.25">
      <c r="A51" s="1"/>
      <c r="B51" s="95"/>
      <c r="C51" s="13" t="s">
        <v>111</v>
      </c>
      <c r="D51" s="96"/>
      <c r="E51" s="97">
        <v>1</v>
      </c>
      <c r="F51" s="98"/>
      <c r="G51" s="99">
        <f t="shared" si="1"/>
        <v>0</v>
      </c>
      <c r="H51" s="100">
        <f t="shared" si="2"/>
        <v>0</v>
      </c>
      <c r="I51" s="101"/>
      <c r="J51" s="102">
        <f t="shared" si="0"/>
        <v>1</v>
      </c>
      <c r="K51" s="99">
        <f t="shared" si="3"/>
        <v>0</v>
      </c>
      <c r="L51" s="99">
        <f t="shared" si="4"/>
        <v>0</v>
      </c>
      <c r="M51" s="103" t="s">
        <v>84</v>
      </c>
      <c r="N51" s="104">
        <v>0.5</v>
      </c>
      <c r="O51" s="87"/>
      <c r="P51" s="95"/>
      <c r="Q51" s="98"/>
      <c r="R51" s="105">
        <f t="shared" si="9"/>
        <v>0</v>
      </c>
      <c r="S51" s="106">
        <f t="shared" si="5"/>
        <v>0</v>
      </c>
      <c r="T51" s="106">
        <f t="shared" si="6"/>
        <v>0</v>
      </c>
      <c r="U51" s="107">
        <f t="shared" si="7"/>
        <v>0</v>
      </c>
      <c r="V51" s="107">
        <f t="shared" si="8"/>
        <v>0</v>
      </c>
      <c r="W51" s="108"/>
      <c r="X51" s="92"/>
      <c r="Y51" s="4"/>
      <c r="Z51" s="4"/>
      <c r="AA51" s="4"/>
      <c r="AB51" s="4"/>
    </row>
    <row r="52" spans="1:28" x14ac:dyDescent="0.25">
      <c r="A52" s="1"/>
      <c r="B52" s="77"/>
      <c r="C52" s="109" t="s">
        <v>112</v>
      </c>
      <c r="D52" s="110"/>
      <c r="E52" s="80">
        <v>1</v>
      </c>
      <c r="F52" s="81"/>
      <c r="G52" s="82">
        <f t="shared" si="1"/>
        <v>0</v>
      </c>
      <c r="H52" s="83">
        <f t="shared" si="2"/>
        <v>0</v>
      </c>
      <c r="I52" s="101"/>
      <c r="J52" s="85">
        <f t="shared" si="0"/>
        <v>1</v>
      </c>
      <c r="K52" s="82">
        <f t="shared" si="3"/>
        <v>0</v>
      </c>
      <c r="L52" s="82">
        <f t="shared" si="4"/>
        <v>0</v>
      </c>
      <c r="M52" s="81" t="s">
        <v>84</v>
      </c>
      <c r="N52" s="111">
        <v>0.5</v>
      </c>
      <c r="O52" s="87"/>
      <c r="P52" s="112"/>
      <c r="Q52" s="88"/>
      <c r="R52" s="89">
        <f t="shared" si="9"/>
        <v>0</v>
      </c>
      <c r="S52" s="89">
        <f t="shared" si="5"/>
        <v>0</v>
      </c>
      <c r="T52" s="89">
        <f t="shared" si="6"/>
        <v>0</v>
      </c>
      <c r="U52" s="90">
        <f t="shared" si="7"/>
        <v>0</v>
      </c>
      <c r="V52" s="90">
        <f t="shared" si="8"/>
        <v>0</v>
      </c>
      <c r="W52" s="108"/>
      <c r="X52" s="92"/>
      <c r="Y52" s="4"/>
      <c r="Z52" s="4"/>
      <c r="AA52" s="4"/>
      <c r="AB52" s="4"/>
    </row>
    <row r="53" spans="1:28" x14ac:dyDescent="0.25">
      <c r="A53" s="1"/>
      <c r="B53" s="95">
        <v>7391213</v>
      </c>
      <c r="C53" s="13" t="s">
        <v>113</v>
      </c>
      <c r="D53" s="96"/>
      <c r="E53" s="97">
        <v>1</v>
      </c>
      <c r="F53" s="98">
        <v>3217.49</v>
      </c>
      <c r="G53" s="99">
        <f t="shared" si="1"/>
        <v>2218.96</v>
      </c>
      <c r="H53" s="100">
        <f t="shared" si="2"/>
        <v>3217.49</v>
      </c>
      <c r="I53" s="101"/>
      <c r="J53" s="102">
        <f t="shared" si="0"/>
        <v>1</v>
      </c>
      <c r="K53" s="99">
        <f t="shared" si="3"/>
        <v>3217.49</v>
      </c>
      <c r="L53" s="99">
        <f t="shared" si="4"/>
        <v>3217.49</v>
      </c>
      <c r="M53" s="103" t="s">
        <v>84</v>
      </c>
      <c r="N53" s="104"/>
      <c r="O53" s="87"/>
      <c r="P53" s="95"/>
      <c r="Q53" s="98"/>
      <c r="R53" s="105">
        <f t="shared" si="9"/>
        <v>0</v>
      </c>
      <c r="S53" s="106">
        <f t="shared" si="5"/>
        <v>3217.49</v>
      </c>
      <c r="T53" s="106">
        <f t="shared" si="6"/>
        <v>3217.49</v>
      </c>
      <c r="U53" s="107">
        <f t="shared" si="7"/>
        <v>0</v>
      </c>
      <c r="V53" s="107">
        <f t="shared" si="8"/>
        <v>1</v>
      </c>
      <c r="W53" s="108"/>
      <c r="X53" s="92"/>
      <c r="Y53" s="4"/>
      <c r="Z53" s="4"/>
      <c r="AA53" s="4"/>
      <c r="AB53" s="4"/>
    </row>
    <row r="54" spans="1:28" x14ac:dyDescent="0.25">
      <c r="A54" s="1"/>
      <c r="B54" s="77">
        <v>7312553</v>
      </c>
      <c r="C54" s="109" t="s">
        <v>114</v>
      </c>
      <c r="D54" s="110"/>
      <c r="E54" s="80">
        <v>1</v>
      </c>
      <c r="F54" s="81"/>
      <c r="G54" s="82">
        <f t="shared" si="1"/>
        <v>0</v>
      </c>
      <c r="H54" s="83">
        <f t="shared" si="2"/>
        <v>0</v>
      </c>
      <c r="I54" s="101"/>
      <c r="J54" s="85">
        <f t="shared" si="0"/>
        <v>1</v>
      </c>
      <c r="K54" s="82">
        <f t="shared" si="3"/>
        <v>0</v>
      </c>
      <c r="L54" s="82">
        <f t="shared" si="4"/>
        <v>0</v>
      </c>
      <c r="M54" s="81" t="s">
        <v>84</v>
      </c>
      <c r="N54" s="111"/>
      <c r="O54" s="87"/>
      <c r="P54" s="112"/>
      <c r="Q54" s="88"/>
      <c r="R54" s="89">
        <f t="shared" si="9"/>
        <v>0</v>
      </c>
      <c r="S54" s="89">
        <f t="shared" si="5"/>
        <v>0</v>
      </c>
      <c r="T54" s="89">
        <f t="shared" si="6"/>
        <v>0</v>
      </c>
      <c r="U54" s="90">
        <f t="shared" si="7"/>
        <v>0</v>
      </c>
      <c r="V54" s="90">
        <f t="shared" si="8"/>
        <v>0</v>
      </c>
      <c r="W54" s="108"/>
      <c r="X54" s="92"/>
      <c r="Y54" s="4"/>
      <c r="Z54" s="4"/>
      <c r="AA54" s="4"/>
      <c r="AB54" s="4"/>
    </row>
    <row r="55" spans="1:28" x14ac:dyDescent="0.25">
      <c r="A55" s="1"/>
      <c r="B55" s="95">
        <v>7386500</v>
      </c>
      <c r="C55" s="13" t="s">
        <v>115</v>
      </c>
      <c r="D55" s="96"/>
      <c r="E55" s="97">
        <v>4</v>
      </c>
      <c r="F55" s="98">
        <v>1123.49</v>
      </c>
      <c r="G55" s="99">
        <f t="shared" si="1"/>
        <v>774.82</v>
      </c>
      <c r="H55" s="100">
        <f t="shared" si="2"/>
        <v>4493.96</v>
      </c>
      <c r="I55" s="101"/>
      <c r="J55" s="102">
        <f t="shared" si="0"/>
        <v>4</v>
      </c>
      <c r="K55" s="99">
        <f t="shared" si="3"/>
        <v>1123.49</v>
      </c>
      <c r="L55" s="99">
        <f t="shared" si="4"/>
        <v>4493.96</v>
      </c>
      <c r="M55" s="103" t="s">
        <v>84</v>
      </c>
      <c r="N55" s="104"/>
      <c r="O55" s="87"/>
      <c r="P55" s="95"/>
      <c r="Q55" s="98"/>
      <c r="R55" s="105">
        <f t="shared" si="9"/>
        <v>0</v>
      </c>
      <c r="S55" s="106">
        <f t="shared" si="5"/>
        <v>1123.49</v>
      </c>
      <c r="T55" s="106">
        <f t="shared" si="6"/>
        <v>4493.96</v>
      </c>
      <c r="U55" s="107">
        <f t="shared" si="7"/>
        <v>0</v>
      </c>
      <c r="V55" s="107">
        <f t="shared" si="8"/>
        <v>1</v>
      </c>
      <c r="W55" s="108"/>
      <c r="X55" s="92"/>
      <c r="Y55" s="4"/>
      <c r="Z55" s="4"/>
      <c r="AA55" s="4"/>
      <c r="AB55" s="4"/>
    </row>
    <row r="56" spans="1:28" x14ac:dyDescent="0.25">
      <c r="A56" s="1"/>
      <c r="B56" s="77"/>
      <c r="C56" s="109"/>
      <c r="D56" s="110"/>
      <c r="E56" s="80"/>
      <c r="F56" s="81"/>
      <c r="G56" s="82">
        <f t="shared" si="1"/>
        <v>0</v>
      </c>
      <c r="H56" s="83">
        <f t="shared" si="2"/>
        <v>0</v>
      </c>
      <c r="I56" s="101"/>
      <c r="J56" s="85">
        <f t="shared" si="0"/>
        <v>0</v>
      </c>
      <c r="K56" s="82">
        <f t="shared" si="3"/>
        <v>0</v>
      </c>
      <c r="L56" s="82">
        <f t="shared" si="4"/>
        <v>0</v>
      </c>
      <c r="M56" s="81" t="s">
        <v>84</v>
      </c>
      <c r="N56" s="111"/>
      <c r="O56" s="87"/>
      <c r="P56" s="112"/>
      <c r="Q56" s="88"/>
      <c r="R56" s="89">
        <f t="shared" si="9"/>
        <v>0</v>
      </c>
      <c r="S56" s="89">
        <f t="shared" si="5"/>
        <v>0</v>
      </c>
      <c r="T56" s="89">
        <f t="shared" si="6"/>
        <v>0</v>
      </c>
      <c r="U56" s="90">
        <f t="shared" si="7"/>
        <v>0</v>
      </c>
      <c r="V56" s="90">
        <f t="shared" si="8"/>
        <v>0</v>
      </c>
      <c r="W56" s="108"/>
      <c r="X56" s="92"/>
      <c r="Y56" s="4"/>
      <c r="Z56" s="4"/>
      <c r="AA56" s="4"/>
      <c r="AB56" s="4"/>
    </row>
    <row r="57" spans="1:28" x14ac:dyDescent="0.25">
      <c r="A57" s="1"/>
      <c r="B57" s="95"/>
      <c r="C57" s="13"/>
      <c r="D57" s="96"/>
      <c r="E57" s="97"/>
      <c r="F57" s="98"/>
      <c r="G57" s="99">
        <f t="shared" si="1"/>
        <v>0</v>
      </c>
      <c r="H57" s="100">
        <f t="shared" si="2"/>
        <v>0</v>
      </c>
      <c r="I57" s="101"/>
      <c r="J57" s="102">
        <f t="shared" si="0"/>
        <v>0</v>
      </c>
      <c r="K57" s="99">
        <f t="shared" si="3"/>
        <v>0</v>
      </c>
      <c r="L57" s="99">
        <f t="shared" si="4"/>
        <v>0</v>
      </c>
      <c r="M57" s="103" t="s">
        <v>84</v>
      </c>
      <c r="N57" s="104"/>
      <c r="O57" s="87"/>
      <c r="P57" s="95"/>
      <c r="Q57" s="98"/>
      <c r="R57" s="105">
        <f t="shared" si="9"/>
        <v>0</v>
      </c>
      <c r="S57" s="106">
        <f t="shared" si="5"/>
        <v>0</v>
      </c>
      <c r="T57" s="106">
        <f t="shared" si="6"/>
        <v>0</v>
      </c>
      <c r="U57" s="107">
        <f t="shared" si="7"/>
        <v>0</v>
      </c>
      <c r="V57" s="107">
        <f t="shared" si="8"/>
        <v>0</v>
      </c>
      <c r="W57" s="108"/>
      <c r="X57" s="92"/>
      <c r="Y57" s="4"/>
      <c r="Z57" s="4"/>
      <c r="AA57" s="4"/>
      <c r="AB57" s="4"/>
    </row>
    <row r="58" spans="1:28" x14ac:dyDescent="0.25">
      <c r="A58" s="1"/>
      <c r="B58" s="77"/>
      <c r="C58" s="109"/>
      <c r="D58" s="110"/>
      <c r="E58" s="80"/>
      <c r="F58" s="81"/>
      <c r="G58" s="82">
        <f t="shared" si="1"/>
        <v>0</v>
      </c>
      <c r="H58" s="83">
        <f t="shared" si="2"/>
        <v>0</v>
      </c>
      <c r="I58" s="101"/>
      <c r="J58" s="85">
        <f t="shared" si="0"/>
        <v>0</v>
      </c>
      <c r="K58" s="82">
        <f t="shared" si="3"/>
        <v>0</v>
      </c>
      <c r="L58" s="82">
        <f t="shared" si="4"/>
        <v>0</v>
      </c>
      <c r="M58" s="81" t="s">
        <v>84</v>
      </c>
      <c r="N58" s="111"/>
      <c r="O58" s="87"/>
      <c r="P58" s="112"/>
      <c r="Q58" s="88"/>
      <c r="R58" s="89">
        <f t="shared" si="9"/>
        <v>0</v>
      </c>
      <c r="S58" s="89">
        <f t="shared" si="5"/>
        <v>0</v>
      </c>
      <c r="T58" s="89">
        <f t="shared" si="6"/>
        <v>0</v>
      </c>
      <c r="U58" s="90">
        <f t="shared" si="7"/>
        <v>0</v>
      </c>
      <c r="V58" s="90">
        <f t="shared" si="8"/>
        <v>0</v>
      </c>
      <c r="W58" s="108"/>
      <c r="X58" s="92"/>
      <c r="Y58" s="4"/>
      <c r="Z58" s="4"/>
      <c r="AA58" s="4"/>
      <c r="AB58" s="4"/>
    </row>
    <row r="59" spans="1:28" x14ac:dyDescent="0.25">
      <c r="A59" s="1"/>
      <c r="B59" s="95"/>
      <c r="C59" s="13"/>
      <c r="D59" s="96"/>
      <c r="E59" s="97"/>
      <c r="F59" s="98"/>
      <c r="G59" s="99">
        <f t="shared" si="1"/>
        <v>0</v>
      </c>
      <c r="H59" s="100">
        <f t="shared" si="2"/>
        <v>0</v>
      </c>
      <c r="I59" s="101"/>
      <c r="J59" s="102">
        <f t="shared" si="0"/>
        <v>0</v>
      </c>
      <c r="K59" s="99">
        <f t="shared" si="3"/>
        <v>0</v>
      </c>
      <c r="L59" s="99">
        <f t="shared" si="4"/>
        <v>0</v>
      </c>
      <c r="M59" s="103" t="s">
        <v>84</v>
      </c>
      <c r="N59" s="104"/>
      <c r="O59" s="87"/>
      <c r="P59" s="95"/>
      <c r="Q59" s="98"/>
      <c r="R59" s="105">
        <f t="shared" si="9"/>
        <v>0</v>
      </c>
      <c r="S59" s="106">
        <f t="shared" si="5"/>
        <v>0</v>
      </c>
      <c r="T59" s="106">
        <f t="shared" si="6"/>
        <v>0</v>
      </c>
      <c r="U59" s="107">
        <f t="shared" si="7"/>
        <v>0</v>
      </c>
      <c r="V59" s="107">
        <f t="shared" si="8"/>
        <v>0</v>
      </c>
      <c r="W59" s="108"/>
      <c r="X59" s="92"/>
      <c r="Y59" s="4"/>
      <c r="Z59" s="4"/>
      <c r="AA59" s="4"/>
      <c r="AB59" s="4"/>
    </row>
    <row r="60" spans="1:28" x14ac:dyDescent="0.25">
      <c r="A60" s="1"/>
      <c r="B60" s="77"/>
      <c r="C60" s="109"/>
      <c r="D60" s="110"/>
      <c r="E60" s="80"/>
      <c r="F60" s="81"/>
      <c r="G60" s="82">
        <f t="shared" si="1"/>
        <v>0</v>
      </c>
      <c r="H60" s="83">
        <f t="shared" si="2"/>
        <v>0</v>
      </c>
      <c r="I60" s="101"/>
      <c r="J60" s="85">
        <f t="shared" si="0"/>
        <v>0</v>
      </c>
      <c r="K60" s="82">
        <f t="shared" si="3"/>
        <v>0</v>
      </c>
      <c r="L60" s="82">
        <f t="shared" si="4"/>
        <v>0</v>
      </c>
      <c r="M60" s="81" t="s">
        <v>84</v>
      </c>
      <c r="N60" s="111"/>
      <c r="O60" s="87"/>
      <c r="P60" s="112"/>
      <c r="Q60" s="88"/>
      <c r="R60" s="89">
        <f t="shared" si="9"/>
        <v>0</v>
      </c>
      <c r="S60" s="89">
        <f t="shared" si="5"/>
        <v>0</v>
      </c>
      <c r="T60" s="89">
        <f t="shared" si="6"/>
        <v>0</v>
      </c>
      <c r="U60" s="90">
        <f t="shared" si="7"/>
        <v>0</v>
      </c>
      <c r="V60" s="90">
        <f t="shared" si="8"/>
        <v>0</v>
      </c>
      <c r="W60" s="108"/>
      <c r="X60" s="92"/>
      <c r="Y60" s="4"/>
      <c r="Z60" s="4"/>
      <c r="AA60" s="4"/>
      <c r="AB60" s="4"/>
    </row>
    <row r="61" spans="1:28" ht="20.25" customHeight="1" x14ac:dyDescent="0.25">
      <c r="A61" s="115"/>
      <c r="B61" s="116"/>
      <c r="C61" s="116"/>
      <c r="D61" s="117" t="s">
        <v>116</v>
      </c>
      <c r="E61" s="118">
        <f>SUM(E18:E60)</f>
        <v>38</v>
      </c>
      <c r="F61" s="119">
        <f>SUM(F18:F60)</f>
        <v>11424.359999999999</v>
      </c>
      <c r="G61" s="120">
        <f>SUM(G18:G60)</f>
        <v>7878.8600000000006</v>
      </c>
      <c r="H61" s="121">
        <f>SUM(H18:H60)</f>
        <v>23433.679999999997</v>
      </c>
      <c r="I61" s="122"/>
      <c r="J61" s="123">
        <f>SUM(J18:J60)</f>
        <v>38</v>
      </c>
      <c r="K61" s="120">
        <f>SUM(K18:K60)</f>
        <v>7841.03</v>
      </c>
      <c r="L61" s="121">
        <f>SUM(L18:L60)</f>
        <v>15531</v>
      </c>
      <c r="M61" s="121"/>
      <c r="N61" s="121"/>
      <c r="O61" s="124"/>
      <c r="P61" s="125"/>
      <c r="Q61" s="120">
        <f>SUM(Q18:Q60)</f>
        <v>0</v>
      </c>
      <c r="R61" s="120">
        <f>SUM(R18:R60)</f>
        <v>0</v>
      </c>
      <c r="S61" s="121">
        <f>SUM(S18:S60)</f>
        <v>7841.03</v>
      </c>
      <c r="T61" s="121">
        <f>SUM(T18:T60)</f>
        <v>15531</v>
      </c>
      <c r="U61" s="126"/>
      <c r="V61" s="126"/>
      <c r="W61" s="127"/>
      <c r="X61" s="128"/>
    </row>
    <row r="63" spans="1:28" ht="15" customHeight="1" x14ac:dyDescent="0.25">
      <c r="U63" s="130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B1:C1"/>
    <mergeCell ref="D1:G1"/>
    <mergeCell ref="H1:K1"/>
    <mergeCell ref="L1:O1"/>
    <mergeCell ref="P1:R1"/>
    <mergeCell ref="S1:W1"/>
  </mergeCells>
  <conditionalFormatting sqref="U9:U10">
    <cfRule type="expression" dxfId="3" priority="3" stopIfTrue="1">
      <formula>$U$9&gt;100%</formula>
    </cfRule>
    <cfRule type="expression" dxfId="2" priority="4">
      <formula>$U$9&lt;50%</formula>
    </cfRule>
  </conditionalFormatting>
  <conditionalFormatting sqref="V9:V10">
    <cfRule type="expression" dxfId="1" priority="1">
      <formula>$V$9&lt;50%</formula>
    </cfRule>
    <cfRule type="expression" dxfId="0" priority="2">
      <formula>$V$9&gt;50%</formula>
    </cfRule>
  </conditionalFormatting>
  <dataValidations count="5">
    <dataValidation type="list" allowBlank="1" showInputMessage="1" showErrorMessage="1" sqref="F17 K17 Q17 Q14" xr:uid="{5CB801BC-5D65-4371-A587-8479B87F6E00}">
      <formula1>$Y$11:$Y$12</formula1>
    </dataValidation>
    <dataValidation type="list" allowBlank="1" showInputMessage="1" showErrorMessage="1" sqref="H13" xr:uid="{1B8897C2-866C-4780-8FD3-E93CF03DFEA8}">
      <formula1>$Y$13:$Y$14</formula1>
    </dataValidation>
    <dataValidation type="list" allowBlank="1" showInputMessage="1" showErrorMessage="1" sqref="I13" xr:uid="{3D85CDB6-9CE3-4A2D-A0D4-5E0B1A4656B8}">
      <formula1>$K$9:$K$9</formula1>
    </dataValidation>
    <dataValidation type="list" showInputMessage="1" showErrorMessage="1" sqref="D18:D60" xr:uid="{C8459672-28CD-4033-BF7F-3AEF76093BD0}">
      <formula1>$Z$18:$Z$29</formula1>
    </dataValidation>
    <dataValidation type="list" allowBlank="1" showInputMessage="1" showErrorMessage="1" sqref="M18:M60" xr:uid="{FE241BCA-32FC-413B-A3C3-D80902579958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B944D-5D24-4CB1-96FA-0186CF643992}">
  <sheetPr>
    <pageSetUpPr fitToPage="1"/>
  </sheetPr>
  <dimension ref="A1:AB63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" customWidth="1"/>
    <col min="2" max="2" width="25.7109375" style="5" customWidth="1"/>
    <col min="3" max="3" width="43.28515625" style="5" customWidth="1"/>
    <col min="4" max="4" width="9.7109375" style="129" customWidth="1"/>
    <col min="5" max="5" width="9.7109375" style="5" customWidth="1"/>
    <col min="6" max="8" width="18.7109375" style="5" customWidth="1"/>
    <col min="9" max="9" width="0.85546875" style="5" customWidth="1"/>
    <col min="10" max="10" width="9.5703125" style="5" customWidth="1"/>
    <col min="11" max="13" width="18.7109375" style="5" customWidth="1"/>
    <col min="14" max="14" width="13.7109375" style="5" customWidth="1"/>
    <col min="15" max="15" width="0.85546875" style="5" customWidth="1"/>
    <col min="16" max="16" width="17.85546875" style="5" customWidth="1"/>
    <col min="17" max="20" width="18.7109375" style="5" customWidth="1"/>
    <col min="21" max="21" width="15" style="5" bestFit="1" customWidth="1"/>
    <col min="22" max="22" width="14.7109375" style="5" bestFit="1" customWidth="1"/>
    <col min="23" max="23" width="13.42578125" style="5" hidden="1" customWidth="1"/>
    <col min="24" max="24" width="0.85546875" style="5" customWidth="1"/>
    <col min="25" max="26" width="9.140625" style="5" hidden="1" customWidth="1"/>
    <col min="27" max="27" width="9.140625" style="5" customWidth="1"/>
    <col min="28" max="28" width="10.5703125" style="5" bestFit="1" customWidth="1"/>
    <col min="29" max="16384" width="9.140625" style="5"/>
  </cols>
  <sheetData>
    <row r="1" spans="1:28" ht="23.25" customHeight="1" x14ac:dyDescent="0.25">
      <c r="A1" s="1"/>
      <c r="B1" s="392" t="s">
        <v>0</v>
      </c>
      <c r="C1" s="389"/>
      <c r="D1" s="393" t="s">
        <v>1</v>
      </c>
      <c r="E1" s="390"/>
      <c r="F1" s="390"/>
      <c r="G1" s="391"/>
      <c r="H1" s="389" t="s">
        <v>2</v>
      </c>
      <c r="I1" s="390"/>
      <c r="J1" s="390"/>
      <c r="K1" s="391"/>
      <c r="L1" s="394" t="s">
        <v>3</v>
      </c>
      <c r="M1" s="395"/>
      <c r="N1" s="395"/>
      <c r="O1" s="395"/>
      <c r="P1" s="390" t="str">
        <f>K17</f>
        <v>CAD $</v>
      </c>
      <c r="Q1" s="390"/>
      <c r="R1" s="391"/>
      <c r="S1" s="389" t="s">
        <v>4</v>
      </c>
      <c r="T1" s="390"/>
      <c r="U1" s="390"/>
      <c r="V1" s="390"/>
      <c r="W1" s="391"/>
      <c r="X1" s="2"/>
      <c r="Y1" s="3"/>
      <c r="Z1" s="4"/>
      <c r="AA1" s="4"/>
      <c r="AB1" s="4"/>
    </row>
    <row r="2" spans="1:28" ht="15" customHeight="1" x14ac:dyDescent="0.25">
      <c r="A2" s="1"/>
      <c r="B2" s="6" t="s">
        <v>5</v>
      </c>
      <c r="C2" s="7">
        <v>45919</v>
      </c>
      <c r="D2" s="412" t="s">
        <v>6</v>
      </c>
      <c r="E2" s="413"/>
      <c r="F2" s="414">
        <v>452631</v>
      </c>
      <c r="G2" s="415"/>
      <c r="H2" s="412" t="s">
        <v>7</v>
      </c>
      <c r="I2" s="416"/>
      <c r="J2" s="413"/>
      <c r="K2" s="8"/>
      <c r="L2" s="417" t="s">
        <v>8</v>
      </c>
      <c r="M2" s="418"/>
      <c r="N2" s="419"/>
      <c r="O2" s="9"/>
      <c r="P2" s="420">
        <f>H61</f>
        <v>23433.679999999997</v>
      </c>
      <c r="Q2" s="420"/>
      <c r="R2" s="421"/>
      <c r="S2" s="422" t="s">
        <v>9</v>
      </c>
      <c r="T2" s="423"/>
      <c r="U2" s="396"/>
      <c r="V2" s="397"/>
      <c r="W2" s="10"/>
      <c r="X2" s="11"/>
      <c r="Y2" s="3"/>
      <c r="Z2" s="4"/>
      <c r="AA2" s="4"/>
      <c r="AB2" s="4"/>
    </row>
    <row r="3" spans="1:28" ht="15" customHeight="1" x14ac:dyDescent="0.25">
      <c r="A3" s="1"/>
      <c r="B3" s="12" t="s">
        <v>10</v>
      </c>
      <c r="C3" s="13" t="s">
        <v>11</v>
      </c>
      <c r="D3" s="398" t="s">
        <v>12</v>
      </c>
      <c r="E3" s="399"/>
      <c r="F3" s="400"/>
      <c r="G3" s="401"/>
      <c r="H3" s="398" t="s">
        <v>13</v>
      </c>
      <c r="I3" s="402"/>
      <c r="J3" s="399"/>
      <c r="K3" s="14"/>
      <c r="L3" s="403" t="s">
        <v>14</v>
      </c>
      <c r="M3" s="404"/>
      <c r="N3" s="405"/>
      <c r="O3" s="9"/>
      <c r="P3" s="406">
        <f>L61</f>
        <v>15531</v>
      </c>
      <c r="Q3" s="406"/>
      <c r="R3" s="407"/>
      <c r="S3" s="408" t="s">
        <v>15</v>
      </c>
      <c r="T3" s="409"/>
      <c r="U3" s="410"/>
      <c r="V3" s="411"/>
      <c r="W3" s="15"/>
      <c r="X3" s="1"/>
      <c r="Y3" s="16"/>
      <c r="Z3" s="4"/>
      <c r="AA3" s="4"/>
      <c r="AB3" s="4"/>
    </row>
    <row r="4" spans="1:28" ht="15" customHeight="1" x14ac:dyDescent="0.25">
      <c r="A4" s="1"/>
      <c r="B4" s="17" t="s">
        <v>16</v>
      </c>
      <c r="C4" s="13"/>
      <c r="D4" s="398" t="s">
        <v>17</v>
      </c>
      <c r="E4" s="399"/>
      <c r="F4" s="400" t="s">
        <v>18</v>
      </c>
      <c r="G4" s="401"/>
      <c r="H4" s="398" t="s">
        <v>19</v>
      </c>
      <c r="I4" s="402"/>
      <c r="J4" s="399"/>
      <c r="K4" s="14"/>
      <c r="L4" s="403" t="s">
        <v>20</v>
      </c>
      <c r="M4" s="404"/>
      <c r="N4" s="405"/>
      <c r="O4" s="9"/>
      <c r="P4" s="406">
        <f>P2-P3</f>
        <v>7902.6799999999967</v>
      </c>
      <c r="Q4" s="406"/>
      <c r="R4" s="407"/>
      <c r="S4" s="408" t="s">
        <v>21</v>
      </c>
      <c r="T4" s="409"/>
      <c r="U4" s="410"/>
      <c r="V4" s="411"/>
      <c r="W4" s="15"/>
      <c r="X4" s="1"/>
      <c r="Y4" s="16"/>
      <c r="Z4" s="4"/>
      <c r="AA4" s="4"/>
      <c r="AB4" s="4"/>
    </row>
    <row r="5" spans="1:28" ht="15" customHeight="1" thickBot="1" x14ac:dyDescent="0.3">
      <c r="A5" s="1"/>
      <c r="B5" s="17" t="s">
        <v>22</v>
      </c>
      <c r="C5" s="13"/>
      <c r="D5" s="398" t="s">
        <v>23</v>
      </c>
      <c r="E5" s="399"/>
      <c r="F5" s="400" t="s">
        <v>24</v>
      </c>
      <c r="G5" s="401"/>
      <c r="H5" s="398" t="s">
        <v>25</v>
      </c>
      <c r="I5" s="402"/>
      <c r="J5" s="399"/>
      <c r="K5" s="14"/>
      <c r="L5" s="424" t="s">
        <v>26</v>
      </c>
      <c r="M5" s="425"/>
      <c r="N5" s="426"/>
      <c r="O5" s="9"/>
      <c r="P5" s="427">
        <f>IFERROR((P2-P3)/P2,"")</f>
        <v>0.33723597830131663</v>
      </c>
      <c r="Q5" s="427"/>
      <c r="R5" s="428"/>
      <c r="S5" s="408" t="s">
        <v>27</v>
      </c>
      <c r="T5" s="409"/>
      <c r="U5" s="410"/>
      <c r="V5" s="411"/>
      <c r="W5" s="15"/>
      <c r="X5" s="1"/>
      <c r="Y5" s="16"/>
      <c r="Z5" s="4"/>
      <c r="AA5" s="4"/>
      <c r="AB5" s="4"/>
    </row>
    <row r="6" spans="1:28" ht="15" customHeight="1" x14ac:dyDescent="0.25">
      <c r="A6" s="1"/>
      <c r="B6" s="17" t="s">
        <v>28</v>
      </c>
      <c r="C6" s="18"/>
      <c r="D6" s="398" t="s">
        <v>29</v>
      </c>
      <c r="E6" s="399"/>
      <c r="F6" s="400" t="s">
        <v>30</v>
      </c>
      <c r="G6" s="401"/>
      <c r="H6" s="398" t="s">
        <v>31</v>
      </c>
      <c r="I6" s="402"/>
      <c r="J6" s="399"/>
      <c r="K6" s="14"/>
      <c r="L6" s="438" t="s">
        <v>32</v>
      </c>
      <c r="M6" s="439"/>
      <c r="N6" s="440"/>
      <c r="O6" s="9"/>
      <c r="P6" s="441">
        <f>T61</f>
        <v>15531</v>
      </c>
      <c r="Q6" s="441"/>
      <c r="R6" s="442"/>
      <c r="S6" s="408" t="s">
        <v>33</v>
      </c>
      <c r="T6" s="409"/>
      <c r="U6" s="410"/>
      <c r="V6" s="411"/>
      <c r="W6" s="19"/>
      <c r="X6" s="20"/>
      <c r="Y6" s="21"/>
      <c r="Z6" s="4"/>
      <c r="AA6" s="4"/>
      <c r="AB6" s="4"/>
    </row>
    <row r="7" spans="1:28" ht="15" customHeight="1" x14ac:dyDescent="0.25">
      <c r="A7" s="1"/>
      <c r="B7" s="17" t="s">
        <v>34</v>
      </c>
      <c r="C7" s="22"/>
      <c r="D7" s="398" t="s">
        <v>35</v>
      </c>
      <c r="E7" s="399"/>
      <c r="F7" s="400"/>
      <c r="G7" s="401"/>
      <c r="H7" s="398" t="s">
        <v>36</v>
      </c>
      <c r="I7" s="402"/>
      <c r="J7" s="399"/>
      <c r="K7" s="14"/>
      <c r="L7" s="429" t="s">
        <v>37</v>
      </c>
      <c r="M7" s="430"/>
      <c r="N7" s="431"/>
      <c r="O7" s="9"/>
      <c r="P7" s="432">
        <f>R61</f>
        <v>0</v>
      </c>
      <c r="Q7" s="432"/>
      <c r="R7" s="433"/>
      <c r="S7" s="434" t="s">
        <v>38</v>
      </c>
      <c r="T7" s="435"/>
      <c r="U7" s="436"/>
      <c r="V7" s="437"/>
      <c r="W7" s="19"/>
      <c r="X7" s="23"/>
      <c r="Y7" s="4"/>
      <c r="Z7" s="4"/>
      <c r="AA7" s="4"/>
      <c r="AB7" s="4"/>
    </row>
    <row r="8" spans="1:28" ht="15" customHeight="1" x14ac:dyDescent="0.25">
      <c r="A8" s="1"/>
      <c r="B8" s="24"/>
      <c r="C8" s="25"/>
      <c r="D8" s="398" t="s">
        <v>39</v>
      </c>
      <c r="E8" s="399"/>
      <c r="F8" s="400"/>
      <c r="G8" s="401"/>
      <c r="H8" s="398" t="s">
        <v>40</v>
      </c>
      <c r="I8" s="402"/>
      <c r="J8" s="399"/>
      <c r="K8" s="14"/>
      <c r="L8" s="429" t="s">
        <v>41</v>
      </c>
      <c r="M8" s="430"/>
      <c r="N8" s="431"/>
      <c r="O8" s="9"/>
      <c r="P8" s="432">
        <f>IF(P1=Q14,R14,IF(Q14="CAD $",R14*D15,IF(Q14="USD $",R14*E15,0)))</f>
        <v>0</v>
      </c>
      <c r="Q8" s="432"/>
      <c r="R8" s="433"/>
      <c r="S8" s="26" t="s">
        <v>42</v>
      </c>
      <c r="T8" s="27" t="s">
        <v>43</v>
      </c>
      <c r="U8" s="27" t="s">
        <v>44</v>
      </c>
      <c r="V8" s="28" t="s">
        <v>45</v>
      </c>
      <c r="W8" s="29"/>
      <c r="X8" s="30"/>
      <c r="Y8" s="4"/>
      <c r="Z8" s="4"/>
      <c r="AA8" s="4"/>
      <c r="AB8" s="4"/>
    </row>
    <row r="9" spans="1:28" ht="15" customHeight="1" x14ac:dyDescent="0.25">
      <c r="A9" s="1"/>
      <c r="B9" s="25"/>
      <c r="C9" s="25"/>
      <c r="D9" s="398" t="s">
        <v>46</v>
      </c>
      <c r="E9" s="399"/>
      <c r="F9" s="400" t="s">
        <v>365</v>
      </c>
      <c r="G9" s="401"/>
      <c r="H9" s="31"/>
      <c r="I9" s="32"/>
      <c r="J9" s="32"/>
      <c r="K9" s="33"/>
      <c r="L9" s="429" t="s">
        <v>47</v>
      </c>
      <c r="M9" s="430"/>
      <c r="N9" s="431"/>
      <c r="O9" s="9"/>
      <c r="P9" s="446">
        <f>V14</f>
        <v>0</v>
      </c>
      <c r="Q9" s="446"/>
      <c r="R9" s="447"/>
      <c r="S9" s="448">
        <f>P7+P8+P9</f>
        <v>0</v>
      </c>
      <c r="T9" s="448">
        <f>P3-S9</f>
        <v>15531</v>
      </c>
      <c r="U9" s="450">
        <f>IFERROR(((P3-S9)/S9),0)</f>
        <v>0</v>
      </c>
      <c r="V9" s="450">
        <f>IFERROR(T9/P3,0)</f>
        <v>1</v>
      </c>
      <c r="W9" s="452"/>
      <c r="X9" s="30"/>
      <c r="Y9" s="4"/>
      <c r="Z9" s="4"/>
      <c r="AA9" s="4"/>
      <c r="AB9" s="4"/>
    </row>
    <row r="10" spans="1:28" ht="15" customHeight="1" thickBot="1" x14ac:dyDescent="0.3">
      <c r="A10" s="1"/>
      <c r="B10" s="25"/>
      <c r="C10" s="25"/>
      <c r="D10" s="34"/>
      <c r="E10" s="34"/>
      <c r="F10" s="31"/>
      <c r="G10" s="31"/>
      <c r="H10" s="31"/>
      <c r="I10" s="32"/>
      <c r="J10" s="32"/>
      <c r="K10" s="33"/>
      <c r="L10" s="408" t="s">
        <v>48</v>
      </c>
      <c r="M10" s="443"/>
      <c r="N10" s="409"/>
      <c r="O10" s="9"/>
      <c r="P10" s="444">
        <f>E61</f>
        <v>38</v>
      </c>
      <c r="Q10" s="444"/>
      <c r="R10" s="445"/>
      <c r="S10" s="449"/>
      <c r="T10" s="449"/>
      <c r="U10" s="451"/>
      <c r="V10" s="451"/>
      <c r="W10" s="453"/>
      <c r="X10" s="30"/>
      <c r="Y10" s="4"/>
      <c r="Z10" s="4"/>
      <c r="AA10" s="4"/>
      <c r="AB10" s="4"/>
    </row>
    <row r="11" spans="1:28" ht="15" customHeight="1" x14ac:dyDescent="0.25">
      <c r="A11" s="1"/>
      <c r="B11" s="501"/>
      <c r="C11" s="502"/>
      <c r="D11" s="505" t="s">
        <v>49</v>
      </c>
      <c r="E11" s="506"/>
      <c r="F11" s="509" t="s">
        <v>8</v>
      </c>
      <c r="G11" s="455"/>
      <c r="H11" s="510"/>
      <c r="I11" s="35"/>
      <c r="J11" s="514" t="s">
        <v>50</v>
      </c>
      <c r="K11" s="515"/>
      <c r="L11" s="515"/>
      <c r="M11" s="515"/>
      <c r="N11" s="516"/>
      <c r="O11" s="9"/>
      <c r="P11" s="454" t="s">
        <v>51</v>
      </c>
      <c r="Q11" s="455"/>
      <c r="R11" s="455"/>
      <c r="S11" s="455"/>
      <c r="T11" s="455"/>
      <c r="U11" s="455"/>
      <c r="V11" s="456"/>
      <c r="W11" s="36"/>
      <c r="X11" s="37"/>
      <c r="Y11" s="4" t="s">
        <v>52</v>
      </c>
      <c r="Z11" s="4"/>
      <c r="AA11" s="4"/>
      <c r="AB11" s="4"/>
    </row>
    <row r="12" spans="1:28" ht="15" customHeight="1" x14ac:dyDescent="0.25">
      <c r="A12" s="1"/>
      <c r="B12" s="503"/>
      <c r="C12" s="504"/>
      <c r="D12" s="507"/>
      <c r="E12" s="508"/>
      <c r="F12" s="511"/>
      <c r="G12" s="512"/>
      <c r="H12" s="513"/>
      <c r="I12" s="38"/>
      <c r="J12" s="517"/>
      <c r="K12" s="518"/>
      <c r="L12" s="518"/>
      <c r="M12" s="518"/>
      <c r="N12" s="519"/>
      <c r="O12" s="39"/>
      <c r="P12" s="457"/>
      <c r="Q12" s="458"/>
      <c r="R12" s="458"/>
      <c r="S12" s="458"/>
      <c r="T12" s="458"/>
      <c r="U12" s="458"/>
      <c r="V12" s="459"/>
      <c r="W12" s="40"/>
      <c r="X12" s="37"/>
      <c r="Y12" s="4" t="s">
        <v>53</v>
      </c>
      <c r="Z12" s="4"/>
      <c r="AA12" s="4"/>
      <c r="AB12" s="4"/>
    </row>
    <row r="13" spans="1:28" ht="15" customHeight="1" x14ac:dyDescent="0.25">
      <c r="A13" s="1"/>
      <c r="B13" s="503"/>
      <c r="C13" s="504"/>
      <c r="D13" s="467"/>
      <c r="E13" s="468"/>
      <c r="F13" s="460" t="s">
        <v>54</v>
      </c>
      <c r="G13" s="461"/>
      <c r="H13" s="41" t="s">
        <v>55</v>
      </c>
      <c r="I13" s="42"/>
      <c r="J13" s="520"/>
      <c r="K13" s="521"/>
      <c r="L13" s="521"/>
      <c r="M13" s="521"/>
      <c r="N13" s="522"/>
      <c r="O13" s="39"/>
      <c r="P13" s="457"/>
      <c r="Q13" s="458"/>
      <c r="R13" s="458"/>
      <c r="S13" s="458"/>
      <c r="T13" s="458"/>
      <c r="U13" s="458"/>
      <c r="V13" s="459"/>
      <c r="W13" s="43"/>
      <c r="X13" s="37"/>
      <c r="Y13" s="4" t="s">
        <v>55</v>
      </c>
      <c r="Z13" s="4"/>
      <c r="AA13" s="4"/>
      <c r="AB13" s="4"/>
    </row>
    <row r="14" spans="1:28" ht="30" customHeight="1" x14ac:dyDescent="0.25">
      <c r="A14" s="1"/>
      <c r="B14" s="503"/>
      <c r="C14" s="504"/>
      <c r="D14" s="44" t="s">
        <v>56</v>
      </c>
      <c r="E14" s="45" t="s">
        <v>57</v>
      </c>
      <c r="F14" s="462" t="s">
        <v>58</v>
      </c>
      <c r="G14" s="463"/>
      <c r="H14" s="464"/>
      <c r="I14" s="46"/>
      <c r="J14" s="465" t="s">
        <v>59</v>
      </c>
      <c r="K14" s="466"/>
      <c r="L14" s="469" t="s">
        <v>60</v>
      </c>
      <c r="M14" s="470"/>
      <c r="N14" s="471"/>
      <c r="O14" s="47"/>
      <c r="P14" s="48" t="s">
        <v>61</v>
      </c>
      <c r="Q14" s="49" t="s">
        <v>53</v>
      </c>
      <c r="R14" s="50"/>
      <c r="S14" s="48" t="s">
        <v>62</v>
      </c>
      <c r="T14" s="51">
        <v>2.5000000000000001E-2</v>
      </c>
      <c r="U14" s="48" t="s">
        <v>63</v>
      </c>
      <c r="V14" s="52">
        <f>ROUND(R61*T14,2)</f>
        <v>0</v>
      </c>
      <c r="W14" s="53"/>
      <c r="X14" s="37"/>
      <c r="Y14" s="4" t="s">
        <v>64</v>
      </c>
      <c r="Z14" s="4"/>
      <c r="AA14" s="4"/>
      <c r="AB14" s="4"/>
    </row>
    <row r="15" spans="1:28" ht="15" customHeight="1" x14ac:dyDescent="0.25">
      <c r="A15" s="1"/>
      <c r="B15" s="503"/>
      <c r="C15" s="504"/>
      <c r="D15" s="54">
        <f>1/E15</f>
        <v>0.68965517241379315</v>
      </c>
      <c r="E15" s="55">
        <v>1.45</v>
      </c>
      <c r="F15" s="475"/>
      <c r="G15" s="476"/>
      <c r="H15" s="477"/>
      <c r="I15" s="56"/>
      <c r="J15" s="467"/>
      <c r="K15" s="468"/>
      <c r="L15" s="472"/>
      <c r="M15" s="473"/>
      <c r="N15" s="474"/>
      <c r="O15" s="47"/>
      <c r="P15" s="483" t="s">
        <v>65</v>
      </c>
      <c r="Q15" s="484"/>
      <c r="R15" s="484"/>
      <c r="S15" s="484"/>
      <c r="T15" s="484"/>
      <c r="U15" s="484"/>
      <c r="V15" s="485"/>
      <c r="W15" s="57"/>
      <c r="X15" s="58"/>
      <c r="Y15" s="4"/>
      <c r="Z15" s="4"/>
      <c r="AA15" s="4"/>
      <c r="AB15" s="4"/>
    </row>
    <row r="16" spans="1:28" ht="15" customHeight="1" x14ac:dyDescent="0.25">
      <c r="A16" s="1"/>
      <c r="B16" s="486" t="s">
        <v>66</v>
      </c>
      <c r="C16" s="488" t="s">
        <v>67</v>
      </c>
      <c r="D16" s="490" t="s">
        <v>68</v>
      </c>
      <c r="E16" s="492" t="s">
        <v>69</v>
      </c>
      <c r="F16" s="489" t="s">
        <v>70</v>
      </c>
      <c r="G16" s="494"/>
      <c r="H16" s="59" t="s">
        <v>71</v>
      </c>
      <c r="I16" s="60"/>
      <c r="J16" s="495" t="s">
        <v>69</v>
      </c>
      <c r="K16" s="61" t="s">
        <v>72</v>
      </c>
      <c r="L16" s="62" t="s">
        <v>73</v>
      </c>
      <c r="M16" s="497" t="s">
        <v>74</v>
      </c>
      <c r="N16" s="497" t="s">
        <v>75</v>
      </c>
      <c r="O16" s="63"/>
      <c r="P16" s="499" t="s">
        <v>76</v>
      </c>
      <c r="Q16" s="64" t="s">
        <v>77</v>
      </c>
      <c r="R16" s="64" t="s">
        <v>78</v>
      </c>
      <c r="S16" s="65" t="s">
        <v>79</v>
      </c>
      <c r="T16" s="65" t="s">
        <v>80</v>
      </c>
      <c r="U16" s="62" t="s">
        <v>81</v>
      </c>
      <c r="V16" s="62" t="s">
        <v>82</v>
      </c>
      <c r="W16" s="66"/>
      <c r="X16" s="67"/>
      <c r="Y16" s="4"/>
      <c r="Z16" s="4"/>
      <c r="AA16" s="4"/>
      <c r="AB16" s="4"/>
    </row>
    <row r="17" spans="1:28" s="76" customFormat="1" ht="15" customHeight="1" x14ac:dyDescent="0.25">
      <c r="A17" s="68"/>
      <c r="B17" s="487"/>
      <c r="C17" s="489"/>
      <c r="D17" s="491"/>
      <c r="E17" s="493"/>
      <c r="F17" s="49" t="s">
        <v>52</v>
      </c>
      <c r="G17" s="69" t="str">
        <f>IF(F17="USD $", "CAD $", "USD $")</f>
        <v>USD $</v>
      </c>
      <c r="H17" s="70" t="str">
        <f>K17</f>
        <v>CAD $</v>
      </c>
      <c r="I17" s="71"/>
      <c r="J17" s="496"/>
      <c r="K17" s="478" t="s">
        <v>52</v>
      </c>
      <c r="L17" s="479"/>
      <c r="M17" s="498"/>
      <c r="N17" s="498"/>
      <c r="O17" s="72"/>
      <c r="P17" s="500"/>
      <c r="Q17" s="49" t="s">
        <v>52</v>
      </c>
      <c r="R17" s="480" t="str">
        <f>K17</f>
        <v>CAD $</v>
      </c>
      <c r="S17" s="481"/>
      <c r="T17" s="481"/>
      <c r="U17" s="481"/>
      <c r="V17" s="482"/>
      <c r="W17" s="73"/>
      <c r="X17" s="74"/>
      <c r="Y17" s="75"/>
      <c r="Z17" s="75"/>
      <c r="AA17" s="75"/>
      <c r="AB17" s="75"/>
    </row>
    <row r="18" spans="1:28" x14ac:dyDescent="0.25">
      <c r="A18" s="1"/>
      <c r="B18" s="77">
        <v>7343102</v>
      </c>
      <c r="C18" s="78" t="s">
        <v>83</v>
      </c>
      <c r="D18" s="79"/>
      <c r="E18" s="80">
        <v>1</v>
      </c>
      <c r="F18" s="81">
        <v>43.99</v>
      </c>
      <c r="G18" s="82">
        <f>ROUND(IF($F$17="USD $", F18*$E$15,F18*$D$15),2)</f>
        <v>30.34</v>
      </c>
      <c r="H18" s="83">
        <f>ROUND(IF($H$17=$G$17,E18*G18,E18*F18),2)</f>
        <v>43.99</v>
      </c>
      <c r="I18" s="84"/>
      <c r="J18" s="85">
        <f t="shared" ref="J18:J60" si="0">E18</f>
        <v>1</v>
      </c>
      <c r="K18" s="82">
        <f>IFERROR(IF(M18="OEM DISC %",ROUND(IF($K$17=$F$17,F18*(1-N18),G18*(1-N18)),2),IF(M18="MARKUP %",ROUND(R18/J18*(1+N18),2))),0)</f>
        <v>16.72</v>
      </c>
      <c r="L18" s="82">
        <f>ROUND((J18*K18),2)</f>
        <v>16.72</v>
      </c>
      <c r="M18" s="81" t="s">
        <v>84</v>
      </c>
      <c r="N18" s="86">
        <v>0.62</v>
      </c>
      <c r="O18" s="87"/>
      <c r="P18" s="77"/>
      <c r="Q18" s="88"/>
      <c r="R18" s="89">
        <f>ROUND(IF($R$17=$Q$17,Q18,IF($R$17="USD $",Q18*$D$15,Q18*$E$15))*E18,2)</f>
        <v>0</v>
      </c>
      <c r="S18" s="89">
        <f>IFERROR(ROUND(T18/E18,2),0)</f>
        <v>16.72</v>
      </c>
      <c r="T18" s="89">
        <f>ROUND(L18-R18,2)</f>
        <v>16.72</v>
      </c>
      <c r="U18" s="90">
        <f>IFERROR(((K18-(R18/J18))/(R18/J18)),0)</f>
        <v>0</v>
      </c>
      <c r="V18" s="90">
        <f>IFERROR(((K18-(R18/J18))/K18),0)</f>
        <v>1</v>
      </c>
      <c r="W18" s="91"/>
      <c r="X18" s="92"/>
      <c r="Y18" s="4"/>
      <c r="Z18" s="4">
        <v>250</v>
      </c>
      <c r="AA18" s="93"/>
      <c r="AB18" s="94"/>
    </row>
    <row r="19" spans="1:28" x14ac:dyDescent="0.25">
      <c r="A19" s="1"/>
      <c r="B19" s="95">
        <v>7319444</v>
      </c>
      <c r="C19" s="13" t="s">
        <v>85</v>
      </c>
      <c r="D19" s="96"/>
      <c r="E19" s="97">
        <v>1</v>
      </c>
      <c r="F19" s="98">
        <v>62.99</v>
      </c>
      <c r="G19" s="99">
        <f t="shared" ref="G19:G60" si="1">ROUND(IF($F$17="USD $", F19*$E$15,F19*$D$15),2)</f>
        <v>43.44</v>
      </c>
      <c r="H19" s="100">
        <f t="shared" ref="H19:H60" si="2">ROUND(IF($H$17=$G$17,E19*G19,E19*F19),2)</f>
        <v>62.99</v>
      </c>
      <c r="I19" s="101"/>
      <c r="J19" s="102">
        <f t="shared" si="0"/>
        <v>1</v>
      </c>
      <c r="K19" s="99">
        <f t="shared" ref="K19:K60" si="3">IFERROR(IF(M19="OEM DISC %",ROUND(IF($K$17=$F$17,F19*(1-N19),G19*(1-N19)),2),IF(M19="MARKUP %",ROUND(R19/J19*(1+N19),2))),0)</f>
        <v>23.94</v>
      </c>
      <c r="L19" s="99">
        <f t="shared" ref="L19:L60" si="4">ROUND((J19*K19),2)</f>
        <v>23.94</v>
      </c>
      <c r="M19" s="103" t="s">
        <v>84</v>
      </c>
      <c r="N19" s="104">
        <v>0.62</v>
      </c>
      <c r="O19" s="87"/>
      <c r="P19" s="95"/>
      <c r="Q19" s="98"/>
      <c r="R19" s="105">
        <f>ROUND(IF($R$17=$Q$17,Q19,IF($R$17="USD $",Q19*$D$15,Q19*$E$15))*E19,2)</f>
        <v>0</v>
      </c>
      <c r="S19" s="106">
        <f t="shared" ref="S19:S60" si="5">IFERROR(ROUND(T19/E19,2),0)</f>
        <v>23.94</v>
      </c>
      <c r="T19" s="106">
        <f t="shared" ref="T19:T60" si="6">ROUND(L19-R19,2)</f>
        <v>23.94</v>
      </c>
      <c r="U19" s="107">
        <f t="shared" ref="U19:U60" si="7">IFERROR(((K19-(R19/J19))/(R19/J19)),0)</f>
        <v>0</v>
      </c>
      <c r="V19" s="107">
        <f t="shared" ref="V19:V60" si="8">IFERROR(((K19-(R19/J19))/K19),0)</f>
        <v>1</v>
      </c>
      <c r="W19" s="108"/>
      <c r="X19" s="92"/>
      <c r="Y19" s="4" t="s">
        <v>86</v>
      </c>
      <c r="Z19" s="4">
        <v>500</v>
      </c>
      <c r="AA19" s="4"/>
      <c r="AB19" s="4"/>
    </row>
    <row r="20" spans="1:28" x14ac:dyDescent="0.25">
      <c r="A20" s="1"/>
      <c r="B20" s="77"/>
      <c r="C20" s="109"/>
      <c r="D20" s="110"/>
      <c r="E20" s="80">
        <v>1</v>
      </c>
      <c r="F20" s="81"/>
      <c r="G20" s="82">
        <f t="shared" si="1"/>
        <v>0</v>
      </c>
      <c r="H20" s="83">
        <f t="shared" si="2"/>
        <v>0</v>
      </c>
      <c r="I20" s="101"/>
      <c r="J20" s="85">
        <f t="shared" si="0"/>
        <v>1</v>
      </c>
      <c r="K20" s="82">
        <f t="shared" si="3"/>
        <v>0</v>
      </c>
      <c r="L20" s="82">
        <f t="shared" si="4"/>
        <v>0</v>
      </c>
      <c r="M20" s="81" t="s">
        <v>84</v>
      </c>
      <c r="N20" s="111">
        <v>0.62</v>
      </c>
      <c r="O20" s="87"/>
      <c r="P20" s="112"/>
      <c r="Q20" s="88"/>
      <c r="R20" s="89">
        <f t="shared" ref="R20:R60" si="9">ROUND(IF($R$17=$Q$17,Q20,IF($R$17="USD $",Q20*$D$15,Q20*$E$15))*E20,2)</f>
        <v>0</v>
      </c>
      <c r="S20" s="89">
        <f t="shared" si="5"/>
        <v>0</v>
      </c>
      <c r="T20" s="89">
        <f t="shared" si="6"/>
        <v>0</v>
      </c>
      <c r="U20" s="90">
        <f t="shared" si="7"/>
        <v>0</v>
      </c>
      <c r="V20" s="90">
        <f t="shared" si="8"/>
        <v>0</v>
      </c>
      <c r="W20" s="91"/>
      <c r="X20" s="92"/>
      <c r="Y20" s="4" t="s">
        <v>87</v>
      </c>
      <c r="Z20" s="4">
        <v>750</v>
      </c>
      <c r="AA20" s="4"/>
      <c r="AB20" s="4"/>
    </row>
    <row r="21" spans="1:28" x14ac:dyDescent="0.25">
      <c r="A21" s="1"/>
      <c r="B21" s="95">
        <v>7414582</v>
      </c>
      <c r="C21" s="13" t="s">
        <v>88</v>
      </c>
      <c r="D21" s="96"/>
      <c r="E21" s="97">
        <v>1</v>
      </c>
      <c r="F21" s="98">
        <v>117.99</v>
      </c>
      <c r="G21" s="99">
        <f t="shared" si="1"/>
        <v>81.37</v>
      </c>
      <c r="H21" s="100">
        <f t="shared" si="2"/>
        <v>117.99</v>
      </c>
      <c r="I21" s="101"/>
      <c r="J21" s="102">
        <f t="shared" si="0"/>
        <v>1</v>
      </c>
      <c r="K21" s="99">
        <f t="shared" si="3"/>
        <v>44.84</v>
      </c>
      <c r="L21" s="99">
        <f t="shared" si="4"/>
        <v>44.84</v>
      </c>
      <c r="M21" s="103" t="s">
        <v>84</v>
      </c>
      <c r="N21" s="104">
        <v>0.62</v>
      </c>
      <c r="O21" s="87"/>
      <c r="P21" s="95"/>
      <c r="Q21" s="98"/>
      <c r="R21" s="105">
        <f t="shared" si="9"/>
        <v>0</v>
      </c>
      <c r="S21" s="106">
        <f t="shared" si="5"/>
        <v>44.84</v>
      </c>
      <c r="T21" s="106">
        <f t="shared" si="6"/>
        <v>44.84</v>
      </c>
      <c r="U21" s="107">
        <f t="shared" si="7"/>
        <v>0</v>
      </c>
      <c r="V21" s="107">
        <f t="shared" si="8"/>
        <v>1</v>
      </c>
      <c r="W21" s="108"/>
      <c r="X21" s="92"/>
      <c r="Y21" s="4" t="s">
        <v>89</v>
      </c>
      <c r="Z21" s="4">
        <v>1000</v>
      </c>
      <c r="AA21" s="4"/>
      <c r="AB21" s="4"/>
    </row>
    <row r="22" spans="1:28" x14ac:dyDescent="0.25">
      <c r="A22" s="1"/>
      <c r="B22" s="77">
        <v>7386225</v>
      </c>
      <c r="C22" s="109" t="s">
        <v>90</v>
      </c>
      <c r="D22" s="110"/>
      <c r="E22" s="80">
        <v>1</v>
      </c>
      <c r="F22" s="81">
        <v>46.49</v>
      </c>
      <c r="G22" s="82">
        <f t="shared" si="1"/>
        <v>32.06</v>
      </c>
      <c r="H22" s="83">
        <f t="shared" si="2"/>
        <v>46.49</v>
      </c>
      <c r="I22" s="101"/>
      <c r="J22" s="85">
        <f t="shared" si="0"/>
        <v>1</v>
      </c>
      <c r="K22" s="82">
        <f t="shared" si="3"/>
        <v>17.670000000000002</v>
      </c>
      <c r="L22" s="82">
        <f t="shared" si="4"/>
        <v>17.670000000000002</v>
      </c>
      <c r="M22" s="81" t="s">
        <v>84</v>
      </c>
      <c r="N22" s="111">
        <v>0.62</v>
      </c>
      <c r="O22" s="87"/>
      <c r="P22" s="112"/>
      <c r="Q22" s="88"/>
      <c r="R22" s="89">
        <f t="shared" si="9"/>
        <v>0</v>
      </c>
      <c r="S22" s="89">
        <f t="shared" si="5"/>
        <v>17.670000000000002</v>
      </c>
      <c r="T22" s="89">
        <f t="shared" si="6"/>
        <v>17.670000000000002</v>
      </c>
      <c r="U22" s="90">
        <f t="shared" si="7"/>
        <v>0</v>
      </c>
      <c r="V22" s="90">
        <f t="shared" si="8"/>
        <v>1</v>
      </c>
      <c r="W22" s="91"/>
      <c r="X22" s="92"/>
      <c r="Y22" s="4" t="s">
        <v>91</v>
      </c>
      <c r="Z22" s="4">
        <v>1200</v>
      </c>
      <c r="AA22" s="4"/>
      <c r="AB22" s="4"/>
    </row>
    <row r="23" spans="1:28" x14ac:dyDescent="0.25">
      <c r="A23" s="1"/>
      <c r="B23" s="95">
        <v>7386224</v>
      </c>
      <c r="C23" s="13" t="s">
        <v>92</v>
      </c>
      <c r="D23" s="96"/>
      <c r="E23" s="97">
        <v>1</v>
      </c>
      <c r="F23" s="98">
        <v>30.99</v>
      </c>
      <c r="G23" s="99">
        <f t="shared" si="1"/>
        <v>21.37</v>
      </c>
      <c r="H23" s="100">
        <f t="shared" si="2"/>
        <v>30.99</v>
      </c>
      <c r="I23" s="101"/>
      <c r="J23" s="102">
        <f t="shared" si="0"/>
        <v>1</v>
      </c>
      <c r="K23" s="99">
        <f t="shared" si="3"/>
        <v>11.78</v>
      </c>
      <c r="L23" s="99">
        <f t="shared" si="4"/>
        <v>11.78</v>
      </c>
      <c r="M23" s="103" t="s">
        <v>84</v>
      </c>
      <c r="N23" s="104">
        <v>0.62</v>
      </c>
      <c r="O23" s="87"/>
      <c r="P23" s="95"/>
      <c r="Q23" s="98"/>
      <c r="R23" s="105">
        <f t="shared" si="9"/>
        <v>0</v>
      </c>
      <c r="S23" s="106">
        <f t="shared" si="5"/>
        <v>11.78</v>
      </c>
      <c r="T23" s="106">
        <f t="shared" si="6"/>
        <v>11.78</v>
      </c>
      <c r="U23" s="107">
        <f t="shared" si="7"/>
        <v>0</v>
      </c>
      <c r="V23" s="107">
        <f t="shared" si="8"/>
        <v>1</v>
      </c>
      <c r="W23" s="108"/>
      <c r="X23" s="92"/>
      <c r="Y23" s="4" t="s">
        <v>93</v>
      </c>
      <c r="Z23" s="4">
        <v>2000</v>
      </c>
      <c r="AA23" s="4"/>
      <c r="AB23" s="4"/>
    </row>
    <row r="24" spans="1:28" x14ac:dyDescent="0.25">
      <c r="A24" s="1"/>
      <c r="B24" s="77">
        <v>7310820</v>
      </c>
      <c r="C24" s="109" t="s">
        <v>94</v>
      </c>
      <c r="D24" s="110"/>
      <c r="E24" s="80">
        <v>1</v>
      </c>
      <c r="F24" s="81">
        <v>44.99</v>
      </c>
      <c r="G24" s="82">
        <f t="shared" si="1"/>
        <v>31.03</v>
      </c>
      <c r="H24" s="83">
        <f t="shared" si="2"/>
        <v>44.99</v>
      </c>
      <c r="I24" s="101"/>
      <c r="J24" s="85">
        <f t="shared" si="0"/>
        <v>1</v>
      </c>
      <c r="K24" s="82">
        <f t="shared" si="3"/>
        <v>17.100000000000001</v>
      </c>
      <c r="L24" s="82">
        <f t="shared" si="4"/>
        <v>17.100000000000001</v>
      </c>
      <c r="M24" s="81" t="s">
        <v>84</v>
      </c>
      <c r="N24" s="111">
        <v>0.62</v>
      </c>
      <c r="O24" s="87"/>
      <c r="P24" s="112"/>
      <c r="Q24" s="88"/>
      <c r="R24" s="89">
        <f t="shared" si="9"/>
        <v>0</v>
      </c>
      <c r="S24" s="89">
        <f t="shared" si="5"/>
        <v>17.100000000000001</v>
      </c>
      <c r="T24" s="89">
        <f t="shared" si="6"/>
        <v>17.100000000000001</v>
      </c>
      <c r="U24" s="90">
        <f t="shared" si="7"/>
        <v>0</v>
      </c>
      <c r="V24" s="90">
        <f t="shared" si="8"/>
        <v>1</v>
      </c>
      <c r="W24" s="91"/>
      <c r="X24" s="92"/>
      <c r="Y24" s="4" t="s">
        <v>95</v>
      </c>
      <c r="Z24" s="4">
        <v>4000</v>
      </c>
      <c r="AA24" s="4"/>
      <c r="AB24" s="4"/>
    </row>
    <row r="25" spans="1:28" x14ac:dyDescent="0.25">
      <c r="A25" s="1"/>
      <c r="B25" s="95"/>
      <c r="C25" s="13"/>
      <c r="D25" s="96"/>
      <c r="E25" s="97"/>
      <c r="F25" s="98"/>
      <c r="G25" s="99">
        <f t="shared" si="1"/>
        <v>0</v>
      </c>
      <c r="H25" s="100">
        <f t="shared" si="2"/>
        <v>0</v>
      </c>
      <c r="I25" s="101"/>
      <c r="J25" s="102">
        <f t="shared" si="0"/>
        <v>0</v>
      </c>
      <c r="K25" s="99">
        <f t="shared" si="3"/>
        <v>0</v>
      </c>
      <c r="L25" s="99">
        <f t="shared" si="4"/>
        <v>0</v>
      </c>
      <c r="M25" s="103" t="s">
        <v>84</v>
      </c>
      <c r="N25" s="104"/>
      <c r="O25" s="87"/>
      <c r="P25" s="95"/>
      <c r="Q25" s="98"/>
      <c r="R25" s="105">
        <f t="shared" si="9"/>
        <v>0</v>
      </c>
      <c r="S25" s="106">
        <f t="shared" si="5"/>
        <v>0</v>
      </c>
      <c r="T25" s="106">
        <f t="shared" si="6"/>
        <v>0</v>
      </c>
      <c r="U25" s="107">
        <f t="shared" si="7"/>
        <v>0</v>
      </c>
      <c r="V25" s="107">
        <f t="shared" si="8"/>
        <v>0</v>
      </c>
      <c r="W25" s="108"/>
      <c r="X25" s="92"/>
      <c r="Y25" s="4" t="s">
        <v>96</v>
      </c>
      <c r="Z25" s="4">
        <v>6000</v>
      </c>
      <c r="AA25" s="4"/>
      <c r="AB25" s="4"/>
    </row>
    <row r="26" spans="1:28" x14ac:dyDescent="0.25">
      <c r="A26" s="1"/>
      <c r="B26" s="77">
        <v>7316550</v>
      </c>
      <c r="C26" s="109" t="s">
        <v>97</v>
      </c>
      <c r="D26" s="110"/>
      <c r="E26" s="80">
        <v>4</v>
      </c>
      <c r="F26" s="81">
        <v>578.99</v>
      </c>
      <c r="G26" s="82">
        <f t="shared" si="1"/>
        <v>399.3</v>
      </c>
      <c r="H26" s="83">
        <f t="shared" si="2"/>
        <v>2315.96</v>
      </c>
      <c r="I26" s="101"/>
      <c r="J26" s="85">
        <f t="shared" si="0"/>
        <v>4</v>
      </c>
      <c r="K26" s="82">
        <f t="shared" si="3"/>
        <v>289.5</v>
      </c>
      <c r="L26" s="82">
        <f t="shared" si="4"/>
        <v>1158</v>
      </c>
      <c r="M26" s="81" t="s">
        <v>84</v>
      </c>
      <c r="N26" s="111">
        <v>0.5</v>
      </c>
      <c r="O26" s="87"/>
      <c r="P26" s="112"/>
      <c r="Q26" s="88"/>
      <c r="R26" s="89">
        <f t="shared" si="9"/>
        <v>0</v>
      </c>
      <c r="S26" s="89">
        <f t="shared" si="5"/>
        <v>289.5</v>
      </c>
      <c r="T26" s="89">
        <f t="shared" si="6"/>
        <v>1158</v>
      </c>
      <c r="U26" s="90">
        <f t="shared" si="7"/>
        <v>0</v>
      </c>
      <c r="V26" s="90">
        <f t="shared" si="8"/>
        <v>1</v>
      </c>
      <c r="W26" s="91"/>
      <c r="X26" s="92"/>
      <c r="Y26" s="4" t="s">
        <v>98</v>
      </c>
      <c r="Z26" s="4">
        <v>8000</v>
      </c>
      <c r="AA26" s="4"/>
      <c r="AB26" s="4"/>
    </row>
    <row r="27" spans="1:28" x14ac:dyDescent="0.25">
      <c r="A27" s="1"/>
      <c r="B27" s="95"/>
      <c r="C27" s="13"/>
      <c r="D27" s="96"/>
      <c r="E27" s="97"/>
      <c r="F27" s="98"/>
      <c r="G27" s="99">
        <f t="shared" si="1"/>
        <v>0</v>
      </c>
      <c r="H27" s="100">
        <f t="shared" si="2"/>
        <v>0</v>
      </c>
      <c r="I27" s="101"/>
      <c r="J27" s="102">
        <f t="shared" si="0"/>
        <v>0</v>
      </c>
      <c r="K27" s="99">
        <f t="shared" si="3"/>
        <v>0</v>
      </c>
      <c r="L27" s="99">
        <f t="shared" si="4"/>
        <v>0</v>
      </c>
      <c r="M27" s="103" t="s">
        <v>84</v>
      </c>
      <c r="N27" s="104">
        <v>0.5</v>
      </c>
      <c r="O27" s="87"/>
      <c r="P27" s="95"/>
      <c r="Q27" s="98"/>
      <c r="R27" s="105">
        <f t="shared" si="9"/>
        <v>0</v>
      </c>
      <c r="S27" s="106">
        <f t="shared" si="5"/>
        <v>0</v>
      </c>
      <c r="T27" s="106">
        <f t="shared" si="6"/>
        <v>0</v>
      </c>
      <c r="U27" s="107">
        <f t="shared" si="7"/>
        <v>0</v>
      </c>
      <c r="V27" s="107">
        <f t="shared" si="8"/>
        <v>0</v>
      </c>
      <c r="W27" s="108"/>
      <c r="X27" s="92"/>
      <c r="Y27" s="4" t="s">
        <v>99</v>
      </c>
      <c r="Z27" s="113">
        <v>10000</v>
      </c>
      <c r="AA27" s="4"/>
      <c r="AB27" s="4"/>
    </row>
    <row r="28" spans="1:28" x14ac:dyDescent="0.25">
      <c r="A28" s="1"/>
      <c r="B28" s="114"/>
      <c r="C28" s="109"/>
      <c r="D28" s="110"/>
      <c r="E28" s="80"/>
      <c r="F28" s="81"/>
      <c r="G28" s="82">
        <f t="shared" si="1"/>
        <v>0</v>
      </c>
      <c r="H28" s="83">
        <f t="shared" si="2"/>
        <v>0</v>
      </c>
      <c r="I28" s="101"/>
      <c r="J28" s="85">
        <f t="shared" si="0"/>
        <v>0</v>
      </c>
      <c r="K28" s="82">
        <f t="shared" si="3"/>
        <v>0</v>
      </c>
      <c r="L28" s="82">
        <f t="shared" si="4"/>
        <v>0</v>
      </c>
      <c r="M28" s="81" t="s">
        <v>84</v>
      </c>
      <c r="N28" s="111">
        <v>0.5</v>
      </c>
      <c r="O28" s="87"/>
      <c r="P28" s="112"/>
      <c r="Q28" s="88"/>
      <c r="R28" s="89">
        <f t="shared" si="9"/>
        <v>0</v>
      </c>
      <c r="S28" s="89">
        <f t="shared" si="5"/>
        <v>0</v>
      </c>
      <c r="T28" s="89">
        <f t="shared" si="6"/>
        <v>0</v>
      </c>
      <c r="U28" s="90">
        <f t="shared" si="7"/>
        <v>0</v>
      </c>
      <c r="V28" s="90">
        <f t="shared" si="8"/>
        <v>0</v>
      </c>
      <c r="W28" s="91"/>
      <c r="X28" s="92"/>
      <c r="Y28" s="4" t="s">
        <v>100</v>
      </c>
      <c r="Z28" s="4" t="s">
        <v>101</v>
      </c>
      <c r="AA28" s="4"/>
      <c r="AB28" s="4"/>
    </row>
    <row r="29" spans="1:28" x14ac:dyDescent="0.25">
      <c r="A29" s="1"/>
      <c r="B29" s="95"/>
      <c r="C29" s="13"/>
      <c r="D29" s="96"/>
      <c r="E29" s="97"/>
      <c r="F29" s="98"/>
      <c r="G29" s="99">
        <f>ROUND(IF($F$17="USD $", F29*$E$15,F29*$D$15),2)</f>
        <v>0</v>
      </c>
      <c r="H29" s="100">
        <f>ROUND(IF($H$17=$G$17,E29*G29,E29*F29),2)</f>
        <v>0</v>
      </c>
      <c r="I29" s="101"/>
      <c r="J29" s="102">
        <f t="shared" si="0"/>
        <v>0</v>
      </c>
      <c r="K29" s="99">
        <f t="shared" si="3"/>
        <v>0</v>
      </c>
      <c r="L29" s="99">
        <f>ROUND((J29*K29),2)</f>
        <v>0</v>
      </c>
      <c r="M29" s="103" t="s">
        <v>84</v>
      </c>
      <c r="N29" s="104"/>
      <c r="O29" s="87"/>
      <c r="P29" s="95"/>
      <c r="Q29" s="98"/>
      <c r="R29" s="105">
        <f t="shared" si="9"/>
        <v>0</v>
      </c>
      <c r="S29" s="106">
        <f t="shared" si="5"/>
        <v>0</v>
      </c>
      <c r="T29" s="106">
        <f t="shared" si="6"/>
        <v>0</v>
      </c>
      <c r="U29" s="107">
        <f t="shared" si="7"/>
        <v>0</v>
      </c>
      <c r="V29" s="107">
        <f t="shared" si="8"/>
        <v>0</v>
      </c>
      <c r="W29" s="108"/>
      <c r="X29" s="92"/>
      <c r="Y29" s="4" t="s">
        <v>102</v>
      </c>
      <c r="Z29" s="4"/>
      <c r="AA29" s="4"/>
      <c r="AB29" s="4"/>
    </row>
    <row r="30" spans="1:28" x14ac:dyDescent="0.25">
      <c r="A30" s="1"/>
      <c r="B30" s="77"/>
      <c r="C30" s="109"/>
      <c r="D30" s="110"/>
      <c r="E30" s="80"/>
      <c r="F30" s="81"/>
      <c r="G30" s="82">
        <f t="shared" si="1"/>
        <v>0</v>
      </c>
      <c r="H30" s="83">
        <f t="shared" si="2"/>
        <v>0</v>
      </c>
      <c r="I30" s="101"/>
      <c r="J30" s="85">
        <f t="shared" si="0"/>
        <v>0</v>
      </c>
      <c r="K30" s="82">
        <f t="shared" si="3"/>
        <v>0</v>
      </c>
      <c r="L30" s="82">
        <f t="shared" si="4"/>
        <v>0</v>
      </c>
      <c r="M30" s="81" t="s">
        <v>84</v>
      </c>
      <c r="N30" s="111">
        <v>0.5</v>
      </c>
      <c r="O30" s="87"/>
      <c r="P30" s="112"/>
      <c r="Q30" s="88"/>
      <c r="R30" s="89">
        <f t="shared" si="9"/>
        <v>0</v>
      </c>
      <c r="S30" s="89">
        <f t="shared" si="5"/>
        <v>0</v>
      </c>
      <c r="T30" s="89">
        <f t="shared" si="6"/>
        <v>0</v>
      </c>
      <c r="U30" s="90">
        <f t="shared" si="7"/>
        <v>0</v>
      </c>
      <c r="V30" s="90">
        <f t="shared" si="8"/>
        <v>0</v>
      </c>
      <c r="W30" s="91"/>
      <c r="X30" s="92"/>
      <c r="Y30" s="4"/>
      <c r="Z30" s="4"/>
      <c r="AA30" s="4"/>
      <c r="AB30" s="4"/>
    </row>
    <row r="31" spans="1:28" x14ac:dyDescent="0.25">
      <c r="A31" s="1"/>
      <c r="B31" s="95"/>
      <c r="C31" s="13"/>
      <c r="D31" s="96"/>
      <c r="E31" s="97"/>
      <c r="F31" s="98"/>
      <c r="G31" s="99">
        <f t="shared" si="1"/>
        <v>0</v>
      </c>
      <c r="H31" s="100">
        <f t="shared" si="2"/>
        <v>0</v>
      </c>
      <c r="I31" s="101"/>
      <c r="J31" s="102">
        <f t="shared" si="0"/>
        <v>0</v>
      </c>
      <c r="K31" s="99">
        <f t="shared" si="3"/>
        <v>0</v>
      </c>
      <c r="L31" s="99">
        <f t="shared" si="4"/>
        <v>0</v>
      </c>
      <c r="M31" s="103" t="s">
        <v>84</v>
      </c>
      <c r="N31" s="104">
        <v>0.5</v>
      </c>
      <c r="O31" s="87"/>
      <c r="P31" s="95"/>
      <c r="Q31" s="98"/>
      <c r="R31" s="105">
        <f>ROUND(IF($R$17=$Q$17,Q31,IF($R$17="USD $",Q31*$D$15,Q31*$E$15))*E31,2)</f>
        <v>0</v>
      </c>
      <c r="S31" s="106">
        <f t="shared" si="5"/>
        <v>0</v>
      </c>
      <c r="T31" s="106">
        <f t="shared" si="6"/>
        <v>0</v>
      </c>
      <c r="U31" s="107">
        <f t="shared" si="7"/>
        <v>0</v>
      </c>
      <c r="V31" s="107">
        <f t="shared" si="8"/>
        <v>0</v>
      </c>
      <c r="W31" s="108"/>
      <c r="X31" s="92"/>
      <c r="Y31" s="4" t="s">
        <v>84</v>
      </c>
      <c r="Z31" s="4"/>
      <c r="AA31" s="4"/>
      <c r="AB31" s="4"/>
    </row>
    <row r="32" spans="1:28" x14ac:dyDescent="0.25">
      <c r="A32" s="1"/>
      <c r="B32" s="77">
        <v>7326130</v>
      </c>
      <c r="C32" s="109" t="s">
        <v>103</v>
      </c>
      <c r="D32" s="110"/>
      <c r="E32" s="80">
        <v>1</v>
      </c>
      <c r="F32" s="81">
        <v>2758.99</v>
      </c>
      <c r="G32" s="82">
        <f t="shared" si="1"/>
        <v>1902.75</v>
      </c>
      <c r="H32" s="83">
        <f t="shared" si="2"/>
        <v>2758.99</v>
      </c>
      <c r="I32" s="101"/>
      <c r="J32" s="85">
        <f t="shared" si="0"/>
        <v>1</v>
      </c>
      <c r="K32" s="82">
        <f t="shared" si="3"/>
        <v>1379.5</v>
      </c>
      <c r="L32" s="82">
        <f t="shared" si="4"/>
        <v>1379.5</v>
      </c>
      <c r="M32" s="81" t="s">
        <v>84</v>
      </c>
      <c r="N32" s="111">
        <v>0.5</v>
      </c>
      <c r="O32" s="87"/>
      <c r="P32" s="112"/>
      <c r="Q32" s="88"/>
      <c r="R32" s="89">
        <f t="shared" si="9"/>
        <v>0</v>
      </c>
      <c r="S32" s="89">
        <f t="shared" si="5"/>
        <v>1379.5</v>
      </c>
      <c r="T32" s="89">
        <f t="shared" si="6"/>
        <v>1379.5</v>
      </c>
      <c r="U32" s="90">
        <f t="shared" si="7"/>
        <v>0</v>
      </c>
      <c r="V32" s="90">
        <f t="shared" si="8"/>
        <v>1</v>
      </c>
      <c r="W32" s="91"/>
      <c r="X32" s="92"/>
      <c r="Y32" s="4" t="s">
        <v>104</v>
      </c>
      <c r="Z32" s="4"/>
      <c r="AA32" s="4"/>
      <c r="AB32" s="4"/>
    </row>
    <row r="33" spans="1:28" x14ac:dyDescent="0.25">
      <c r="A33" s="1"/>
      <c r="B33" s="95"/>
      <c r="C33" s="13"/>
      <c r="D33" s="96"/>
      <c r="E33" s="97"/>
      <c r="F33" s="98"/>
      <c r="G33" s="99">
        <f t="shared" si="1"/>
        <v>0</v>
      </c>
      <c r="H33" s="100">
        <f t="shared" si="2"/>
        <v>0</v>
      </c>
      <c r="I33" s="101"/>
      <c r="J33" s="102">
        <f t="shared" si="0"/>
        <v>0</v>
      </c>
      <c r="K33" s="99">
        <f t="shared" si="3"/>
        <v>0</v>
      </c>
      <c r="L33" s="99">
        <f t="shared" si="4"/>
        <v>0</v>
      </c>
      <c r="M33" s="103" t="s">
        <v>84</v>
      </c>
      <c r="N33" s="104">
        <v>0.5</v>
      </c>
      <c r="O33" s="87"/>
      <c r="P33" s="95"/>
      <c r="Q33" s="98"/>
      <c r="R33" s="105">
        <f t="shared" si="9"/>
        <v>0</v>
      </c>
      <c r="S33" s="106">
        <f t="shared" si="5"/>
        <v>0</v>
      </c>
      <c r="T33" s="106">
        <f t="shared" si="6"/>
        <v>0</v>
      </c>
      <c r="U33" s="107">
        <f t="shared" si="7"/>
        <v>0</v>
      </c>
      <c r="V33" s="107">
        <f t="shared" si="8"/>
        <v>0</v>
      </c>
      <c r="W33" s="108"/>
      <c r="X33" s="92"/>
      <c r="Y33" s="4"/>
      <c r="Z33" s="4"/>
      <c r="AA33" s="4"/>
      <c r="AB33" s="4"/>
    </row>
    <row r="34" spans="1:28" x14ac:dyDescent="0.25">
      <c r="A34" s="1"/>
      <c r="B34" s="77"/>
      <c r="C34" s="109"/>
      <c r="D34" s="110"/>
      <c r="E34" s="80"/>
      <c r="F34" s="81"/>
      <c r="G34" s="82">
        <f t="shared" si="1"/>
        <v>0</v>
      </c>
      <c r="H34" s="83">
        <f t="shared" si="2"/>
        <v>0</v>
      </c>
      <c r="I34" s="101"/>
      <c r="J34" s="85">
        <f t="shared" si="0"/>
        <v>0</v>
      </c>
      <c r="K34" s="82">
        <f t="shared" si="3"/>
        <v>0</v>
      </c>
      <c r="L34" s="82">
        <f t="shared" si="4"/>
        <v>0</v>
      </c>
      <c r="M34" s="81" t="s">
        <v>84</v>
      </c>
      <c r="N34" s="111">
        <v>0.5</v>
      </c>
      <c r="O34" s="87"/>
      <c r="P34" s="112"/>
      <c r="Q34" s="88"/>
      <c r="R34" s="89">
        <f t="shared" si="9"/>
        <v>0</v>
      </c>
      <c r="S34" s="89">
        <f t="shared" si="5"/>
        <v>0</v>
      </c>
      <c r="T34" s="89">
        <f t="shared" si="6"/>
        <v>0</v>
      </c>
      <c r="U34" s="90">
        <f t="shared" si="7"/>
        <v>0</v>
      </c>
      <c r="V34" s="90">
        <f t="shared" si="8"/>
        <v>0</v>
      </c>
      <c r="W34" s="91"/>
      <c r="X34" s="92"/>
      <c r="Y34" s="4"/>
      <c r="Z34" s="4"/>
      <c r="AA34" s="4"/>
      <c r="AB34" s="4"/>
    </row>
    <row r="35" spans="1:28" x14ac:dyDescent="0.25">
      <c r="A35" s="1"/>
      <c r="B35" s="95"/>
      <c r="C35" s="13"/>
      <c r="D35" s="96"/>
      <c r="E35" s="97"/>
      <c r="F35" s="98"/>
      <c r="G35" s="99">
        <f t="shared" si="1"/>
        <v>0</v>
      </c>
      <c r="H35" s="100">
        <f t="shared" si="2"/>
        <v>0</v>
      </c>
      <c r="I35" s="101"/>
      <c r="J35" s="102">
        <f t="shared" si="0"/>
        <v>0</v>
      </c>
      <c r="K35" s="99">
        <f t="shared" si="3"/>
        <v>0</v>
      </c>
      <c r="L35" s="99">
        <f t="shared" si="4"/>
        <v>0</v>
      </c>
      <c r="M35" s="103" t="s">
        <v>84</v>
      </c>
      <c r="N35" s="104">
        <v>0.5</v>
      </c>
      <c r="O35" s="87"/>
      <c r="P35" s="95"/>
      <c r="Q35" s="98"/>
      <c r="R35" s="105">
        <f t="shared" si="9"/>
        <v>0</v>
      </c>
      <c r="S35" s="106">
        <f t="shared" si="5"/>
        <v>0</v>
      </c>
      <c r="T35" s="106">
        <f t="shared" si="6"/>
        <v>0</v>
      </c>
      <c r="U35" s="107">
        <f t="shared" si="7"/>
        <v>0</v>
      </c>
      <c r="V35" s="107">
        <f t="shared" si="8"/>
        <v>0</v>
      </c>
      <c r="W35" s="108"/>
      <c r="X35" s="92"/>
      <c r="Y35" s="4"/>
      <c r="Z35" s="4"/>
      <c r="AA35" s="4"/>
      <c r="AB35" s="4"/>
    </row>
    <row r="36" spans="1:28" x14ac:dyDescent="0.25">
      <c r="A36" s="1"/>
      <c r="B36" s="77"/>
      <c r="C36" s="109"/>
      <c r="D36" s="110"/>
      <c r="E36" s="80"/>
      <c r="F36" s="81"/>
      <c r="G36" s="82">
        <f t="shared" si="1"/>
        <v>0</v>
      </c>
      <c r="H36" s="83">
        <f t="shared" si="2"/>
        <v>0</v>
      </c>
      <c r="I36" s="101"/>
      <c r="J36" s="85">
        <f t="shared" si="0"/>
        <v>0</v>
      </c>
      <c r="K36" s="82">
        <f t="shared" si="3"/>
        <v>0</v>
      </c>
      <c r="L36" s="82">
        <f t="shared" si="4"/>
        <v>0</v>
      </c>
      <c r="M36" s="81" t="s">
        <v>84</v>
      </c>
      <c r="N36" s="111"/>
      <c r="O36" s="87"/>
      <c r="P36" s="112"/>
      <c r="Q36" s="88"/>
      <c r="R36" s="89">
        <f t="shared" si="9"/>
        <v>0</v>
      </c>
      <c r="S36" s="89">
        <f t="shared" si="5"/>
        <v>0</v>
      </c>
      <c r="T36" s="89">
        <f t="shared" si="6"/>
        <v>0</v>
      </c>
      <c r="U36" s="90">
        <f t="shared" si="7"/>
        <v>0</v>
      </c>
      <c r="V36" s="90">
        <f t="shared" si="8"/>
        <v>0</v>
      </c>
      <c r="W36" s="91"/>
      <c r="X36" s="92"/>
      <c r="Y36" s="4"/>
      <c r="Z36" s="4"/>
      <c r="AA36" s="4"/>
      <c r="AB36" s="4"/>
    </row>
    <row r="37" spans="1:28" x14ac:dyDescent="0.25">
      <c r="A37" s="1"/>
      <c r="B37" s="95"/>
      <c r="C37" s="13"/>
      <c r="D37" s="96"/>
      <c r="E37" s="97"/>
      <c r="F37" s="98"/>
      <c r="G37" s="99">
        <f t="shared" si="1"/>
        <v>0</v>
      </c>
      <c r="H37" s="100">
        <f t="shared" si="2"/>
        <v>0</v>
      </c>
      <c r="I37" s="101"/>
      <c r="J37" s="102">
        <f t="shared" si="0"/>
        <v>0</v>
      </c>
      <c r="K37" s="99">
        <f t="shared" si="3"/>
        <v>0</v>
      </c>
      <c r="L37" s="99">
        <f t="shared" si="4"/>
        <v>0</v>
      </c>
      <c r="M37" s="103" t="s">
        <v>84</v>
      </c>
      <c r="N37" s="104"/>
      <c r="O37" s="87"/>
      <c r="P37" s="95"/>
      <c r="Q37" s="98"/>
      <c r="R37" s="105">
        <f t="shared" si="9"/>
        <v>0</v>
      </c>
      <c r="S37" s="106">
        <f t="shared" si="5"/>
        <v>0</v>
      </c>
      <c r="T37" s="106">
        <f t="shared" si="6"/>
        <v>0</v>
      </c>
      <c r="U37" s="107">
        <f t="shared" si="7"/>
        <v>0</v>
      </c>
      <c r="V37" s="107">
        <f t="shared" si="8"/>
        <v>0</v>
      </c>
      <c r="W37" s="108"/>
      <c r="X37" s="92"/>
      <c r="Y37" s="4"/>
      <c r="Z37" s="4"/>
      <c r="AA37" s="4"/>
      <c r="AB37" s="4"/>
    </row>
    <row r="38" spans="1:28" x14ac:dyDescent="0.25">
      <c r="A38" s="1"/>
      <c r="B38" s="77"/>
      <c r="C38" s="109"/>
      <c r="D38" s="110"/>
      <c r="E38" s="80"/>
      <c r="F38" s="81"/>
      <c r="G38" s="82">
        <f t="shared" si="1"/>
        <v>0</v>
      </c>
      <c r="H38" s="83">
        <f t="shared" si="2"/>
        <v>0</v>
      </c>
      <c r="I38" s="101"/>
      <c r="J38" s="85">
        <f t="shared" si="0"/>
        <v>0</v>
      </c>
      <c r="K38" s="82">
        <f t="shared" si="3"/>
        <v>0</v>
      </c>
      <c r="L38" s="82">
        <f t="shared" si="4"/>
        <v>0</v>
      </c>
      <c r="M38" s="81" t="s">
        <v>84</v>
      </c>
      <c r="N38" s="111"/>
      <c r="O38" s="87"/>
      <c r="P38" s="112"/>
      <c r="Q38" s="88"/>
      <c r="R38" s="89">
        <f t="shared" si="9"/>
        <v>0</v>
      </c>
      <c r="S38" s="89">
        <f t="shared" si="5"/>
        <v>0</v>
      </c>
      <c r="T38" s="89">
        <f t="shared" si="6"/>
        <v>0</v>
      </c>
      <c r="U38" s="90">
        <f t="shared" si="7"/>
        <v>0</v>
      </c>
      <c r="V38" s="90">
        <f t="shared" si="8"/>
        <v>0</v>
      </c>
      <c r="W38" s="108"/>
      <c r="X38" s="92"/>
      <c r="Y38" s="4"/>
      <c r="Z38" s="4"/>
      <c r="AA38" s="4"/>
      <c r="AB38" s="4"/>
    </row>
    <row r="39" spans="1:28" x14ac:dyDescent="0.25">
      <c r="A39" s="1"/>
      <c r="B39" s="95"/>
      <c r="C39" s="13"/>
      <c r="D39" s="96"/>
      <c r="E39" s="97"/>
      <c r="F39" s="98"/>
      <c r="G39" s="99">
        <f t="shared" si="1"/>
        <v>0</v>
      </c>
      <c r="H39" s="100">
        <f t="shared" si="2"/>
        <v>0</v>
      </c>
      <c r="I39" s="101"/>
      <c r="J39" s="102">
        <f t="shared" si="0"/>
        <v>0</v>
      </c>
      <c r="K39" s="99">
        <f t="shared" si="3"/>
        <v>0</v>
      </c>
      <c r="L39" s="99">
        <f t="shared" si="4"/>
        <v>0</v>
      </c>
      <c r="M39" s="103" t="s">
        <v>84</v>
      </c>
      <c r="N39" s="104"/>
      <c r="O39" s="87"/>
      <c r="P39" s="95"/>
      <c r="Q39" s="98"/>
      <c r="R39" s="105">
        <f t="shared" si="9"/>
        <v>0</v>
      </c>
      <c r="S39" s="106">
        <f t="shared" si="5"/>
        <v>0</v>
      </c>
      <c r="T39" s="106">
        <f t="shared" si="6"/>
        <v>0</v>
      </c>
      <c r="U39" s="107">
        <f t="shared" si="7"/>
        <v>0</v>
      </c>
      <c r="V39" s="107">
        <f t="shared" si="8"/>
        <v>0</v>
      </c>
      <c r="W39" s="108"/>
      <c r="X39" s="92"/>
      <c r="Y39" s="4"/>
      <c r="Z39" s="4"/>
      <c r="AA39" s="4"/>
      <c r="AB39" s="4"/>
    </row>
    <row r="40" spans="1:28" x14ac:dyDescent="0.25">
      <c r="A40" s="1"/>
      <c r="B40" s="77">
        <v>7408138</v>
      </c>
      <c r="C40" s="109" t="s">
        <v>105</v>
      </c>
      <c r="D40" s="110"/>
      <c r="E40" s="80">
        <v>2</v>
      </c>
      <c r="F40" s="81">
        <v>1497.99</v>
      </c>
      <c r="G40" s="82">
        <f t="shared" si="1"/>
        <v>1033.0999999999999</v>
      </c>
      <c r="H40" s="83">
        <f t="shared" si="2"/>
        <v>2995.98</v>
      </c>
      <c r="I40" s="101"/>
      <c r="J40" s="85">
        <f t="shared" si="0"/>
        <v>2</v>
      </c>
      <c r="K40" s="82">
        <f t="shared" si="3"/>
        <v>749</v>
      </c>
      <c r="L40" s="82">
        <f t="shared" si="4"/>
        <v>1498</v>
      </c>
      <c r="M40" s="81" t="s">
        <v>84</v>
      </c>
      <c r="N40" s="111">
        <v>0.5</v>
      </c>
      <c r="O40" s="87"/>
      <c r="P40" s="112"/>
      <c r="Q40" s="88"/>
      <c r="R40" s="89">
        <f t="shared" si="9"/>
        <v>0</v>
      </c>
      <c r="S40" s="89">
        <f t="shared" si="5"/>
        <v>749</v>
      </c>
      <c r="T40" s="89">
        <f t="shared" si="6"/>
        <v>1498</v>
      </c>
      <c r="U40" s="90">
        <f t="shared" si="7"/>
        <v>0</v>
      </c>
      <c r="V40" s="90">
        <f t="shared" si="8"/>
        <v>1</v>
      </c>
      <c r="W40" s="108"/>
      <c r="X40" s="92"/>
      <c r="Y40" s="4"/>
      <c r="Z40" s="4"/>
      <c r="AA40" s="4"/>
      <c r="AB40" s="4"/>
    </row>
    <row r="41" spans="1:28" x14ac:dyDescent="0.25">
      <c r="A41" s="1"/>
      <c r="B41" s="95"/>
      <c r="C41" s="13"/>
      <c r="D41" s="96"/>
      <c r="E41" s="97"/>
      <c r="F41" s="98"/>
      <c r="G41" s="99">
        <f t="shared" si="1"/>
        <v>0</v>
      </c>
      <c r="H41" s="100">
        <f t="shared" si="2"/>
        <v>0</v>
      </c>
      <c r="I41" s="101"/>
      <c r="J41" s="102">
        <f t="shared" si="0"/>
        <v>0</v>
      </c>
      <c r="K41" s="99">
        <f t="shared" si="3"/>
        <v>0</v>
      </c>
      <c r="L41" s="99">
        <f t="shared" si="4"/>
        <v>0</v>
      </c>
      <c r="M41" s="103" t="s">
        <v>84</v>
      </c>
      <c r="N41" s="104">
        <v>0.5</v>
      </c>
      <c r="O41" s="87"/>
      <c r="P41" s="95"/>
      <c r="Q41" s="98"/>
      <c r="R41" s="105">
        <f t="shared" si="9"/>
        <v>0</v>
      </c>
      <c r="S41" s="106">
        <f t="shared" si="5"/>
        <v>0</v>
      </c>
      <c r="T41" s="106">
        <f t="shared" si="6"/>
        <v>0</v>
      </c>
      <c r="U41" s="107">
        <f t="shared" si="7"/>
        <v>0</v>
      </c>
      <c r="V41" s="107">
        <f t="shared" si="8"/>
        <v>0</v>
      </c>
      <c r="W41" s="108"/>
      <c r="X41" s="92"/>
      <c r="Y41" s="4"/>
      <c r="Z41" s="4"/>
      <c r="AA41" s="4"/>
      <c r="AB41" s="4"/>
    </row>
    <row r="42" spans="1:28" x14ac:dyDescent="0.25">
      <c r="A42" s="1"/>
      <c r="B42" s="77">
        <v>7229101</v>
      </c>
      <c r="C42" s="109" t="s">
        <v>106</v>
      </c>
      <c r="D42" s="110"/>
      <c r="E42" s="80">
        <v>2</v>
      </c>
      <c r="F42" s="81">
        <v>840.99</v>
      </c>
      <c r="G42" s="82">
        <f t="shared" si="1"/>
        <v>579.99</v>
      </c>
      <c r="H42" s="83">
        <f t="shared" si="2"/>
        <v>1681.98</v>
      </c>
      <c r="I42" s="101"/>
      <c r="J42" s="85">
        <f t="shared" si="0"/>
        <v>2</v>
      </c>
      <c r="K42" s="82">
        <f t="shared" si="3"/>
        <v>420.5</v>
      </c>
      <c r="L42" s="82">
        <f t="shared" si="4"/>
        <v>841</v>
      </c>
      <c r="M42" s="81" t="s">
        <v>84</v>
      </c>
      <c r="N42" s="111">
        <v>0.5</v>
      </c>
      <c r="O42" s="87"/>
      <c r="P42" s="112"/>
      <c r="Q42" s="88"/>
      <c r="R42" s="89">
        <f t="shared" si="9"/>
        <v>0</v>
      </c>
      <c r="S42" s="89">
        <f t="shared" si="5"/>
        <v>420.5</v>
      </c>
      <c r="T42" s="89">
        <f t="shared" si="6"/>
        <v>841</v>
      </c>
      <c r="U42" s="90">
        <f t="shared" si="7"/>
        <v>0</v>
      </c>
      <c r="V42" s="90">
        <f t="shared" si="8"/>
        <v>1</v>
      </c>
      <c r="W42" s="108"/>
      <c r="X42" s="92"/>
      <c r="Y42" s="4"/>
      <c r="Z42" s="4"/>
      <c r="AA42" s="4"/>
      <c r="AB42" s="4"/>
    </row>
    <row r="43" spans="1:28" x14ac:dyDescent="0.25">
      <c r="A43" s="1"/>
      <c r="B43" s="95">
        <v>7233630</v>
      </c>
      <c r="C43" s="13" t="s">
        <v>107</v>
      </c>
      <c r="D43" s="96"/>
      <c r="E43" s="97">
        <v>2</v>
      </c>
      <c r="F43" s="98">
        <v>620.99</v>
      </c>
      <c r="G43" s="99">
        <f t="shared" si="1"/>
        <v>428.27</v>
      </c>
      <c r="H43" s="100">
        <f t="shared" si="2"/>
        <v>1241.98</v>
      </c>
      <c r="I43" s="101"/>
      <c r="J43" s="102">
        <f t="shared" si="0"/>
        <v>2</v>
      </c>
      <c r="K43" s="99">
        <f t="shared" si="3"/>
        <v>310.5</v>
      </c>
      <c r="L43" s="99">
        <f t="shared" si="4"/>
        <v>621</v>
      </c>
      <c r="M43" s="103" t="s">
        <v>84</v>
      </c>
      <c r="N43" s="104">
        <v>0.5</v>
      </c>
      <c r="O43" s="87"/>
      <c r="P43" s="95"/>
      <c r="Q43" s="98"/>
      <c r="R43" s="105">
        <f t="shared" si="9"/>
        <v>0</v>
      </c>
      <c r="S43" s="106">
        <f t="shared" si="5"/>
        <v>310.5</v>
      </c>
      <c r="T43" s="106">
        <f t="shared" si="6"/>
        <v>621</v>
      </c>
      <c r="U43" s="107">
        <f t="shared" si="7"/>
        <v>0</v>
      </c>
      <c r="V43" s="107">
        <f t="shared" si="8"/>
        <v>1</v>
      </c>
      <c r="W43" s="108"/>
      <c r="X43" s="92"/>
      <c r="Y43" s="4"/>
      <c r="Z43" s="4"/>
      <c r="AA43" s="4"/>
      <c r="AB43" s="4"/>
    </row>
    <row r="44" spans="1:28" x14ac:dyDescent="0.25">
      <c r="A44" s="1"/>
      <c r="B44" s="77">
        <v>7352427</v>
      </c>
      <c r="C44" s="109" t="s">
        <v>108</v>
      </c>
      <c r="D44" s="110"/>
      <c r="E44" s="80">
        <v>10</v>
      </c>
      <c r="F44" s="81">
        <v>437.99</v>
      </c>
      <c r="G44" s="82">
        <f t="shared" si="1"/>
        <v>302.06</v>
      </c>
      <c r="H44" s="83">
        <f t="shared" si="2"/>
        <v>4379.8999999999996</v>
      </c>
      <c r="I44" s="101"/>
      <c r="J44" s="85">
        <f t="shared" si="0"/>
        <v>10</v>
      </c>
      <c r="K44" s="82">
        <f t="shared" si="3"/>
        <v>219</v>
      </c>
      <c r="L44" s="82">
        <f t="shared" si="4"/>
        <v>2190</v>
      </c>
      <c r="M44" s="81" t="s">
        <v>84</v>
      </c>
      <c r="N44" s="111">
        <v>0.5</v>
      </c>
      <c r="O44" s="87"/>
      <c r="P44" s="112"/>
      <c r="Q44" s="88"/>
      <c r="R44" s="89">
        <f t="shared" si="9"/>
        <v>0</v>
      </c>
      <c r="S44" s="89">
        <f t="shared" si="5"/>
        <v>219</v>
      </c>
      <c r="T44" s="89">
        <f t="shared" si="6"/>
        <v>2190</v>
      </c>
      <c r="U44" s="90">
        <f t="shared" si="7"/>
        <v>0</v>
      </c>
      <c r="V44" s="90">
        <f t="shared" si="8"/>
        <v>1</v>
      </c>
      <c r="W44" s="108"/>
      <c r="X44" s="92"/>
      <c r="Y44" s="4"/>
      <c r="Z44" s="4"/>
      <c r="AA44" s="4"/>
      <c r="AB44" s="4"/>
    </row>
    <row r="45" spans="1:28" x14ac:dyDescent="0.25">
      <c r="A45" s="1"/>
      <c r="B45" s="95"/>
      <c r="C45" s="13"/>
      <c r="D45" s="96"/>
      <c r="E45" s="97"/>
      <c r="F45" s="98"/>
      <c r="G45" s="99">
        <f t="shared" si="1"/>
        <v>0</v>
      </c>
      <c r="H45" s="100">
        <f t="shared" si="2"/>
        <v>0</v>
      </c>
      <c r="I45" s="101"/>
      <c r="J45" s="102">
        <f t="shared" si="0"/>
        <v>0</v>
      </c>
      <c r="K45" s="99">
        <f t="shared" si="3"/>
        <v>0</v>
      </c>
      <c r="L45" s="99">
        <f t="shared" si="4"/>
        <v>0</v>
      </c>
      <c r="M45" s="103" t="s">
        <v>84</v>
      </c>
      <c r="N45" s="104">
        <v>0.5</v>
      </c>
      <c r="O45" s="87"/>
      <c r="P45" s="95"/>
      <c r="Q45" s="98"/>
      <c r="R45" s="105">
        <f t="shared" si="9"/>
        <v>0</v>
      </c>
      <c r="S45" s="106">
        <f t="shared" si="5"/>
        <v>0</v>
      </c>
      <c r="T45" s="106">
        <f t="shared" si="6"/>
        <v>0</v>
      </c>
      <c r="U45" s="107">
        <f t="shared" si="7"/>
        <v>0</v>
      </c>
      <c r="V45" s="107">
        <f t="shared" si="8"/>
        <v>0</v>
      </c>
      <c r="W45" s="108"/>
      <c r="X45" s="92"/>
      <c r="Y45" s="4"/>
      <c r="Z45" s="4"/>
      <c r="AA45" s="4"/>
      <c r="AB45" s="4"/>
    </row>
    <row r="46" spans="1:28" x14ac:dyDescent="0.25">
      <c r="A46" s="1"/>
      <c r="B46" s="77"/>
      <c r="C46" s="109"/>
      <c r="D46" s="110"/>
      <c r="E46" s="80"/>
      <c r="F46" s="81"/>
      <c r="G46" s="82">
        <f t="shared" si="1"/>
        <v>0</v>
      </c>
      <c r="H46" s="83">
        <f t="shared" si="2"/>
        <v>0</v>
      </c>
      <c r="I46" s="101"/>
      <c r="J46" s="85">
        <f t="shared" si="0"/>
        <v>0</v>
      </c>
      <c r="K46" s="82">
        <f t="shared" si="3"/>
        <v>0</v>
      </c>
      <c r="L46" s="82">
        <f t="shared" si="4"/>
        <v>0</v>
      </c>
      <c r="M46" s="81" t="s">
        <v>84</v>
      </c>
      <c r="N46" s="111">
        <v>0.5</v>
      </c>
      <c r="O46" s="87"/>
      <c r="P46" s="112"/>
      <c r="Q46" s="88"/>
      <c r="R46" s="89">
        <f t="shared" si="9"/>
        <v>0</v>
      </c>
      <c r="S46" s="89">
        <f t="shared" si="5"/>
        <v>0</v>
      </c>
      <c r="T46" s="89">
        <f t="shared" si="6"/>
        <v>0</v>
      </c>
      <c r="U46" s="90">
        <f t="shared" si="7"/>
        <v>0</v>
      </c>
      <c r="V46" s="90">
        <f t="shared" si="8"/>
        <v>0</v>
      </c>
      <c r="W46" s="108"/>
      <c r="X46" s="92"/>
      <c r="Y46" s="4"/>
      <c r="Z46" s="4"/>
      <c r="AA46" s="4"/>
      <c r="AB46" s="4"/>
    </row>
    <row r="47" spans="1:28" x14ac:dyDescent="0.25">
      <c r="A47" s="1"/>
      <c r="B47" s="95"/>
      <c r="C47" s="13"/>
      <c r="D47" s="96"/>
      <c r="E47" s="97"/>
      <c r="F47" s="98"/>
      <c r="G47" s="99">
        <f t="shared" si="1"/>
        <v>0</v>
      </c>
      <c r="H47" s="100">
        <f t="shared" si="2"/>
        <v>0</v>
      </c>
      <c r="I47" s="101"/>
      <c r="J47" s="102">
        <f t="shared" si="0"/>
        <v>0</v>
      </c>
      <c r="K47" s="99">
        <f t="shared" si="3"/>
        <v>0</v>
      </c>
      <c r="L47" s="99">
        <f t="shared" si="4"/>
        <v>0</v>
      </c>
      <c r="M47" s="103" t="s">
        <v>84</v>
      </c>
      <c r="N47" s="104">
        <v>0.5</v>
      </c>
      <c r="O47" s="87"/>
      <c r="P47" s="95"/>
      <c r="Q47" s="98"/>
      <c r="R47" s="105">
        <f t="shared" si="9"/>
        <v>0</v>
      </c>
      <c r="S47" s="106">
        <f t="shared" si="5"/>
        <v>0</v>
      </c>
      <c r="T47" s="106">
        <f t="shared" si="6"/>
        <v>0</v>
      </c>
      <c r="U47" s="107">
        <f t="shared" si="7"/>
        <v>0</v>
      </c>
      <c r="V47" s="107">
        <f t="shared" si="8"/>
        <v>0</v>
      </c>
      <c r="W47" s="108"/>
      <c r="X47" s="92"/>
      <c r="Y47" s="4"/>
      <c r="Z47" s="4"/>
      <c r="AA47" s="4"/>
      <c r="AB47" s="4"/>
    </row>
    <row r="48" spans="1:28" x14ac:dyDescent="0.25">
      <c r="A48" s="1"/>
      <c r="B48" s="77"/>
      <c r="C48" s="109"/>
      <c r="D48" s="110"/>
      <c r="E48" s="80"/>
      <c r="F48" s="81"/>
      <c r="G48" s="82">
        <f t="shared" si="1"/>
        <v>0</v>
      </c>
      <c r="H48" s="83">
        <f t="shared" si="2"/>
        <v>0</v>
      </c>
      <c r="I48" s="101"/>
      <c r="J48" s="85">
        <f t="shared" si="0"/>
        <v>0</v>
      </c>
      <c r="K48" s="82">
        <f t="shared" si="3"/>
        <v>0</v>
      </c>
      <c r="L48" s="82">
        <f t="shared" si="4"/>
        <v>0</v>
      </c>
      <c r="M48" s="81" t="s">
        <v>84</v>
      </c>
      <c r="N48" s="111"/>
      <c r="O48" s="87"/>
      <c r="P48" s="112"/>
      <c r="Q48" s="88"/>
      <c r="R48" s="89">
        <f t="shared" si="9"/>
        <v>0</v>
      </c>
      <c r="S48" s="89">
        <f t="shared" si="5"/>
        <v>0</v>
      </c>
      <c r="T48" s="89">
        <f t="shared" si="6"/>
        <v>0</v>
      </c>
      <c r="U48" s="90">
        <f t="shared" si="7"/>
        <v>0</v>
      </c>
      <c r="V48" s="90">
        <f t="shared" si="8"/>
        <v>0</v>
      </c>
      <c r="W48" s="108"/>
      <c r="X48" s="92"/>
      <c r="Y48" s="4"/>
      <c r="Z48" s="4"/>
      <c r="AA48" s="4"/>
      <c r="AB48" s="4"/>
    </row>
    <row r="49" spans="1:28" x14ac:dyDescent="0.25">
      <c r="A49" s="1"/>
      <c r="B49" s="95"/>
      <c r="C49" s="13" t="s">
        <v>109</v>
      </c>
      <c r="D49" s="96"/>
      <c r="E49" s="97">
        <v>1</v>
      </c>
      <c r="F49" s="98"/>
      <c r="G49" s="99">
        <f t="shared" si="1"/>
        <v>0</v>
      </c>
      <c r="H49" s="100">
        <f t="shared" si="2"/>
        <v>0</v>
      </c>
      <c r="I49" s="101"/>
      <c r="J49" s="102">
        <f t="shared" si="0"/>
        <v>1</v>
      </c>
      <c r="K49" s="99">
        <f t="shared" si="3"/>
        <v>0</v>
      </c>
      <c r="L49" s="99">
        <f t="shared" si="4"/>
        <v>0</v>
      </c>
      <c r="M49" s="103" t="s">
        <v>84</v>
      </c>
      <c r="N49" s="104">
        <v>0.5</v>
      </c>
      <c r="O49" s="87"/>
      <c r="P49" s="95"/>
      <c r="Q49" s="98"/>
      <c r="R49" s="105">
        <f t="shared" si="9"/>
        <v>0</v>
      </c>
      <c r="S49" s="106">
        <f t="shared" si="5"/>
        <v>0</v>
      </c>
      <c r="T49" s="106">
        <f t="shared" si="6"/>
        <v>0</v>
      </c>
      <c r="U49" s="107">
        <f t="shared" si="7"/>
        <v>0</v>
      </c>
      <c r="V49" s="107">
        <f t="shared" si="8"/>
        <v>0</v>
      </c>
      <c r="W49" s="108"/>
      <c r="X49" s="92"/>
      <c r="Y49" s="4"/>
      <c r="Z49" s="4"/>
      <c r="AA49" s="4"/>
      <c r="AB49" s="4"/>
    </row>
    <row r="50" spans="1:28" x14ac:dyDescent="0.25">
      <c r="A50" s="1"/>
      <c r="B50" s="77"/>
      <c r="C50" s="109" t="s">
        <v>110</v>
      </c>
      <c r="D50" s="110"/>
      <c r="E50" s="80">
        <v>1</v>
      </c>
      <c r="F50" s="81"/>
      <c r="G50" s="82">
        <f t="shared" si="1"/>
        <v>0</v>
      </c>
      <c r="H50" s="83">
        <f t="shared" si="2"/>
        <v>0</v>
      </c>
      <c r="I50" s="101"/>
      <c r="J50" s="85">
        <f t="shared" si="0"/>
        <v>1</v>
      </c>
      <c r="K50" s="82">
        <f t="shared" si="3"/>
        <v>0</v>
      </c>
      <c r="L50" s="82">
        <f t="shared" si="4"/>
        <v>0</v>
      </c>
      <c r="M50" s="81" t="s">
        <v>84</v>
      </c>
      <c r="N50" s="111">
        <v>0.5</v>
      </c>
      <c r="O50" s="87"/>
      <c r="P50" s="112"/>
      <c r="Q50" s="88"/>
      <c r="R50" s="89">
        <f t="shared" si="9"/>
        <v>0</v>
      </c>
      <c r="S50" s="89">
        <f t="shared" si="5"/>
        <v>0</v>
      </c>
      <c r="T50" s="89">
        <f t="shared" si="6"/>
        <v>0</v>
      </c>
      <c r="U50" s="90">
        <f t="shared" si="7"/>
        <v>0</v>
      </c>
      <c r="V50" s="90">
        <f t="shared" si="8"/>
        <v>0</v>
      </c>
      <c r="W50" s="108"/>
      <c r="X50" s="92"/>
      <c r="Y50" s="4"/>
      <c r="Z50" s="4"/>
      <c r="AA50" s="4"/>
      <c r="AB50" s="4"/>
    </row>
    <row r="51" spans="1:28" x14ac:dyDescent="0.25">
      <c r="A51" s="1"/>
      <c r="B51" s="95"/>
      <c r="C51" s="13" t="s">
        <v>111</v>
      </c>
      <c r="D51" s="96"/>
      <c r="E51" s="97">
        <v>1</v>
      </c>
      <c r="F51" s="98"/>
      <c r="G51" s="99">
        <f t="shared" si="1"/>
        <v>0</v>
      </c>
      <c r="H51" s="100">
        <f t="shared" si="2"/>
        <v>0</v>
      </c>
      <c r="I51" s="101"/>
      <c r="J51" s="102">
        <f t="shared" si="0"/>
        <v>1</v>
      </c>
      <c r="K51" s="99">
        <f t="shared" si="3"/>
        <v>0</v>
      </c>
      <c r="L51" s="99">
        <f t="shared" si="4"/>
        <v>0</v>
      </c>
      <c r="M51" s="103" t="s">
        <v>84</v>
      </c>
      <c r="N51" s="104">
        <v>0.5</v>
      </c>
      <c r="O51" s="87"/>
      <c r="P51" s="95"/>
      <c r="Q51" s="98"/>
      <c r="R51" s="105">
        <f t="shared" si="9"/>
        <v>0</v>
      </c>
      <c r="S51" s="106">
        <f t="shared" si="5"/>
        <v>0</v>
      </c>
      <c r="T51" s="106">
        <f t="shared" si="6"/>
        <v>0</v>
      </c>
      <c r="U51" s="107">
        <f t="shared" si="7"/>
        <v>0</v>
      </c>
      <c r="V51" s="107">
        <f t="shared" si="8"/>
        <v>0</v>
      </c>
      <c r="W51" s="108"/>
      <c r="X51" s="92"/>
      <c r="Y51" s="4"/>
      <c r="Z51" s="4"/>
      <c r="AA51" s="4"/>
      <c r="AB51" s="4"/>
    </row>
    <row r="52" spans="1:28" x14ac:dyDescent="0.25">
      <c r="A52" s="1"/>
      <c r="B52" s="77"/>
      <c r="C52" s="109" t="s">
        <v>112</v>
      </c>
      <c r="D52" s="110"/>
      <c r="E52" s="80">
        <v>1</v>
      </c>
      <c r="F52" s="81"/>
      <c r="G52" s="82">
        <f t="shared" si="1"/>
        <v>0</v>
      </c>
      <c r="H52" s="83">
        <f t="shared" si="2"/>
        <v>0</v>
      </c>
      <c r="I52" s="101"/>
      <c r="J52" s="85">
        <f t="shared" si="0"/>
        <v>1</v>
      </c>
      <c r="K52" s="82">
        <f t="shared" si="3"/>
        <v>0</v>
      </c>
      <c r="L52" s="82">
        <f t="shared" si="4"/>
        <v>0</v>
      </c>
      <c r="M52" s="81" t="s">
        <v>84</v>
      </c>
      <c r="N52" s="111">
        <v>0.5</v>
      </c>
      <c r="O52" s="87"/>
      <c r="P52" s="112"/>
      <c r="Q52" s="88"/>
      <c r="R52" s="89">
        <f t="shared" si="9"/>
        <v>0</v>
      </c>
      <c r="S52" s="89">
        <f t="shared" si="5"/>
        <v>0</v>
      </c>
      <c r="T52" s="89">
        <f t="shared" si="6"/>
        <v>0</v>
      </c>
      <c r="U52" s="90">
        <f t="shared" si="7"/>
        <v>0</v>
      </c>
      <c r="V52" s="90">
        <f t="shared" si="8"/>
        <v>0</v>
      </c>
      <c r="W52" s="108"/>
      <c r="X52" s="92"/>
      <c r="Y52" s="4"/>
      <c r="Z52" s="4"/>
      <c r="AA52" s="4"/>
      <c r="AB52" s="4"/>
    </row>
    <row r="53" spans="1:28" x14ac:dyDescent="0.25">
      <c r="A53" s="1"/>
      <c r="B53" s="95">
        <v>7391213</v>
      </c>
      <c r="C53" s="13" t="s">
        <v>113</v>
      </c>
      <c r="D53" s="96"/>
      <c r="E53" s="97">
        <v>1</v>
      </c>
      <c r="F53" s="98">
        <v>3217.49</v>
      </c>
      <c r="G53" s="99">
        <f t="shared" si="1"/>
        <v>2218.96</v>
      </c>
      <c r="H53" s="100">
        <f t="shared" si="2"/>
        <v>3217.49</v>
      </c>
      <c r="I53" s="101"/>
      <c r="J53" s="102">
        <f t="shared" si="0"/>
        <v>1</v>
      </c>
      <c r="K53" s="99">
        <f t="shared" si="3"/>
        <v>3217.49</v>
      </c>
      <c r="L53" s="99">
        <f t="shared" si="4"/>
        <v>3217.49</v>
      </c>
      <c r="M53" s="103" t="s">
        <v>84</v>
      </c>
      <c r="N53" s="104"/>
      <c r="O53" s="87"/>
      <c r="P53" s="95"/>
      <c r="Q53" s="98"/>
      <c r="R53" s="105">
        <f t="shared" si="9"/>
        <v>0</v>
      </c>
      <c r="S53" s="106">
        <f t="shared" si="5"/>
        <v>3217.49</v>
      </c>
      <c r="T53" s="106">
        <f t="shared" si="6"/>
        <v>3217.49</v>
      </c>
      <c r="U53" s="107">
        <f t="shared" si="7"/>
        <v>0</v>
      </c>
      <c r="V53" s="107">
        <f t="shared" si="8"/>
        <v>1</v>
      </c>
      <c r="W53" s="108"/>
      <c r="X53" s="92"/>
      <c r="Y53" s="4"/>
      <c r="Z53" s="4"/>
      <c r="AA53" s="4"/>
      <c r="AB53" s="4"/>
    </row>
    <row r="54" spans="1:28" x14ac:dyDescent="0.25">
      <c r="A54" s="1"/>
      <c r="B54" s="77">
        <v>7312553</v>
      </c>
      <c r="C54" s="109" t="s">
        <v>114</v>
      </c>
      <c r="D54" s="110"/>
      <c r="E54" s="80">
        <v>1</v>
      </c>
      <c r="F54" s="81"/>
      <c r="G54" s="82">
        <f t="shared" si="1"/>
        <v>0</v>
      </c>
      <c r="H54" s="83">
        <f t="shared" si="2"/>
        <v>0</v>
      </c>
      <c r="I54" s="101"/>
      <c r="J54" s="85">
        <f t="shared" si="0"/>
        <v>1</v>
      </c>
      <c r="K54" s="82">
        <f t="shared" si="3"/>
        <v>0</v>
      </c>
      <c r="L54" s="82">
        <f t="shared" si="4"/>
        <v>0</v>
      </c>
      <c r="M54" s="81" t="s">
        <v>84</v>
      </c>
      <c r="N54" s="111"/>
      <c r="O54" s="87"/>
      <c r="P54" s="112"/>
      <c r="Q54" s="88"/>
      <c r="R54" s="89">
        <f t="shared" si="9"/>
        <v>0</v>
      </c>
      <c r="S54" s="89">
        <f t="shared" si="5"/>
        <v>0</v>
      </c>
      <c r="T54" s="89">
        <f t="shared" si="6"/>
        <v>0</v>
      </c>
      <c r="U54" s="90">
        <f t="shared" si="7"/>
        <v>0</v>
      </c>
      <c r="V54" s="90">
        <f t="shared" si="8"/>
        <v>0</v>
      </c>
      <c r="W54" s="108"/>
      <c r="X54" s="92"/>
      <c r="Y54" s="4"/>
      <c r="Z54" s="4"/>
      <c r="AA54" s="4"/>
      <c r="AB54" s="4"/>
    </row>
    <row r="55" spans="1:28" x14ac:dyDescent="0.25">
      <c r="A55" s="1"/>
      <c r="B55" s="95">
        <v>7386500</v>
      </c>
      <c r="C55" s="13" t="s">
        <v>115</v>
      </c>
      <c r="D55" s="96"/>
      <c r="E55" s="97">
        <v>4</v>
      </c>
      <c r="F55" s="98">
        <v>1123.49</v>
      </c>
      <c r="G55" s="99">
        <f t="shared" si="1"/>
        <v>774.82</v>
      </c>
      <c r="H55" s="100">
        <f t="shared" si="2"/>
        <v>4493.96</v>
      </c>
      <c r="I55" s="101"/>
      <c r="J55" s="102">
        <f t="shared" si="0"/>
        <v>4</v>
      </c>
      <c r="K55" s="99">
        <f t="shared" si="3"/>
        <v>1123.49</v>
      </c>
      <c r="L55" s="99">
        <f t="shared" si="4"/>
        <v>4493.96</v>
      </c>
      <c r="M55" s="103" t="s">
        <v>84</v>
      </c>
      <c r="N55" s="104"/>
      <c r="O55" s="87"/>
      <c r="P55" s="95"/>
      <c r="Q55" s="98"/>
      <c r="R55" s="105">
        <f t="shared" si="9"/>
        <v>0</v>
      </c>
      <c r="S55" s="106">
        <f t="shared" si="5"/>
        <v>1123.49</v>
      </c>
      <c r="T55" s="106">
        <f t="shared" si="6"/>
        <v>4493.96</v>
      </c>
      <c r="U55" s="107">
        <f t="shared" si="7"/>
        <v>0</v>
      </c>
      <c r="V55" s="107">
        <f t="shared" si="8"/>
        <v>1</v>
      </c>
      <c r="W55" s="108"/>
      <c r="X55" s="92"/>
      <c r="Y55" s="4"/>
      <c r="Z55" s="4"/>
      <c r="AA55" s="4"/>
      <c r="AB55" s="4"/>
    </row>
    <row r="56" spans="1:28" x14ac:dyDescent="0.25">
      <c r="A56" s="1"/>
      <c r="B56" s="77"/>
      <c r="C56" s="109"/>
      <c r="D56" s="110"/>
      <c r="E56" s="80"/>
      <c r="F56" s="81"/>
      <c r="G56" s="82">
        <f t="shared" si="1"/>
        <v>0</v>
      </c>
      <c r="H56" s="83">
        <f t="shared" si="2"/>
        <v>0</v>
      </c>
      <c r="I56" s="101"/>
      <c r="J56" s="85">
        <f t="shared" si="0"/>
        <v>0</v>
      </c>
      <c r="K56" s="82">
        <f t="shared" si="3"/>
        <v>0</v>
      </c>
      <c r="L56" s="82">
        <f t="shared" si="4"/>
        <v>0</v>
      </c>
      <c r="M56" s="81" t="s">
        <v>84</v>
      </c>
      <c r="N56" s="111"/>
      <c r="O56" s="87"/>
      <c r="P56" s="112"/>
      <c r="Q56" s="88"/>
      <c r="R56" s="89">
        <f t="shared" si="9"/>
        <v>0</v>
      </c>
      <c r="S56" s="89">
        <f t="shared" si="5"/>
        <v>0</v>
      </c>
      <c r="T56" s="89">
        <f t="shared" si="6"/>
        <v>0</v>
      </c>
      <c r="U56" s="90">
        <f t="shared" si="7"/>
        <v>0</v>
      </c>
      <c r="V56" s="90">
        <f t="shared" si="8"/>
        <v>0</v>
      </c>
      <c r="W56" s="108"/>
      <c r="X56" s="92"/>
      <c r="Y56" s="4"/>
      <c r="Z56" s="4"/>
      <c r="AA56" s="4"/>
      <c r="AB56" s="4"/>
    </row>
    <row r="57" spans="1:28" x14ac:dyDescent="0.25">
      <c r="A57" s="1"/>
      <c r="B57" s="95"/>
      <c r="C57" s="13"/>
      <c r="D57" s="96"/>
      <c r="E57" s="97"/>
      <c r="F57" s="98"/>
      <c r="G57" s="99">
        <f t="shared" si="1"/>
        <v>0</v>
      </c>
      <c r="H57" s="100">
        <f t="shared" si="2"/>
        <v>0</v>
      </c>
      <c r="I57" s="101"/>
      <c r="J57" s="102">
        <f t="shared" si="0"/>
        <v>0</v>
      </c>
      <c r="K57" s="99">
        <f t="shared" si="3"/>
        <v>0</v>
      </c>
      <c r="L57" s="99">
        <f t="shared" si="4"/>
        <v>0</v>
      </c>
      <c r="M57" s="103" t="s">
        <v>84</v>
      </c>
      <c r="N57" s="104"/>
      <c r="O57" s="87"/>
      <c r="P57" s="95"/>
      <c r="Q57" s="98"/>
      <c r="R57" s="105">
        <f t="shared" si="9"/>
        <v>0</v>
      </c>
      <c r="S57" s="106">
        <f t="shared" si="5"/>
        <v>0</v>
      </c>
      <c r="T57" s="106">
        <f t="shared" si="6"/>
        <v>0</v>
      </c>
      <c r="U57" s="107">
        <f t="shared" si="7"/>
        <v>0</v>
      </c>
      <c r="V57" s="107">
        <f t="shared" si="8"/>
        <v>0</v>
      </c>
      <c r="W57" s="108"/>
      <c r="X57" s="92"/>
      <c r="Y57" s="4"/>
      <c r="Z57" s="4"/>
      <c r="AA57" s="4"/>
      <c r="AB57" s="4"/>
    </row>
    <row r="58" spans="1:28" x14ac:dyDescent="0.25">
      <c r="A58" s="1"/>
      <c r="B58" s="77"/>
      <c r="C58" s="109"/>
      <c r="D58" s="110"/>
      <c r="E58" s="80"/>
      <c r="F58" s="81"/>
      <c r="G58" s="82">
        <f t="shared" si="1"/>
        <v>0</v>
      </c>
      <c r="H58" s="83">
        <f t="shared" si="2"/>
        <v>0</v>
      </c>
      <c r="I58" s="101"/>
      <c r="J58" s="85">
        <f t="shared" si="0"/>
        <v>0</v>
      </c>
      <c r="K58" s="82">
        <f t="shared" si="3"/>
        <v>0</v>
      </c>
      <c r="L58" s="82">
        <f t="shared" si="4"/>
        <v>0</v>
      </c>
      <c r="M58" s="81" t="s">
        <v>84</v>
      </c>
      <c r="N58" s="111"/>
      <c r="O58" s="87"/>
      <c r="P58" s="112"/>
      <c r="Q58" s="88"/>
      <c r="R58" s="89">
        <f t="shared" si="9"/>
        <v>0</v>
      </c>
      <c r="S58" s="89">
        <f t="shared" si="5"/>
        <v>0</v>
      </c>
      <c r="T58" s="89">
        <f t="shared" si="6"/>
        <v>0</v>
      </c>
      <c r="U58" s="90">
        <f t="shared" si="7"/>
        <v>0</v>
      </c>
      <c r="V58" s="90">
        <f t="shared" si="8"/>
        <v>0</v>
      </c>
      <c r="W58" s="108"/>
      <c r="X58" s="92"/>
      <c r="Y58" s="4"/>
      <c r="Z58" s="4"/>
      <c r="AA58" s="4"/>
      <c r="AB58" s="4"/>
    </row>
    <row r="59" spans="1:28" x14ac:dyDescent="0.25">
      <c r="A59" s="1"/>
      <c r="B59" s="95"/>
      <c r="C59" s="13"/>
      <c r="D59" s="96"/>
      <c r="E59" s="97"/>
      <c r="F59" s="98"/>
      <c r="G59" s="99">
        <f t="shared" si="1"/>
        <v>0</v>
      </c>
      <c r="H59" s="100">
        <f t="shared" si="2"/>
        <v>0</v>
      </c>
      <c r="I59" s="101"/>
      <c r="J59" s="102">
        <f t="shared" si="0"/>
        <v>0</v>
      </c>
      <c r="K59" s="99">
        <f t="shared" si="3"/>
        <v>0</v>
      </c>
      <c r="L59" s="99">
        <f t="shared" si="4"/>
        <v>0</v>
      </c>
      <c r="M59" s="103" t="s">
        <v>84</v>
      </c>
      <c r="N59" s="104"/>
      <c r="O59" s="87"/>
      <c r="P59" s="95"/>
      <c r="Q59" s="98"/>
      <c r="R59" s="105">
        <f t="shared" si="9"/>
        <v>0</v>
      </c>
      <c r="S59" s="106">
        <f t="shared" si="5"/>
        <v>0</v>
      </c>
      <c r="T59" s="106">
        <f t="shared" si="6"/>
        <v>0</v>
      </c>
      <c r="U59" s="107">
        <f t="shared" si="7"/>
        <v>0</v>
      </c>
      <c r="V59" s="107">
        <f t="shared" si="8"/>
        <v>0</v>
      </c>
      <c r="W59" s="108"/>
      <c r="X59" s="92"/>
      <c r="Y59" s="4"/>
      <c r="Z59" s="4"/>
      <c r="AA59" s="4"/>
      <c r="AB59" s="4"/>
    </row>
    <row r="60" spans="1:28" x14ac:dyDescent="0.25">
      <c r="A60" s="1"/>
      <c r="B60" s="77"/>
      <c r="C60" s="109"/>
      <c r="D60" s="110"/>
      <c r="E60" s="80"/>
      <c r="F60" s="81"/>
      <c r="G60" s="82">
        <f t="shared" si="1"/>
        <v>0</v>
      </c>
      <c r="H60" s="83">
        <f t="shared" si="2"/>
        <v>0</v>
      </c>
      <c r="I60" s="101"/>
      <c r="J60" s="85">
        <f t="shared" si="0"/>
        <v>0</v>
      </c>
      <c r="K60" s="82">
        <f t="shared" si="3"/>
        <v>0</v>
      </c>
      <c r="L60" s="82">
        <f t="shared" si="4"/>
        <v>0</v>
      </c>
      <c r="M60" s="81" t="s">
        <v>84</v>
      </c>
      <c r="N60" s="111"/>
      <c r="O60" s="87"/>
      <c r="P60" s="112"/>
      <c r="Q60" s="88"/>
      <c r="R60" s="89">
        <f t="shared" si="9"/>
        <v>0</v>
      </c>
      <c r="S60" s="89">
        <f t="shared" si="5"/>
        <v>0</v>
      </c>
      <c r="T60" s="89">
        <f t="shared" si="6"/>
        <v>0</v>
      </c>
      <c r="U60" s="90">
        <f t="shared" si="7"/>
        <v>0</v>
      </c>
      <c r="V60" s="90">
        <f t="shared" si="8"/>
        <v>0</v>
      </c>
      <c r="W60" s="108"/>
      <c r="X60" s="92"/>
      <c r="Y60" s="4"/>
      <c r="Z60" s="4"/>
      <c r="AA60" s="4"/>
      <c r="AB60" s="4"/>
    </row>
    <row r="61" spans="1:28" ht="20.25" customHeight="1" x14ac:dyDescent="0.25">
      <c r="A61" s="115"/>
      <c r="B61" s="116"/>
      <c r="C61" s="116"/>
      <c r="D61" s="117" t="s">
        <v>116</v>
      </c>
      <c r="E61" s="118">
        <f>SUM(E18:E60)</f>
        <v>38</v>
      </c>
      <c r="F61" s="119">
        <f>SUM(F18:F60)</f>
        <v>11424.359999999999</v>
      </c>
      <c r="G61" s="120">
        <f>SUM(G18:G60)</f>
        <v>7878.8600000000006</v>
      </c>
      <c r="H61" s="121">
        <f>SUM(H18:H60)</f>
        <v>23433.679999999997</v>
      </c>
      <c r="I61" s="122"/>
      <c r="J61" s="123">
        <f>SUM(J18:J60)</f>
        <v>38</v>
      </c>
      <c r="K61" s="120">
        <f>SUM(K18:K60)</f>
        <v>7841.03</v>
      </c>
      <c r="L61" s="121">
        <f>SUM(L18:L60)</f>
        <v>15531</v>
      </c>
      <c r="M61" s="121"/>
      <c r="N61" s="121"/>
      <c r="O61" s="124"/>
      <c r="P61" s="125"/>
      <c r="Q61" s="120">
        <f>SUM(Q18:Q60)</f>
        <v>0</v>
      </c>
      <c r="R61" s="120">
        <f>SUM(R18:R60)</f>
        <v>0</v>
      </c>
      <c r="S61" s="121">
        <f>SUM(S18:S60)</f>
        <v>7841.03</v>
      </c>
      <c r="T61" s="121">
        <f>SUM(T18:T60)</f>
        <v>15531</v>
      </c>
      <c r="U61" s="126"/>
      <c r="V61" s="126"/>
      <c r="W61" s="127"/>
      <c r="X61" s="128"/>
    </row>
    <row r="63" spans="1:28" ht="15" customHeight="1" x14ac:dyDescent="0.25">
      <c r="U63" s="130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51" priority="3" stopIfTrue="1">
      <formula>$U$9&gt;100%</formula>
    </cfRule>
    <cfRule type="expression" dxfId="250" priority="4">
      <formula>$U$9&lt;50%</formula>
    </cfRule>
  </conditionalFormatting>
  <conditionalFormatting sqref="V9:V10">
    <cfRule type="expression" dxfId="249" priority="1">
      <formula>$V$9&lt;50%</formula>
    </cfRule>
    <cfRule type="expression" dxfId="248" priority="2">
      <formula>$V$9&gt;50%</formula>
    </cfRule>
  </conditionalFormatting>
  <dataValidations count="5">
    <dataValidation type="list" allowBlank="1" showInputMessage="1" showErrorMessage="1" sqref="M18:M60" xr:uid="{4BAB583F-F59D-42C7-96DF-2BD16DA5E7CD}">
      <formula1>$Y$31:$Y$32</formula1>
    </dataValidation>
    <dataValidation type="list" showInputMessage="1" showErrorMessage="1" sqref="D18:D60" xr:uid="{2DC68698-9CAE-45B8-A77D-BF581C11C0C1}">
      <formula1>$Z$18:$Z$29</formula1>
    </dataValidation>
    <dataValidation type="list" allowBlank="1" showInputMessage="1" showErrorMessage="1" sqref="I13" xr:uid="{93BA4625-C706-4D48-A96A-45D5EF9AD76F}">
      <formula1>$K$9:$K$9</formula1>
    </dataValidation>
    <dataValidation type="list" allowBlank="1" showInputMessage="1" showErrorMessage="1" sqref="H13" xr:uid="{3B5A2030-F00C-45FA-80C4-977CEB62A44F}">
      <formula1>$Y$13:$Y$14</formula1>
    </dataValidation>
    <dataValidation type="list" allowBlank="1" showInputMessage="1" showErrorMessage="1" sqref="F17 K17 Q17 Q14" xr:uid="{5C33B869-9DD1-4AC7-9CB5-950766139533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9420F-FFE5-4CE9-9947-1FD09376361E}">
  <sheetPr>
    <pageSetUpPr fitToPage="1"/>
  </sheetPr>
  <dimension ref="A1:AB63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" customWidth="1"/>
    <col min="2" max="2" width="25.7109375" style="5" customWidth="1"/>
    <col min="3" max="3" width="43.28515625" style="5" customWidth="1"/>
    <col min="4" max="4" width="9.7109375" style="129" customWidth="1"/>
    <col min="5" max="5" width="9.7109375" style="5" customWidth="1"/>
    <col min="6" max="8" width="18.7109375" style="5" customWidth="1"/>
    <col min="9" max="9" width="0.85546875" style="5" customWidth="1"/>
    <col min="10" max="10" width="9.5703125" style="5" customWidth="1"/>
    <col min="11" max="13" width="18.7109375" style="5" customWidth="1"/>
    <col min="14" max="14" width="13.7109375" style="5" customWidth="1"/>
    <col min="15" max="15" width="0.85546875" style="5" customWidth="1"/>
    <col min="16" max="16" width="17.85546875" style="5" customWidth="1"/>
    <col min="17" max="20" width="18.7109375" style="5" customWidth="1"/>
    <col min="21" max="21" width="15" style="5" bestFit="1" customWidth="1"/>
    <col min="22" max="22" width="14.7109375" style="5" bestFit="1" customWidth="1"/>
    <col min="23" max="23" width="13.42578125" style="5" hidden="1" customWidth="1"/>
    <col min="24" max="24" width="0.85546875" style="5" customWidth="1"/>
    <col min="25" max="26" width="9.140625" style="5" hidden="1" customWidth="1"/>
    <col min="27" max="27" width="9.140625" style="5" customWidth="1"/>
    <col min="28" max="28" width="10.5703125" style="5" bestFit="1" customWidth="1"/>
    <col min="29" max="16384" width="9.140625" style="5"/>
  </cols>
  <sheetData>
    <row r="1" spans="1:28" ht="23.25" customHeight="1" x14ac:dyDescent="0.25">
      <c r="A1" s="1"/>
      <c r="B1" s="392" t="s">
        <v>0</v>
      </c>
      <c r="C1" s="389"/>
      <c r="D1" s="393" t="s">
        <v>1</v>
      </c>
      <c r="E1" s="390"/>
      <c r="F1" s="390"/>
      <c r="G1" s="391"/>
      <c r="H1" s="389" t="s">
        <v>2</v>
      </c>
      <c r="I1" s="390"/>
      <c r="J1" s="390"/>
      <c r="K1" s="391"/>
      <c r="L1" s="394" t="s">
        <v>3</v>
      </c>
      <c r="M1" s="395"/>
      <c r="N1" s="395"/>
      <c r="O1" s="395"/>
      <c r="P1" s="390" t="str">
        <f>K17</f>
        <v>CAD $</v>
      </c>
      <c r="Q1" s="390"/>
      <c r="R1" s="391"/>
      <c r="S1" s="389" t="s">
        <v>4</v>
      </c>
      <c r="T1" s="390"/>
      <c r="U1" s="390"/>
      <c r="V1" s="390"/>
      <c r="W1" s="391"/>
      <c r="X1" s="2"/>
      <c r="Y1" s="3"/>
      <c r="Z1" s="4"/>
      <c r="AA1" s="4"/>
      <c r="AB1" s="4"/>
    </row>
    <row r="2" spans="1:28" ht="15" customHeight="1" x14ac:dyDescent="0.25">
      <c r="A2" s="1"/>
      <c r="B2" s="6" t="s">
        <v>5</v>
      </c>
      <c r="C2" s="7">
        <v>45919</v>
      </c>
      <c r="D2" s="412" t="s">
        <v>6</v>
      </c>
      <c r="E2" s="413"/>
      <c r="F2" s="414">
        <v>45275</v>
      </c>
      <c r="G2" s="415"/>
      <c r="H2" s="412" t="s">
        <v>7</v>
      </c>
      <c r="I2" s="416"/>
      <c r="J2" s="413"/>
      <c r="K2" s="8"/>
      <c r="L2" s="417" t="s">
        <v>8</v>
      </c>
      <c r="M2" s="418"/>
      <c r="N2" s="419"/>
      <c r="O2" s="9"/>
      <c r="P2" s="420">
        <f>H61</f>
        <v>22762.179999999997</v>
      </c>
      <c r="Q2" s="420"/>
      <c r="R2" s="421"/>
      <c r="S2" s="422" t="s">
        <v>9</v>
      </c>
      <c r="T2" s="423"/>
      <c r="U2" s="396"/>
      <c r="V2" s="397"/>
      <c r="W2" s="10"/>
      <c r="X2" s="11"/>
      <c r="Y2" s="3"/>
      <c r="Z2" s="4"/>
      <c r="AA2" s="4"/>
      <c r="AB2" s="4"/>
    </row>
    <row r="3" spans="1:28" ht="15" customHeight="1" x14ac:dyDescent="0.25">
      <c r="A3" s="1"/>
      <c r="B3" s="12" t="s">
        <v>10</v>
      </c>
      <c r="C3" s="13" t="s">
        <v>11</v>
      </c>
      <c r="D3" s="398" t="s">
        <v>12</v>
      </c>
      <c r="E3" s="399"/>
      <c r="F3" s="400"/>
      <c r="G3" s="401"/>
      <c r="H3" s="398" t="s">
        <v>13</v>
      </c>
      <c r="I3" s="402"/>
      <c r="J3" s="399"/>
      <c r="K3" s="14"/>
      <c r="L3" s="403" t="s">
        <v>14</v>
      </c>
      <c r="M3" s="404"/>
      <c r="N3" s="405"/>
      <c r="O3" s="9"/>
      <c r="P3" s="406">
        <f>L61</f>
        <v>17387.73</v>
      </c>
      <c r="Q3" s="406"/>
      <c r="R3" s="407"/>
      <c r="S3" s="408" t="s">
        <v>15</v>
      </c>
      <c r="T3" s="409"/>
      <c r="U3" s="410"/>
      <c r="V3" s="411"/>
      <c r="W3" s="15"/>
      <c r="X3" s="1"/>
      <c r="Y3" s="16"/>
      <c r="Z3" s="4"/>
      <c r="AA3" s="4"/>
      <c r="AB3" s="4"/>
    </row>
    <row r="4" spans="1:28" ht="15" customHeight="1" x14ac:dyDescent="0.25">
      <c r="A4" s="1"/>
      <c r="B4" s="17" t="s">
        <v>16</v>
      </c>
      <c r="C4" s="13"/>
      <c r="D4" s="398" t="s">
        <v>17</v>
      </c>
      <c r="E4" s="399"/>
      <c r="F4" s="400" t="s">
        <v>18</v>
      </c>
      <c r="G4" s="401"/>
      <c r="H4" s="398" t="s">
        <v>19</v>
      </c>
      <c r="I4" s="402"/>
      <c r="J4" s="399"/>
      <c r="K4" s="14"/>
      <c r="L4" s="403" t="s">
        <v>20</v>
      </c>
      <c r="M4" s="404"/>
      <c r="N4" s="405"/>
      <c r="O4" s="9"/>
      <c r="P4" s="406">
        <f>P2-P3</f>
        <v>5374.4499999999971</v>
      </c>
      <c r="Q4" s="406"/>
      <c r="R4" s="407"/>
      <c r="S4" s="408" t="s">
        <v>21</v>
      </c>
      <c r="T4" s="409"/>
      <c r="U4" s="410"/>
      <c r="V4" s="411"/>
      <c r="W4" s="15"/>
      <c r="X4" s="1"/>
      <c r="Y4" s="16"/>
      <c r="Z4" s="4"/>
      <c r="AA4" s="4"/>
      <c r="AB4" s="4"/>
    </row>
    <row r="5" spans="1:28" ht="15" customHeight="1" thickBot="1" x14ac:dyDescent="0.3">
      <c r="A5" s="1"/>
      <c r="B5" s="17" t="s">
        <v>22</v>
      </c>
      <c r="C5" s="13"/>
      <c r="D5" s="398" t="s">
        <v>23</v>
      </c>
      <c r="E5" s="399"/>
      <c r="F5" s="400" t="s">
        <v>117</v>
      </c>
      <c r="G5" s="401"/>
      <c r="H5" s="398" t="s">
        <v>25</v>
      </c>
      <c r="I5" s="402"/>
      <c r="J5" s="399"/>
      <c r="K5" s="14"/>
      <c r="L5" s="424" t="s">
        <v>26</v>
      </c>
      <c r="M5" s="425"/>
      <c r="N5" s="426"/>
      <c r="O5" s="9"/>
      <c r="P5" s="427">
        <f>IFERROR((P2-P3)/P2,"")</f>
        <v>0.23611314909204645</v>
      </c>
      <c r="Q5" s="427"/>
      <c r="R5" s="428"/>
      <c r="S5" s="408" t="s">
        <v>27</v>
      </c>
      <c r="T5" s="409"/>
      <c r="U5" s="410"/>
      <c r="V5" s="411"/>
      <c r="W5" s="15"/>
      <c r="X5" s="1"/>
      <c r="Y5" s="16"/>
      <c r="Z5" s="4"/>
      <c r="AA5" s="4"/>
      <c r="AB5" s="4"/>
    </row>
    <row r="6" spans="1:28" ht="15" customHeight="1" x14ac:dyDescent="0.25">
      <c r="A6" s="1"/>
      <c r="B6" s="17" t="s">
        <v>28</v>
      </c>
      <c r="C6" s="18"/>
      <c r="D6" s="398" t="s">
        <v>29</v>
      </c>
      <c r="E6" s="399"/>
      <c r="F6" s="400" t="s">
        <v>118</v>
      </c>
      <c r="G6" s="401"/>
      <c r="H6" s="398" t="s">
        <v>31</v>
      </c>
      <c r="I6" s="402"/>
      <c r="J6" s="399"/>
      <c r="K6" s="14"/>
      <c r="L6" s="438" t="s">
        <v>32</v>
      </c>
      <c r="M6" s="439"/>
      <c r="N6" s="440"/>
      <c r="O6" s="9"/>
      <c r="P6" s="441">
        <f>T61</f>
        <v>17387.73</v>
      </c>
      <c r="Q6" s="441"/>
      <c r="R6" s="442"/>
      <c r="S6" s="408" t="s">
        <v>33</v>
      </c>
      <c r="T6" s="409"/>
      <c r="U6" s="410"/>
      <c r="V6" s="411"/>
      <c r="W6" s="19"/>
      <c r="X6" s="20"/>
      <c r="Y6" s="21"/>
      <c r="Z6" s="4"/>
      <c r="AA6" s="4"/>
      <c r="AB6" s="4"/>
    </row>
    <row r="7" spans="1:28" ht="15" customHeight="1" x14ac:dyDescent="0.25">
      <c r="A7" s="1"/>
      <c r="B7" s="17" t="s">
        <v>34</v>
      </c>
      <c r="C7" s="22"/>
      <c r="D7" s="398" t="s">
        <v>35</v>
      </c>
      <c r="E7" s="399"/>
      <c r="F7" s="400"/>
      <c r="G7" s="401"/>
      <c r="H7" s="398" t="s">
        <v>36</v>
      </c>
      <c r="I7" s="402"/>
      <c r="J7" s="399"/>
      <c r="K7" s="14"/>
      <c r="L7" s="429" t="s">
        <v>37</v>
      </c>
      <c r="M7" s="430"/>
      <c r="N7" s="431"/>
      <c r="O7" s="9"/>
      <c r="P7" s="432">
        <f>R61</f>
        <v>0</v>
      </c>
      <c r="Q7" s="432"/>
      <c r="R7" s="433"/>
      <c r="S7" s="434" t="s">
        <v>38</v>
      </c>
      <c r="T7" s="435"/>
      <c r="U7" s="436"/>
      <c r="V7" s="437"/>
      <c r="W7" s="19"/>
      <c r="X7" s="23"/>
      <c r="Y7" s="4"/>
      <c r="Z7" s="4"/>
      <c r="AA7" s="4"/>
      <c r="AB7" s="4"/>
    </row>
    <row r="8" spans="1:28" ht="15" customHeight="1" x14ac:dyDescent="0.25">
      <c r="A8" s="1"/>
      <c r="B8" s="24"/>
      <c r="C8" s="25"/>
      <c r="D8" s="398" t="s">
        <v>39</v>
      </c>
      <c r="E8" s="399"/>
      <c r="F8" s="400"/>
      <c r="G8" s="401"/>
      <c r="H8" s="398" t="s">
        <v>40</v>
      </c>
      <c r="I8" s="402"/>
      <c r="J8" s="399"/>
      <c r="K8" s="14"/>
      <c r="L8" s="429" t="s">
        <v>41</v>
      </c>
      <c r="M8" s="430"/>
      <c r="N8" s="431"/>
      <c r="O8" s="9"/>
      <c r="P8" s="432">
        <f>IF(P1=Q14,R14,IF(Q14="CAD $",R14*D15,IF(Q14="USD $",R14*E15,0)))</f>
        <v>0</v>
      </c>
      <c r="Q8" s="432"/>
      <c r="R8" s="433"/>
      <c r="S8" s="26" t="s">
        <v>42</v>
      </c>
      <c r="T8" s="27" t="s">
        <v>43</v>
      </c>
      <c r="U8" s="27" t="s">
        <v>44</v>
      </c>
      <c r="V8" s="28" t="s">
        <v>45</v>
      </c>
      <c r="W8" s="29"/>
      <c r="X8" s="30"/>
      <c r="Y8" s="4"/>
      <c r="Z8" s="4"/>
      <c r="AA8" s="4"/>
      <c r="AB8" s="4"/>
    </row>
    <row r="9" spans="1:28" ht="15" customHeight="1" x14ac:dyDescent="0.25">
      <c r="A9" s="1"/>
      <c r="B9" s="25"/>
      <c r="C9" s="25"/>
      <c r="D9" s="398" t="s">
        <v>46</v>
      </c>
      <c r="E9" s="399"/>
      <c r="F9" s="400" t="s">
        <v>365</v>
      </c>
      <c r="G9" s="401"/>
      <c r="H9" s="31"/>
      <c r="I9" s="32"/>
      <c r="J9" s="32"/>
      <c r="K9" s="33"/>
      <c r="L9" s="429" t="s">
        <v>47</v>
      </c>
      <c r="M9" s="430"/>
      <c r="N9" s="431"/>
      <c r="O9" s="9"/>
      <c r="P9" s="446">
        <f>V14</f>
        <v>0</v>
      </c>
      <c r="Q9" s="446"/>
      <c r="R9" s="447"/>
      <c r="S9" s="448">
        <f>P7+P8+P9</f>
        <v>0</v>
      </c>
      <c r="T9" s="448">
        <f>P3-S9</f>
        <v>17387.73</v>
      </c>
      <c r="U9" s="450">
        <f>IFERROR(((P3-S9)/S9),0)</f>
        <v>0</v>
      </c>
      <c r="V9" s="450">
        <f>IFERROR(T9/P3,0)</f>
        <v>1</v>
      </c>
      <c r="W9" s="452"/>
      <c r="X9" s="30"/>
      <c r="Y9" s="4"/>
      <c r="Z9" s="4"/>
      <c r="AA9" s="4"/>
      <c r="AB9" s="4"/>
    </row>
    <row r="10" spans="1:28" ht="15" customHeight="1" thickBot="1" x14ac:dyDescent="0.3">
      <c r="A10" s="1"/>
      <c r="B10" s="25"/>
      <c r="C10" s="25"/>
      <c r="D10" s="34"/>
      <c r="E10" s="34"/>
      <c r="F10" s="31"/>
      <c r="G10" s="31"/>
      <c r="H10" s="31"/>
      <c r="I10" s="32"/>
      <c r="J10" s="32"/>
      <c r="K10" s="33"/>
      <c r="L10" s="408" t="s">
        <v>48</v>
      </c>
      <c r="M10" s="443"/>
      <c r="N10" s="409"/>
      <c r="O10" s="9"/>
      <c r="P10" s="444">
        <f>E61</f>
        <v>38</v>
      </c>
      <c r="Q10" s="444"/>
      <c r="R10" s="445"/>
      <c r="S10" s="449"/>
      <c r="T10" s="449"/>
      <c r="U10" s="451"/>
      <c r="V10" s="451"/>
      <c r="W10" s="453"/>
      <c r="X10" s="30"/>
      <c r="Y10" s="4"/>
      <c r="Z10" s="4"/>
      <c r="AA10" s="4"/>
      <c r="AB10" s="4"/>
    </row>
    <row r="11" spans="1:28" ht="15" customHeight="1" x14ac:dyDescent="0.25">
      <c r="A11" s="1"/>
      <c r="B11" s="501"/>
      <c r="C11" s="502"/>
      <c r="D11" s="505" t="s">
        <v>49</v>
      </c>
      <c r="E11" s="506"/>
      <c r="F11" s="509" t="s">
        <v>8</v>
      </c>
      <c r="G11" s="455"/>
      <c r="H11" s="510"/>
      <c r="I11" s="35"/>
      <c r="J11" s="514" t="s">
        <v>50</v>
      </c>
      <c r="K11" s="515"/>
      <c r="L11" s="515"/>
      <c r="M11" s="515"/>
      <c r="N11" s="516"/>
      <c r="O11" s="9"/>
      <c r="P11" s="454" t="s">
        <v>51</v>
      </c>
      <c r="Q11" s="455"/>
      <c r="R11" s="455"/>
      <c r="S11" s="455"/>
      <c r="T11" s="455"/>
      <c r="U11" s="455"/>
      <c r="V11" s="456"/>
      <c r="W11" s="36"/>
      <c r="X11" s="37"/>
      <c r="Y11" s="4" t="s">
        <v>52</v>
      </c>
      <c r="Z11" s="4"/>
      <c r="AA11" s="4"/>
      <c r="AB11" s="4"/>
    </row>
    <row r="12" spans="1:28" ht="15" customHeight="1" x14ac:dyDescent="0.25">
      <c r="A12" s="1"/>
      <c r="B12" s="503"/>
      <c r="C12" s="504"/>
      <c r="D12" s="507"/>
      <c r="E12" s="508"/>
      <c r="F12" s="511"/>
      <c r="G12" s="512"/>
      <c r="H12" s="513"/>
      <c r="I12" s="38"/>
      <c r="J12" s="517"/>
      <c r="K12" s="518"/>
      <c r="L12" s="518"/>
      <c r="M12" s="518"/>
      <c r="N12" s="519"/>
      <c r="O12" s="39"/>
      <c r="P12" s="457"/>
      <c r="Q12" s="458"/>
      <c r="R12" s="458"/>
      <c r="S12" s="458"/>
      <c r="T12" s="458"/>
      <c r="U12" s="458"/>
      <c r="V12" s="459"/>
      <c r="W12" s="40"/>
      <c r="X12" s="37"/>
      <c r="Y12" s="4" t="s">
        <v>53</v>
      </c>
      <c r="Z12" s="4"/>
      <c r="AA12" s="4"/>
      <c r="AB12" s="4"/>
    </row>
    <row r="13" spans="1:28" ht="15" customHeight="1" x14ac:dyDescent="0.25">
      <c r="A13" s="1"/>
      <c r="B13" s="503"/>
      <c r="C13" s="504"/>
      <c r="D13" s="467"/>
      <c r="E13" s="468"/>
      <c r="F13" s="460" t="s">
        <v>54</v>
      </c>
      <c r="G13" s="461"/>
      <c r="H13" s="41" t="s">
        <v>55</v>
      </c>
      <c r="I13" s="42"/>
      <c r="J13" s="520"/>
      <c r="K13" s="521"/>
      <c r="L13" s="521"/>
      <c r="M13" s="521"/>
      <c r="N13" s="522"/>
      <c r="O13" s="39"/>
      <c r="P13" s="457"/>
      <c r="Q13" s="458"/>
      <c r="R13" s="458"/>
      <c r="S13" s="458"/>
      <c r="T13" s="458"/>
      <c r="U13" s="458"/>
      <c r="V13" s="459"/>
      <c r="W13" s="43"/>
      <c r="X13" s="37"/>
      <c r="Y13" s="4" t="s">
        <v>55</v>
      </c>
      <c r="Z13" s="4"/>
      <c r="AA13" s="4"/>
      <c r="AB13" s="4"/>
    </row>
    <row r="14" spans="1:28" ht="30" customHeight="1" x14ac:dyDescent="0.25">
      <c r="A14" s="1"/>
      <c r="B14" s="503"/>
      <c r="C14" s="504"/>
      <c r="D14" s="44" t="s">
        <v>56</v>
      </c>
      <c r="E14" s="45" t="s">
        <v>57</v>
      </c>
      <c r="F14" s="462" t="s">
        <v>58</v>
      </c>
      <c r="G14" s="463"/>
      <c r="H14" s="464"/>
      <c r="I14" s="46"/>
      <c r="J14" s="465" t="s">
        <v>59</v>
      </c>
      <c r="K14" s="466"/>
      <c r="L14" s="469" t="s">
        <v>60</v>
      </c>
      <c r="M14" s="470"/>
      <c r="N14" s="471"/>
      <c r="O14" s="47"/>
      <c r="P14" s="48" t="s">
        <v>61</v>
      </c>
      <c r="Q14" s="49" t="s">
        <v>53</v>
      </c>
      <c r="R14" s="50"/>
      <c r="S14" s="48" t="s">
        <v>62</v>
      </c>
      <c r="T14" s="51">
        <v>2.5000000000000001E-2</v>
      </c>
      <c r="U14" s="48" t="s">
        <v>63</v>
      </c>
      <c r="V14" s="52">
        <f>ROUND(R61*T14,2)</f>
        <v>0</v>
      </c>
      <c r="W14" s="53"/>
      <c r="X14" s="37"/>
      <c r="Y14" s="4" t="s">
        <v>64</v>
      </c>
      <c r="Z14" s="4"/>
      <c r="AA14" s="4"/>
      <c r="AB14" s="4"/>
    </row>
    <row r="15" spans="1:28" ht="15" customHeight="1" x14ac:dyDescent="0.25">
      <c r="A15" s="1"/>
      <c r="B15" s="503"/>
      <c r="C15" s="504"/>
      <c r="D15" s="54">
        <f>1/E15</f>
        <v>0.68965517241379315</v>
      </c>
      <c r="E15" s="55">
        <v>1.45</v>
      </c>
      <c r="F15" s="475"/>
      <c r="G15" s="476"/>
      <c r="H15" s="477"/>
      <c r="I15" s="56"/>
      <c r="J15" s="467"/>
      <c r="K15" s="468"/>
      <c r="L15" s="472"/>
      <c r="M15" s="473"/>
      <c r="N15" s="474"/>
      <c r="O15" s="47"/>
      <c r="P15" s="483" t="s">
        <v>65</v>
      </c>
      <c r="Q15" s="484"/>
      <c r="R15" s="484"/>
      <c r="S15" s="484"/>
      <c r="T15" s="484"/>
      <c r="U15" s="484"/>
      <c r="V15" s="485"/>
      <c r="W15" s="57"/>
      <c r="X15" s="58"/>
      <c r="Y15" s="4"/>
      <c r="Z15" s="4"/>
      <c r="AA15" s="4"/>
      <c r="AB15" s="4"/>
    </row>
    <row r="16" spans="1:28" ht="15" customHeight="1" x14ac:dyDescent="0.25">
      <c r="A16" s="1"/>
      <c r="B16" s="486" t="s">
        <v>66</v>
      </c>
      <c r="C16" s="488" t="s">
        <v>67</v>
      </c>
      <c r="D16" s="490" t="s">
        <v>68</v>
      </c>
      <c r="E16" s="492" t="s">
        <v>69</v>
      </c>
      <c r="F16" s="489" t="s">
        <v>70</v>
      </c>
      <c r="G16" s="494"/>
      <c r="H16" s="59" t="s">
        <v>71</v>
      </c>
      <c r="I16" s="60"/>
      <c r="J16" s="495" t="s">
        <v>69</v>
      </c>
      <c r="K16" s="61" t="s">
        <v>72</v>
      </c>
      <c r="L16" s="62" t="s">
        <v>73</v>
      </c>
      <c r="M16" s="497" t="s">
        <v>74</v>
      </c>
      <c r="N16" s="497" t="s">
        <v>75</v>
      </c>
      <c r="O16" s="63"/>
      <c r="P16" s="499" t="s">
        <v>76</v>
      </c>
      <c r="Q16" s="64" t="s">
        <v>77</v>
      </c>
      <c r="R16" s="64" t="s">
        <v>78</v>
      </c>
      <c r="S16" s="65" t="s">
        <v>79</v>
      </c>
      <c r="T16" s="65" t="s">
        <v>80</v>
      </c>
      <c r="U16" s="62" t="s">
        <v>81</v>
      </c>
      <c r="V16" s="62" t="s">
        <v>82</v>
      </c>
      <c r="W16" s="66"/>
      <c r="X16" s="67"/>
      <c r="Y16" s="4"/>
      <c r="Z16" s="4"/>
      <c r="AA16" s="4"/>
      <c r="AB16" s="4"/>
    </row>
    <row r="17" spans="1:28" s="76" customFormat="1" ht="15" customHeight="1" x14ac:dyDescent="0.25">
      <c r="A17" s="68"/>
      <c r="B17" s="487"/>
      <c r="C17" s="489"/>
      <c r="D17" s="491"/>
      <c r="E17" s="493"/>
      <c r="F17" s="49" t="s">
        <v>52</v>
      </c>
      <c r="G17" s="69" t="str">
        <f>IF(F17="USD $", "CAD $", "USD $")</f>
        <v>USD $</v>
      </c>
      <c r="H17" s="70" t="str">
        <f>K17</f>
        <v>CAD $</v>
      </c>
      <c r="I17" s="71"/>
      <c r="J17" s="496"/>
      <c r="K17" s="478" t="s">
        <v>52</v>
      </c>
      <c r="L17" s="479"/>
      <c r="M17" s="498"/>
      <c r="N17" s="498"/>
      <c r="O17" s="72"/>
      <c r="P17" s="500"/>
      <c r="Q17" s="49" t="s">
        <v>52</v>
      </c>
      <c r="R17" s="480" t="str">
        <f>K17</f>
        <v>CAD $</v>
      </c>
      <c r="S17" s="481"/>
      <c r="T17" s="481"/>
      <c r="U17" s="481"/>
      <c r="V17" s="482"/>
      <c r="W17" s="73"/>
      <c r="X17" s="74"/>
      <c r="Y17" s="75"/>
      <c r="Z17" s="75"/>
      <c r="AA17" s="75"/>
      <c r="AB17" s="75"/>
    </row>
    <row r="18" spans="1:28" x14ac:dyDescent="0.25">
      <c r="A18" s="1"/>
      <c r="B18" s="77">
        <v>7343102</v>
      </c>
      <c r="C18" s="78" t="s">
        <v>83</v>
      </c>
      <c r="D18" s="79"/>
      <c r="E18" s="80">
        <v>1</v>
      </c>
      <c r="F18" s="81">
        <v>31.99</v>
      </c>
      <c r="G18" s="82">
        <f>ROUND(IF($F$17="USD $", F18*$E$15,F18*$D$15),2)</f>
        <v>22.06</v>
      </c>
      <c r="H18" s="83">
        <f>ROUND(IF($H$17=$G$17,E18*G18,E18*F18),2)</f>
        <v>31.99</v>
      </c>
      <c r="I18" s="84"/>
      <c r="J18" s="85">
        <f t="shared" ref="J18:J60" si="0">E18</f>
        <v>1</v>
      </c>
      <c r="K18" s="82">
        <f>IFERROR(IF(M18="OEM DISC %",ROUND(IF($K$17=$F$17,F18*(1-N18),G18*(1-N18)),2),IF(M18="MARKUP %",ROUND(R18/J18*(1+N18),2))),0)</f>
        <v>12.16</v>
      </c>
      <c r="L18" s="82">
        <f>ROUND((J18*K18),2)</f>
        <v>12.16</v>
      </c>
      <c r="M18" s="81" t="s">
        <v>84</v>
      </c>
      <c r="N18" s="86">
        <v>0.62</v>
      </c>
      <c r="O18" s="87"/>
      <c r="P18" s="77"/>
      <c r="Q18" s="88"/>
      <c r="R18" s="89">
        <f>ROUND(IF($R$17=$Q$17,Q18,IF($R$17="USD $",Q18*$D$15,Q18*$E$15))*E18,2)</f>
        <v>0</v>
      </c>
      <c r="S18" s="89">
        <f>IFERROR(ROUND(T18/E18,2),0)</f>
        <v>12.16</v>
      </c>
      <c r="T18" s="89">
        <f>ROUND(L18-R18,2)</f>
        <v>12.16</v>
      </c>
      <c r="U18" s="90">
        <f>IFERROR(((K18-(R18/J18))/(R18/J18)),0)</f>
        <v>0</v>
      </c>
      <c r="V18" s="90">
        <f>IFERROR(((K18-(R18/J18))/K18),0)</f>
        <v>1</v>
      </c>
      <c r="W18" s="91"/>
      <c r="X18" s="92"/>
      <c r="Y18" s="4"/>
      <c r="Z18" s="4">
        <v>250</v>
      </c>
      <c r="AA18" s="93"/>
      <c r="AB18" s="94"/>
    </row>
    <row r="19" spans="1:28" x14ac:dyDescent="0.25">
      <c r="A19" s="1"/>
      <c r="B19" s="95">
        <v>7682538</v>
      </c>
      <c r="C19" s="13" t="s">
        <v>85</v>
      </c>
      <c r="D19" s="96"/>
      <c r="E19" s="97">
        <v>1</v>
      </c>
      <c r="F19" s="98">
        <v>107.99</v>
      </c>
      <c r="G19" s="99">
        <f t="shared" ref="G19:G60" si="1">ROUND(IF($F$17="USD $", F19*$E$15,F19*$D$15),2)</f>
        <v>74.48</v>
      </c>
      <c r="H19" s="100">
        <f t="shared" ref="H19:H60" si="2">ROUND(IF($H$17=$G$17,E19*G19,E19*F19),2)</f>
        <v>107.99</v>
      </c>
      <c r="I19" s="101"/>
      <c r="J19" s="102">
        <f t="shared" si="0"/>
        <v>1</v>
      </c>
      <c r="K19" s="99">
        <f t="shared" ref="K19:K60" si="3">IFERROR(IF(M19="OEM DISC %",ROUND(IF($K$17=$F$17,F19*(1-N19),G19*(1-N19)),2),IF(M19="MARKUP %",ROUND(R19/J19*(1+N19),2))),0)</f>
        <v>41.04</v>
      </c>
      <c r="L19" s="99">
        <f t="shared" ref="L19:L60" si="4">ROUND((J19*K19),2)</f>
        <v>41.04</v>
      </c>
      <c r="M19" s="103" t="s">
        <v>84</v>
      </c>
      <c r="N19" s="104">
        <v>0.62</v>
      </c>
      <c r="O19" s="87"/>
      <c r="P19" s="95"/>
      <c r="Q19" s="98"/>
      <c r="R19" s="105">
        <f>ROUND(IF($R$17=$Q$17,Q19,IF($R$17="USD $",Q19*$D$15,Q19*$E$15))*E19,2)</f>
        <v>0</v>
      </c>
      <c r="S19" s="106">
        <f t="shared" ref="S19:S60" si="5">IFERROR(ROUND(T19/E19,2),0)</f>
        <v>41.04</v>
      </c>
      <c r="T19" s="106">
        <f t="shared" ref="T19:T60" si="6">ROUND(L19-R19,2)</f>
        <v>41.04</v>
      </c>
      <c r="U19" s="107">
        <f t="shared" ref="U19:U60" si="7">IFERROR(((K19-(R19/J19))/(R19/J19)),0)</f>
        <v>0</v>
      </c>
      <c r="V19" s="107">
        <f t="shared" ref="V19:V60" si="8">IFERROR(((K19-(R19/J19))/K19),0)</f>
        <v>1</v>
      </c>
      <c r="W19" s="108"/>
      <c r="X19" s="92"/>
      <c r="Y19" s="4" t="s">
        <v>86</v>
      </c>
      <c r="Z19" s="4">
        <v>500</v>
      </c>
      <c r="AA19" s="4"/>
      <c r="AB19" s="4"/>
    </row>
    <row r="20" spans="1:28" x14ac:dyDescent="0.25">
      <c r="A20" s="1"/>
      <c r="B20" s="77"/>
      <c r="C20" s="109"/>
      <c r="D20" s="110"/>
      <c r="E20" s="80">
        <v>1</v>
      </c>
      <c r="F20" s="81"/>
      <c r="G20" s="82">
        <f t="shared" si="1"/>
        <v>0</v>
      </c>
      <c r="H20" s="83">
        <f t="shared" si="2"/>
        <v>0</v>
      </c>
      <c r="I20" s="101"/>
      <c r="J20" s="85">
        <f t="shared" si="0"/>
        <v>1</v>
      </c>
      <c r="K20" s="82">
        <f t="shared" si="3"/>
        <v>0</v>
      </c>
      <c r="L20" s="82">
        <f t="shared" si="4"/>
        <v>0</v>
      </c>
      <c r="M20" s="81" t="s">
        <v>84</v>
      </c>
      <c r="N20" s="111">
        <v>0.62</v>
      </c>
      <c r="O20" s="87"/>
      <c r="P20" s="112"/>
      <c r="Q20" s="88"/>
      <c r="R20" s="89">
        <f t="shared" ref="R20:R60" si="9">ROUND(IF($R$17=$Q$17,Q20,IF($R$17="USD $",Q20*$D$15,Q20*$E$15))*E20,2)</f>
        <v>0</v>
      </c>
      <c r="S20" s="89">
        <f t="shared" si="5"/>
        <v>0</v>
      </c>
      <c r="T20" s="89">
        <f t="shared" si="6"/>
        <v>0</v>
      </c>
      <c r="U20" s="90">
        <f t="shared" si="7"/>
        <v>0</v>
      </c>
      <c r="V20" s="90">
        <f t="shared" si="8"/>
        <v>0</v>
      </c>
      <c r="W20" s="91"/>
      <c r="X20" s="92"/>
      <c r="Y20" s="4" t="s">
        <v>87</v>
      </c>
      <c r="Z20" s="4">
        <v>750</v>
      </c>
      <c r="AA20" s="4"/>
      <c r="AB20" s="4"/>
    </row>
    <row r="21" spans="1:28" x14ac:dyDescent="0.25">
      <c r="A21" s="1"/>
      <c r="B21" s="95">
        <v>7414582</v>
      </c>
      <c r="C21" s="13" t="s">
        <v>88</v>
      </c>
      <c r="D21" s="96"/>
      <c r="E21" s="97">
        <v>1</v>
      </c>
      <c r="F21" s="98">
        <v>84.99</v>
      </c>
      <c r="G21" s="99">
        <f t="shared" si="1"/>
        <v>58.61</v>
      </c>
      <c r="H21" s="100">
        <f t="shared" si="2"/>
        <v>84.99</v>
      </c>
      <c r="I21" s="101"/>
      <c r="J21" s="102">
        <f t="shared" si="0"/>
        <v>1</v>
      </c>
      <c r="K21" s="99">
        <f t="shared" si="3"/>
        <v>32.299999999999997</v>
      </c>
      <c r="L21" s="99">
        <f t="shared" si="4"/>
        <v>32.299999999999997</v>
      </c>
      <c r="M21" s="103" t="s">
        <v>84</v>
      </c>
      <c r="N21" s="104">
        <v>0.62</v>
      </c>
      <c r="O21" s="87"/>
      <c r="P21" s="95"/>
      <c r="Q21" s="98"/>
      <c r="R21" s="105">
        <f t="shared" si="9"/>
        <v>0</v>
      </c>
      <c r="S21" s="106">
        <f t="shared" si="5"/>
        <v>32.299999999999997</v>
      </c>
      <c r="T21" s="106">
        <f t="shared" si="6"/>
        <v>32.299999999999997</v>
      </c>
      <c r="U21" s="107">
        <f t="shared" si="7"/>
        <v>0</v>
      </c>
      <c r="V21" s="107">
        <f t="shared" si="8"/>
        <v>1</v>
      </c>
      <c r="W21" s="108"/>
      <c r="X21" s="92"/>
      <c r="Y21" s="4" t="s">
        <v>89</v>
      </c>
      <c r="Z21" s="4">
        <v>1000</v>
      </c>
      <c r="AA21" s="4"/>
      <c r="AB21" s="4"/>
    </row>
    <row r="22" spans="1:28" x14ac:dyDescent="0.25">
      <c r="A22" s="1"/>
      <c r="B22" s="77">
        <v>7386225</v>
      </c>
      <c r="C22" s="109" t="s">
        <v>90</v>
      </c>
      <c r="D22" s="110"/>
      <c r="E22" s="80">
        <v>1</v>
      </c>
      <c r="F22" s="81">
        <v>33.49</v>
      </c>
      <c r="G22" s="82">
        <f t="shared" si="1"/>
        <v>23.1</v>
      </c>
      <c r="H22" s="83">
        <f t="shared" si="2"/>
        <v>33.49</v>
      </c>
      <c r="I22" s="101"/>
      <c r="J22" s="85">
        <f t="shared" si="0"/>
        <v>1</v>
      </c>
      <c r="K22" s="82">
        <f t="shared" si="3"/>
        <v>12.73</v>
      </c>
      <c r="L22" s="82">
        <f t="shared" si="4"/>
        <v>12.73</v>
      </c>
      <c r="M22" s="81" t="s">
        <v>84</v>
      </c>
      <c r="N22" s="111">
        <v>0.62</v>
      </c>
      <c r="O22" s="87"/>
      <c r="P22" s="112"/>
      <c r="Q22" s="88"/>
      <c r="R22" s="89">
        <f t="shared" si="9"/>
        <v>0</v>
      </c>
      <c r="S22" s="89">
        <f t="shared" si="5"/>
        <v>12.73</v>
      </c>
      <c r="T22" s="89">
        <f t="shared" si="6"/>
        <v>12.73</v>
      </c>
      <c r="U22" s="90">
        <f t="shared" si="7"/>
        <v>0</v>
      </c>
      <c r="V22" s="90">
        <f t="shared" si="8"/>
        <v>1</v>
      </c>
      <c r="W22" s="91"/>
      <c r="X22" s="92"/>
      <c r="Y22" s="4" t="s">
        <v>91</v>
      </c>
      <c r="Z22" s="4">
        <v>1200</v>
      </c>
      <c r="AA22" s="4"/>
      <c r="AB22" s="4"/>
    </row>
    <row r="23" spans="1:28" x14ac:dyDescent="0.25">
      <c r="A23" s="1"/>
      <c r="B23" s="95">
        <v>7386224</v>
      </c>
      <c r="C23" s="13" t="s">
        <v>92</v>
      </c>
      <c r="D23" s="96"/>
      <c r="E23" s="97">
        <v>1</v>
      </c>
      <c r="F23" s="98">
        <v>22.49</v>
      </c>
      <c r="G23" s="99">
        <f t="shared" si="1"/>
        <v>15.51</v>
      </c>
      <c r="H23" s="100">
        <f t="shared" si="2"/>
        <v>22.49</v>
      </c>
      <c r="I23" s="101"/>
      <c r="J23" s="102">
        <f t="shared" si="0"/>
        <v>1</v>
      </c>
      <c r="K23" s="99">
        <f t="shared" si="3"/>
        <v>8.5500000000000007</v>
      </c>
      <c r="L23" s="99">
        <f t="shared" si="4"/>
        <v>8.5500000000000007</v>
      </c>
      <c r="M23" s="103" t="s">
        <v>84</v>
      </c>
      <c r="N23" s="104">
        <v>0.62</v>
      </c>
      <c r="O23" s="87"/>
      <c r="P23" s="95"/>
      <c r="Q23" s="98"/>
      <c r="R23" s="105">
        <f t="shared" si="9"/>
        <v>0</v>
      </c>
      <c r="S23" s="106">
        <f t="shared" si="5"/>
        <v>8.5500000000000007</v>
      </c>
      <c r="T23" s="106">
        <f t="shared" si="6"/>
        <v>8.5500000000000007</v>
      </c>
      <c r="U23" s="107">
        <f t="shared" si="7"/>
        <v>0</v>
      </c>
      <c r="V23" s="107">
        <f t="shared" si="8"/>
        <v>1</v>
      </c>
      <c r="W23" s="108"/>
      <c r="X23" s="92"/>
      <c r="Y23" s="4" t="s">
        <v>93</v>
      </c>
      <c r="Z23" s="4">
        <v>2000</v>
      </c>
      <c r="AA23" s="4"/>
      <c r="AB23" s="4"/>
    </row>
    <row r="24" spans="1:28" x14ac:dyDescent="0.25">
      <c r="A24" s="1"/>
      <c r="B24" s="77">
        <v>7310820</v>
      </c>
      <c r="C24" s="109" t="s">
        <v>94</v>
      </c>
      <c r="D24" s="110"/>
      <c r="E24" s="80">
        <v>1</v>
      </c>
      <c r="F24" s="81">
        <v>44.99</v>
      </c>
      <c r="G24" s="82">
        <f t="shared" si="1"/>
        <v>31.03</v>
      </c>
      <c r="H24" s="83">
        <f t="shared" si="2"/>
        <v>44.99</v>
      </c>
      <c r="I24" s="101"/>
      <c r="J24" s="85">
        <f t="shared" si="0"/>
        <v>1</v>
      </c>
      <c r="K24" s="82">
        <f t="shared" si="3"/>
        <v>17.100000000000001</v>
      </c>
      <c r="L24" s="82">
        <f t="shared" si="4"/>
        <v>17.100000000000001</v>
      </c>
      <c r="M24" s="81" t="s">
        <v>84</v>
      </c>
      <c r="N24" s="111">
        <v>0.62</v>
      </c>
      <c r="O24" s="87"/>
      <c r="P24" s="112"/>
      <c r="Q24" s="88"/>
      <c r="R24" s="89">
        <f t="shared" si="9"/>
        <v>0</v>
      </c>
      <c r="S24" s="89">
        <f t="shared" si="5"/>
        <v>17.100000000000001</v>
      </c>
      <c r="T24" s="89">
        <f t="shared" si="6"/>
        <v>17.100000000000001</v>
      </c>
      <c r="U24" s="90">
        <f t="shared" si="7"/>
        <v>0</v>
      </c>
      <c r="V24" s="90">
        <f t="shared" si="8"/>
        <v>1</v>
      </c>
      <c r="W24" s="91"/>
      <c r="X24" s="92"/>
      <c r="Y24" s="4" t="s">
        <v>95</v>
      </c>
      <c r="Z24" s="4">
        <v>4000</v>
      </c>
      <c r="AA24" s="4"/>
      <c r="AB24" s="4"/>
    </row>
    <row r="25" spans="1:28" x14ac:dyDescent="0.25">
      <c r="A25" s="1"/>
      <c r="B25" s="95"/>
      <c r="C25" s="13"/>
      <c r="D25" s="96"/>
      <c r="E25" s="97"/>
      <c r="F25" s="98"/>
      <c r="G25" s="99">
        <f t="shared" si="1"/>
        <v>0</v>
      </c>
      <c r="H25" s="100">
        <f t="shared" si="2"/>
        <v>0</v>
      </c>
      <c r="I25" s="101"/>
      <c r="J25" s="102">
        <f t="shared" si="0"/>
        <v>0</v>
      </c>
      <c r="K25" s="99">
        <f t="shared" si="3"/>
        <v>0</v>
      </c>
      <c r="L25" s="99">
        <f t="shared" si="4"/>
        <v>0</v>
      </c>
      <c r="M25" s="103" t="s">
        <v>84</v>
      </c>
      <c r="N25" s="104"/>
      <c r="O25" s="87"/>
      <c r="P25" s="95"/>
      <c r="Q25" s="98"/>
      <c r="R25" s="105">
        <f t="shared" si="9"/>
        <v>0</v>
      </c>
      <c r="S25" s="106">
        <f t="shared" si="5"/>
        <v>0</v>
      </c>
      <c r="T25" s="106">
        <f t="shared" si="6"/>
        <v>0</v>
      </c>
      <c r="U25" s="107">
        <f t="shared" si="7"/>
        <v>0</v>
      </c>
      <c r="V25" s="107">
        <f t="shared" si="8"/>
        <v>0</v>
      </c>
      <c r="W25" s="108"/>
      <c r="X25" s="92"/>
      <c r="Y25" s="4" t="s">
        <v>96</v>
      </c>
      <c r="Z25" s="4">
        <v>6000</v>
      </c>
      <c r="AA25" s="4"/>
      <c r="AB25" s="4"/>
    </row>
    <row r="26" spans="1:28" x14ac:dyDescent="0.25">
      <c r="A26" s="1"/>
      <c r="B26" s="77">
        <v>7316550</v>
      </c>
      <c r="C26" s="109" t="s">
        <v>97</v>
      </c>
      <c r="D26" s="110"/>
      <c r="E26" s="80">
        <v>4</v>
      </c>
      <c r="F26" s="81">
        <v>416.49</v>
      </c>
      <c r="G26" s="82">
        <f t="shared" si="1"/>
        <v>287.23</v>
      </c>
      <c r="H26" s="83">
        <f t="shared" si="2"/>
        <v>1665.96</v>
      </c>
      <c r="I26" s="101"/>
      <c r="J26" s="85">
        <f t="shared" si="0"/>
        <v>4</v>
      </c>
      <c r="K26" s="82">
        <f t="shared" si="3"/>
        <v>208.25</v>
      </c>
      <c r="L26" s="82">
        <f t="shared" si="4"/>
        <v>833</v>
      </c>
      <c r="M26" s="81" t="s">
        <v>84</v>
      </c>
      <c r="N26" s="111">
        <v>0.5</v>
      </c>
      <c r="O26" s="87"/>
      <c r="P26" s="112"/>
      <c r="Q26" s="88"/>
      <c r="R26" s="89">
        <f t="shared" si="9"/>
        <v>0</v>
      </c>
      <c r="S26" s="89">
        <f t="shared" si="5"/>
        <v>208.25</v>
      </c>
      <c r="T26" s="89">
        <f t="shared" si="6"/>
        <v>833</v>
      </c>
      <c r="U26" s="90">
        <f t="shared" si="7"/>
        <v>0</v>
      </c>
      <c r="V26" s="90">
        <f t="shared" si="8"/>
        <v>1</v>
      </c>
      <c r="W26" s="91"/>
      <c r="X26" s="92"/>
      <c r="Y26" s="4" t="s">
        <v>98</v>
      </c>
      <c r="Z26" s="4">
        <v>8000</v>
      </c>
      <c r="AA26" s="4"/>
      <c r="AB26" s="4"/>
    </row>
    <row r="27" spans="1:28" x14ac:dyDescent="0.25">
      <c r="A27" s="1"/>
      <c r="B27" s="95"/>
      <c r="C27" s="13"/>
      <c r="D27" s="96"/>
      <c r="E27" s="97"/>
      <c r="F27" s="98"/>
      <c r="G27" s="99">
        <f t="shared" si="1"/>
        <v>0</v>
      </c>
      <c r="H27" s="100">
        <f t="shared" si="2"/>
        <v>0</v>
      </c>
      <c r="I27" s="101"/>
      <c r="J27" s="102">
        <f t="shared" si="0"/>
        <v>0</v>
      </c>
      <c r="K27" s="99">
        <f t="shared" si="3"/>
        <v>0</v>
      </c>
      <c r="L27" s="99">
        <f t="shared" si="4"/>
        <v>0</v>
      </c>
      <c r="M27" s="103" t="s">
        <v>84</v>
      </c>
      <c r="N27" s="104"/>
      <c r="O27" s="87"/>
      <c r="P27" s="95"/>
      <c r="Q27" s="98"/>
      <c r="R27" s="105">
        <f t="shared" si="9"/>
        <v>0</v>
      </c>
      <c r="S27" s="106">
        <f t="shared" si="5"/>
        <v>0</v>
      </c>
      <c r="T27" s="106">
        <f t="shared" si="6"/>
        <v>0</v>
      </c>
      <c r="U27" s="107">
        <f t="shared" si="7"/>
        <v>0</v>
      </c>
      <c r="V27" s="107">
        <f t="shared" si="8"/>
        <v>0</v>
      </c>
      <c r="W27" s="108"/>
      <c r="X27" s="92"/>
      <c r="Y27" s="4" t="s">
        <v>99</v>
      </c>
      <c r="Z27" s="113">
        <v>10000</v>
      </c>
      <c r="AA27" s="4"/>
      <c r="AB27" s="4"/>
    </row>
    <row r="28" spans="1:28" x14ac:dyDescent="0.25">
      <c r="A28" s="1"/>
      <c r="B28" s="114"/>
      <c r="C28" s="109"/>
      <c r="D28" s="110"/>
      <c r="E28" s="80"/>
      <c r="F28" s="81"/>
      <c r="G28" s="82">
        <f t="shared" si="1"/>
        <v>0</v>
      </c>
      <c r="H28" s="83">
        <f t="shared" si="2"/>
        <v>0</v>
      </c>
      <c r="I28" s="101"/>
      <c r="J28" s="85">
        <f t="shared" si="0"/>
        <v>0</v>
      </c>
      <c r="K28" s="82">
        <f t="shared" si="3"/>
        <v>0</v>
      </c>
      <c r="L28" s="82">
        <f t="shared" si="4"/>
        <v>0</v>
      </c>
      <c r="M28" s="81" t="s">
        <v>84</v>
      </c>
      <c r="N28" s="111"/>
      <c r="O28" s="87"/>
      <c r="P28" s="112"/>
      <c r="Q28" s="88"/>
      <c r="R28" s="89">
        <f t="shared" si="9"/>
        <v>0</v>
      </c>
      <c r="S28" s="89">
        <f t="shared" si="5"/>
        <v>0</v>
      </c>
      <c r="T28" s="89">
        <f t="shared" si="6"/>
        <v>0</v>
      </c>
      <c r="U28" s="90">
        <f t="shared" si="7"/>
        <v>0</v>
      </c>
      <c r="V28" s="90">
        <f t="shared" si="8"/>
        <v>0</v>
      </c>
      <c r="W28" s="91"/>
      <c r="X28" s="92"/>
      <c r="Y28" s="4" t="s">
        <v>100</v>
      </c>
      <c r="Z28" s="4" t="s">
        <v>101</v>
      </c>
      <c r="AA28" s="4"/>
      <c r="AB28" s="4"/>
    </row>
    <row r="29" spans="1:28" x14ac:dyDescent="0.25">
      <c r="A29" s="1"/>
      <c r="B29" s="95"/>
      <c r="C29" s="13"/>
      <c r="D29" s="96"/>
      <c r="E29" s="97"/>
      <c r="F29" s="98"/>
      <c r="G29" s="99">
        <f>ROUND(IF($F$17="USD $", F29*$E$15,F29*$D$15),2)</f>
        <v>0</v>
      </c>
      <c r="H29" s="100">
        <f>ROUND(IF($H$17=$G$17,E29*G29,E29*F29),2)</f>
        <v>0</v>
      </c>
      <c r="I29" s="101"/>
      <c r="J29" s="102">
        <f t="shared" si="0"/>
        <v>0</v>
      </c>
      <c r="K29" s="99">
        <f t="shared" si="3"/>
        <v>0</v>
      </c>
      <c r="L29" s="99">
        <f>ROUND((J29*K29),2)</f>
        <v>0</v>
      </c>
      <c r="M29" s="103" t="s">
        <v>84</v>
      </c>
      <c r="N29" s="104"/>
      <c r="O29" s="87"/>
      <c r="P29" s="95"/>
      <c r="Q29" s="98"/>
      <c r="R29" s="105">
        <f t="shared" si="9"/>
        <v>0</v>
      </c>
      <c r="S29" s="106">
        <f t="shared" si="5"/>
        <v>0</v>
      </c>
      <c r="T29" s="106">
        <f t="shared" si="6"/>
        <v>0</v>
      </c>
      <c r="U29" s="107">
        <f t="shared" si="7"/>
        <v>0</v>
      </c>
      <c r="V29" s="107">
        <f t="shared" si="8"/>
        <v>0</v>
      </c>
      <c r="W29" s="108"/>
      <c r="X29" s="92"/>
      <c r="Y29" s="4" t="s">
        <v>102</v>
      </c>
      <c r="Z29" s="4"/>
      <c r="AA29" s="4"/>
      <c r="AB29" s="4"/>
    </row>
    <row r="30" spans="1:28" x14ac:dyDescent="0.25">
      <c r="A30" s="1"/>
      <c r="B30" s="77"/>
      <c r="C30" s="109"/>
      <c r="D30" s="110"/>
      <c r="E30" s="80"/>
      <c r="F30" s="81"/>
      <c r="G30" s="82">
        <f t="shared" si="1"/>
        <v>0</v>
      </c>
      <c r="H30" s="83">
        <f t="shared" si="2"/>
        <v>0</v>
      </c>
      <c r="I30" s="101"/>
      <c r="J30" s="85">
        <f t="shared" si="0"/>
        <v>0</v>
      </c>
      <c r="K30" s="82">
        <f t="shared" si="3"/>
        <v>0</v>
      </c>
      <c r="L30" s="82">
        <f t="shared" si="4"/>
        <v>0</v>
      </c>
      <c r="M30" s="81" t="s">
        <v>84</v>
      </c>
      <c r="N30" s="111"/>
      <c r="O30" s="87"/>
      <c r="P30" s="112"/>
      <c r="Q30" s="88"/>
      <c r="R30" s="89">
        <f t="shared" si="9"/>
        <v>0</v>
      </c>
      <c r="S30" s="89">
        <f t="shared" si="5"/>
        <v>0</v>
      </c>
      <c r="T30" s="89">
        <f t="shared" si="6"/>
        <v>0</v>
      </c>
      <c r="U30" s="90">
        <f t="shared" si="7"/>
        <v>0</v>
      </c>
      <c r="V30" s="90">
        <f t="shared" si="8"/>
        <v>0</v>
      </c>
      <c r="W30" s="91"/>
      <c r="X30" s="92"/>
      <c r="Y30" s="4"/>
      <c r="Z30" s="4"/>
      <c r="AA30" s="4"/>
      <c r="AB30" s="4"/>
    </row>
    <row r="31" spans="1:28" x14ac:dyDescent="0.25">
      <c r="A31" s="1"/>
      <c r="B31" s="95"/>
      <c r="C31" s="13"/>
      <c r="D31" s="96"/>
      <c r="E31" s="97"/>
      <c r="F31" s="98"/>
      <c r="G31" s="99">
        <f t="shared" si="1"/>
        <v>0</v>
      </c>
      <c r="H31" s="100">
        <f t="shared" si="2"/>
        <v>0</v>
      </c>
      <c r="I31" s="101"/>
      <c r="J31" s="102">
        <f t="shared" si="0"/>
        <v>0</v>
      </c>
      <c r="K31" s="99">
        <f t="shared" si="3"/>
        <v>0</v>
      </c>
      <c r="L31" s="99">
        <f t="shared" si="4"/>
        <v>0</v>
      </c>
      <c r="M31" s="103" t="s">
        <v>84</v>
      </c>
      <c r="N31" s="104"/>
      <c r="O31" s="87"/>
      <c r="P31" s="95"/>
      <c r="Q31" s="98"/>
      <c r="R31" s="105">
        <f>ROUND(IF($R$17=$Q$17,Q31,IF($R$17="USD $",Q31*$D$15,Q31*$E$15))*E31,2)</f>
        <v>0</v>
      </c>
      <c r="S31" s="106">
        <f t="shared" si="5"/>
        <v>0</v>
      </c>
      <c r="T31" s="106">
        <f t="shared" si="6"/>
        <v>0</v>
      </c>
      <c r="U31" s="107">
        <f t="shared" si="7"/>
        <v>0</v>
      </c>
      <c r="V31" s="107">
        <f t="shared" si="8"/>
        <v>0</v>
      </c>
      <c r="W31" s="108"/>
      <c r="X31" s="92"/>
      <c r="Y31" s="4" t="s">
        <v>84</v>
      </c>
      <c r="Z31" s="4"/>
      <c r="AA31" s="4"/>
      <c r="AB31" s="4"/>
    </row>
    <row r="32" spans="1:28" x14ac:dyDescent="0.25">
      <c r="A32" s="1"/>
      <c r="B32" s="77">
        <v>7326130</v>
      </c>
      <c r="C32" s="109" t="s">
        <v>103</v>
      </c>
      <c r="D32" s="110"/>
      <c r="E32" s="80">
        <v>1</v>
      </c>
      <c r="F32" s="81">
        <v>2758.99</v>
      </c>
      <c r="G32" s="82">
        <f t="shared" si="1"/>
        <v>1902.75</v>
      </c>
      <c r="H32" s="83">
        <f t="shared" si="2"/>
        <v>2758.99</v>
      </c>
      <c r="I32" s="101"/>
      <c r="J32" s="85">
        <f t="shared" si="0"/>
        <v>1</v>
      </c>
      <c r="K32" s="82">
        <f t="shared" si="3"/>
        <v>1379.5</v>
      </c>
      <c r="L32" s="82">
        <f t="shared" si="4"/>
        <v>1379.5</v>
      </c>
      <c r="M32" s="81" t="s">
        <v>84</v>
      </c>
      <c r="N32" s="111">
        <v>0.5</v>
      </c>
      <c r="O32" s="87"/>
      <c r="P32" s="112"/>
      <c r="Q32" s="88"/>
      <c r="R32" s="89">
        <f t="shared" si="9"/>
        <v>0</v>
      </c>
      <c r="S32" s="89">
        <f t="shared" si="5"/>
        <v>1379.5</v>
      </c>
      <c r="T32" s="89">
        <f t="shared" si="6"/>
        <v>1379.5</v>
      </c>
      <c r="U32" s="90">
        <f t="shared" si="7"/>
        <v>0</v>
      </c>
      <c r="V32" s="90">
        <f t="shared" si="8"/>
        <v>1</v>
      </c>
      <c r="W32" s="91"/>
      <c r="X32" s="92"/>
      <c r="Y32" s="4" t="s">
        <v>104</v>
      </c>
      <c r="Z32" s="4"/>
      <c r="AA32" s="4"/>
      <c r="AB32" s="4"/>
    </row>
    <row r="33" spans="1:28" x14ac:dyDescent="0.25">
      <c r="A33" s="1"/>
      <c r="B33" s="95"/>
      <c r="C33" s="13"/>
      <c r="D33" s="96"/>
      <c r="E33" s="97"/>
      <c r="F33" s="98"/>
      <c r="G33" s="99">
        <f t="shared" si="1"/>
        <v>0</v>
      </c>
      <c r="H33" s="100">
        <f t="shared" si="2"/>
        <v>0</v>
      </c>
      <c r="I33" s="101"/>
      <c r="J33" s="102">
        <f t="shared" si="0"/>
        <v>0</v>
      </c>
      <c r="K33" s="99">
        <f t="shared" si="3"/>
        <v>0</v>
      </c>
      <c r="L33" s="99">
        <f t="shared" si="4"/>
        <v>0</v>
      </c>
      <c r="M33" s="103" t="s">
        <v>84</v>
      </c>
      <c r="N33" s="104"/>
      <c r="O33" s="87"/>
      <c r="P33" s="95"/>
      <c r="Q33" s="98"/>
      <c r="R33" s="105">
        <f t="shared" si="9"/>
        <v>0</v>
      </c>
      <c r="S33" s="106">
        <f t="shared" si="5"/>
        <v>0</v>
      </c>
      <c r="T33" s="106">
        <f t="shared" si="6"/>
        <v>0</v>
      </c>
      <c r="U33" s="107">
        <f t="shared" si="7"/>
        <v>0</v>
      </c>
      <c r="V33" s="107">
        <f t="shared" si="8"/>
        <v>0</v>
      </c>
      <c r="W33" s="108"/>
      <c r="X33" s="92"/>
      <c r="Y33" s="4"/>
      <c r="Z33" s="4"/>
      <c r="AA33" s="4"/>
      <c r="AB33" s="4"/>
    </row>
    <row r="34" spans="1:28" x14ac:dyDescent="0.25">
      <c r="A34" s="1"/>
      <c r="B34" s="77">
        <v>7229101</v>
      </c>
      <c r="C34" s="109" t="s">
        <v>119</v>
      </c>
      <c r="D34" s="110"/>
      <c r="E34" s="80">
        <v>2</v>
      </c>
      <c r="F34" s="81">
        <v>840.99</v>
      </c>
      <c r="G34" s="82">
        <f t="shared" si="1"/>
        <v>579.99</v>
      </c>
      <c r="H34" s="83">
        <f t="shared" si="2"/>
        <v>1681.98</v>
      </c>
      <c r="I34" s="101"/>
      <c r="J34" s="85">
        <f t="shared" si="0"/>
        <v>2</v>
      </c>
      <c r="K34" s="82">
        <f t="shared" si="3"/>
        <v>420.5</v>
      </c>
      <c r="L34" s="82">
        <f t="shared" si="4"/>
        <v>841</v>
      </c>
      <c r="M34" s="81" t="s">
        <v>84</v>
      </c>
      <c r="N34" s="111">
        <v>0.5</v>
      </c>
      <c r="O34" s="87"/>
      <c r="P34" s="112"/>
      <c r="Q34" s="88"/>
      <c r="R34" s="89">
        <f t="shared" si="9"/>
        <v>0</v>
      </c>
      <c r="S34" s="89">
        <f t="shared" si="5"/>
        <v>420.5</v>
      </c>
      <c r="T34" s="89">
        <f t="shared" si="6"/>
        <v>841</v>
      </c>
      <c r="U34" s="90">
        <f t="shared" si="7"/>
        <v>0</v>
      </c>
      <c r="V34" s="90">
        <f t="shared" si="8"/>
        <v>1</v>
      </c>
      <c r="W34" s="91"/>
      <c r="X34" s="92"/>
      <c r="Y34" s="4"/>
      <c r="Z34" s="4"/>
      <c r="AA34" s="4"/>
      <c r="AB34" s="4"/>
    </row>
    <row r="35" spans="1:28" x14ac:dyDescent="0.25">
      <c r="A35" s="1"/>
      <c r="B35" s="95">
        <v>7233630</v>
      </c>
      <c r="C35" s="13" t="s">
        <v>120</v>
      </c>
      <c r="D35" s="96"/>
      <c r="E35" s="97">
        <v>2</v>
      </c>
      <c r="F35" s="98">
        <v>620.99</v>
      </c>
      <c r="G35" s="99">
        <f t="shared" si="1"/>
        <v>428.27</v>
      </c>
      <c r="H35" s="100">
        <f t="shared" si="2"/>
        <v>1241.98</v>
      </c>
      <c r="I35" s="101"/>
      <c r="J35" s="102">
        <f t="shared" si="0"/>
        <v>2</v>
      </c>
      <c r="K35" s="99">
        <f t="shared" si="3"/>
        <v>310.5</v>
      </c>
      <c r="L35" s="99">
        <f t="shared" si="4"/>
        <v>621</v>
      </c>
      <c r="M35" s="103" t="s">
        <v>84</v>
      </c>
      <c r="N35" s="104">
        <v>0.5</v>
      </c>
      <c r="O35" s="87"/>
      <c r="P35" s="95"/>
      <c r="Q35" s="98"/>
      <c r="R35" s="105">
        <f t="shared" si="9"/>
        <v>0</v>
      </c>
      <c r="S35" s="106">
        <f t="shared" si="5"/>
        <v>310.5</v>
      </c>
      <c r="T35" s="106">
        <f t="shared" si="6"/>
        <v>621</v>
      </c>
      <c r="U35" s="107">
        <f t="shared" si="7"/>
        <v>0</v>
      </c>
      <c r="V35" s="107">
        <f t="shared" si="8"/>
        <v>1</v>
      </c>
      <c r="W35" s="108"/>
      <c r="X35" s="92"/>
      <c r="Y35" s="4"/>
      <c r="Z35" s="4"/>
      <c r="AA35" s="4"/>
      <c r="AB35" s="4"/>
    </row>
    <row r="36" spans="1:28" x14ac:dyDescent="0.25">
      <c r="A36" s="1"/>
      <c r="B36" s="77">
        <v>7352427</v>
      </c>
      <c r="C36" s="109" t="s">
        <v>108</v>
      </c>
      <c r="D36" s="110"/>
      <c r="E36" s="80">
        <v>10</v>
      </c>
      <c r="F36" s="81">
        <v>437.99</v>
      </c>
      <c r="G36" s="82">
        <f t="shared" si="1"/>
        <v>302.06</v>
      </c>
      <c r="H36" s="83">
        <f t="shared" si="2"/>
        <v>4379.8999999999996</v>
      </c>
      <c r="I36" s="101"/>
      <c r="J36" s="85">
        <f t="shared" si="0"/>
        <v>10</v>
      </c>
      <c r="K36" s="82">
        <f t="shared" si="3"/>
        <v>437.99</v>
      </c>
      <c r="L36" s="82">
        <f t="shared" si="4"/>
        <v>4379.8999999999996</v>
      </c>
      <c r="M36" s="81" t="s">
        <v>84</v>
      </c>
      <c r="N36" s="111"/>
      <c r="O36" s="87"/>
      <c r="P36" s="112"/>
      <c r="Q36" s="88"/>
      <c r="R36" s="89">
        <f t="shared" si="9"/>
        <v>0</v>
      </c>
      <c r="S36" s="89">
        <f t="shared" si="5"/>
        <v>437.99</v>
      </c>
      <c r="T36" s="89">
        <f t="shared" si="6"/>
        <v>4379.8999999999996</v>
      </c>
      <c r="U36" s="90">
        <f t="shared" si="7"/>
        <v>0</v>
      </c>
      <c r="V36" s="90">
        <f t="shared" si="8"/>
        <v>1</v>
      </c>
      <c r="W36" s="91"/>
      <c r="X36" s="92"/>
      <c r="Y36" s="4"/>
      <c r="Z36" s="4"/>
      <c r="AA36" s="4"/>
      <c r="AB36" s="4"/>
    </row>
    <row r="37" spans="1:28" x14ac:dyDescent="0.25">
      <c r="A37" s="1"/>
      <c r="B37" s="95"/>
      <c r="C37" s="13"/>
      <c r="D37" s="96"/>
      <c r="E37" s="97"/>
      <c r="F37" s="98"/>
      <c r="G37" s="99">
        <f t="shared" si="1"/>
        <v>0</v>
      </c>
      <c r="H37" s="100">
        <f t="shared" si="2"/>
        <v>0</v>
      </c>
      <c r="I37" s="101"/>
      <c r="J37" s="102">
        <f t="shared" si="0"/>
        <v>0</v>
      </c>
      <c r="K37" s="99">
        <f t="shared" si="3"/>
        <v>0</v>
      </c>
      <c r="L37" s="99">
        <f t="shared" si="4"/>
        <v>0</v>
      </c>
      <c r="M37" s="103" t="s">
        <v>84</v>
      </c>
      <c r="N37" s="104"/>
      <c r="O37" s="87"/>
      <c r="P37" s="95"/>
      <c r="Q37" s="98"/>
      <c r="R37" s="105">
        <f t="shared" si="9"/>
        <v>0</v>
      </c>
      <c r="S37" s="106">
        <f t="shared" si="5"/>
        <v>0</v>
      </c>
      <c r="T37" s="106">
        <f t="shared" si="6"/>
        <v>0</v>
      </c>
      <c r="U37" s="107">
        <f t="shared" si="7"/>
        <v>0</v>
      </c>
      <c r="V37" s="107">
        <f t="shared" si="8"/>
        <v>0</v>
      </c>
      <c r="W37" s="108"/>
      <c r="X37" s="92"/>
      <c r="Y37" s="4"/>
      <c r="Z37" s="4"/>
      <c r="AA37" s="4"/>
      <c r="AB37" s="4"/>
    </row>
    <row r="38" spans="1:28" x14ac:dyDescent="0.25">
      <c r="A38" s="1"/>
      <c r="B38" s="77"/>
      <c r="C38" s="109"/>
      <c r="D38" s="110"/>
      <c r="E38" s="80"/>
      <c r="F38" s="81"/>
      <c r="G38" s="82">
        <f t="shared" si="1"/>
        <v>0</v>
      </c>
      <c r="H38" s="83">
        <f t="shared" si="2"/>
        <v>0</v>
      </c>
      <c r="I38" s="101"/>
      <c r="J38" s="85">
        <f t="shared" si="0"/>
        <v>0</v>
      </c>
      <c r="K38" s="82">
        <f t="shared" si="3"/>
        <v>0</v>
      </c>
      <c r="L38" s="82">
        <f t="shared" si="4"/>
        <v>0</v>
      </c>
      <c r="M38" s="81" t="s">
        <v>84</v>
      </c>
      <c r="N38" s="111"/>
      <c r="O38" s="87"/>
      <c r="P38" s="112"/>
      <c r="Q38" s="88"/>
      <c r="R38" s="89">
        <f t="shared" si="9"/>
        <v>0</v>
      </c>
      <c r="S38" s="89">
        <f t="shared" si="5"/>
        <v>0</v>
      </c>
      <c r="T38" s="89">
        <f t="shared" si="6"/>
        <v>0</v>
      </c>
      <c r="U38" s="90">
        <f t="shared" si="7"/>
        <v>0</v>
      </c>
      <c r="V38" s="90">
        <f t="shared" si="8"/>
        <v>0</v>
      </c>
      <c r="W38" s="108"/>
      <c r="X38" s="92"/>
      <c r="Y38" s="4"/>
      <c r="Z38" s="4"/>
      <c r="AA38" s="4"/>
      <c r="AB38" s="4"/>
    </row>
    <row r="39" spans="1:28" x14ac:dyDescent="0.25">
      <c r="A39" s="1"/>
      <c r="B39" s="95"/>
      <c r="C39" s="13"/>
      <c r="D39" s="96"/>
      <c r="E39" s="97"/>
      <c r="F39" s="98"/>
      <c r="G39" s="99">
        <f t="shared" si="1"/>
        <v>0</v>
      </c>
      <c r="H39" s="100">
        <f t="shared" si="2"/>
        <v>0</v>
      </c>
      <c r="I39" s="101"/>
      <c r="J39" s="102">
        <f t="shared" si="0"/>
        <v>0</v>
      </c>
      <c r="K39" s="99">
        <f t="shared" si="3"/>
        <v>0</v>
      </c>
      <c r="L39" s="99">
        <f t="shared" si="4"/>
        <v>0</v>
      </c>
      <c r="M39" s="103" t="s">
        <v>84</v>
      </c>
      <c r="N39" s="104"/>
      <c r="O39" s="87"/>
      <c r="P39" s="95"/>
      <c r="Q39" s="98"/>
      <c r="R39" s="105">
        <f t="shared" si="9"/>
        <v>0</v>
      </c>
      <c r="S39" s="106">
        <f t="shared" si="5"/>
        <v>0</v>
      </c>
      <c r="T39" s="106">
        <f t="shared" si="6"/>
        <v>0</v>
      </c>
      <c r="U39" s="107">
        <f t="shared" si="7"/>
        <v>0</v>
      </c>
      <c r="V39" s="107">
        <f t="shared" si="8"/>
        <v>0</v>
      </c>
      <c r="W39" s="108"/>
      <c r="X39" s="92"/>
      <c r="Y39" s="4"/>
      <c r="Z39" s="4"/>
      <c r="AA39" s="4"/>
      <c r="AB39" s="4"/>
    </row>
    <row r="40" spans="1:28" x14ac:dyDescent="0.25">
      <c r="A40" s="1"/>
      <c r="B40" s="77">
        <v>7408138</v>
      </c>
      <c r="C40" s="109" t="s">
        <v>105</v>
      </c>
      <c r="D40" s="110"/>
      <c r="E40" s="80">
        <v>2</v>
      </c>
      <c r="F40" s="81">
        <v>1497.99</v>
      </c>
      <c r="G40" s="82">
        <f t="shared" si="1"/>
        <v>1033.0999999999999</v>
      </c>
      <c r="H40" s="83">
        <f t="shared" si="2"/>
        <v>2995.98</v>
      </c>
      <c r="I40" s="101"/>
      <c r="J40" s="85">
        <f t="shared" si="0"/>
        <v>2</v>
      </c>
      <c r="K40" s="82">
        <f t="shared" si="3"/>
        <v>749</v>
      </c>
      <c r="L40" s="82">
        <f t="shared" si="4"/>
        <v>1498</v>
      </c>
      <c r="M40" s="81" t="s">
        <v>84</v>
      </c>
      <c r="N40" s="111">
        <v>0.5</v>
      </c>
      <c r="O40" s="87"/>
      <c r="P40" s="112"/>
      <c r="Q40" s="88"/>
      <c r="R40" s="89">
        <f t="shared" si="9"/>
        <v>0</v>
      </c>
      <c r="S40" s="89">
        <f t="shared" si="5"/>
        <v>749</v>
      </c>
      <c r="T40" s="89">
        <f t="shared" si="6"/>
        <v>1498</v>
      </c>
      <c r="U40" s="90">
        <f t="shared" si="7"/>
        <v>0</v>
      </c>
      <c r="V40" s="90">
        <f t="shared" si="8"/>
        <v>1</v>
      </c>
      <c r="W40" s="108"/>
      <c r="X40" s="92"/>
      <c r="Y40" s="4"/>
      <c r="Z40" s="4"/>
      <c r="AA40" s="4"/>
      <c r="AB40" s="4"/>
    </row>
    <row r="41" spans="1:28" x14ac:dyDescent="0.25">
      <c r="A41" s="1"/>
      <c r="B41" s="95"/>
      <c r="C41" s="13"/>
      <c r="D41" s="96"/>
      <c r="E41" s="97"/>
      <c r="F41" s="98"/>
      <c r="G41" s="99">
        <f t="shared" si="1"/>
        <v>0</v>
      </c>
      <c r="H41" s="100">
        <f t="shared" si="2"/>
        <v>0</v>
      </c>
      <c r="I41" s="101"/>
      <c r="J41" s="102">
        <f t="shared" si="0"/>
        <v>0</v>
      </c>
      <c r="K41" s="99">
        <f t="shared" si="3"/>
        <v>0</v>
      </c>
      <c r="L41" s="99">
        <f t="shared" si="4"/>
        <v>0</v>
      </c>
      <c r="M41" s="103" t="s">
        <v>84</v>
      </c>
      <c r="N41" s="104"/>
      <c r="O41" s="87"/>
      <c r="P41" s="95"/>
      <c r="Q41" s="98"/>
      <c r="R41" s="105">
        <f t="shared" si="9"/>
        <v>0</v>
      </c>
      <c r="S41" s="106">
        <f t="shared" si="5"/>
        <v>0</v>
      </c>
      <c r="T41" s="106">
        <f t="shared" si="6"/>
        <v>0</v>
      </c>
      <c r="U41" s="107">
        <f t="shared" si="7"/>
        <v>0</v>
      </c>
      <c r="V41" s="107">
        <f t="shared" si="8"/>
        <v>0</v>
      </c>
      <c r="W41" s="108"/>
      <c r="X41" s="92"/>
      <c r="Y41" s="4"/>
      <c r="Z41" s="4"/>
      <c r="AA41" s="4"/>
      <c r="AB41" s="4"/>
    </row>
    <row r="42" spans="1:28" x14ac:dyDescent="0.25">
      <c r="A42" s="1"/>
      <c r="B42" s="77"/>
      <c r="C42" s="109"/>
      <c r="D42" s="110"/>
      <c r="E42" s="80"/>
      <c r="F42" s="81"/>
      <c r="G42" s="82">
        <f t="shared" si="1"/>
        <v>0</v>
      </c>
      <c r="H42" s="83">
        <f t="shared" si="2"/>
        <v>0</v>
      </c>
      <c r="I42" s="101"/>
      <c r="J42" s="85">
        <f t="shared" si="0"/>
        <v>0</v>
      </c>
      <c r="K42" s="82">
        <f t="shared" si="3"/>
        <v>0</v>
      </c>
      <c r="L42" s="82">
        <f t="shared" si="4"/>
        <v>0</v>
      </c>
      <c r="M42" s="81" t="s">
        <v>84</v>
      </c>
      <c r="N42" s="111"/>
      <c r="O42" s="87"/>
      <c r="P42" s="112"/>
      <c r="Q42" s="88"/>
      <c r="R42" s="89">
        <f t="shared" si="9"/>
        <v>0</v>
      </c>
      <c r="S42" s="89">
        <f t="shared" si="5"/>
        <v>0</v>
      </c>
      <c r="T42" s="89">
        <f t="shared" si="6"/>
        <v>0</v>
      </c>
      <c r="U42" s="90">
        <f t="shared" si="7"/>
        <v>0</v>
      </c>
      <c r="V42" s="90">
        <f t="shared" si="8"/>
        <v>0</v>
      </c>
      <c r="W42" s="108"/>
      <c r="X42" s="92"/>
      <c r="Y42" s="4"/>
      <c r="Z42" s="4"/>
      <c r="AA42" s="4"/>
      <c r="AB42" s="4"/>
    </row>
    <row r="43" spans="1:28" x14ac:dyDescent="0.25">
      <c r="A43" s="1"/>
      <c r="B43" s="95"/>
      <c r="C43" s="13"/>
      <c r="D43" s="96"/>
      <c r="E43" s="97"/>
      <c r="F43" s="98"/>
      <c r="G43" s="99">
        <f t="shared" si="1"/>
        <v>0</v>
      </c>
      <c r="H43" s="100">
        <f t="shared" si="2"/>
        <v>0</v>
      </c>
      <c r="I43" s="101"/>
      <c r="J43" s="102">
        <f t="shared" si="0"/>
        <v>0</v>
      </c>
      <c r="K43" s="99">
        <f t="shared" si="3"/>
        <v>0</v>
      </c>
      <c r="L43" s="99">
        <f t="shared" si="4"/>
        <v>0</v>
      </c>
      <c r="M43" s="103" t="s">
        <v>84</v>
      </c>
      <c r="N43" s="104"/>
      <c r="O43" s="87"/>
      <c r="P43" s="95"/>
      <c r="Q43" s="98"/>
      <c r="R43" s="105">
        <f t="shared" si="9"/>
        <v>0</v>
      </c>
      <c r="S43" s="106">
        <f t="shared" si="5"/>
        <v>0</v>
      </c>
      <c r="T43" s="106">
        <f t="shared" si="6"/>
        <v>0</v>
      </c>
      <c r="U43" s="107">
        <f t="shared" si="7"/>
        <v>0</v>
      </c>
      <c r="V43" s="107">
        <f t="shared" si="8"/>
        <v>0</v>
      </c>
      <c r="W43" s="108"/>
      <c r="X43" s="92"/>
      <c r="Y43" s="4"/>
      <c r="Z43" s="4"/>
      <c r="AA43" s="4"/>
      <c r="AB43" s="4"/>
    </row>
    <row r="44" spans="1:28" x14ac:dyDescent="0.25">
      <c r="A44" s="1"/>
      <c r="B44" s="77"/>
      <c r="C44" s="109"/>
      <c r="D44" s="110"/>
      <c r="E44" s="80"/>
      <c r="F44" s="81"/>
      <c r="G44" s="82">
        <f t="shared" si="1"/>
        <v>0</v>
      </c>
      <c r="H44" s="83">
        <f t="shared" si="2"/>
        <v>0</v>
      </c>
      <c r="I44" s="101"/>
      <c r="J44" s="85">
        <f t="shared" si="0"/>
        <v>0</v>
      </c>
      <c r="K44" s="82">
        <f t="shared" si="3"/>
        <v>0</v>
      </c>
      <c r="L44" s="82">
        <f t="shared" si="4"/>
        <v>0</v>
      </c>
      <c r="M44" s="81" t="s">
        <v>84</v>
      </c>
      <c r="N44" s="111"/>
      <c r="O44" s="87"/>
      <c r="P44" s="112"/>
      <c r="Q44" s="88"/>
      <c r="R44" s="89">
        <f t="shared" si="9"/>
        <v>0</v>
      </c>
      <c r="S44" s="89">
        <f t="shared" si="5"/>
        <v>0</v>
      </c>
      <c r="T44" s="89">
        <f t="shared" si="6"/>
        <v>0</v>
      </c>
      <c r="U44" s="90">
        <f t="shared" si="7"/>
        <v>0</v>
      </c>
      <c r="V44" s="90">
        <f t="shared" si="8"/>
        <v>0</v>
      </c>
      <c r="W44" s="108"/>
      <c r="X44" s="92"/>
      <c r="Y44" s="4"/>
      <c r="Z44" s="4"/>
      <c r="AA44" s="4"/>
      <c r="AB44" s="4"/>
    </row>
    <row r="45" spans="1:28" x14ac:dyDescent="0.25">
      <c r="A45" s="1"/>
      <c r="B45" s="95"/>
      <c r="C45" s="13"/>
      <c r="D45" s="96"/>
      <c r="E45" s="97"/>
      <c r="F45" s="98"/>
      <c r="G45" s="99">
        <f t="shared" si="1"/>
        <v>0</v>
      </c>
      <c r="H45" s="100">
        <f t="shared" si="2"/>
        <v>0</v>
      </c>
      <c r="I45" s="101"/>
      <c r="J45" s="102">
        <f t="shared" si="0"/>
        <v>0</v>
      </c>
      <c r="K45" s="99">
        <f t="shared" si="3"/>
        <v>0</v>
      </c>
      <c r="L45" s="99">
        <f t="shared" si="4"/>
        <v>0</v>
      </c>
      <c r="M45" s="103" t="s">
        <v>84</v>
      </c>
      <c r="N45" s="104"/>
      <c r="O45" s="87"/>
      <c r="P45" s="95"/>
      <c r="Q45" s="98"/>
      <c r="R45" s="105">
        <f t="shared" si="9"/>
        <v>0</v>
      </c>
      <c r="S45" s="106">
        <f t="shared" si="5"/>
        <v>0</v>
      </c>
      <c r="T45" s="106">
        <f t="shared" si="6"/>
        <v>0</v>
      </c>
      <c r="U45" s="107">
        <f t="shared" si="7"/>
        <v>0</v>
      </c>
      <c r="V45" s="107">
        <f t="shared" si="8"/>
        <v>0</v>
      </c>
      <c r="W45" s="108"/>
      <c r="X45" s="92"/>
      <c r="Y45" s="4"/>
      <c r="Z45" s="4"/>
      <c r="AA45" s="4"/>
      <c r="AB45" s="4"/>
    </row>
    <row r="46" spans="1:28" x14ac:dyDescent="0.25">
      <c r="A46" s="1"/>
      <c r="B46" s="77"/>
      <c r="C46" s="109"/>
      <c r="D46" s="110"/>
      <c r="E46" s="80"/>
      <c r="F46" s="81"/>
      <c r="G46" s="82">
        <f t="shared" si="1"/>
        <v>0</v>
      </c>
      <c r="H46" s="83">
        <f t="shared" si="2"/>
        <v>0</v>
      </c>
      <c r="I46" s="101"/>
      <c r="J46" s="85">
        <f t="shared" si="0"/>
        <v>0</v>
      </c>
      <c r="K46" s="82">
        <f t="shared" si="3"/>
        <v>0</v>
      </c>
      <c r="L46" s="82">
        <f t="shared" si="4"/>
        <v>0</v>
      </c>
      <c r="M46" s="81" t="s">
        <v>84</v>
      </c>
      <c r="N46" s="111"/>
      <c r="O46" s="87"/>
      <c r="P46" s="112"/>
      <c r="Q46" s="88"/>
      <c r="R46" s="89">
        <f t="shared" si="9"/>
        <v>0</v>
      </c>
      <c r="S46" s="89">
        <f t="shared" si="5"/>
        <v>0</v>
      </c>
      <c r="T46" s="89">
        <f t="shared" si="6"/>
        <v>0</v>
      </c>
      <c r="U46" s="90">
        <f t="shared" si="7"/>
        <v>0</v>
      </c>
      <c r="V46" s="90">
        <f t="shared" si="8"/>
        <v>0</v>
      </c>
      <c r="W46" s="108"/>
      <c r="X46" s="92"/>
      <c r="Y46" s="4"/>
      <c r="Z46" s="4"/>
      <c r="AA46" s="4"/>
      <c r="AB46" s="4"/>
    </row>
    <row r="47" spans="1:28" x14ac:dyDescent="0.25">
      <c r="A47" s="1"/>
      <c r="B47" s="95"/>
      <c r="C47" s="13"/>
      <c r="D47" s="96"/>
      <c r="E47" s="97"/>
      <c r="F47" s="98"/>
      <c r="G47" s="99">
        <f t="shared" si="1"/>
        <v>0</v>
      </c>
      <c r="H47" s="100">
        <f t="shared" si="2"/>
        <v>0</v>
      </c>
      <c r="I47" s="101"/>
      <c r="J47" s="102">
        <f t="shared" si="0"/>
        <v>0</v>
      </c>
      <c r="K47" s="99">
        <f t="shared" si="3"/>
        <v>0</v>
      </c>
      <c r="L47" s="99">
        <f t="shared" si="4"/>
        <v>0</v>
      </c>
      <c r="M47" s="103" t="s">
        <v>84</v>
      </c>
      <c r="N47" s="104"/>
      <c r="O47" s="87"/>
      <c r="P47" s="95"/>
      <c r="Q47" s="98"/>
      <c r="R47" s="105">
        <f t="shared" si="9"/>
        <v>0</v>
      </c>
      <c r="S47" s="106">
        <f t="shared" si="5"/>
        <v>0</v>
      </c>
      <c r="T47" s="106">
        <f t="shared" si="6"/>
        <v>0</v>
      </c>
      <c r="U47" s="107">
        <f t="shared" si="7"/>
        <v>0</v>
      </c>
      <c r="V47" s="107">
        <f t="shared" si="8"/>
        <v>0</v>
      </c>
      <c r="W47" s="108"/>
      <c r="X47" s="92"/>
      <c r="Y47" s="4"/>
      <c r="Z47" s="4"/>
      <c r="AA47" s="4"/>
      <c r="AB47" s="4"/>
    </row>
    <row r="48" spans="1:28" x14ac:dyDescent="0.25">
      <c r="A48" s="1"/>
      <c r="B48" s="77"/>
      <c r="C48" s="109"/>
      <c r="D48" s="110"/>
      <c r="E48" s="80"/>
      <c r="F48" s="81"/>
      <c r="G48" s="82">
        <f t="shared" si="1"/>
        <v>0</v>
      </c>
      <c r="H48" s="83">
        <f t="shared" si="2"/>
        <v>0</v>
      </c>
      <c r="I48" s="101"/>
      <c r="J48" s="85">
        <f t="shared" si="0"/>
        <v>0</v>
      </c>
      <c r="K48" s="82">
        <f t="shared" si="3"/>
        <v>0</v>
      </c>
      <c r="L48" s="82">
        <f t="shared" si="4"/>
        <v>0</v>
      </c>
      <c r="M48" s="81" t="s">
        <v>84</v>
      </c>
      <c r="N48" s="111"/>
      <c r="O48" s="87"/>
      <c r="P48" s="112"/>
      <c r="Q48" s="88"/>
      <c r="R48" s="89">
        <f t="shared" si="9"/>
        <v>0</v>
      </c>
      <c r="S48" s="89">
        <f t="shared" si="5"/>
        <v>0</v>
      </c>
      <c r="T48" s="89">
        <f t="shared" si="6"/>
        <v>0</v>
      </c>
      <c r="U48" s="90">
        <f t="shared" si="7"/>
        <v>0</v>
      </c>
      <c r="V48" s="90">
        <f t="shared" si="8"/>
        <v>0</v>
      </c>
      <c r="W48" s="108"/>
      <c r="X48" s="92"/>
      <c r="Y48" s="4"/>
      <c r="Z48" s="4"/>
      <c r="AA48" s="4"/>
      <c r="AB48" s="4"/>
    </row>
    <row r="49" spans="1:28" x14ac:dyDescent="0.25">
      <c r="A49" s="1"/>
      <c r="B49" s="95"/>
      <c r="C49" s="13" t="s">
        <v>109</v>
      </c>
      <c r="D49" s="96"/>
      <c r="E49" s="97">
        <v>1</v>
      </c>
      <c r="F49" s="98"/>
      <c r="G49" s="99">
        <f t="shared" si="1"/>
        <v>0</v>
      </c>
      <c r="H49" s="100">
        <f t="shared" si="2"/>
        <v>0</v>
      </c>
      <c r="I49" s="101"/>
      <c r="J49" s="102">
        <f t="shared" si="0"/>
        <v>1</v>
      </c>
      <c r="K49" s="99">
        <f t="shared" si="3"/>
        <v>0</v>
      </c>
      <c r="L49" s="99">
        <f t="shared" si="4"/>
        <v>0</v>
      </c>
      <c r="M49" s="103" t="s">
        <v>84</v>
      </c>
      <c r="N49" s="104">
        <v>0.5</v>
      </c>
      <c r="O49" s="87"/>
      <c r="P49" s="95"/>
      <c r="Q49" s="98"/>
      <c r="R49" s="105">
        <f t="shared" si="9"/>
        <v>0</v>
      </c>
      <c r="S49" s="106">
        <f t="shared" si="5"/>
        <v>0</v>
      </c>
      <c r="T49" s="106">
        <f t="shared" si="6"/>
        <v>0</v>
      </c>
      <c r="U49" s="107">
        <f t="shared" si="7"/>
        <v>0</v>
      </c>
      <c r="V49" s="107">
        <f t="shared" si="8"/>
        <v>0</v>
      </c>
      <c r="W49" s="108"/>
      <c r="X49" s="92"/>
      <c r="Y49" s="4"/>
      <c r="Z49" s="4"/>
      <c r="AA49" s="4"/>
      <c r="AB49" s="4"/>
    </row>
    <row r="50" spans="1:28" x14ac:dyDescent="0.25">
      <c r="A50" s="1"/>
      <c r="B50" s="77"/>
      <c r="C50" s="109" t="s">
        <v>110</v>
      </c>
      <c r="D50" s="110"/>
      <c r="E50" s="80">
        <v>1</v>
      </c>
      <c r="F50" s="81"/>
      <c r="G50" s="82">
        <f t="shared" si="1"/>
        <v>0</v>
      </c>
      <c r="H50" s="83">
        <f t="shared" si="2"/>
        <v>0</v>
      </c>
      <c r="I50" s="101"/>
      <c r="J50" s="85">
        <f t="shared" si="0"/>
        <v>1</v>
      </c>
      <c r="K50" s="82">
        <f t="shared" si="3"/>
        <v>0</v>
      </c>
      <c r="L50" s="82">
        <f t="shared" si="4"/>
        <v>0</v>
      </c>
      <c r="M50" s="81" t="s">
        <v>84</v>
      </c>
      <c r="N50" s="111">
        <v>0.5</v>
      </c>
      <c r="O50" s="87"/>
      <c r="P50" s="112"/>
      <c r="Q50" s="88"/>
      <c r="R50" s="89">
        <f t="shared" si="9"/>
        <v>0</v>
      </c>
      <c r="S50" s="89">
        <f t="shared" si="5"/>
        <v>0</v>
      </c>
      <c r="T50" s="89">
        <f t="shared" si="6"/>
        <v>0</v>
      </c>
      <c r="U50" s="90">
        <f t="shared" si="7"/>
        <v>0</v>
      </c>
      <c r="V50" s="90">
        <f t="shared" si="8"/>
        <v>0</v>
      </c>
      <c r="W50" s="108"/>
      <c r="X50" s="92"/>
      <c r="Y50" s="4"/>
      <c r="Z50" s="4"/>
      <c r="AA50" s="4"/>
      <c r="AB50" s="4"/>
    </row>
    <row r="51" spans="1:28" x14ac:dyDescent="0.25">
      <c r="A51" s="1"/>
      <c r="B51" s="95"/>
      <c r="C51" s="13" t="s">
        <v>111</v>
      </c>
      <c r="D51" s="96"/>
      <c r="E51" s="97">
        <v>1</v>
      </c>
      <c r="F51" s="98"/>
      <c r="G51" s="99">
        <f t="shared" si="1"/>
        <v>0</v>
      </c>
      <c r="H51" s="100">
        <f t="shared" si="2"/>
        <v>0</v>
      </c>
      <c r="I51" s="101"/>
      <c r="J51" s="102">
        <f t="shared" si="0"/>
        <v>1</v>
      </c>
      <c r="K51" s="99">
        <f t="shared" si="3"/>
        <v>0</v>
      </c>
      <c r="L51" s="99">
        <f t="shared" si="4"/>
        <v>0</v>
      </c>
      <c r="M51" s="103" t="s">
        <v>84</v>
      </c>
      <c r="N51" s="104">
        <v>0.5</v>
      </c>
      <c r="O51" s="87"/>
      <c r="P51" s="95"/>
      <c r="Q51" s="98"/>
      <c r="R51" s="105">
        <f t="shared" si="9"/>
        <v>0</v>
      </c>
      <c r="S51" s="106">
        <f t="shared" si="5"/>
        <v>0</v>
      </c>
      <c r="T51" s="106">
        <f t="shared" si="6"/>
        <v>0</v>
      </c>
      <c r="U51" s="107">
        <f t="shared" si="7"/>
        <v>0</v>
      </c>
      <c r="V51" s="107">
        <f t="shared" si="8"/>
        <v>0</v>
      </c>
      <c r="W51" s="108"/>
      <c r="X51" s="92"/>
      <c r="Y51" s="4"/>
      <c r="Z51" s="4"/>
      <c r="AA51" s="4"/>
      <c r="AB51" s="4"/>
    </row>
    <row r="52" spans="1:28" x14ac:dyDescent="0.25">
      <c r="A52" s="1"/>
      <c r="B52" s="77"/>
      <c r="C52" s="109" t="s">
        <v>112</v>
      </c>
      <c r="D52" s="110"/>
      <c r="E52" s="80">
        <v>1</v>
      </c>
      <c r="F52" s="81"/>
      <c r="G52" s="82">
        <f t="shared" si="1"/>
        <v>0</v>
      </c>
      <c r="H52" s="83">
        <f t="shared" si="2"/>
        <v>0</v>
      </c>
      <c r="I52" s="101"/>
      <c r="J52" s="85">
        <f t="shared" si="0"/>
        <v>1</v>
      </c>
      <c r="K52" s="82">
        <f t="shared" si="3"/>
        <v>0</v>
      </c>
      <c r="L52" s="82">
        <f t="shared" si="4"/>
        <v>0</v>
      </c>
      <c r="M52" s="81" t="s">
        <v>84</v>
      </c>
      <c r="N52" s="111">
        <v>0.5</v>
      </c>
      <c r="O52" s="87"/>
      <c r="P52" s="112"/>
      <c r="Q52" s="88"/>
      <c r="R52" s="89">
        <f t="shared" si="9"/>
        <v>0</v>
      </c>
      <c r="S52" s="89">
        <f t="shared" si="5"/>
        <v>0</v>
      </c>
      <c r="T52" s="89">
        <f t="shared" si="6"/>
        <v>0</v>
      </c>
      <c r="U52" s="90">
        <f t="shared" si="7"/>
        <v>0</v>
      </c>
      <c r="V52" s="90">
        <f t="shared" si="8"/>
        <v>0</v>
      </c>
      <c r="W52" s="108"/>
      <c r="X52" s="92"/>
      <c r="Y52" s="4"/>
      <c r="Z52" s="4"/>
      <c r="AA52" s="4"/>
      <c r="AB52" s="4"/>
    </row>
    <row r="53" spans="1:28" x14ac:dyDescent="0.25">
      <c r="A53" s="1"/>
      <c r="B53" s="95">
        <v>7391213</v>
      </c>
      <c r="C53" s="13" t="s">
        <v>113</v>
      </c>
      <c r="D53" s="96"/>
      <c r="E53" s="97">
        <v>1</v>
      </c>
      <c r="F53" s="98">
        <v>3217.49</v>
      </c>
      <c r="G53" s="99">
        <f t="shared" si="1"/>
        <v>2218.96</v>
      </c>
      <c r="H53" s="100">
        <f t="shared" si="2"/>
        <v>3217.49</v>
      </c>
      <c r="I53" s="101"/>
      <c r="J53" s="102">
        <f t="shared" si="0"/>
        <v>1</v>
      </c>
      <c r="K53" s="99">
        <f t="shared" si="3"/>
        <v>3217.49</v>
      </c>
      <c r="L53" s="99">
        <f t="shared" si="4"/>
        <v>3217.49</v>
      </c>
      <c r="M53" s="103" t="s">
        <v>84</v>
      </c>
      <c r="N53" s="104"/>
      <c r="O53" s="87"/>
      <c r="P53" s="95"/>
      <c r="Q53" s="98"/>
      <c r="R53" s="105">
        <f t="shared" si="9"/>
        <v>0</v>
      </c>
      <c r="S53" s="106">
        <f t="shared" si="5"/>
        <v>3217.49</v>
      </c>
      <c r="T53" s="106">
        <f t="shared" si="6"/>
        <v>3217.49</v>
      </c>
      <c r="U53" s="107">
        <f t="shared" si="7"/>
        <v>0</v>
      </c>
      <c r="V53" s="107">
        <f t="shared" si="8"/>
        <v>1</v>
      </c>
      <c r="W53" s="108"/>
      <c r="X53" s="92"/>
      <c r="Y53" s="4"/>
      <c r="Z53" s="4"/>
      <c r="AA53" s="4"/>
      <c r="AB53" s="4"/>
    </row>
    <row r="54" spans="1:28" x14ac:dyDescent="0.25">
      <c r="A54" s="1"/>
      <c r="B54" s="77">
        <v>7312553</v>
      </c>
      <c r="C54" s="109" t="s">
        <v>114</v>
      </c>
      <c r="D54" s="110"/>
      <c r="E54" s="80">
        <v>1</v>
      </c>
      <c r="F54" s="81"/>
      <c r="G54" s="82">
        <f t="shared" si="1"/>
        <v>0</v>
      </c>
      <c r="H54" s="83">
        <f t="shared" si="2"/>
        <v>0</v>
      </c>
      <c r="I54" s="101"/>
      <c r="J54" s="85">
        <f t="shared" si="0"/>
        <v>1</v>
      </c>
      <c r="K54" s="82">
        <f t="shared" si="3"/>
        <v>0</v>
      </c>
      <c r="L54" s="82">
        <f t="shared" si="4"/>
        <v>0</v>
      </c>
      <c r="M54" s="81" t="s">
        <v>84</v>
      </c>
      <c r="N54" s="111"/>
      <c r="O54" s="87"/>
      <c r="P54" s="112"/>
      <c r="Q54" s="88"/>
      <c r="R54" s="89">
        <f t="shared" si="9"/>
        <v>0</v>
      </c>
      <c r="S54" s="89">
        <f t="shared" si="5"/>
        <v>0</v>
      </c>
      <c r="T54" s="89">
        <f t="shared" si="6"/>
        <v>0</v>
      </c>
      <c r="U54" s="90">
        <f t="shared" si="7"/>
        <v>0</v>
      </c>
      <c r="V54" s="90">
        <f t="shared" si="8"/>
        <v>0</v>
      </c>
      <c r="W54" s="108"/>
      <c r="X54" s="92"/>
      <c r="Y54" s="4"/>
      <c r="Z54" s="4"/>
      <c r="AA54" s="4"/>
      <c r="AB54" s="4"/>
    </row>
    <row r="55" spans="1:28" x14ac:dyDescent="0.25">
      <c r="A55" s="1"/>
      <c r="B55" s="95">
        <v>7386500</v>
      </c>
      <c r="C55" s="13" t="s">
        <v>115</v>
      </c>
      <c r="D55" s="96"/>
      <c r="E55" s="97">
        <v>4</v>
      </c>
      <c r="F55" s="98">
        <v>1123.49</v>
      </c>
      <c r="G55" s="99">
        <f t="shared" si="1"/>
        <v>774.82</v>
      </c>
      <c r="H55" s="100">
        <f t="shared" si="2"/>
        <v>4493.96</v>
      </c>
      <c r="I55" s="101"/>
      <c r="J55" s="102">
        <f t="shared" si="0"/>
        <v>4</v>
      </c>
      <c r="K55" s="99">
        <f t="shared" si="3"/>
        <v>1123.49</v>
      </c>
      <c r="L55" s="99">
        <f t="shared" si="4"/>
        <v>4493.96</v>
      </c>
      <c r="M55" s="103" t="s">
        <v>84</v>
      </c>
      <c r="N55" s="104"/>
      <c r="O55" s="87"/>
      <c r="P55" s="95"/>
      <c r="Q55" s="98"/>
      <c r="R55" s="105">
        <f t="shared" si="9"/>
        <v>0</v>
      </c>
      <c r="S55" s="106">
        <f t="shared" si="5"/>
        <v>1123.49</v>
      </c>
      <c r="T55" s="106">
        <f t="shared" si="6"/>
        <v>4493.96</v>
      </c>
      <c r="U55" s="107">
        <f t="shared" si="7"/>
        <v>0</v>
      </c>
      <c r="V55" s="107">
        <f t="shared" si="8"/>
        <v>1</v>
      </c>
      <c r="W55" s="108"/>
      <c r="X55" s="92"/>
      <c r="Y55" s="4"/>
      <c r="Z55" s="4"/>
      <c r="AA55" s="4"/>
      <c r="AB55" s="4"/>
    </row>
    <row r="56" spans="1:28" x14ac:dyDescent="0.25">
      <c r="A56" s="1"/>
      <c r="B56" s="77"/>
      <c r="C56" s="109"/>
      <c r="D56" s="110"/>
      <c r="E56" s="80"/>
      <c r="F56" s="81"/>
      <c r="G56" s="82">
        <f t="shared" si="1"/>
        <v>0</v>
      </c>
      <c r="H56" s="83">
        <f t="shared" si="2"/>
        <v>0</v>
      </c>
      <c r="I56" s="101"/>
      <c r="J56" s="85">
        <f t="shared" si="0"/>
        <v>0</v>
      </c>
      <c r="K56" s="82">
        <f t="shared" si="3"/>
        <v>0</v>
      </c>
      <c r="L56" s="82">
        <f t="shared" si="4"/>
        <v>0</v>
      </c>
      <c r="M56" s="81" t="s">
        <v>84</v>
      </c>
      <c r="N56" s="111"/>
      <c r="O56" s="87"/>
      <c r="P56" s="112"/>
      <c r="Q56" s="88"/>
      <c r="R56" s="89">
        <f t="shared" si="9"/>
        <v>0</v>
      </c>
      <c r="S56" s="89">
        <f t="shared" si="5"/>
        <v>0</v>
      </c>
      <c r="T56" s="89">
        <f t="shared" si="6"/>
        <v>0</v>
      </c>
      <c r="U56" s="90">
        <f t="shared" si="7"/>
        <v>0</v>
      </c>
      <c r="V56" s="90">
        <f t="shared" si="8"/>
        <v>0</v>
      </c>
      <c r="W56" s="108"/>
      <c r="X56" s="92"/>
      <c r="Y56" s="4"/>
      <c r="Z56" s="4"/>
      <c r="AA56" s="4"/>
      <c r="AB56" s="4"/>
    </row>
    <row r="57" spans="1:28" x14ac:dyDescent="0.25">
      <c r="A57" s="1"/>
      <c r="B57" s="95"/>
      <c r="C57" s="13"/>
      <c r="D57" s="96"/>
      <c r="E57" s="97"/>
      <c r="F57" s="98"/>
      <c r="G57" s="99">
        <f t="shared" si="1"/>
        <v>0</v>
      </c>
      <c r="H57" s="100">
        <f t="shared" si="2"/>
        <v>0</v>
      </c>
      <c r="I57" s="101"/>
      <c r="J57" s="102">
        <f t="shared" si="0"/>
        <v>0</v>
      </c>
      <c r="K57" s="99">
        <f t="shared" si="3"/>
        <v>0</v>
      </c>
      <c r="L57" s="99">
        <f t="shared" si="4"/>
        <v>0</v>
      </c>
      <c r="M57" s="103" t="s">
        <v>84</v>
      </c>
      <c r="N57" s="104"/>
      <c r="O57" s="87"/>
      <c r="P57" s="95"/>
      <c r="Q57" s="98"/>
      <c r="R57" s="105">
        <f t="shared" si="9"/>
        <v>0</v>
      </c>
      <c r="S57" s="106">
        <f t="shared" si="5"/>
        <v>0</v>
      </c>
      <c r="T57" s="106">
        <f t="shared" si="6"/>
        <v>0</v>
      </c>
      <c r="U57" s="107">
        <f t="shared" si="7"/>
        <v>0</v>
      </c>
      <c r="V57" s="107">
        <f t="shared" si="8"/>
        <v>0</v>
      </c>
      <c r="W57" s="108"/>
      <c r="X57" s="92"/>
      <c r="Y57" s="4"/>
      <c r="Z57" s="4"/>
      <c r="AA57" s="4"/>
      <c r="AB57" s="4"/>
    </row>
    <row r="58" spans="1:28" x14ac:dyDescent="0.25">
      <c r="A58" s="1"/>
      <c r="B58" s="77"/>
      <c r="C58" s="109"/>
      <c r="D58" s="110"/>
      <c r="E58" s="80"/>
      <c r="F58" s="81"/>
      <c r="G58" s="82">
        <f t="shared" si="1"/>
        <v>0</v>
      </c>
      <c r="H58" s="83">
        <f t="shared" si="2"/>
        <v>0</v>
      </c>
      <c r="I58" s="101"/>
      <c r="J58" s="85">
        <f t="shared" si="0"/>
        <v>0</v>
      </c>
      <c r="K58" s="82">
        <f t="shared" si="3"/>
        <v>0</v>
      </c>
      <c r="L58" s="82">
        <f t="shared" si="4"/>
        <v>0</v>
      </c>
      <c r="M58" s="81" t="s">
        <v>84</v>
      </c>
      <c r="N58" s="111"/>
      <c r="O58" s="87"/>
      <c r="P58" s="112"/>
      <c r="Q58" s="88"/>
      <c r="R58" s="89">
        <f t="shared" si="9"/>
        <v>0</v>
      </c>
      <c r="S58" s="89">
        <f t="shared" si="5"/>
        <v>0</v>
      </c>
      <c r="T58" s="89">
        <f t="shared" si="6"/>
        <v>0</v>
      </c>
      <c r="U58" s="90">
        <f t="shared" si="7"/>
        <v>0</v>
      </c>
      <c r="V58" s="90">
        <f t="shared" si="8"/>
        <v>0</v>
      </c>
      <c r="W58" s="108"/>
      <c r="X58" s="92"/>
      <c r="Y58" s="4"/>
      <c r="Z58" s="4"/>
      <c r="AA58" s="4"/>
      <c r="AB58" s="4"/>
    </row>
    <row r="59" spans="1:28" x14ac:dyDescent="0.25">
      <c r="A59" s="1"/>
      <c r="B59" s="95"/>
      <c r="C59" s="13"/>
      <c r="D59" s="96"/>
      <c r="E59" s="97"/>
      <c r="F59" s="98"/>
      <c r="G59" s="99">
        <f t="shared" si="1"/>
        <v>0</v>
      </c>
      <c r="H59" s="100">
        <f t="shared" si="2"/>
        <v>0</v>
      </c>
      <c r="I59" s="101"/>
      <c r="J59" s="102">
        <f t="shared" si="0"/>
        <v>0</v>
      </c>
      <c r="K59" s="99">
        <f t="shared" si="3"/>
        <v>0</v>
      </c>
      <c r="L59" s="99">
        <f t="shared" si="4"/>
        <v>0</v>
      </c>
      <c r="M59" s="103" t="s">
        <v>84</v>
      </c>
      <c r="N59" s="104"/>
      <c r="O59" s="87"/>
      <c r="P59" s="95"/>
      <c r="Q59" s="98"/>
      <c r="R59" s="105">
        <f t="shared" si="9"/>
        <v>0</v>
      </c>
      <c r="S59" s="106">
        <f t="shared" si="5"/>
        <v>0</v>
      </c>
      <c r="T59" s="106">
        <f t="shared" si="6"/>
        <v>0</v>
      </c>
      <c r="U59" s="107">
        <f t="shared" si="7"/>
        <v>0</v>
      </c>
      <c r="V59" s="107">
        <f t="shared" si="8"/>
        <v>0</v>
      </c>
      <c r="W59" s="108"/>
      <c r="X59" s="92"/>
      <c r="Y59" s="4"/>
      <c r="Z59" s="4"/>
      <c r="AA59" s="4"/>
      <c r="AB59" s="4"/>
    </row>
    <row r="60" spans="1:28" x14ac:dyDescent="0.25">
      <c r="A60" s="1"/>
      <c r="B60" s="77"/>
      <c r="C60" s="109"/>
      <c r="D60" s="110"/>
      <c r="E60" s="80"/>
      <c r="F60" s="81"/>
      <c r="G60" s="82">
        <f t="shared" si="1"/>
        <v>0</v>
      </c>
      <c r="H60" s="83">
        <f t="shared" si="2"/>
        <v>0</v>
      </c>
      <c r="I60" s="101"/>
      <c r="J60" s="85">
        <f t="shared" si="0"/>
        <v>0</v>
      </c>
      <c r="K60" s="82">
        <f t="shared" si="3"/>
        <v>0</v>
      </c>
      <c r="L60" s="82">
        <f t="shared" si="4"/>
        <v>0</v>
      </c>
      <c r="M60" s="81" t="s">
        <v>84</v>
      </c>
      <c r="N60" s="111"/>
      <c r="O60" s="87"/>
      <c r="P60" s="112"/>
      <c r="Q60" s="88"/>
      <c r="R60" s="89">
        <f t="shared" si="9"/>
        <v>0</v>
      </c>
      <c r="S60" s="89">
        <f t="shared" si="5"/>
        <v>0</v>
      </c>
      <c r="T60" s="89">
        <f t="shared" si="6"/>
        <v>0</v>
      </c>
      <c r="U60" s="90">
        <f t="shared" si="7"/>
        <v>0</v>
      </c>
      <c r="V60" s="90">
        <f t="shared" si="8"/>
        <v>0</v>
      </c>
      <c r="W60" s="108"/>
      <c r="X60" s="92"/>
      <c r="Y60" s="4"/>
      <c r="Z60" s="4"/>
      <c r="AA60" s="4"/>
      <c r="AB60" s="4"/>
    </row>
    <row r="61" spans="1:28" ht="20.25" customHeight="1" x14ac:dyDescent="0.25">
      <c r="A61" s="115"/>
      <c r="B61" s="116"/>
      <c r="C61" s="116"/>
      <c r="D61" s="117" t="s">
        <v>116</v>
      </c>
      <c r="E61" s="118">
        <f>SUM(E18:E60)</f>
        <v>38</v>
      </c>
      <c r="F61" s="119">
        <f>SUM(F18:F60)</f>
        <v>11240.359999999999</v>
      </c>
      <c r="G61" s="120">
        <f>SUM(G18:G60)</f>
        <v>7751.97</v>
      </c>
      <c r="H61" s="121">
        <f>SUM(H18:H60)</f>
        <v>22762.179999999997</v>
      </c>
      <c r="I61" s="122"/>
      <c r="J61" s="123">
        <f>SUM(J18:J60)</f>
        <v>38</v>
      </c>
      <c r="K61" s="120">
        <f>SUM(K18:K60)</f>
        <v>7970.5999999999995</v>
      </c>
      <c r="L61" s="121">
        <f>SUM(L18:L60)</f>
        <v>17387.73</v>
      </c>
      <c r="M61" s="121"/>
      <c r="N61" s="121"/>
      <c r="O61" s="124"/>
      <c r="P61" s="125"/>
      <c r="Q61" s="120">
        <f>SUM(Q18:Q60)</f>
        <v>0</v>
      </c>
      <c r="R61" s="120">
        <f>SUM(R18:R60)</f>
        <v>0</v>
      </c>
      <c r="S61" s="121">
        <f>SUM(S18:S60)</f>
        <v>7970.5999999999995</v>
      </c>
      <c r="T61" s="121">
        <f>SUM(T18:T60)</f>
        <v>17387.73</v>
      </c>
      <c r="U61" s="126"/>
      <c r="V61" s="126"/>
      <c r="W61" s="127"/>
      <c r="X61" s="128"/>
    </row>
    <row r="63" spans="1:28" ht="15" customHeight="1" x14ac:dyDescent="0.25">
      <c r="U63" s="130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47" priority="3" stopIfTrue="1">
      <formula>$U$9&gt;100%</formula>
    </cfRule>
    <cfRule type="expression" dxfId="246" priority="4">
      <formula>$U$9&lt;50%</formula>
    </cfRule>
  </conditionalFormatting>
  <conditionalFormatting sqref="V9:V10">
    <cfRule type="expression" dxfId="245" priority="1">
      <formula>$V$9&lt;50%</formula>
    </cfRule>
    <cfRule type="expression" dxfId="244" priority="2">
      <formula>$V$9&gt;50%</formula>
    </cfRule>
  </conditionalFormatting>
  <dataValidations count="5">
    <dataValidation type="list" allowBlank="1" showInputMessage="1" showErrorMessage="1" sqref="F17 K17 Q17 Q14" xr:uid="{BEF12A58-B6E2-4CEA-BF79-C5FABDBCF27C}">
      <formula1>$Y$11:$Y$12</formula1>
    </dataValidation>
    <dataValidation type="list" allowBlank="1" showInputMessage="1" showErrorMessage="1" sqref="H13" xr:uid="{EFE7A11F-0ACA-4641-A08A-B81ECC173249}">
      <formula1>$Y$13:$Y$14</formula1>
    </dataValidation>
    <dataValidation type="list" allowBlank="1" showInputMessage="1" showErrorMessage="1" sqref="I13" xr:uid="{89BE532F-6D9C-4AFE-8203-EBA2BC96D1BB}">
      <formula1>$K$9:$K$9</formula1>
    </dataValidation>
    <dataValidation type="list" showInputMessage="1" showErrorMessage="1" sqref="D18:D60" xr:uid="{E7023BE4-EA01-4BB6-A715-8883254DF11E}">
      <formula1>$Z$18:$Z$29</formula1>
    </dataValidation>
    <dataValidation type="list" allowBlank="1" showInputMessage="1" showErrorMessage="1" sqref="M18:M60" xr:uid="{0A9564D0-6D68-4ACB-B74E-7EA49C10D2FA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21D3F-2DD1-4B43-9C89-830FB9577D78}">
  <sheetPr>
    <pageSetUpPr fitToPage="1"/>
  </sheetPr>
  <dimension ref="A1:AB63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" customWidth="1"/>
    <col min="2" max="2" width="25.7109375" style="5" customWidth="1"/>
    <col min="3" max="3" width="43.28515625" style="5" customWidth="1"/>
    <col min="4" max="4" width="9.7109375" style="129" customWidth="1"/>
    <col min="5" max="5" width="9.7109375" style="5" customWidth="1"/>
    <col min="6" max="8" width="18.7109375" style="5" customWidth="1"/>
    <col min="9" max="9" width="0.85546875" style="5" customWidth="1"/>
    <col min="10" max="10" width="9.5703125" style="5" customWidth="1"/>
    <col min="11" max="13" width="18.7109375" style="5" customWidth="1"/>
    <col min="14" max="14" width="13.7109375" style="5" customWidth="1"/>
    <col min="15" max="15" width="0.85546875" style="5" customWidth="1"/>
    <col min="16" max="16" width="17.85546875" style="5" customWidth="1"/>
    <col min="17" max="20" width="18.7109375" style="5" customWidth="1"/>
    <col min="21" max="21" width="15" style="5" bestFit="1" customWidth="1"/>
    <col min="22" max="22" width="14.7109375" style="5" bestFit="1" customWidth="1"/>
    <col min="23" max="23" width="13.42578125" style="5" hidden="1" customWidth="1"/>
    <col min="24" max="24" width="0.85546875" style="5" customWidth="1"/>
    <col min="25" max="26" width="9.140625" style="5" hidden="1" customWidth="1"/>
    <col min="27" max="27" width="9.140625" style="5" customWidth="1"/>
    <col min="28" max="28" width="10.5703125" style="5" bestFit="1" customWidth="1"/>
    <col min="29" max="16384" width="9.140625" style="5"/>
  </cols>
  <sheetData>
    <row r="1" spans="1:28" ht="23.25" customHeight="1" x14ac:dyDescent="0.25">
      <c r="A1" s="1"/>
      <c r="B1" s="392" t="s">
        <v>0</v>
      </c>
      <c r="C1" s="389"/>
      <c r="D1" s="393" t="s">
        <v>1</v>
      </c>
      <c r="E1" s="390"/>
      <c r="F1" s="390"/>
      <c r="G1" s="391"/>
      <c r="H1" s="389" t="s">
        <v>2</v>
      </c>
      <c r="I1" s="390"/>
      <c r="J1" s="390"/>
      <c r="K1" s="391"/>
      <c r="L1" s="394" t="s">
        <v>3</v>
      </c>
      <c r="M1" s="395"/>
      <c r="N1" s="395"/>
      <c r="O1" s="395"/>
      <c r="P1" s="390" t="str">
        <f>K17</f>
        <v>CAD $</v>
      </c>
      <c r="Q1" s="390"/>
      <c r="R1" s="391"/>
      <c r="S1" s="389" t="s">
        <v>4</v>
      </c>
      <c r="T1" s="390"/>
      <c r="U1" s="390"/>
      <c r="V1" s="390"/>
      <c r="W1" s="391"/>
      <c r="X1" s="2"/>
      <c r="Y1" s="3"/>
      <c r="Z1" s="4"/>
      <c r="AA1" s="4"/>
      <c r="AB1" s="4"/>
    </row>
    <row r="2" spans="1:28" ht="15" customHeight="1" x14ac:dyDescent="0.25">
      <c r="A2" s="1"/>
      <c r="B2" s="6" t="s">
        <v>5</v>
      </c>
      <c r="C2" s="7">
        <v>45919</v>
      </c>
      <c r="D2" s="412" t="s">
        <v>6</v>
      </c>
      <c r="E2" s="413"/>
      <c r="F2" s="414">
        <v>58622</v>
      </c>
      <c r="G2" s="415"/>
      <c r="H2" s="412" t="s">
        <v>7</v>
      </c>
      <c r="I2" s="416"/>
      <c r="J2" s="413"/>
      <c r="K2" s="8"/>
      <c r="L2" s="417" t="s">
        <v>8</v>
      </c>
      <c r="M2" s="418"/>
      <c r="N2" s="419"/>
      <c r="O2" s="9"/>
      <c r="P2" s="420">
        <f>H61</f>
        <v>20548.399999999998</v>
      </c>
      <c r="Q2" s="420"/>
      <c r="R2" s="421"/>
      <c r="S2" s="422" t="s">
        <v>9</v>
      </c>
      <c r="T2" s="423"/>
      <c r="U2" s="396"/>
      <c r="V2" s="397"/>
      <c r="W2" s="10"/>
      <c r="X2" s="11"/>
      <c r="Y2" s="3"/>
      <c r="Z2" s="4"/>
      <c r="AA2" s="4"/>
      <c r="AB2" s="4"/>
    </row>
    <row r="3" spans="1:28" ht="15" customHeight="1" x14ac:dyDescent="0.25">
      <c r="A3" s="1"/>
      <c r="B3" s="12" t="s">
        <v>10</v>
      </c>
      <c r="C3" s="13" t="s">
        <v>11</v>
      </c>
      <c r="D3" s="398" t="s">
        <v>12</v>
      </c>
      <c r="E3" s="399"/>
      <c r="F3" s="400"/>
      <c r="G3" s="401"/>
      <c r="H3" s="398" t="s">
        <v>13</v>
      </c>
      <c r="I3" s="402"/>
      <c r="J3" s="399"/>
      <c r="K3" s="14"/>
      <c r="L3" s="403" t="s">
        <v>14</v>
      </c>
      <c r="M3" s="404"/>
      <c r="N3" s="405"/>
      <c r="O3" s="9"/>
      <c r="P3" s="406">
        <f>L61</f>
        <v>8857.5</v>
      </c>
      <c r="Q3" s="406"/>
      <c r="R3" s="407"/>
      <c r="S3" s="408" t="s">
        <v>15</v>
      </c>
      <c r="T3" s="409"/>
      <c r="U3" s="410"/>
      <c r="V3" s="411"/>
      <c r="W3" s="15"/>
      <c r="X3" s="1"/>
      <c r="Y3" s="16"/>
      <c r="Z3" s="4"/>
      <c r="AA3" s="4"/>
      <c r="AB3" s="4"/>
    </row>
    <row r="4" spans="1:28" ht="15" customHeight="1" x14ac:dyDescent="0.25">
      <c r="A4" s="1"/>
      <c r="B4" s="17" t="s">
        <v>16</v>
      </c>
      <c r="C4" s="13"/>
      <c r="D4" s="398" t="s">
        <v>17</v>
      </c>
      <c r="E4" s="399"/>
      <c r="F4" s="400" t="s">
        <v>121</v>
      </c>
      <c r="G4" s="401"/>
      <c r="H4" s="398" t="s">
        <v>19</v>
      </c>
      <c r="I4" s="402"/>
      <c r="J4" s="399"/>
      <c r="K4" s="14"/>
      <c r="L4" s="403" t="s">
        <v>20</v>
      </c>
      <c r="M4" s="404"/>
      <c r="N4" s="405"/>
      <c r="O4" s="9"/>
      <c r="P4" s="406">
        <f>P2-P3</f>
        <v>11690.899999999998</v>
      </c>
      <c r="Q4" s="406"/>
      <c r="R4" s="407"/>
      <c r="S4" s="408" t="s">
        <v>21</v>
      </c>
      <c r="T4" s="409"/>
      <c r="U4" s="410"/>
      <c r="V4" s="411"/>
      <c r="W4" s="15"/>
      <c r="X4" s="1"/>
      <c r="Y4" s="16"/>
      <c r="Z4" s="4"/>
      <c r="AA4" s="4"/>
      <c r="AB4" s="4"/>
    </row>
    <row r="5" spans="1:28" ht="15" customHeight="1" thickBot="1" x14ac:dyDescent="0.3">
      <c r="A5" s="1"/>
      <c r="B5" s="17" t="s">
        <v>22</v>
      </c>
      <c r="C5" s="13"/>
      <c r="D5" s="398" t="s">
        <v>23</v>
      </c>
      <c r="E5" s="399"/>
      <c r="F5" s="400">
        <v>348</v>
      </c>
      <c r="G5" s="401"/>
      <c r="H5" s="398" t="s">
        <v>25</v>
      </c>
      <c r="I5" s="402"/>
      <c r="J5" s="399"/>
      <c r="K5" s="14"/>
      <c r="L5" s="424" t="s">
        <v>26</v>
      </c>
      <c r="M5" s="425"/>
      <c r="N5" s="426"/>
      <c r="O5" s="9"/>
      <c r="P5" s="427">
        <f>IFERROR((P2-P3)/P2,"")</f>
        <v>0.56894454069416589</v>
      </c>
      <c r="Q5" s="427"/>
      <c r="R5" s="428"/>
      <c r="S5" s="408" t="s">
        <v>27</v>
      </c>
      <c r="T5" s="409"/>
      <c r="U5" s="410"/>
      <c r="V5" s="411"/>
      <c r="W5" s="15"/>
      <c r="X5" s="1"/>
      <c r="Y5" s="16"/>
      <c r="Z5" s="4"/>
      <c r="AA5" s="4"/>
      <c r="AB5" s="4"/>
    </row>
    <row r="6" spans="1:28" ht="15" customHeight="1" x14ac:dyDescent="0.25">
      <c r="A6" s="1"/>
      <c r="B6" s="17" t="s">
        <v>28</v>
      </c>
      <c r="C6" s="18"/>
      <c r="D6" s="398" t="s">
        <v>29</v>
      </c>
      <c r="E6" s="399"/>
      <c r="F6" s="400" t="s">
        <v>122</v>
      </c>
      <c r="G6" s="401"/>
      <c r="H6" s="398" t="s">
        <v>31</v>
      </c>
      <c r="I6" s="402"/>
      <c r="J6" s="399"/>
      <c r="K6" s="14"/>
      <c r="L6" s="438" t="s">
        <v>32</v>
      </c>
      <c r="M6" s="439"/>
      <c r="N6" s="440"/>
      <c r="O6" s="9"/>
      <c r="P6" s="441">
        <f>T61</f>
        <v>8857.5</v>
      </c>
      <c r="Q6" s="441"/>
      <c r="R6" s="442"/>
      <c r="S6" s="408" t="s">
        <v>33</v>
      </c>
      <c r="T6" s="409"/>
      <c r="U6" s="410"/>
      <c r="V6" s="411"/>
      <c r="W6" s="19"/>
      <c r="X6" s="20"/>
      <c r="Y6" s="21"/>
      <c r="Z6" s="4"/>
      <c r="AA6" s="4"/>
      <c r="AB6" s="4"/>
    </row>
    <row r="7" spans="1:28" ht="15" customHeight="1" x14ac:dyDescent="0.25">
      <c r="A7" s="1"/>
      <c r="B7" s="17" t="s">
        <v>34</v>
      </c>
      <c r="C7" s="22"/>
      <c r="D7" s="398" t="s">
        <v>35</v>
      </c>
      <c r="E7" s="399"/>
      <c r="F7" s="400">
        <v>74543077</v>
      </c>
      <c r="G7" s="401"/>
      <c r="H7" s="398" t="s">
        <v>36</v>
      </c>
      <c r="I7" s="402"/>
      <c r="J7" s="399"/>
      <c r="K7" s="14"/>
      <c r="L7" s="429" t="s">
        <v>37</v>
      </c>
      <c r="M7" s="430"/>
      <c r="N7" s="431"/>
      <c r="O7" s="9"/>
      <c r="P7" s="432">
        <f>R61</f>
        <v>0</v>
      </c>
      <c r="Q7" s="432"/>
      <c r="R7" s="433"/>
      <c r="S7" s="434" t="s">
        <v>38</v>
      </c>
      <c r="T7" s="435"/>
      <c r="U7" s="436"/>
      <c r="V7" s="437"/>
      <c r="W7" s="19"/>
      <c r="X7" s="23"/>
      <c r="Y7" s="4"/>
      <c r="Z7" s="4"/>
      <c r="AA7" s="4"/>
      <c r="AB7" s="4"/>
    </row>
    <row r="8" spans="1:28" ht="15" customHeight="1" x14ac:dyDescent="0.25">
      <c r="A8" s="1"/>
      <c r="B8" s="24"/>
      <c r="C8" s="25"/>
      <c r="D8" s="398" t="s">
        <v>39</v>
      </c>
      <c r="E8" s="399"/>
      <c r="F8" s="400"/>
      <c r="G8" s="401"/>
      <c r="H8" s="398" t="s">
        <v>40</v>
      </c>
      <c r="I8" s="402"/>
      <c r="J8" s="399"/>
      <c r="K8" s="14"/>
      <c r="L8" s="429" t="s">
        <v>41</v>
      </c>
      <c r="M8" s="430"/>
      <c r="N8" s="431"/>
      <c r="O8" s="9"/>
      <c r="P8" s="432">
        <f>IF(P1=Q14,R14,IF(Q14="CAD $",R14*D15,IF(Q14="USD $",R14*E15,0)))</f>
        <v>0</v>
      </c>
      <c r="Q8" s="432"/>
      <c r="R8" s="433"/>
      <c r="S8" s="26" t="s">
        <v>42</v>
      </c>
      <c r="T8" s="27" t="s">
        <v>43</v>
      </c>
      <c r="U8" s="27" t="s">
        <v>44</v>
      </c>
      <c r="V8" s="28" t="s">
        <v>45</v>
      </c>
      <c r="W8" s="29"/>
      <c r="X8" s="30"/>
      <c r="Y8" s="4"/>
      <c r="Z8" s="4"/>
      <c r="AA8" s="4"/>
      <c r="AB8" s="4"/>
    </row>
    <row r="9" spans="1:28" ht="15" customHeight="1" x14ac:dyDescent="0.25">
      <c r="A9" s="1"/>
      <c r="B9" s="25"/>
      <c r="C9" s="25"/>
      <c r="D9" s="398" t="s">
        <v>46</v>
      </c>
      <c r="E9" s="399"/>
      <c r="F9" s="400" t="s">
        <v>408</v>
      </c>
      <c r="G9" s="401"/>
      <c r="H9" s="31"/>
      <c r="I9" s="32"/>
      <c r="J9" s="32"/>
      <c r="K9" s="33"/>
      <c r="L9" s="429" t="s">
        <v>47</v>
      </c>
      <c r="M9" s="430"/>
      <c r="N9" s="431"/>
      <c r="O9" s="9"/>
      <c r="P9" s="446">
        <f>V14</f>
        <v>0</v>
      </c>
      <c r="Q9" s="446"/>
      <c r="R9" s="447"/>
      <c r="S9" s="448">
        <f>P7+P8+P9</f>
        <v>0</v>
      </c>
      <c r="T9" s="448">
        <f>P3-S9</f>
        <v>8857.5</v>
      </c>
      <c r="U9" s="450">
        <f>IFERROR(((P3-S9)/S9),0)</f>
        <v>0</v>
      </c>
      <c r="V9" s="450">
        <f>IFERROR(T9/P3,0)</f>
        <v>1</v>
      </c>
      <c r="W9" s="452"/>
      <c r="X9" s="30"/>
      <c r="Y9" s="4"/>
      <c r="Z9" s="4"/>
      <c r="AA9" s="4"/>
      <c r="AB9" s="4"/>
    </row>
    <row r="10" spans="1:28" ht="15" customHeight="1" thickBot="1" x14ac:dyDescent="0.3">
      <c r="A10" s="1"/>
      <c r="B10" s="25"/>
      <c r="C10" s="25"/>
      <c r="D10" s="34"/>
      <c r="E10" s="34"/>
      <c r="F10" s="31"/>
      <c r="G10" s="31"/>
      <c r="H10" s="31"/>
      <c r="I10" s="32"/>
      <c r="J10" s="32"/>
      <c r="K10" s="33"/>
      <c r="L10" s="408" t="s">
        <v>48</v>
      </c>
      <c r="M10" s="443"/>
      <c r="N10" s="409"/>
      <c r="O10" s="9"/>
      <c r="P10" s="444">
        <f>E61</f>
        <v>13</v>
      </c>
      <c r="Q10" s="444"/>
      <c r="R10" s="445"/>
      <c r="S10" s="449"/>
      <c r="T10" s="449"/>
      <c r="U10" s="451"/>
      <c r="V10" s="451"/>
      <c r="W10" s="453"/>
      <c r="X10" s="30"/>
      <c r="Y10" s="4"/>
      <c r="Z10" s="4"/>
      <c r="AA10" s="4"/>
      <c r="AB10" s="4"/>
    </row>
    <row r="11" spans="1:28" ht="15" customHeight="1" x14ac:dyDescent="0.25">
      <c r="A11" s="1"/>
      <c r="B11" s="501"/>
      <c r="C11" s="502"/>
      <c r="D11" s="505" t="s">
        <v>49</v>
      </c>
      <c r="E11" s="506"/>
      <c r="F11" s="509" t="s">
        <v>8</v>
      </c>
      <c r="G11" s="455"/>
      <c r="H11" s="510"/>
      <c r="I11" s="35"/>
      <c r="J11" s="514" t="s">
        <v>50</v>
      </c>
      <c r="K11" s="515"/>
      <c r="L11" s="515"/>
      <c r="M11" s="515"/>
      <c r="N11" s="516"/>
      <c r="O11" s="9"/>
      <c r="P11" s="454" t="s">
        <v>51</v>
      </c>
      <c r="Q11" s="455"/>
      <c r="R11" s="455"/>
      <c r="S11" s="455"/>
      <c r="T11" s="455"/>
      <c r="U11" s="455"/>
      <c r="V11" s="456"/>
      <c r="W11" s="36"/>
      <c r="X11" s="37"/>
      <c r="Y11" s="4" t="s">
        <v>52</v>
      </c>
      <c r="Z11" s="4"/>
      <c r="AA11" s="4"/>
      <c r="AB11" s="4"/>
    </row>
    <row r="12" spans="1:28" ht="15" customHeight="1" x14ac:dyDescent="0.25">
      <c r="A12" s="1"/>
      <c r="B12" s="503"/>
      <c r="C12" s="504"/>
      <c r="D12" s="507"/>
      <c r="E12" s="508"/>
      <c r="F12" s="511"/>
      <c r="G12" s="512"/>
      <c r="H12" s="513"/>
      <c r="I12" s="38"/>
      <c r="J12" s="517"/>
      <c r="K12" s="518"/>
      <c r="L12" s="518"/>
      <c r="M12" s="518"/>
      <c r="N12" s="519"/>
      <c r="O12" s="39"/>
      <c r="P12" s="457"/>
      <c r="Q12" s="458"/>
      <c r="R12" s="458"/>
      <c r="S12" s="458"/>
      <c r="T12" s="458"/>
      <c r="U12" s="458"/>
      <c r="V12" s="459"/>
      <c r="W12" s="40"/>
      <c r="X12" s="37"/>
      <c r="Y12" s="4" t="s">
        <v>53</v>
      </c>
      <c r="Z12" s="4"/>
      <c r="AA12" s="4"/>
      <c r="AB12" s="4"/>
    </row>
    <row r="13" spans="1:28" ht="15" customHeight="1" x14ac:dyDescent="0.25">
      <c r="A13" s="1"/>
      <c r="B13" s="503"/>
      <c r="C13" s="504"/>
      <c r="D13" s="467"/>
      <c r="E13" s="468"/>
      <c r="F13" s="460" t="s">
        <v>54</v>
      </c>
      <c r="G13" s="461"/>
      <c r="H13" s="41" t="s">
        <v>55</v>
      </c>
      <c r="I13" s="42"/>
      <c r="J13" s="520"/>
      <c r="K13" s="521"/>
      <c r="L13" s="521"/>
      <c r="M13" s="521"/>
      <c r="N13" s="522"/>
      <c r="O13" s="39"/>
      <c r="P13" s="457"/>
      <c r="Q13" s="458"/>
      <c r="R13" s="458"/>
      <c r="S13" s="458"/>
      <c r="T13" s="458"/>
      <c r="U13" s="458"/>
      <c r="V13" s="459"/>
      <c r="W13" s="43"/>
      <c r="X13" s="37"/>
      <c r="Y13" s="4" t="s">
        <v>55</v>
      </c>
      <c r="Z13" s="4"/>
      <c r="AA13" s="4"/>
      <c r="AB13" s="4"/>
    </row>
    <row r="14" spans="1:28" ht="30" customHeight="1" x14ac:dyDescent="0.25">
      <c r="A14" s="1"/>
      <c r="B14" s="503"/>
      <c r="C14" s="504"/>
      <c r="D14" s="44" t="s">
        <v>56</v>
      </c>
      <c r="E14" s="45" t="s">
        <v>57</v>
      </c>
      <c r="F14" s="462" t="s">
        <v>58</v>
      </c>
      <c r="G14" s="463"/>
      <c r="H14" s="464"/>
      <c r="I14" s="46"/>
      <c r="J14" s="465" t="s">
        <v>59</v>
      </c>
      <c r="K14" s="466"/>
      <c r="L14" s="469" t="s">
        <v>60</v>
      </c>
      <c r="M14" s="470"/>
      <c r="N14" s="471"/>
      <c r="O14" s="47"/>
      <c r="P14" s="48" t="s">
        <v>61</v>
      </c>
      <c r="Q14" s="49" t="s">
        <v>53</v>
      </c>
      <c r="R14" s="50"/>
      <c r="S14" s="48" t="s">
        <v>62</v>
      </c>
      <c r="T14" s="51">
        <v>2.5000000000000001E-2</v>
      </c>
      <c r="U14" s="48" t="s">
        <v>63</v>
      </c>
      <c r="V14" s="52">
        <f>ROUND(R61*T14,2)</f>
        <v>0</v>
      </c>
      <c r="W14" s="53"/>
      <c r="X14" s="37"/>
      <c r="Y14" s="4" t="s">
        <v>64</v>
      </c>
      <c r="Z14" s="4"/>
      <c r="AA14" s="4"/>
      <c r="AB14" s="4"/>
    </row>
    <row r="15" spans="1:28" ht="15" customHeight="1" x14ac:dyDescent="0.25">
      <c r="A15" s="1"/>
      <c r="B15" s="503"/>
      <c r="C15" s="504"/>
      <c r="D15" s="54">
        <f>1/E15</f>
        <v>0.68965517241379315</v>
      </c>
      <c r="E15" s="55">
        <v>1.45</v>
      </c>
      <c r="F15" s="475"/>
      <c r="G15" s="476"/>
      <c r="H15" s="477"/>
      <c r="I15" s="56"/>
      <c r="J15" s="467"/>
      <c r="K15" s="468"/>
      <c r="L15" s="472"/>
      <c r="M15" s="473"/>
      <c r="N15" s="474"/>
      <c r="O15" s="47"/>
      <c r="P15" s="483" t="s">
        <v>65</v>
      </c>
      <c r="Q15" s="484"/>
      <c r="R15" s="484"/>
      <c r="S15" s="484"/>
      <c r="T15" s="484"/>
      <c r="U15" s="484"/>
      <c r="V15" s="485"/>
      <c r="W15" s="57"/>
      <c r="X15" s="58"/>
      <c r="Y15" s="4"/>
      <c r="Z15" s="4"/>
      <c r="AA15" s="4"/>
      <c r="AB15" s="4"/>
    </row>
    <row r="16" spans="1:28" ht="15" customHeight="1" x14ac:dyDescent="0.25">
      <c r="A16" s="1"/>
      <c r="B16" s="486" t="s">
        <v>66</v>
      </c>
      <c r="C16" s="488" t="s">
        <v>67</v>
      </c>
      <c r="D16" s="490" t="s">
        <v>68</v>
      </c>
      <c r="E16" s="492" t="s">
        <v>69</v>
      </c>
      <c r="F16" s="489" t="s">
        <v>70</v>
      </c>
      <c r="G16" s="494"/>
      <c r="H16" s="59" t="s">
        <v>71</v>
      </c>
      <c r="I16" s="60"/>
      <c r="J16" s="495" t="s">
        <v>69</v>
      </c>
      <c r="K16" s="61" t="s">
        <v>72</v>
      </c>
      <c r="L16" s="62" t="s">
        <v>73</v>
      </c>
      <c r="M16" s="497" t="s">
        <v>74</v>
      </c>
      <c r="N16" s="497" t="s">
        <v>75</v>
      </c>
      <c r="O16" s="63"/>
      <c r="P16" s="499" t="s">
        <v>76</v>
      </c>
      <c r="Q16" s="64" t="s">
        <v>77</v>
      </c>
      <c r="R16" s="64" t="s">
        <v>78</v>
      </c>
      <c r="S16" s="65" t="s">
        <v>79</v>
      </c>
      <c r="T16" s="65" t="s">
        <v>80</v>
      </c>
      <c r="U16" s="62" t="s">
        <v>81</v>
      </c>
      <c r="V16" s="62" t="s">
        <v>82</v>
      </c>
      <c r="W16" s="66"/>
      <c r="X16" s="67"/>
      <c r="Y16" s="4"/>
      <c r="Z16" s="4"/>
      <c r="AA16" s="4"/>
      <c r="AB16" s="4"/>
    </row>
    <row r="17" spans="1:28" s="76" customFormat="1" ht="15" customHeight="1" x14ac:dyDescent="0.25">
      <c r="A17" s="68"/>
      <c r="B17" s="487"/>
      <c r="C17" s="489"/>
      <c r="D17" s="491"/>
      <c r="E17" s="493"/>
      <c r="F17" s="49" t="s">
        <v>52</v>
      </c>
      <c r="G17" s="69" t="str">
        <f>IF(F17="USD $", "CAD $", "USD $")</f>
        <v>USD $</v>
      </c>
      <c r="H17" s="70" t="str">
        <f>K17</f>
        <v>CAD $</v>
      </c>
      <c r="I17" s="71"/>
      <c r="J17" s="496"/>
      <c r="K17" s="478" t="s">
        <v>52</v>
      </c>
      <c r="L17" s="479"/>
      <c r="M17" s="498"/>
      <c r="N17" s="498"/>
      <c r="O17" s="72"/>
      <c r="P17" s="500"/>
      <c r="Q17" s="49" t="s">
        <v>52</v>
      </c>
      <c r="R17" s="480" t="str">
        <f>K17</f>
        <v>CAD $</v>
      </c>
      <c r="S17" s="481"/>
      <c r="T17" s="481"/>
      <c r="U17" s="481"/>
      <c r="V17" s="482"/>
      <c r="W17" s="73"/>
      <c r="X17" s="74"/>
      <c r="Y17" s="75"/>
      <c r="Z17" s="75"/>
      <c r="AA17" s="75"/>
      <c r="AB17" s="75"/>
    </row>
    <row r="18" spans="1:28" x14ac:dyDescent="0.25">
      <c r="A18" s="1"/>
      <c r="B18" s="131" t="s">
        <v>123</v>
      </c>
      <c r="C18" s="132" t="s">
        <v>124</v>
      </c>
      <c r="D18" s="79"/>
      <c r="E18" s="80">
        <v>1</v>
      </c>
      <c r="F18" s="81">
        <v>68.569999999999993</v>
      </c>
      <c r="G18" s="82">
        <f>ROUND(IF($F$17="USD $", F18*$E$15,F18*$D$15),2)</f>
        <v>47.29</v>
      </c>
      <c r="H18" s="83">
        <f>ROUND(IF($H$17=$G$17,E18*G18,E18*F18),2)</f>
        <v>68.569999999999993</v>
      </c>
      <c r="I18" s="84"/>
      <c r="J18" s="85">
        <f t="shared" ref="J18:J60" si="0">E18</f>
        <v>1</v>
      </c>
      <c r="K18" s="82">
        <f>IFERROR(IF(M18="OEM DISC %",ROUND(IF($K$17=$F$17,F18*(1-N18),G18*(1-N18)),2),IF(M18="MARKUP %",ROUND(R18/J18*(1+N18),2))),0)</f>
        <v>26.06</v>
      </c>
      <c r="L18" s="82">
        <f>ROUND((J18*K18),2)</f>
        <v>26.06</v>
      </c>
      <c r="M18" s="81" t="s">
        <v>84</v>
      </c>
      <c r="N18" s="86">
        <v>0.62</v>
      </c>
      <c r="O18" s="87"/>
      <c r="P18" s="77"/>
      <c r="Q18" s="88"/>
      <c r="R18" s="89">
        <f>ROUND(IF($R$17=$Q$17,Q18,IF($R$17="USD $",Q18*$D$15,Q18*$E$15))*E18,2)</f>
        <v>0</v>
      </c>
      <c r="S18" s="89">
        <f>IFERROR(ROUND(T18/E18,2),0)</f>
        <v>26.06</v>
      </c>
      <c r="T18" s="89">
        <f>ROUND(L18-R18,2)</f>
        <v>26.06</v>
      </c>
      <c r="U18" s="90">
        <f>IFERROR(((K18-(R18/J18))/(R18/J18)),0)</f>
        <v>0</v>
      </c>
      <c r="V18" s="90">
        <f>IFERROR(((K18-(R18/J18))/K18),0)</f>
        <v>1</v>
      </c>
      <c r="W18" s="91"/>
      <c r="X18" s="92"/>
      <c r="Y18" s="4"/>
      <c r="Z18" s="4">
        <v>250</v>
      </c>
      <c r="AA18" s="93"/>
      <c r="AB18" s="94"/>
    </row>
    <row r="19" spans="1:28" x14ac:dyDescent="0.25">
      <c r="A19" s="1"/>
      <c r="B19" s="133" t="s">
        <v>125</v>
      </c>
      <c r="C19" s="134" t="s">
        <v>126</v>
      </c>
      <c r="D19" s="96"/>
      <c r="E19" s="97">
        <v>1</v>
      </c>
      <c r="F19" s="98">
        <v>65.02</v>
      </c>
      <c r="G19" s="99">
        <f t="shared" ref="G19:G60" si="1">ROUND(IF($F$17="USD $", F19*$E$15,F19*$D$15),2)</f>
        <v>44.84</v>
      </c>
      <c r="H19" s="100">
        <f t="shared" ref="H19:H60" si="2">ROUND(IF($H$17=$G$17,E19*G19,E19*F19),2)</f>
        <v>65.02</v>
      </c>
      <c r="I19" s="101"/>
      <c r="J19" s="102">
        <f t="shared" si="0"/>
        <v>1</v>
      </c>
      <c r="K19" s="99">
        <f t="shared" ref="K19:K60" si="3">IFERROR(IF(M19="OEM DISC %",ROUND(IF($K$17=$F$17,F19*(1-N19),G19*(1-N19)),2),IF(M19="MARKUP %",ROUND(R19/J19*(1+N19),2))),0)</f>
        <v>24.71</v>
      </c>
      <c r="L19" s="99">
        <f t="shared" ref="L19:L60" si="4">ROUND((J19*K19),2)</f>
        <v>24.71</v>
      </c>
      <c r="M19" s="103" t="s">
        <v>84</v>
      </c>
      <c r="N19" s="104">
        <v>0.62</v>
      </c>
      <c r="O19" s="87"/>
      <c r="P19" s="95"/>
      <c r="Q19" s="98"/>
      <c r="R19" s="105">
        <f>ROUND(IF($R$17=$Q$17,Q19,IF($R$17="USD $",Q19*$D$15,Q19*$E$15))*E19,2)</f>
        <v>0</v>
      </c>
      <c r="S19" s="106">
        <f t="shared" ref="S19:S60" si="5">IFERROR(ROUND(T19/E19,2),0)</f>
        <v>24.71</v>
      </c>
      <c r="T19" s="106">
        <f t="shared" ref="T19:T60" si="6">ROUND(L19-R19,2)</f>
        <v>24.71</v>
      </c>
      <c r="U19" s="107">
        <f t="shared" ref="U19:U60" si="7">IFERROR(((K19-(R19/J19))/(R19/J19)),0)</f>
        <v>0</v>
      </c>
      <c r="V19" s="107">
        <f t="shared" ref="V19:V60" si="8">IFERROR(((K19-(R19/J19))/K19),0)</f>
        <v>1</v>
      </c>
      <c r="W19" s="108"/>
      <c r="X19" s="92"/>
      <c r="Y19" s="4" t="s">
        <v>86</v>
      </c>
      <c r="Z19" s="4">
        <v>500</v>
      </c>
      <c r="AA19" s="4"/>
      <c r="AB19" s="4"/>
    </row>
    <row r="20" spans="1:28" x14ac:dyDescent="0.25">
      <c r="A20" s="1"/>
      <c r="B20" s="135" t="s">
        <v>127</v>
      </c>
      <c r="C20" s="136" t="s">
        <v>128</v>
      </c>
      <c r="D20" s="110"/>
      <c r="E20" s="80">
        <v>1</v>
      </c>
      <c r="F20" s="81">
        <v>100.72</v>
      </c>
      <c r="G20" s="82">
        <f t="shared" si="1"/>
        <v>69.459999999999994</v>
      </c>
      <c r="H20" s="83">
        <f t="shared" si="2"/>
        <v>100.72</v>
      </c>
      <c r="I20" s="101"/>
      <c r="J20" s="85">
        <f t="shared" si="0"/>
        <v>1</v>
      </c>
      <c r="K20" s="82">
        <f t="shared" si="3"/>
        <v>38.270000000000003</v>
      </c>
      <c r="L20" s="82">
        <f t="shared" si="4"/>
        <v>38.270000000000003</v>
      </c>
      <c r="M20" s="81" t="s">
        <v>84</v>
      </c>
      <c r="N20" s="111">
        <v>0.62</v>
      </c>
      <c r="O20" s="87"/>
      <c r="P20" s="112"/>
      <c r="Q20" s="88"/>
      <c r="R20" s="89">
        <f t="shared" ref="R20:R60" si="9">ROUND(IF($R$17=$Q$17,Q20,IF($R$17="USD $",Q20*$D$15,Q20*$E$15))*E20,2)</f>
        <v>0</v>
      </c>
      <c r="S20" s="89">
        <f t="shared" si="5"/>
        <v>38.270000000000003</v>
      </c>
      <c r="T20" s="89">
        <f t="shared" si="6"/>
        <v>38.270000000000003</v>
      </c>
      <c r="U20" s="90">
        <f t="shared" si="7"/>
        <v>0</v>
      </c>
      <c r="V20" s="90">
        <f t="shared" si="8"/>
        <v>1</v>
      </c>
      <c r="W20" s="91"/>
      <c r="X20" s="92"/>
      <c r="Y20" s="4" t="s">
        <v>87</v>
      </c>
      <c r="Z20" s="4">
        <v>750</v>
      </c>
      <c r="AA20" s="4"/>
      <c r="AB20" s="4"/>
    </row>
    <row r="21" spans="1:28" x14ac:dyDescent="0.25">
      <c r="A21" s="1"/>
      <c r="B21" s="133" t="s">
        <v>129</v>
      </c>
      <c r="C21" s="134" t="s">
        <v>130</v>
      </c>
      <c r="D21" s="96"/>
      <c r="E21" s="97">
        <v>1</v>
      </c>
      <c r="F21" s="98">
        <v>112.39</v>
      </c>
      <c r="G21" s="99">
        <f t="shared" si="1"/>
        <v>77.510000000000005</v>
      </c>
      <c r="H21" s="100">
        <f t="shared" si="2"/>
        <v>112.39</v>
      </c>
      <c r="I21" s="101"/>
      <c r="J21" s="102">
        <f t="shared" si="0"/>
        <v>1</v>
      </c>
      <c r="K21" s="99">
        <f t="shared" si="3"/>
        <v>42.71</v>
      </c>
      <c r="L21" s="99">
        <f t="shared" si="4"/>
        <v>42.71</v>
      </c>
      <c r="M21" s="103" t="s">
        <v>84</v>
      </c>
      <c r="N21" s="104">
        <v>0.62</v>
      </c>
      <c r="O21" s="87"/>
      <c r="P21" s="95"/>
      <c r="Q21" s="98"/>
      <c r="R21" s="105">
        <f t="shared" si="9"/>
        <v>0</v>
      </c>
      <c r="S21" s="106">
        <f t="shared" si="5"/>
        <v>42.71</v>
      </c>
      <c r="T21" s="106">
        <f t="shared" si="6"/>
        <v>42.71</v>
      </c>
      <c r="U21" s="107">
        <f t="shared" si="7"/>
        <v>0</v>
      </c>
      <c r="V21" s="107">
        <f t="shared" si="8"/>
        <v>1</v>
      </c>
      <c r="W21" s="108"/>
      <c r="X21" s="92"/>
      <c r="Y21" s="4" t="s">
        <v>89</v>
      </c>
      <c r="Z21" s="4">
        <v>1000</v>
      </c>
      <c r="AA21" s="4"/>
      <c r="AB21" s="4"/>
    </row>
    <row r="22" spans="1:28" x14ac:dyDescent="0.25">
      <c r="A22" s="1"/>
      <c r="B22" s="135" t="s">
        <v>131</v>
      </c>
      <c r="C22" s="136" t="s">
        <v>132</v>
      </c>
      <c r="D22" s="110"/>
      <c r="E22" s="80">
        <v>1</v>
      </c>
      <c r="F22" s="81">
        <v>118.01</v>
      </c>
      <c r="G22" s="82">
        <f t="shared" si="1"/>
        <v>81.39</v>
      </c>
      <c r="H22" s="83">
        <f t="shared" si="2"/>
        <v>118.01</v>
      </c>
      <c r="I22" s="101"/>
      <c r="J22" s="85">
        <f t="shared" si="0"/>
        <v>1</v>
      </c>
      <c r="K22" s="82">
        <f t="shared" si="3"/>
        <v>44.84</v>
      </c>
      <c r="L22" s="82">
        <f t="shared" si="4"/>
        <v>44.84</v>
      </c>
      <c r="M22" s="81" t="s">
        <v>84</v>
      </c>
      <c r="N22" s="111">
        <v>0.62</v>
      </c>
      <c r="O22" s="87"/>
      <c r="P22" s="112"/>
      <c r="Q22" s="88"/>
      <c r="R22" s="89">
        <f t="shared" si="9"/>
        <v>0</v>
      </c>
      <c r="S22" s="89">
        <f t="shared" si="5"/>
        <v>44.84</v>
      </c>
      <c r="T22" s="89">
        <f t="shared" si="6"/>
        <v>44.84</v>
      </c>
      <c r="U22" s="90">
        <f t="shared" si="7"/>
        <v>0</v>
      </c>
      <c r="V22" s="90">
        <f t="shared" si="8"/>
        <v>1</v>
      </c>
      <c r="W22" s="91"/>
      <c r="X22" s="92"/>
      <c r="Y22" s="4" t="s">
        <v>91</v>
      </c>
      <c r="Z22" s="4">
        <v>1200</v>
      </c>
      <c r="AA22" s="4"/>
      <c r="AB22" s="4"/>
    </row>
    <row r="23" spans="1:28" x14ac:dyDescent="0.25">
      <c r="A23" s="1"/>
      <c r="B23" s="95"/>
      <c r="C23" s="13"/>
      <c r="D23" s="96"/>
      <c r="E23" s="97"/>
      <c r="F23" s="98"/>
      <c r="G23" s="99">
        <f t="shared" si="1"/>
        <v>0</v>
      </c>
      <c r="H23" s="100">
        <f t="shared" si="2"/>
        <v>0</v>
      </c>
      <c r="I23" s="101"/>
      <c r="J23" s="102">
        <f t="shared" si="0"/>
        <v>0</v>
      </c>
      <c r="K23" s="99">
        <f t="shared" si="3"/>
        <v>0</v>
      </c>
      <c r="L23" s="99">
        <f t="shared" si="4"/>
        <v>0</v>
      </c>
      <c r="M23" s="103" t="s">
        <v>84</v>
      </c>
      <c r="N23" s="104">
        <v>0.62</v>
      </c>
      <c r="O23" s="87"/>
      <c r="P23" s="95"/>
      <c r="Q23" s="98"/>
      <c r="R23" s="105">
        <f t="shared" si="9"/>
        <v>0</v>
      </c>
      <c r="S23" s="106">
        <f t="shared" si="5"/>
        <v>0</v>
      </c>
      <c r="T23" s="106">
        <f t="shared" si="6"/>
        <v>0</v>
      </c>
      <c r="U23" s="107">
        <f t="shared" si="7"/>
        <v>0</v>
      </c>
      <c r="V23" s="107">
        <f t="shared" si="8"/>
        <v>0</v>
      </c>
      <c r="W23" s="108"/>
      <c r="X23" s="92"/>
      <c r="Y23" s="4" t="s">
        <v>93</v>
      </c>
      <c r="Z23" s="4">
        <v>2000</v>
      </c>
      <c r="AA23" s="4"/>
      <c r="AB23" s="4"/>
    </row>
    <row r="24" spans="1:28" x14ac:dyDescent="0.25">
      <c r="A24" s="1"/>
      <c r="B24" s="137">
        <v>5326680</v>
      </c>
      <c r="C24" s="13" t="s">
        <v>133</v>
      </c>
      <c r="D24" s="110"/>
      <c r="E24" s="80">
        <v>1</v>
      </c>
      <c r="F24" s="81">
        <v>12141.32</v>
      </c>
      <c r="G24" s="82">
        <f t="shared" si="1"/>
        <v>8373.32</v>
      </c>
      <c r="H24" s="83">
        <f t="shared" si="2"/>
        <v>12141.32</v>
      </c>
      <c r="I24" s="101"/>
      <c r="J24" s="85">
        <f t="shared" si="0"/>
        <v>1</v>
      </c>
      <c r="K24" s="82">
        <f t="shared" si="3"/>
        <v>4613.7</v>
      </c>
      <c r="L24" s="82">
        <f t="shared" si="4"/>
        <v>4613.7</v>
      </c>
      <c r="M24" s="81" t="s">
        <v>84</v>
      </c>
      <c r="N24" s="111">
        <v>0.62</v>
      </c>
      <c r="O24" s="87"/>
      <c r="P24" s="112"/>
      <c r="Q24" s="88"/>
      <c r="R24" s="89">
        <f t="shared" si="9"/>
        <v>0</v>
      </c>
      <c r="S24" s="89">
        <f t="shared" si="5"/>
        <v>4613.7</v>
      </c>
      <c r="T24" s="89">
        <f t="shared" si="6"/>
        <v>4613.7</v>
      </c>
      <c r="U24" s="90">
        <f t="shared" si="7"/>
        <v>0</v>
      </c>
      <c r="V24" s="90">
        <f t="shared" si="8"/>
        <v>1</v>
      </c>
      <c r="W24" s="91"/>
      <c r="X24" s="92"/>
      <c r="Y24" s="4" t="s">
        <v>95</v>
      </c>
      <c r="Z24" s="4">
        <v>4000</v>
      </c>
      <c r="AA24" s="4"/>
      <c r="AB24" s="4"/>
    </row>
    <row r="25" spans="1:28" x14ac:dyDescent="0.25">
      <c r="A25" s="1"/>
      <c r="B25" s="95"/>
      <c r="C25" s="109" t="s">
        <v>134</v>
      </c>
      <c r="D25" s="96"/>
      <c r="E25" s="97">
        <v>1</v>
      </c>
      <c r="F25" s="98">
        <v>191.99</v>
      </c>
      <c r="G25" s="99">
        <f t="shared" si="1"/>
        <v>132.41</v>
      </c>
      <c r="H25" s="100">
        <f t="shared" si="2"/>
        <v>191.99</v>
      </c>
      <c r="I25" s="101"/>
      <c r="J25" s="102">
        <f t="shared" si="0"/>
        <v>1</v>
      </c>
      <c r="K25" s="99">
        <f t="shared" si="3"/>
        <v>191.99</v>
      </c>
      <c r="L25" s="99">
        <f t="shared" si="4"/>
        <v>191.99</v>
      </c>
      <c r="M25" s="103" t="s">
        <v>84</v>
      </c>
      <c r="N25" s="104"/>
      <c r="O25" s="87"/>
      <c r="P25" s="95"/>
      <c r="Q25" s="98"/>
      <c r="R25" s="105">
        <f t="shared" si="9"/>
        <v>0</v>
      </c>
      <c r="S25" s="106">
        <f t="shared" si="5"/>
        <v>191.99</v>
      </c>
      <c r="T25" s="106">
        <f t="shared" si="6"/>
        <v>191.99</v>
      </c>
      <c r="U25" s="107">
        <f t="shared" si="7"/>
        <v>0</v>
      </c>
      <c r="V25" s="107">
        <f t="shared" si="8"/>
        <v>1</v>
      </c>
      <c r="W25" s="108"/>
      <c r="X25" s="92"/>
      <c r="Y25" s="4" t="s">
        <v>96</v>
      </c>
      <c r="Z25" s="4">
        <v>6000</v>
      </c>
      <c r="AA25" s="4"/>
      <c r="AB25" s="4"/>
    </row>
    <row r="26" spans="1:28" x14ac:dyDescent="0.25">
      <c r="A26" s="1"/>
      <c r="B26" s="138">
        <v>3016675</v>
      </c>
      <c r="C26" s="13" t="s">
        <v>115</v>
      </c>
      <c r="D26" s="110"/>
      <c r="E26" s="80">
        <v>6</v>
      </c>
      <c r="F26" s="81">
        <v>1291.73</v>
      </c>
      <c r="G26" s="82">
        <f t="shared" si="1"/>
        <v>890.85</v>
      </c>
      <c r="H26" s="83">
        <f t="shared" si="2"/>
        <v>7750.38</v>
      </c>
      <c r="I26" s="101"/>
      <c r="J26" s="85">
        <f t="shared" si="0"/>
        <v>6</v>
      </c>
      <c r="K26" s="82">
        <f t="shared" si="3"/>
        <v>645.87</v>
      </c>
      <c r="L26" s="82">
        <f t="shared" si="4"/>
        <v>3875.22</v>
      </c>
      <c r="M26" s="81" t="s">
        <v>84</v>
      </c>
      <c r="N26" s="111">
        <v>0.5</v>
      </c>
      <c r="O26" s="87"/>
      <c r="P26" s="112"/>
      <c r="Q26" s="88"/>
      <c r="R26" s="89">
        <f t="shared" si="9"/>
        <v>0</v>
      </c>
      <c r="S26" s="89">
        <f t="shared" si="5"/>
        <v>645.87</v>
      </c>
      <c r="T26" s="89">
        <f t="shared" si="6"/>
        <v>3875.22</v>
      </c>
      <c r="U26" s="90">
        <f t="shared" si="7"/>
        <v>0</v>
      </c>
      <c r="V26" s="90">
        <f t="shared" si="8"/>
        <v>1</v>
      </c>
      <c r="W26" s="91"/>
      <c r="X26" s="92"/>
      <c r="Y26" s="4" t="s">
        <v>98</v>
      </c>
      <c r="Z26" s="4">
        <v>8000</v>
      </c>
      <c r="AA26" s="4"/>
      <c r="AB26" s="4"/>
    </row>
    <row r="27" spans="1:28" x14ac:dyDescent="0.25">
      <c r="A27" s="1"/>
      <c r="B27" s="95"/>
      <c r="C27" s="13"/>
      <c r="D27" s="96"/>
      <c r="E27" s="97"/>
      <c r="F27" s="98"/>
      <c r="G27" s="99">
        <f t="shared" si="1"/>
        <v>0</v>
      </c>
      <c r="H27" s="100">
        <f t="shared" si="2"/>
        <v>0</v>
      </c>
      <c r="I27" s="101"/>
      <c r="J27" s="102">
        <f t="shared" si="0"/>
        <v>0</v>
      </c>
      <c r="K27" s="99">
        <f t="shared" si="3"/>
        <v>0</v>
      </c>
      <c r="L27" s="99">
        <f t="shared" si="4"/>
        <v>0</v>
      </c>
      <c r="M27" s="103" t="s">
        <v>84</v>
      </c>
      <c r="N27" s="104"/>
      <c r="O27" s="87"/>
      <c r="P27" s="95"/>
      <c r="Q27" s="98"/>
      <c r="R27" s="105">
        <f t="shared" si="9"/>
        <v>0</v>
      </c>
      <c r="S27" s="106">
        <f t="shared" si="5"/>
        <v>0</v>
      </c>
      <c r="T27" s="106">
        <f t="shared" si="6"/>
        <v>0</v>
      </c>
      <c r="U27" s="107">
        <f t="shared" si="7"/>
        <v>0</v>
      </c>
      <c r="V27" s="107">
        <f t="shared" si="8"/>
        <v>0</v>
      </c>
      <c r="W27" s="108"/>
      <c r="X27" s="92"/>
      <c r="Y27" s="4" t="s">
        <v>99</v>
      </c>
      <c r="Z27" s="113">
        <v>10000</v>
      </c>
      <c r="AA27" s="4"/>
      <c r="AB27" s="4"/>
    </row>
    <row r="28" spans="1:28" x14ac:dyDescent="0.25">
      <c r="A28" s="1"/>
      <c r="B28" s="114"/>
      <c r="C28" s="109"/>
      <c r="D28" s="110"/>
      <c r="E28" s="80"/>
      <c r="F28" s="81"/>
      <c r="G28" s="82">
        <f t="shared" si="1"/>
        <v>0</v>
      </c>
      <c r="H28" s="83">
        <f t="shared" si="2"/>
        <v>0</v>
      </c>
      <c r="I28" s="101"/>
      <c r="J28" s="85">
        <f t="shared" si="0"/>
        <v>0</v>
      </c>
      <c r="K28" s="82">
        <f t="shared" si="3"/>
        <v>0</v>
      </c>
      <c r="L28" s="82">
        <f t="shared" si="4"/>
        <v>0</v>
      </c>
      <c r="M28" s="81" t="s">
        <v>84</v>
      </c>
      <c r="N28" s="111"/>
      <c r="O28" s="87"/>
      <c r="P28" s="112"/>
      <c r="Q28" s="88"/>
      <c r="R28" s="89">
        <f t="shared" si="9"/>
        <v>0</v>
      </c>
      <c r="S28" s="89">
        <f t="shared" si="5"/>
        <v>0</v>
      </c>
      <c r="T28" s="89">
        <f t="shared" si="6"/>
        <v>0</v>
      </c>
      <c r="U28" s="90">
        <f t="shared" si="7"/>
        <v>0</v>
      </c>
      <c r="V28" s="90">
        <f t="shared" si="8"/>
        <v>0</v>
      </c>
      <c r="W28" s="91"/>
      <c r="X28" s="92"/>
      <c r="Y28" s="4" t="s">
        <v>100</v>
      </c>
      <c r="Z28" s="4" t="s">
        <v>101</v>
      </c>
      <c r="AA28" s="4"/>
      <c r="AB28" s="4"/>
    </row>
    <row r="29" spans="1:28" x14ac:dyDescent="0.25">
      <c r="A29" s="1"/>
      <c r="B29" s="95"/>
      <c r="C29" s="13"/>
      <c r="D29" s="96"/>
      <c r="E29" s="97"/>
      <c r="F29" s="98"/>
      <c r="G29" s="99">
        <f>ROUND(IF($F$17="USD $", F29*$E$15,F29*$D$15),2)</f>
        <v>0</v>
      </c>
      <c r="H29" s="100">
        <f>ROUND(IF($H$17=$G$17,E29*G29,E29*F29),2)</f>
        <v>0</v>
      </c>
      <c r="I29" s="101"/>
      <c r="J29" s="102">
        <f t="shared" si="0"/>
        <v>0</v>
      </c>
      <c r="K29" s="99">
        <f t="shared" si="3"/>
        <v>0</v>
      </c>
      <c r="L29" s="99">
        <f>ROUND((J29*K29),2)</f>
        <v>0</v>
      </c>
      <c r="M29" s="103" t="s">
        <v>84</v>
      </c>
      <c r="N29" s="104"/>
      <c r="O29" s="87"/>
      <c r="P29" s="95"/>
      <c r="Q29" s="98"/>
      <c r="R29" s="105">
        <f t="shared" si="9"/>
        <v>0</v>
      </c>
      <c r="S29" s="106">
        <f t="shared" si="5"/>
        <v>0</v>
      </c>
      <c r="T29" s="106">
        <f t="shared" si="6"/>
        <v>0</v>
      </c>
      <c r="U29" s="107">
        <f t="shared" si="7"/>
        <v>0</v>
      </c>
      <c r="V29" s="107">
        <f t="shared" si="8"/>
        <v>0</v>
      </c>
      <c r="W29" s="108"/>
      <c r="X29" s="92"/>
      <c r="Y29" s="4" t="s">
        <v>102</v>
      </c>
      <c r="Z29" s="4"/>
      <c r="AA29" s="4"/>
      <c r="AB29" s="4"/>
    </row>
    <row r="30" spans="1:28" x14ac:dyDescent="0.25">
      <c r="A30" s="1"/>
      <c r="B30" s="77"/>
      <c r="C30" s="109"/>
      <c r="D30" s="110"/>
      <c r="E30" s="80"/>
      <c r="F30" s="81"/>
      <c r="G30" s="82">
        <f t="shared" si="1"/>
        <v>0</v>
      </c>
      <c r="H30" s="83">
        <f t="shared" si="2"/>
        <v>0</v>
      </c>
      <c r="I30" s="101"/>
      <c r="J30" s="85">
        <f t="shared" si="0"/>
        <v>0</v>
      </c>
      <c r="K30" s="82">
        <f t="shared" si="3"/>
        <v>0</v>
      </c>
      <c r="L30" s="82">
        <f t="shared" si="4"/>
        <v>0</v>
      </c>
      <c r="M30" s="81" t="s">
        <v>84</v>
      </c>
      <c r="N30" s="111"/>
      <c r="O30" s="87"/>
      <c r="P30" s="112"/>
      <c r="Q30" s="88"/>
      <c r="R30" s="89">
        <f t="shared" si="9"/>
        <v>0</v>
      </c>
      <c r="S30" s="89">
        <f t="shared" si="5"/>
        <v>0</v>
      </c>
      <c r="T30" s="89">
        <f t="shared" si="6"/>
        <v>0</v>
      </c>
      <c r="U30" s="90">
        <f t="shared" si="7"/>
        <v>0</v>
      </c>
      <c r="V30" s="90">
        <f t="shared" si="8"/>
        <v>0</v>
      </c>
      <c r="W30" s="91"/>
      <c r="X30" s="92"/>
      <c r="Y30" s="4"/>
      <c r="Z30" s="4"/>
      <c r="AA30" s="4"/>
      <c r="AB30" s="4"/>
    </row>
    <row r="31" spans="1:28" x14ac:dyDescent="0.25">
      <c r="A31" s="1"/>
      <c r="B31" s="95"/>
      <c r="C31" s="13"/>
      <c r="D31" s="96"/>
      <c r="E31" s="97"/>
      <c r="F31" s="98"/>
      <c r="G31" s="99">
        <f t="shared" si="1"/>
        <v>0</v>
      </c>
      <c r="H31" s="100">
        <f t="shared" si="2"/>
        <v>0</v>
      </c>
      <c r="I31" s="101"/>
      <c r="J31" s="102">
        <f t="shared" si="0"/>
        <v>0</v>
      </c>
      <c r="K31" s="99">
        <f t="shared" si="3"/>
        <v>0</v>
      </c>
      <c r="L31" s="99">
        <f t="shared" si="4"/>
        <v>0</v>
      </c>
      <c r="M31" s="103" t="s">
        <v>84</v>
      </c>
      <c r="N31" s="104"/>
      <c r="O31" s="87"/>
      <c r="P31" s="95"/>
      <c r="Q31" s="98"/>
      <c r="R31" s="105">
        <f>ROUND(IF($R$17=$Q$17,Q31,IF($R$17="USD $",Q31*$D$15,Q31*$E$15))*E31,2)</f>
        <v>0</v>
      </c>
      <c r="S31" s="106">
        <f t="shared" si="5"/>
        <v>0</v>
      </c>
      <c r="T31" s="106">
        <f t="shared" si="6"/>
        <v>0</v>
      </c>
      <c r="U31" s="107">
        <f t="shared" si="7"/>
        <v>0</v>
      </c>
      <c r="V31" s="107">
        <f t="shared" si="8"/>
        <v>0</v>
      </c>
      <c r="W31" s="108"/>
      <c r="X31" s="92"/>
      <c r="Y31" s="4" t="s">
        <v>84</v>
      </c>
      <c r="Z31" s="4"/>
      <c r="AA31" s="4"/>
      <c r="AB31" s="4"/>
    </row>
    <row r="32" spans="1:28" x14ac:dyDescent="0.25">
      <c r="A32" s="1"/>
      <c r="B32" s="77"/>
      <c r="C32" s="109"/>
      <c r="D32" s="110"/>
      <c r="E32" s="80"/>
      <c r="F32" s="81"/>
      <c r="G32" s="82">
        <f t="shared" si="1"/>
        <v>0</v>
      </c>
      <c r="H32" s="83">
        <f t="shared" si="2"/>
        <v>0</v>
      </c>
      <c r="I32" s="101"/>
      <c r="J32" s="85">
        <f t="shared" si="0"/>
        <v>0</v>
      </c>
      <c r="K32" s="82">
        <f t="shared" si="3"/>
        <v>0</v>
      </c>
      <c r="L32" s="82">
        <f t="shared" si="4"/>
        <v>0</v>
      </c>
      <c r="M32" s="81" t="s">
        <v>84</v>
      </c>
      <c r="N32" s="111">
        <v>0.5</v>
      </c>
      <c r="O32" s="87"/>
      <c r="P32" s="112"/>
      <c r="Q32" s="88"/>
      <c r="R32" s="89">
        <f t="shared" si="9"/>
        <v>0</v>
      </c>
      <c r="S32" s="89">
        <f t="shared" si="5"/>
        <v>0</v>
      </c>
      <c r="T32" s="89">
        <f t="shared" si="6"/>
        <v>0</v>
      </c>
      <c r="U32" s="90">
        <f t="shared" si="7"/>
        <v>0</v>
      </c>
      <c r="V32" s="90">
        <f t="shared" si="8"/>
        <v>0</v>
      </c>
      <c r="W32" s="91"/>
      <c r="X32" s="92"/>
      <c r="Y32" s="4" t="s">
        <v>104</v>
      </c>
      <c r="Z32" s="4"/>
      <c r="AA32" s="4"/>
      <c r="AB32" s="4"/>
    </row>
    <row r="33" spans="1:28" x14ac:dyDescent="0.25">
      <c r="A33" s="1"/>
      <c r="B33" s="95"/>
      <c r="C33" s="13"/>
      <c r="D33" s="96"/>
      <c r="E33" s="97"/>
      <c r="F33" s="98"/>
      <c r="G33" s="99">
        <f t="shared" si="1"/>
        <v>0</v>
      </c>
      <c r="H33" s="100">
        <f t="shared" si="2"/>
        <v>0</v>
      </c>
      <c r="I33" s="101"/>
      <c r="J33" s="102">
        <f t="shared" si="0"/>
        <v>0</v>
      </c>
      <c r="K33" s="99">
        <f t="shared" si="3"/>
        <v>0</v>
      </c>
      <c r="L33" s="99">
        <f t="shared" si="4"/>
        <v>0</v>
      </c>
      <c r="M33" s="103" t="s">
        <v>84</v>
      </c>
      <c r="N33" s="104"/>
      <c r="O33" s="87"/>
      <c r="P33" s="95"/>
      <c r="Q33" s="98"/>
      <c r="R33" s="105">
        <f t="shared" si="9"/>
        <v>0</v>
      </c>
      <c r="S33" s="106">
        <f t="shared" si="5"/>
        <v>0</v>
      </c>
      <c r="T33" s="106">
        <f t="shared" si="6"/>
        <v>0</v>
      </c>
      <c r="U33" s="107">
        <f t="shared" si="7"/>
        <v>0</v>
      </c>
      <c r="V33" s="107">
        <f t="shared" si="8"/>
        <v>0</v>
      </c>
      <c r="W33" s="108"/>
      <c r="X33" s="92"/>
      <c r="Y33" s="4"/>
      <c r="Z33" s="4"/>
      <c r="AA33" s="4"/>
      <c r="AB33" s="4"/>
    </row>
    <row r="34" spans="1:28" x14ac:dyDescent="0.25">
      <c r="A34" s="1"/>
      <c r="B34" s="77"/>
      <c r="C34" s="109"/>
      <c r="D34" s="110"/>
      <c r="E34" s="80"/>
      <c r="F34" s="81"/>
      <c r="G34" s="82">
        <f t="shared" si="1"/>
        <v>0</v>
      </c>
      <c r="H34" s="83">
        <f t="shared" si="2"/>
        <v>0</v>
      </c>
      <c r="I34" s="101"/>
      <c r="J34" s="85">
        <f t="shared" si="0"/>
        <v>0</v>
      </c>
      <c r="K34" s="82">
        <f t="shared" si="3"/>
        <v>0</v>
      </c>
      <c r="L34" s="82">
        <f t="shared" si="4"/>
        <v>0</v>
      </c>
      <c r="M34" s="81" t="s">
        <v>84</v>
      </c>
      <c r="N34" s="111">
        <v>0.5</v>
      </c>
      <c r="O34" s="87"/>
      <c r="P34" s="112"/>
      <c r="Q34" s="88"/>
      <c r="R34" s="89">
        <f t="shared" si="9"/>
        <v>0</v>
      </c>
      <c r="S34" s="89">
        <f t="shared" si="5"/>
        <v>0</v>
      </c>
      <c r="T34" s="89">
        <f t="shared" si="6"/>
        <v>0</v>
      </c>
      <c r="U34" s="90">
        <f t="shared" si="7"/>
        <v>0</v>
      </c>
      <c r="V34" s="90">
        <f t="shared" si="8"/>
        <v>0</v>
      </c>
      <c r="W34" s="91"/>
      <c r="X34" s="92"/>
      <c r="Y34" s="4"/>
      <c r="Z34" s="4"/>
      <c r="AA34" s="4"/>
      <c r="AB34" s="4"/>
    </row>
    <row r="35" spans="1:28" x14ac:dyDescent="0.25">
      <c r="A35" s="1"/>
      <c r="B35" s="95"/>
      <c r="C35" s="13"/>
      <c r="D35" s="96"/>
      <c r="E35" s="97"/>
      <c r="F35" s="98"/>
      <c r="G35" s="99">
        <f t="shared" si="1"/>
        <v>0</v>
      </c>
      <c r="H35" s="100">
        <f t="shared" si="2"/>
        <v>0</v>
      </c>
      <c r="I35" s="101"/>
      <c r="J35" s="102">
        <f t="shared" si="0"/>
        <v>0</v>
      </c>
      <c r="K35" s="99">
        <f t="shared" si="3"/>
        <v>0</v>
      </c>
      <c r="L35" s="99">
        <f t="shared" si="4"/>
        <v>0</v>
      </c>
      <c r="M35" s="103" t="s">
        <v>84</v>
      </c>
      <c r="N35" s="104">
        <v>0.5</v>
      </c>
      <c r="O35" s="87"/>
      <c r="P35" s="95"/>
      <c r="Q35" s="98"/>
      <c r="R35" s="105">
        <f t="shared" si="9"/>
        <v>0</v>
      </c>
      <c r="S35" s="106">
        <f t="shared" si="5"/>
        <v>0</v>
      </c>
      <c r="T35" s="106">
        <f t="shared" si="6"/>
        <v>0</v>
      </c>
      <c r="U35" s="107">
        <f t="shared" si="7"/>
        <v>0</v>
      </c>
      <c r="V35" s="107">
        <f t="shared" si="8"/>
        <v>0</v>
      </c>
      <c r="W35" s="108"/>
      <c r="X35" s="92"/>
      <c r="Y35" s="4"/>
      <c r="Z35" s="4"/>
      <c r="AA35" s="4"/>
      <c r="AB35" s="4"/>
    </row>
    <row r="36" spans="1:28" x14ac:dyDescent="0.25">
      <c r="A36" s="1"/>
      <c r="B36" s="77"/>
      <c r="C36" s="109"/>
      <c r="D36" s="110"/>
      <c r="E36" s="80"/>
      <c r="F36" s="81"/>
      <c r="G36" s="82">
        <f t="shared" si="1"/>
        <v>0</v>
      </c>
      <c r="H36" s="83">
        <f t="shared" si="2"/>
        <v>0</v>
      </c>
      <c r="I36" s="101"/>
      <c r="J36" s="85">
        <f t="shared" si="0"/>
        <v>0</v>
      </c>
      <c r="K36" s="82">
        <f t="shared" si="3"/>
        <v>0</v>
      </c>
      <c r="L36" s="82">
        <f t="shared" si="4"/>
        <v>0</v>
      </c>
      <c r="M36" s="81" t="s">
        <v>84</v>
      </c>
      <c r="N36" s="111"/>
      <c r="O36" s="87"/>
      <c r="P36" s="112"/>
      <c r="Q36" s="88"/>
      <c r="R36" s="89">
        <f t="shared" si="9"/>
        <v>0</v>
      </c>
      <c r="S36" s="89">
        <f t="shared" si="5"/>
        <v>0</v>
      </c>
      <c r="T36" s="89">
        <f t="shared" si="6"/>
        <v>0</v>
      </c>
      <c r="U36" s="90">
        <f t="shared" si="7"/>
        <v>0</v>
      </c>
      <c r="V36" s="90">
        <f t="shared" si="8"/>
        <v>0</v>
      </c>
      <c r="W36" s="91"/>
      <c r="X36" s="92"/>
      <c r="Y36" s="4"/>
      <c r="Z36" s="4"/>
      <c r="AA36" s="4"/>
      <c r="AB36" s="4"/>
    </row>
    <row r="37" spans="1:28" x14ac:dyDescent="0.25">
      <c r="A37" s="1"/>
      <c r="B37" s="95"/>
      <c r="C37" s="13"/>
      <c r="D37" s="96"/>
      <c r="E37" s="97"/>
      <c r="F37" s="98"/>
      <c r="G37" s="99">
        <f t="shared" si="1"/>
        <v>0</v>
      </c>
      <c r="H37" s="100">
        <f t="shared" si="2"/>
        <v>0</v>
      </c>
      <c r="I37" s="101"/>
      <c r="J37" s="102">
        <f t="shared" si="0"/>
        <v>0</v>
      </c>
      <c r="K37" s="99">
        <f t="shared" si="3"/>
        <v>0</v>
      </c>
      <c r="L37" s="99">
        <f t="shared" si="4"/>
        <v>0</v>
      </c>
      <c r="M37" s="103" t="s">
        <v>84</v>
      </c>
      <c r="N37" s="104"/>
      <c r="O37" s="87"/>
      <c r="P37" s="95"/>
      <c r="Q37" s="98"/>
      <c r="R37" s="105">
        <f t="shared" si="9"/>
        <v>0</v>
      </c>
      <c r="S37" s="106">
        <f t="shared" si="5"/>
        <v>0</v>
      </c>
      <c r="T37" s="106">
        <f t="shared" si="6"/>
        <v>0</v>
      </c>
      <c r="U37" s="107">
        <f t="shared" si="7"/>
        <v>0</v>
      </c>
      <c r="V37" s="107">
        <f t="shared" si="8"/>
        <v>0</v>
      </c>
      <c r="W37" s="108"/>
      <c r="X37" s="92"/>
      <c r="Y37" s="4"/>
      <c r="Z37" s="4"/>
      <c r="AA37" s="4"/>
      <c r="AB37" s="4"/>
    </row>
    <row r="38" spans="1:28" x14ac:dyDescent="0.25">
      <c r="A38" s="1"/>
      <c r="B38" s="77"/>
      <c r="C38" s="109"/>
      <c r="D38" s="110"/>
      <c r="E38" s="80"/>
      <c r="F38" s="81"/>
      <c r="G38" s="82">
        <f t="shared" si="1"/>
        <v>0</v>
      </c>
      <c r="H38" s="83">
        <f t="shared" si="2"/>
        <v>0</v>
      </c>
      <c r="I38" s="101"/>
      <c r="J38" s="85">
        <f t="shared" si="0"/>
        <v>0</v>
      </c>
      <c r="K38" s="82">
        <f t="shared" si="3"/>
        <v>0</v>
      </c>
      <c r="L38" s="82">
        <f t="shared" si="4"/>
        <v>0</v>
      </c>
      <c r="M38" s="81" t="s">
        <v>84</v>
      </c>
      <c r="N38" s="111"/>
      <c r="O38" s="87"/>
      <c r="P38" s="112"/>
      <c r="Q38" s="88"/>
      <c r="R38" s="89">
        <f t="shared" si="9"/>
        <v>0</v>
      </c>
      <c r="S38" s="89">
        <f t="shared" si="5"/>
        <v>0</v>
      </c>
      <c r="T38" s="89">
        <f t="shared" si="6"/>
        <v>0</v>
      </c>
      <c r="U38" s="90">
        <f t="shared" si="7"/>
        <v>0</v>
      </c>
      <c r="V38" s="90">
        <f t="shared" si="8"/>
        <v>0</v>
      </c>
      <c r="W38" s="108"/>
      <c r="X38" s="92"/>
      <c r="Y38" s="4"/>
      <c r="Z38" s="4"/>
      <c r="AA38" s="4"/>
      <c r="AB38" s="4"/>
    </row>
    <row r="39" spans="1:28" x14ac:dyDescent="0.25">
      <c r="A39" s="1"/>
      <c r="B39" s="95"/>
      <c r="C39" s="13"/>
      <c r="D39" s="96"/>
      <c r="E39" s="97"/>
      <c r="F39" s="98"/>
      <c r="G39" s="99">
        <f t="shared" si="1"/>
        <v>0</v>
      </c>
      <c r="H39" s="100">
        <f t="shared" si="2"/>
        <v>0</v>
      </c>
      <c r="I39" s="101"/>
      <c r="J39" s="102">
        <f t="shared" si="0"/>
        <v>0</v>
      </c>
      <c r="K39" s="99">
        <f t="shared" si="3"/>
        <v>0</v>
      </c>
      <c r="L39" s="99">
        <f t="shared" si="4"/>
        <v>0</v>
      </c>
      <c r="M39" s="103" t="s">
        <v>84</v>
      </c>
      <c r="N39" s="104"/>
      <c r="O39" s="87"/>
      <c r="P39" s="95"/>
      <c r="Q39" s="98"/>
      <c r="R39" s="105">
        <f t="shared" si="9"/>
        <v>0</v>
      </c>
      <c r="S39" s="106">
        <f t="shared" si="5"/>
        <v>0</v>
      </c>
      <c r="T39" s="106">
        <f t="shared" si="6"/>
        <v>0</v>
      </c>
      <c r="U39" s="107">
        <f t="shared" si="7"/>
        <v>0</v>
      </c>
      <c r="V39" s="107">
        <f t="shared" si="8"/>
        <v>0</v>
      </c>
      <c r="W39" s="108"/>
      <c r="X39" s="92"/>
      <c r="Y39" s="4"/>
      <c r="Z39" s="4"/>
      <c r="AA39" s="4"/>
      <c r="AB39" s="4"/>
    </row>
    <row r="40" spans="1:28" x14ac:dyDescent="0.25">
      <c r="A40" s="1"/>
      <c r="B40" s="77"/>
      <c r="C40" s="109"/>
      <c r="D40" s="110"/>
      <c r="E40" s="80"/>
      <c r="F40" s="81"/>
      <c r="G40" s="82">
        <f t="shared" si="1"/>
        <v>0</v>
      </c>
      <c r="H40" s="83">
        <f t="shared" si="2"/>
        <v>0</v>
      </c>
      <c r="I40" s="101"/>
      <c r="J40" s="85">
        <f t="shared" si="0"/>
        <v>0</v>
      </c>
      <c r="K40" s="82">
        <f t="shared" si="3"/>
        <v>0</v>
      </c>
      <c r="L40" s="82">
        <f t="shared" si="4"/>
        <v>0</v>
      </c>
      <c r="M40" s="81" t="s">
        <v>84</v>
      </c>
      <c r="N40" s="111">
        <v>0.5</v>
      </c>
      <c r="O40" s="87"/>
      <c r="P40" s="112"/>
      <c r="Q40" s="88"/>
      <c r="R40" s="89">
        <f t="shared" si="9"/>
        <v>0</v>
      </c>
      <c r="S40" s="89">
        <f t="shared" si="5"/>
        <v>0</v>
      </c>
      <c r="T40" s="89">
        <f t="shared" si="6"/>
        <v>0</v>
      </c>
      <c r="U40" s="90">
        <f t="shared" si="7"/>
        <v>0</v>
      </c>
      <c r="V40" s="90">
        <f t="shared" si="8"/>
        <v>0</v>
      </c>
      <c r="W40" s="108"/>
      <c r="X40" s="92"/>
      <c r="Y40" s="4"/>
      <c r="Z40" s="4"/>
      <c r="AA40" s="4"/>
      <c r="AB40" s="4"/>
    </row>
    <row r="41" spans="1:28" x14ac:dyDescent="0.25">
      <c r="A41" s="1"/>
      <c r="B41" s="95"/>
      <c r="C41" s="13"/>
      <c r="D41" s="96"/>
      <c r="E41" s="97"/>
      <c r="F41" s="98"/>
      <c r="G41" s="99">
        <f t="shared" si="1"/>
        <v>0</v>
      </c>
      <c r="H41" s="100">
        <f t="shared" si="2"/>
        <v>0</v>
      </c>
      <c r="I41" s="101"/>
      <c r="J41" s="102">
        <f t="shared" si="0"/>
        <v>0</v>
      </c>
      <c r="K41" s="99">
        <f t="shared" si="3"/>
        <v>0</v>
      </c>
      <c r="L41" s="99">
        <f t="shared" si="4"/>
        <v>0</v>
      </c>
      <c r="M41" s="103" t="s">
        <v>84</v>
      </c>
      <c r="N41" s="104"/>
      <c r="O41" s="87"/>
      <c r="P41" s="95"/>
      <c r="Q41" s="98"/>
      <c r="R41" s="105">
        <f t="shared" si="9"/>
        <v>0</v>
      </c>
      <c r="S41" s="106">
        <f t="shared" si="5"/>
        <v>0</v>
      </c>
      <c r="T41" s="106">
        <f t="shared" si="6"/>
        <v>0</v>
      </c>
      <c r="U41" s="107">
        <f t="shared" si="7"/>
        <v>0</v>
      </c>
      <c r="V41" s="107">
        <f t="shared" si="8"/>
        <v>0</v>
      </c>
      <c r="W41" s="108"/>
      <c r="X41" s="92"/>
      <c r="Y41" s="4"/>
      <c r="Z41" s="4"/>
      <c r="AA41" s="4"/>
      <c r="AB41" s="4"/>
    </row>
    <row r="42" spans="1:28" x14ac:dyDescent="0.25">
      <c r="A42" s="1"/>
      <c r="B42" s="77"/>
      <c r="C42" s="109"/>
      <c r="D42" s="110"/>
      <c r="E42" s="80"/>
      <c r="F42" s="81"/>
      <c r="G42" s="82">
        <f t="shared" si="1"/>
        <v>0</v>
      </c>
      <c r="H42" s="83">
        <f t="shared" si="2"/>
        <v>0</v>
      </c>
      <c r="I42" s="101"/>
      <c r="J42" s="85">
        <f t="shared" si="0"/>
        <v>0</v>
      </c>
      <c r="K42" s="82">
        <f t="shared" si="3"/>
        <v>0</v>
      </c>
      <c r="L42" s="82">
        <f t="shared" si="4"/>
        <v>0</v>
      </c>
      <c r="M42" s="81" t="s">
        <v>84</v>
      </c>
      <c r="N42" s="111"/>
      <c r="O42" s="87"/>
      <c r="P42" s="112"/>
      <c r="Q42" s="88"/>
      <c r="R42" s="89">
        <f t="shared" si="9"/>
        <v>0</v>
      </c>
      <c r="S42" s="89">
        <f t="shared" si="5"/>
        <v>0</v>
      </c>
      <c r="T42" s="89">
        <f t="shared" si="6"/>
        <v>0</v>
      </c>
      <c r="U42" s="90">
        <f t="shared" si="7"/>
        <v>0</v>
      </c>
      <c r="V42" s="90">
        <f t="shared" si="8"/>
        <v>0</v>
      </c>
      <c r="W42" s="108"/>
      <c r="X42" s="92"/>
      <c r="Y42" s="4"/>
      <c r="Z42" s="4"/>
      <c r="AA42" s="4"/>
      <c r="AB42" s="4"/>
    </row>
    <row r="43" spans="1:28" x14ac:dyDescent="0.25">
      <c r="A43" s="1"/>
      <c r="B43" s="95"/>
      <c r="C43" s="13"/>
      <c r="D43" s="96"/>
      <c r="E43" s="97"/>
      <c r="F43" s="98"/>
      <c r="G43" s="99">
        <f t="shared" si="1"/>
        <v>0</v>
      </c>
      <c r="H43" s="100">
        <f t="shared" si="2"/>
        <v>0</v>
      </c>
      <c r="I43" s="101"/>
      <c r="J43" s="102">
        <f t="shared" si="0"/>
        <v>0</v>
      </c>
      <c r="K43" s="99">
        <f t="shared" si="3"/>
        <v>0</v>
      </c>
      <c r="L43" s="99">
        <f t="shared" si="4"/>
        <v>0</v>
      </c>
      <c r="M43" s="103" t="s">
        <v>84</v>
      </c>
      <c r="N43" s="104"/>
      <c r="O43" s="87"/>
      <c r="P43" s="95"/>
      <c r="Q43" s="98"/>
      <c r="R43" s="105">
        <f t="shared" si="9"/>
        <v>0</v>
      </c>
      <c r="S43" s="106">
        <f t="shared" si="5"/>
        <v>0</v>
      </c>
      <c r="T43" s="106">
        <f t="shared" si="6"/>
        <v>0</v>
      </c>
      <c r="U43" s="107">
        <f t="shared" si="7"/>
        <v>0</v>
      </c>
      <c r="V43" s="107">
        <f t="shared" si="8"/>
        <v>0</v>
      </c>
      <c r="W43" s="108"/>
      <c r="X43" s="92"/>
      <c r="Y43" s="4"/>
      <c r="Z43" s="4"/>
      <c r="AA43" s="4"/>
      <c r="AB43" s="4"/>
    </row>
    <row r="44" spans="1:28" x14ac:dyDescent="0.25">
      <c r="A44" s="1"/>
      <c r="B44" s="77"/>
      <c r="C44" s="109"/>
      <c r="D44" s="110"/>
      <c r="E44" s="80"/>
      <c r="F44" s="81"/>
      <c r="G44" s="82">
        <f t="shared" si="1"/>
        <v>0</v>
      </c>
      <c r="H44" s="83">
        <f t="shared" si="2"/>
        <v>0</v>
      </c>
      <c r="I44" s="101"/>
      <c r="J44" s="85">
        <f t="shared" si="0"/>
        <v>0</v>
      </c>
      <c r="K44" s="82">
        <f t="shared" si="3"/>
        <v>0</v>
      </c>
      <c r="L44" s="82">
        <f t="shared" si="4"/>
        <v>0</v>
      </c>
      <c r="M44" s="81" t="s">
        <v>84</v>
      </c>
      <c r="N44" s="111"/>
      <c r="O44" s="87"/>
      <c r="P44" s="112"/>
      <c r="Q44" s="88"/>
      <c r="R44" s="89">
        <f t="shared" si="9"/>
        <v>0</v>
      </c>
      <c r="S44" s="89">
        <f t="shared" si="5"/>
        <v>0</v>
      </c>
      <c r="T44" s="89">
        <f t="shared" si="6"/>
        <v>0</v>
      </c>
      <c r="U44" s="90">
        <f t="shared" si="7"/>
        <v>0</v>
      </c>
      <c r="V44" s="90">
        <f t="shared" si="8"/>
        <v>0</v>
      </c>
      <c r="W44" s="108"/>
      <c r="X44" s="92"/>
      <c r="Y44" s="4"/>
      <c r="Z44" s="4"/>
      <c r="AA44" s="4"/>
      <c r="AB44" s="4"/>
    </row>
    <row r="45" spans="1:28" x14ac:dyDescent="0.25">
      <c r="A45" s="1"/>
      <c r="B45" s="95"/>
      <c r="C45" s="13"/>
      <c r="D45" s="96"/>
      <c r="E45" s="97"/>
      <c r="F45" s="98"/>
      <c r="G45" s="99">
        <f t="shared" si="1"/>
        <v>0</v>
      </c>
      <c r="H45" s="100">
        <f t="shared" si="2"/>
        <v>0</v>
      </c>
      <c r="I45" s="101"/>
      <c r="J45" s="102">
        <f t="shared" si="0"/>
        <v>0</v>
      </c>
      <c r="K45" s="99">
        <f t="shared" si="3"/>
        <v>0</v>
      </c>
      <c r="L45" s="99">
        <f t="shared" si="4"/>
        <v>0</v>
      </c>
      <c r="M45" s="103" t="s">
        <v>84</v>
      </c>
      <c r="N45" s="104"/>
      <c r="O45" s="87"/>
      <c r="P45" s="95"/>
      <c r="Q45" s="98"/>
      <c r="R45" s="105">
        <f t="shared" si="9"/>
        <v>0</v>
      </c>
      <c r="S45" s="106">
        <f t="shared" si="5"/>
        <v>0</v>
      </c>
      <c r="T45" s="106">
        <f t="shared" si="6"/>
        <v>0</v>
      </c>
      <c r="U45" s="107">
        <f t="shared" si="7"/>
        <v>0</v>
      </c>
      <c r="V45" s="107">
        <f t="shared" si="8"/>
        <v>0</v>
      </c>
      <c r="W45" s="108"/>
      <c r="X45" s="92"/>
      <c r="Y45" s="4"/>
      <c r="Z45" s="4"/>
      <c r="AA45" s="4"/>
      <c r="AB45" s="4"/>
    </row>
    <row r="46" spans="1:28" x14ac:dyDescent="0.25">
      <c r="A46" s="1"/>
      <c r="B46" s="77"/>
      <c r="C46" s="109"/>
      <c r="D46" s="110"/>
      <c r="E46" s="80"/>
      <c r="F46" s="81"/>
      <c r="G46" s="82">
        <f t="shared" si="1"/>
        <v>0</v>
      </c>
      <c r="H46" s="83">
        <f t="shared" si="2"/>
        <v>0</v>
      </c>
      <c r="I46" s="101"/>
      <c r="J46" s="85">
        <f t="shared" si="0"/>
        <v>0</v>
      </c>
      <c r="K46" s="82">
        <f t="shared" si="3"/>
        <v>0</v>
      </c>
      <c r="L46" s="82">
        <f t="shared" si="4"/>
        <v>0</v>
      </c>
      <c r="M46" s="81" t="s">
        <v>84</v>
      </c>
      <c r="N46" s="111"/>
      <c r="O46" s="87"/>
      <c r="P46" s="112"/>
      <c r="Q46" s="88"/>
      <c r="R46" s="89">
        <f t="shared" si="9"/>
        <v>0</v>
      </c>
      <c r="S46" s="89">
        <f t="shared" si="5"/>
        <v>0</v>
      </c>
      <c r="T46" s="89">
        <f t="shared" si="6"/>
        <v>0</v>
      </c>
      <c r="U46" s="90">
        <f t="shared" si="7"/>
        <v>0</v>
      </c>
      <c r="V46" s="90">
        <f t="shared" si="8"/>
        <v>0</v>
      </c>
      <c r="W46" s="108"/>
      <c r="X46" s="92"/>
      <c r="Y46" s="4"/>
      <c r="Z46" s="4"/>
      <c r="AA46" s="4"/>
      <c r="AB46" s="4"/>
    </row>
    <row r="47" spans="1:28" x14ac:dyDescent="0.25">
      <c r="A47" s="1"/>
      <c r="B47" s="95"/>
      <c r="C47" s="13"/>
      <c r="D47" s="96"/>
      <c r="E47" s="97"/>
      <c r="F47" s="98"/>
      <c r="G47" s="99">
        <f t="shared" si="1"/>
        <v>0</v>
      </c>
      <c r="H47" s="100">
        <f t="shared" si="2"/>
        <v>0</v>
      </c>
      <c r="I47" s="101"/>
      <c r="J47" s="102">
        <f t="shared" si="0"/>
        <v>0</v>
      </c>
      <c r="K47" s="99">
        <f t="shared" si="3"/>
        <v>0</v>
      </c>
      <c r="L47" s="99">
        <f t="shared" si="4"/>
        <v>0</v>
      </c>
      <c r="M47" s="103" t="s">
        <v>84</v>
      </c>
      <c r="N47" s="104"/>
      <c r="O47" s="87"/>
      <c r="P47" s="95"/>
      <c r="Q47" s="98"/>
      <c r="R47" s="105">
        <f t="shared" si="9"/>
        <v>0</v>
      </c>
      <c r="S47" s="106">
        <f t="shared" si="5"/>
        <v>0</v>
      </c>
      <c r="T47" s="106">
        <f t="shared" si="6"/>
        <v>0</v>
      </c>
      <c r="U47" s="107">
        <f t="shared" si="7"/>
        <v>0</v>
      </c>
      <c r="V47" s="107">
        <f t="shared" si="8"/>
        <v>0</v>
      </c>
      <c r="W47" s="108"/>
      <c r="X47" s="92"/>
      <c r="Y47" s="4"/>
      <c r="Z47" s="4"/>
      <c r="AA47" s="4"/>
      <c r="AB47" s="4"/>
    </row>
    <row r="48" spans="1:28" x14ac:dyDescent="0.25">
      <c r="A48" s="1"/>
      <c r="B48" s="77"/>
      <c r="C48" s="109"/>
      <c r="D48" s="110"/>
      <c r="E48" s="80"/>
      <c r="F48" s="81"/>
      <c r="G48" s="82">
        <f t="shared" si="1"/>
        <v>0</v>
      </c>
      <c r="H48" s="83">
        <f t="shared" si="2"/>
        <v>0</v>
      </c>
      <c r="I48" s="101"/>
      <c r="J48" s="85">
        <f t="shared" si="0"/>
        <v>0</v>
      </c>
      <c r="K48" s="82">
        <f t="shared" si="3"/>
        <v>0</v>
      </c>
      <c r="L48" s="82">
        <f t="shared" si="4"/>
        <v>0</v>
      </c>
      <c r="M48" s="81" t="s">
        <v>84</v>
      </c>
      <c r="N48" s="111"/>
      <c r="O48" s="87"/>
      <c r="P48" s="112"/>
      <c r="Q48" s="88"/>
      <c r="R48" s="89">
        <f t="shared" si="9"/>
        <v>0</v>
      </c>
      <c r="S48" s="89">
        <f t="shared" si="5"/>
        <v>0</v>
      </c>
      <c r="T48" s="89">
        <f t="shared" si="6"/>
        <v>0</v>
      </c>
      <c r="U48" s="90">
        <f t="shared" si="7"/>
        <v>0</v>
      </c>
      <c r="V48" s="90">
        <f t="shared" si="8"/>
        <v>0</v>
      </c>
      <c r="W48" s="108"/>
      <c r="X48" s="92"/>
      <c r="Y48" s="4"/>
      <c r="Z48" s="4"/>
      <c r="AA48" s="4"/>
      <c r="AB48" s="4"/>
    </row>
    <row r="49" spans="1:28" x14ac:dyDescent="0.25">
      <c r="A49" s="1"/>
      <c r="B49" s="95"/>
      <c r="C49" s="13"/>
      <c r="D49" s="96"/>
      <c r="E49" s="97"/>
      <c r="F49" s="98"/>
      <c r="G49" s="99">
        <f t="shared" si="1"/>
        <v>0</v>
      </c>
      <c r="H49" s="100">
        <f t="shared" si="2"/>
        <v>0</v>
      </c>
      <c r="I49" s="101"/>
      <c r="J49" s="102">
        <f t="shared" si="0"/>
        <v>0</v>
      </c>
      <c r="K49" s="99">
        <f t="shared" si="3"/>
        <v>0</v>
      </c>
      <c r="L49" s="99">
        <f t="shared" si="4"/>
        <v>0</v>
      </c>
      <c r="M49" s="103" t="s">
        <v>84</v>
      </c>
      <c r="N49" s="104">
        <v>0.5</v>
      </c>
      <c r="O49" s="87"/>
      <c r="P49" s="95"/>
      <c r="Q49" s="98"/>
      <c r="R49" s="105">
        <f t="shared" si="9"/>
        <v>0</v>
      </c>
      <c r="S49" s="106">
        <f t="shared" si="5"/>
        <v>0</v>
      </c>
      <c r="T49" s="106">
        <f t="shared" si="6"/>
        <v>0</v>
      </c>
      <c r="U49" s="107">
        <f t="shared" si="7"/>
        <v>0</v>
      </c>
      <c r="V49" s="107">
        <f t="shared" si="8"/>
        <v>0</v>
      </c>
      <c r="W49" s="108"/>
      <c r="X49" s="92"/>
      <c r="Y49" s="4"/>
      <c r="Z49" s="4"/>
      <c r="AA49" s="4"/>
      <c r="AB49" s="4"/>
    </row>
    <row r="50" spans="1:28" x14ac:dyDescent="0.25">
      <c r="A50" s="1"/>
      <c r="B50" s="77"/>
      <c r="C50" s="109"/>
      <c r="D50" s="110"/>
      <c r="E50" s="80"/>
      <c r="F50" s="81"/>
      <c r="G50" s="82">
        <f t="shared" si="1"/>
        <v>0</v>
      </c>
      <c r="H50" s="83">
        <f t="shared" si="2"/>
        <v>0</v>
      </c>
      <c r="I50" s="101"/>
      <c r="J50" s="85">
        <f t="shared" si="0"/>
        <v>0</v>
      </c>
      <c r="K50" s="82">
        <f t="shared" si="3"/>
        <v>0</v>
      </c>
      <c r="L50" s="82">
        <f t="shared" si="4"/>
        <v>0</v>
      </c>
      <c r="M50" s="81" t="s">
        <v>84</v>
      </c>
      <c r="N50" s="111">
        <v>0.5</v>
      </c>
      <c r="O50" s="87"/>
      <c r="P50" s="112"/>
      <c r="Q50" s="88"/>
      <c r="R50" s="89">
        <f t="shared" si="9"/>
        <v>0</v>
      </c>
      <c r="S50" s="89">
        <f t="shared" si="5"/>
        <v>0</v>
      </c>
      <c r="T50" s="89">
        <f t="shared" si="6"/>
        <v>0</v>
      </c>
      <c r="U50" s="90">
        <f t="shared" si="7"/>
        <v>0</v>
      </c>
      <c r="V50" s="90">
        <f t="shared" si="8"/>
        <v>0</v>
      </c>
      <c r="W50" s="108"/>
      <c r="X50" s="92"/>
      <c r="Y50" s="4"/>
      <c r="Z50" s="4"/>
      <c r="AA50" s="4"/>
      <c r="AB50" s="4"/>
    </row>
    <row r="51" spans="1:28" x14ac:dyDescent="0.25">
      <c r="A51" s="1"/>
      <c r="B51" s="95"/>
      <c r="C51" s="13"/>
      <c r="D51" s="96"/>
      <c r="E51" s="97"/>
      <c r="F51" s="98"/>
      <c r="G51" s="99">
        <f t="shared" si="1"/>
        <v>0</v>
      </c>
      <c r="H51" s="100">
        <f t="shared" si="2"/>
        <v>0</v>
      </c>
      <c r="I51" s="101"/>
      <c r="J51" s="102">
        <f t="shared" si="0"/>
        <v>0</v>
      </c>
      <c r="K51" s="99">
        <f t="shared" si="3"/>
        <v>0</v>
      </c>
      <c r="L51" s="99">
        <f t="shared" si="4"/>
        <v>0</v>
      </c>
      <c r="M51" s="103" t="s">
        <v>84</v>
      </c>
      <c r="N51" s="104">
        <v>0.5</v>
      </c>
      <c r="O51" s="87"/>
      <c r="P51" s="95"/>
      <c r="Q51" s="98"/>
      <c r="R51" s="105">
        <f t="shared" si="9"/>
        <v>0</v>
      </c>
      <c r="S51" s="106">
        <f t="shared" si="5"/>
        <v>0</v>
      </c>
      <c r="T51" s="106">
        <f t="shared" si="6"/>
        <v>0</v>
      </c>
      <c r="U51" s="107">
        <f t="shared" si="7"/>
        <v>0</v>
      </c>
      <c r="V51" s="107">
        <f t="shared" si="8"/>
        <v>0</v>
      </c>
      <c r="W51" s="108"/>
      <c r="X51" s="92"/>
      <c r="Y51" s="4"/>
      <c r="Z51" s="4"/>
      <c r="AA51" s="4"/>
      <c r="AB51" s="4"/>
    </row>
    <row r="52" spans="1:28" x14ac:dyDescent="0.25">
      <c r="A52" s="1"/>
      <c r="B52" s="77"/>
      <c r="C52" s="109"/>
      <c r="D52" s="110"/>
      <c r="E52" s="80"/>
      <c r="F52" s="81"/>
      <c r="G52" s="82">
        <f t="shared" si="1"/>
        <v>0</v>
      </c>
      <c r="H52" s="83">
        <f t="shared" si="2"/>
        <v>0</v>
      </c>
      <c r="I52" s="101"/>
      <c r="J52" s="85">
        <f t="shared" si="0"/>
        <v>0</v>
      </c>
      <c r="K52" s="82">
        <f t="shared" si="3"/>
        <v>0</v>
      </c>
      <c r="L52" s="82">
        <f t="shared" si="4"/>
        <v>0</v>
      </c>
      <c r="M52" s="81" t="s">
        <v>84</v>
      </c>
      <c r="N52" s="111">
        <v>0.5</v>
      </c>
      <c r="O52" s="87"/>
      <c r="P52" s="112"/>
      <c r="Q52" s="88"/>
      <c r="R52" s="89">
        <f t="shared" si="9"/>
        <v>0</v>
      </c>
      <c r="S52" s="89">
        <f t="shared" si="5"/>
        <v>0</v>
      </c>
      <c r="T52" s="89">
        <f t="shared" si="6"/>
        <v>0</v>
      </c>
      <c r="U52" s="90">
        <f t="shared" si="7"/>
        <v>0</v>
      </c>
      <c r="V52" s="90">
        <f t="shared" si="8"/>
        <v>0</v>
      </c>
      <c r="W52" s="108"/>
      <c r="X52" s="92"/>
      <c r="Y52" s="4"/>
      <c r="Z52" s="4"/>
      <c r="AA52" s="4"/>
      <c r="AB52" s="4"/>
    </row>
    <row r="53" spans="1:28" x14ac:dyDescent="0.25">
      <c r="A53" s="1"/>
      <c r="B53" s="95"/>
      <c r="C53" s="13"/>
      <c r="D53" s="96"/>
      <c r="E53" s="97"/>
      <c r="F53" s="98"/>
      <c r="G53" s="99">
        <f t="shared" si="1"/>
        <v>0</v>
      </c>
      <c r="H53" s="100">
        <f t="shared" si="2"/>
        <v>0</v>
      </c>
      <c r="I53" s="101"/>
      <c r="J53" s="102">
        <f t="shared" si="0"/>
        <v>0</v>
      </c>
      <c r="K53" s="99">
        <f t="shared" si="3"/>
        <v>0</v>
      </c>
      <c r="L53" s="99">
        <f t="shared" si="4"/>
        <v>0</v>
      </c>
      <c r="M53" s="103" t="s">
        <v>84</v>
      </c>
      <c r="N53" s="104"/>
      <c r="O53" s="87"/>
      <c r="P53" s="95"/>
      <c r="Q53" s="98"/>
      <c r="R53" s="105">
        <f t="shared" si="9"/>
        <v>0</v>
      </c>
      <c r="S53" s="106">
        <f t="shared" si="5"/>
        <v>0</v>
      </c>
      <c r="T53" s="106">
        <f t="shared" si="6"/>
        <v>0</v>
      </c>
      <c r="U53" s="107">
        <f t="shared" si="7"/>
        <v>0</v>
      </c>
      <c r="V53" s="107">
        <f t="shared" si="8"/>
        <v>0</v>
      </c>
      <c r="W53" s="108"/>
      <c r="X53" s="92"/>
      <c r="Y53" s="4"/>
      <c r="Z53" s="4"/>
      <c r="AA53" s="4"/>
      <c r="AB53" s="4"/>
    </row>
    <row r="54" spans="1:28" x14ac:dyDescent="0.25">
      <c r="A54" s="1"/>
      <c r="B54" s="77"/>
      <c r="C54" s="109"/>
      <c r="D54" s="110"/>
      <c r="E54" s="80"/>
      <c r="F54" s="81"/>
      <c r="G54" s="82">
        <f t="shared" si="1"/>
        <v>0</v>
      </c>
      <c r="H54" s="83">
        <f t="shared" si="2"/>
        <v>0</v>
      </c>
      <c r="I54" s="101"/>
      <c r="J54" s="85">
        <f t="shared" si="0"/>
        <v>0</v>
      </c>
      <c r="K54" s="82">
        <f t="shared" si="3"/>
        <v>0</v>
      </c>
      <c r="L54" s="82">
        <f t="shared" si="4"/>
        <v>0</v>
      </c>
      <c r="M54" s="81" t="s">
        <v>84</v>
      </c>
      <c r="N54" s="111"/>
      <c r="O54" s="87"/>
      <c r="P54" s="112"/>
      <c r="Q54" s="88"/>
      <c r="R54" s="89">
        <f t="shared" si="9"/>
        <v>0</v>
      </c>
      <c r="S54" s="89">
        <f t="shared" si="5"/>
        <v>0</v>
      </c>
      <c r="T54" s="89">
        <f t="shared" si="6"/>
        <v>0</v>
      </c>
      <c r="U54" s="90">
        <f t="shared" si="7"/>
        <v>0</v>
      </c>
      <c r="V54" s="90">
        <f t="shared" si="8"/>
        <v>0</v>
      </c>
      <c r="W54" s="108"/>
      <c r="X54" s="92"/>
      <c r="Y54" s="4"/>
      <c r="Z54" s="4"/>
      <c r="AA54" s="4"/>
      <c r="AB54" s="4"/>
    </row>
    <row r="55" spans="1:28" x14ac:dyDescent="0.25">
      <c r="A55" s="1"/>
      <c r="B55" s="95"/>
      <c r="C55" s="13"/>
      <c r="D55" s="96"/>
      <c r="E55" s="97"/>
      <c r="F55" s="98"/>
      <c r="G55" s="99">
        <f t="shared" si="1"/>
        <v>0</v>
      </c>
      <c r="H55" s="100">
        <f t="shared" si="2"/>
        <v>0</v>
      </c>
      <c r="I55" s="101"/>
      <c r="J55" s="102">
        <f t="shared" si="0"/>
        <v>0</v>
      </c>
      <c r="K55" s="99">
        <f t="shared" si="3"/>
        <v>0</v>
      </c>
      <c r="L55" s="99">
        <f t="shared" si="4"/>
        <v>0</v>
      </c>
      <c r="M55" s="103" t="s">
        <v>84</v>
      </c>
      <c r="N55" s="104"/>
      <c r="O55" s="87"/>
      <c r="P55" s="95"/>
      <c r="Q55" s="98"/>
      <c r="R55" s="105">
        <f t="shared" si="9"/>
        <v>0</v>
      </c>
      <c r="S55" s="106">
        <f t="shared" si="5"/>
        <v>0</v>
      </c>
      <c r="T55" s="106">
        <f t="shared" si="6"/>
        <v>0</v>
      </c>
      <c r="U55" s="107">
        <f t="shared" si="7"/>
        <v>0</v>
      </c>
      <c r="V55" s="107">
        <f t="shared" si="8"/>
        <v>0</v>
      </c>
      <c r="W55" s="108"/>
      <c r="X55" s="92"/>
      <c r="Y55" s="4"/>
      <c r="Z55" s="4"/>
      <c r="AA55" s="4"/>
      <c r="AB55" s="4"/>
    </row>
    <row r="56" spans="1:28" x14ac:dyDescent="0.25">
      <c r="A56" s="1"/>
      <c r="B56" s="77"/>
      <c r="C56" s="109"/>
      <c r="D56" s="110"/>
      <c r="E56" s="80"/>
      <c r="F56" s="81"/>
      <c r="G56" s="82">
        <f t="shared" si="1"/>
        <v>0</v>
      </c>
      <c r="H56" s="83">
        <f t="shared" si="2"/>
        <v>0</v>
      </c>
      <c r="I56" s="101"/>
      <c r="J56" s="85">
        <f t="shared" si="0"/>
        <v>0</v>
      </c>
      <c r="K56" s="82">
        <f t="shared" si="3"/>
        <v>0</v>
      </c>
      <c r="L56" s="82">
        <f t="shared" si="4"/>
        <v>0</v>
      </c>
      <c r="M56" s="81" t="s">
        <v>84</v>
      </c>
      <c r="N56" s="111"/>
      <c r="O56" s="87"/>
      <c r="P56" s="112"/>
      <c r="Q56" s="88"/>
      <c r="R56" s="89">
        <f t="shared" si="9"/>
        <v>0</v>
      </c>
      <c r="S56" s="89">
        <f t="shared" si="5"/>
        <v>0</v>
      </c>
      <c r="T56" s="89">
        <f t="shared" si="6"/>
        <v>0</v>
      </c>
      <c r="U56" s="90">
        <f t="shared" si="7"/>
        <v>0</v>
      </c>
      <c r="V56" s="90">
        <f t="shared" si="8"/>
        <v>0</v>
      </c>
      <c r="W56" s="108"/>
      <c r="X56" s="92"/>
      <c r="Y56" s="4"/>
      <c r="Z56" s="4"/>
      <c r="AA56" s="4"/>
      <c r="AB56" s="4"/>
    </row>
    <row r="57" spans="1:28" x14ac:dyDescent="0.25">
      <c r="A57" s="1"/>
      <c r="B57" s="95"/>
      <c r="C57" s="13"/>
      <c r="D57" s="96"/>
      <c r="E57" s="97"/>
      <c r="F57" s="98"/>
      <c r="G57" s="99">
        <f t="shared" si="1"/>
        <v>0</v>
      </c>
      <c r="H57" s="100">
        <f t="shared" si="2"/>
        <v>0</v>
      </c>
      <c r="I57" s="101"/>
      <c r="J57" s="102">
        <f t="shared" si="0"/>
        <v>0</v>
      </c>
      <c r="K57" s="99">
        <f t="shared" si="3"/>
        <v>0</v>
      </c>
      <c r="L57" s="99">
        <f t="shared" si="4"/>
        <v>0</v>
      </c>
      <c r="M57" s="103" t="s">
        <v>84</v>
      </c>
      <c r="N57" s="104"/>
      <c r="O57" s="87"/>
      <c r="P57" s="95"/>
      <c r="Q57" s="98"/>
      <c r="R57" s="105">
        <f t="shared" si="9"/>
        <v>0</v>
      </c>
      <c r="S57" s="106">
        <f t="shared" si="5"/>
        <v>0</v>
      </c>
      <c r="T57" s="106">
        <f t="shared" si="6"/>
        <v>0</v>
      </c>
      <c r="U57" s="107">
        <f t="shared" si="7"/>
        <v>0</v>
      </c>
      <c r="V57" s="107">
        <f t="shared" si="8"/>
        <v>0</v>
      </c>
      <c r="W57" s="108"/>
      <c r="X57" s="92"/>
      <c r="Y57" s="4"/>
      <c r="Z57" s="4"/>
      <c r="AA57" s="4"/>
      <c r="AB57" s="4"/>
    </row>
    <row r="58" spans="1:28" x14ac:dyDescent="0.25">
      <c r="A58" s="1"/>
      <c r="B58" s="77"/>
      <c r="C58" s="109"/>
      <c r="D58" s="110"/>
      <c r="E58" s="80"/>
      <c r="F58" s="81"/>
      <c r="G58" s="82">
        <f t="shared" si="1"/>
        <v>0</v>
      </c>
      <c r="H58" s="83">
        <f t="shared" si="2"/>
        <v>0</v>
      </c>
      <c r="I58" s="101"/>
      <c r="J58" s="85">
        <f t="shared" si="0"/>
        <v>0</v>
      </c>
      <c r="K58" s="82">
        <f t="shared" si="3"/>
        <v>0</v>
      </c>
      <c r="L58" s="82">
        <f t="shared" si="4"/>
        <v>0</v>
      </c>
      <c r="M58" s="81" t="s">
        <v>84</v>
      </c>
      <c r="N58" s="111"/>
      <c r="O58" s="87"/>
      <c r="P58" s="112"/>
      <c r="Q58" s="88"/>
      <c r="R58" s="89">
        <f t="shared" si="9"/>
        <v>0</v>
      </c>
      <c r="S58" s="89">
        <f t="shared" si="5"/>
        <v>0</v>
      </c>
      <c r="T58" s="89">
        <f t="shared" si="6"/>
        <v>0</v>
      </c>
      <c r="U58" s="90">
        <f t="shared" si="7"/>
        <v>0</v>
      </c>
      <c r="V58" s="90">
        <f t="shared" si="8"/>
        <v>0</v>
      </c>
      <c r="W58" s="108"/>
      <c r="X58" s="92"/>
      <c r="Y58" s="4"/>
      <c r="Z58" s="4"/>
      <c r="AA58" s="4"/>
      <c r="AB58" s="4"/>
    </row>
    <row r="59" spans="1:28" x14ac:dyDescent="0.25">
      <c r="A59" s="1"/>
      <c r="B59" s="95"/>
      <c r="C59" s="13"/>
      <c r="D59" s="96"/>
      <c r="E59" s="97"/>
      <c r="F59" s="98"/>
      <c r="G59" s="99">
        <f t="shared" si="1"/>
        <v>0</v>
      </c>
      <c r="H59" s="100">
        <f t="shared" si="2"/>
        <v>0</v>
      </c>
      <c r="I59" s="101"/>
      <c r="J59" s="102">
        <f t="shared" si="0"/>
        <v>0</v>
      </c>
      <c r="K59" s="99">
        <f t="shared" si="3"/>
        <v>0</v>
      </c>
      <c r="L59" s="99">
        <f t="shared" si="4"/>
        <v>0</v>
      </c>
      <c r="M59" s="103" t="s">
        <v>84</v>
      </c>
      <c r="N59" s="104"/>
      <c r="O59" s="87"/>
      <c r="P59" s="95"/>
      <c r="Q59" s="98"/>
      <c r="R59" s="105">
        <f t="shared" si="9"/>
        <v>0</v>
      </c>
      <c r="S59" s="106">
        <f t="shared" si="5"/>
        <v>0</v>
      </c>
      <c r="T59" s="106">
        <f t="shared" si="6"/>
        <v>0</v>
      </c>
      <c r="U59" s="107">
        <f t="shared" si="7"/>
        <v>0</v>
      </c>
      <c r="V59" s="107">
        <f t="shared" si="8"/>
        <v>0</v>
      </c>
      <c r="W59" s="108"/>
      <c r="X59" s="92"/>
      <c r="Y59" s="4"/>
      <c r="Z59" s="4"/>
      <c r="AA59" s="4"/>
      <c r="AB59" s="4"/>
    </row>
    <row r="60" spans="1:28" x14ac:dyDescent="0.25">
      <c r="A60" s="1"/>
      <c r="B60" s="77"/>
      <c r="C60" s="109"/>
      <c r="D60" s="110"/>
      <c r="E60" s="80"/>
      <c r="F60" s="81"/>
      <c r="G60" s="82">
        <f t="shared" si="1"/>
        <v>0</v>
      </c>
      <c r="H60" s="83">
        <f t="shared" si="2"/>
        <v>0</v>
      </c>
      <c r="I60" s="101"/>
      <c r="J60" s="85">
        <f t="shared" si="0"/>
        <v>0</v>
      </c>
      <c r="K60" s="82">
        <f t="shared" si="3"/>
        <v>0</v>
      </c>
      <c r="L60" s="82">
        <f t="shared" si="4"/>
        <v>0</v>
      </c>
      <c r="M60" s="81" t="s">
        <v>84</v>
      </c>
      <c r="N60" s="111"/>
      <c r="O60" s="87"/>
      <c r="P60" s="112"/>
      <c r="Q60" s="88"/>
      <c r="R60" s="89">
        <f t="shared" si="9"/>
        <v>0</v>
      </c>
      <c r="S60" s="89">
        <f t="shared" si="5"/>
        <v>0</v>
      </c>
      <c r="T60" s="89">
        <f t="shared" si="6"/>
        <v>0</v>
      </c>
      <c r="U60" s="90">
        <f t="shared" si="7"/>
        <v>0</v>
      </c>
      <c r="V60" s="90">
        <f t="shared" si="8"/>
        <v>0</v>
      </c>
      <c r="W60" s="108"/>
      <c r="X60" s="92"/>
      <c r="Y60" s="4"/>
      <c r="Z60" s="4"/>
      <c r="AA60" s="4"/>
      <c r="AB60" s="4"/>
    </row>
    <row r="61" spans="1:28" ht="20.25" customHeight="1" x14ac:dyDescent="0.25">
      <c r="A61" s="115"/>
      <c r="B61" s="116"/>
      <c r="C61" s="116"/>
      <c r="D61" s="117" t="s">
        <v>116</v>
      </c>
      <c r="E61" s="118">
        <f>SUM(E18:E60)</f>
        <v>13</v>
      </c>
      <c r="F61" s="119">
        <f>SUM(F18:F60)</f>
        <v>14089.749999999998</v>
      </c>
      <c r="G61" s="120">
        <f>SUM(G18:G60)</f>
        <v>9717.07</v>
      </c>
      <c r="H61" s="121">
        <f>SUM(H18:H60)</f>
        <v>20548.399999999998</v>
      </c>
      <c r="I61" s="122"/>
      <c r="J61" s="123">
        <f>SUM(J18:J60)</f>
        <v>13</v>
      </c>
      <c r="K61" s="120">
        <f>SUM(K18:K60)</f>
        <v>5628.15</v>
      </c>
      <c r="L61" s="121">
        <f>SUM(L18:L60)</f>
        <v>8857.5</v>
      </c>
      <c r="M61" s="121"/>
      <c r="N61" s="121"/>
      <c r="O61" s="124"/>
      <c r="P61" s="125"/>
      <c r="Q61" s="120">
        <f>SUM(Q18:Q60)</f>
        <v>0</v>
      </c>
      <c r="R61" s="120">
        <f>SUM(R18:R60)</f>
        <v>0</v>
      </c>
      <c r="S61" s="121">
        <f>SUM(S18:S60)</f>
        <v>5628.15</v>
      </c>
      <c r="T61" s="121">
        <f>SUM(T18:T60)</f>
        <v>8857.5</v>
      </c>
      <c r="U61" s="126"/>
      <c r="V61" s="126"/>
      <c r="W61" s="127"/>
      <c r="X61" s="128"/>
    </row>
    <row r="63" spans="1:28" ht="15" customHeight="1" x14ac:dyDescent="0.25">
      <c r="U63" s="130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43" priority="3" stopIfTrue="1">
      <formula>$U$9&gt;100%</formula>
    </cfRule>
    <cfRule type="expression" dxfId="242" priority="4">
      <formula>$U$9&lt;50%</formula>
    </cfRule>
  </conditionalFormatting>
  <conditionalFormatting sqref="V9:V10">
    <cfRule type="expression" dxfId="241" priority="1">
      <formula>$V$9&lt;50%</formula>
    </cfRule>
    <cfRule type="expression" dxfId="240" priority="2">
      <formula>$V$9&gt;50%</formula>
    </cfRule>
  </conditionalFormatting>
  <dataValidations count="5">
    <dataValidation type="list" allowBlank="1" showInputMessage="1" showErrorMessage="1" sqref="M18:M60" xr:uid="{95E81A04-7DF7-4968-816A-C92808AEF657}">
      <formula1>$Y$31:$Y$32</formula1>
    </dataValidation>
    <dataValidation type="list" showInputMessage="1" showErrorMessage="1" sqref="D18:D60" xr:uid="{390D75E1-1DA6-470C-BF20-8B8D2D8B767B}">
      <formula1>$Z$18:$Z$29</formula1>
    </dataValidation>
    <dataValidation type="list" allowBlank="1" showInputMessage="1" showErrorMessage="1" sqref="I13" xr:uid="{D52F81FD-4E3B-4443-877E-CAD5FC960CE8}">
      <formula1>$K$9:$K$9</formula1>
    </dataValidation>
    <dataValidation type="list" allowBlank="1" showInputMessage="1" showErrorMessage="1" sqref="H13" xr:uid="{A256DF64-BA85-488E-A5F3-69808FD9AB6A}">
      <formula1>$Y$13:$Y$14</formula1>
    </dataValidation>
    <dataValidation type="list" allowBlank="1" showInputMessage="1" showErrorMessage="1" sqref="F17 K17 Q17 Q14" xr:uid="{55DD00C7-CA86-4F6F-A910-DF1CEFA76191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7A84C-FFAE-443B-9AFF-3AD2E4B7F134}">
  <sheetPr>
    <pageSetUpPr fitToPage="1"/>
  </sheetPr>
  <dimension ref="A1:AB63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" customWidth="1"/>
    <col min="2" max="2" width="25.7109375" style="5" customWidth="1"/>
    <col min="3" max="3" width="43.28515625" style="5" customWidth="1"/>
    <col min="4" max="4" width="9.7109375" style="129" customWidth="1"/>
    <col min="5" max="5" width="9.7109375" style="5" customWidth="1"/>
    <col min="6" max="8" width="18.7109375" style="5" customWidth="1"/>
    <col min="9" max="9" width="0.85546875" style="5" customWidth="1"/>
    <col min="10" max="10" width="9.5703125" style="5" customWidth="1"/>
    <col min="11" max="13" width="18.7109375" style="5" customWidth="1"/>
    <col min="14" max="14" width="13.7109375" style="5" customWidth="1"/>
    <col min="15" max="15" width="0.85546875" style="5" customWidth="1"/>
    <col min="16" max="16" width="17.85546875" style="5" customWidth="1"/>
    <col min="17" max="20" width="18.7109375" style="5" customWidth="1"/>
    <col min="21" max="21" width="15" style="5" bestFit="1" customWidth="1"/>
    <col min="22" max="22" width="14.7109375" style="5" bestFit="1" customWidth="1"/>
    <col min="23" max="23" width="13.42578125" style="5" hidden="1" customWidth="1"/>
    <col min="24" max="24" width="0.85546875" style="5" customWidth="1"/>
    <col min="25" max="26" width="9.140625" style="5" hidden="1" customWidth="1"/>
    <col min="27" max="27" width="9.140625" style="5" customWidth="1"/>
    <col min="28" max="28" width="10.5703125" style="5" bestFit="1" customWidth="1"/>
    <col min="29" max="16384" width="9.140625" style="5"/>
  </cols>
  <sheetData>
    <row r="1" spans="1:28" ht="23.25" customHeight="1" x14ac:dyDescent="0.25">
      <c r="A1" s="1"/>
      <c r="B1" s="392" t="s">
        <v>0</v>
      </c>
      <c r="C1" s="389"/>
      <c r="D1" s="393" t="s">
        <v>1</v>
      </c>
      <c r="E1" s="390"/>
      <c r="F1" s="390"/>
      <c r="G1" s="391"/>
      <c r="H1" s="389" t="s">
        <v>2</v>
      </c>
      <c r="I1" s="390"/>
      <c r="J1" s="390"/>
      <c r="K1" s="391"/>
      <c r="L1" s="394" t="s">
        <v>3</v>
      </c>
      <c r="M1" s="395"/>
      <c r="N1" s="395"/>
      <c r="O1" s="395"/>
      <c r="P1" s="390" t="str">
        <f>K17</f>
        <v>CAD $</v>
      </c>
      <c r="Q1" s="390"/>
      <c r="R1" s="391"/>
      <c r="S1" s="389" t="s">
        <v>4</v>
      </c>
      <c r="T1" s="390"/>
      <c r="U1" s="390"/>
      <c r="V1" s="390"/>
      <c r="W1" s="391"/>
      <c r="X1" s="2"/>
      <c r="Y1" s="3"/>
      <c r="Z1" s="4"/>
      <c r="AA1" s="4"/>
      <c r="AB1" s="4"/>
    </row>
    <row r="2" spans="1:28" ht="15" customHeight="1" x14ac:dyDescent="0.25">
      <c r="A2" s="1"/>
      <c r="B2" s="6" t="s">
        <v>5</v>
      </c>
      <c r="C2" s="7">
        <v>45919</v>
      </c>
      <c r="D2" s="412" t="s">
        <v>6</v>
      </c>
      <c r="E2" s="413"/>
      <c r="F2" s="414">
        <v>58623</v>
      </c>
      <c r="G2" s="415"/>
      <c r="H2" s="412" t="s">
        <v>7</v>
      </c>
      <c r="I2" s="416"/>
      <c r="J2" s="413"/>
      <c r="K2" s="8"/>
      <c r="L2" s="417" t="s">
        <v>8</v>
      </c>
      <c r="M2" s="418"/>
      <c r="N2" s="419"/>
      <c r="O2" s="9"/>
      <c r="P2" s="420">
        <f>H61</f>
        <v>20548.399999999998</v>
      </c>
      <c r="Q2" s="420"/>
      <c r="R2" s="421"/>
      <c r="S2" s="422" t="s">
        <v>9</v>
      </c>
      <c r="T2" s="423"/>
      <c r="U2" s="396"/>
      <c r="V2" s="397"/>
      <c r="W2" s="10"/>
      <c r="X2" s="11"/>
      <c r="Y2" s="3"/>
      <c r="Z2" s="4"/>
      <c r="AA2" s="4"/>
      <c r="AB2" s="4"/>
    </row>
    <row r="3" spans="1:28" ht="15" customHeight="1" x14ac:dyDescent="0.25">
      <c r="A3" s="1"/>
      <c r="B3" s="12" t="s">
        <v>10</v>
      </c>
      <c r="C3" s="13" t="s">
        <v>11</v>
      </c>
      <c r="D3" s="398" t="s">
        <v>12</v>
      </c>
      <c r="E3" s="399"/>
      <c r="F3" s="400"/>
      <c r="G3" s="401"/>
      <c r="H3" s="398" t="s">
        <v>13</v>
      </c>
      <c r="I3" s="402"/>
      <c r="J3" s="399"/>
      <c r="K3" s="14"/>
      <c r="L3" s="403" t="s">
        <v>14</v>
      </c>
      <c r="M3" s="404"/>
      <c r="N3" s="405"/>
      <c r="O3" s="9"/>
      <c r="P3" s="406">
        <f>L61</f>
        <v>8857.5</v>
      </c>
      <c r="Q3" s="406"/>
      <c r="R3" s="407"/>
      <c r="S3" s="408" t="s">
        <v>15</v>
      </c>
      <c r="T3" s="409"/>
      <c r="U3" s="410"/>
      <c r="V3" s="411"/>
      <c r="W3" s="15"/>
      <c r="X3" s="1"/>
      <c r="Y3" s="16"/>
      <c r="Z3" s="4"/>
      <c r="AA3" s="4"/>
      <c r="AB3" s="4"/>
    </row>
    <row r="4" spans="1:28" ht="15" customHeight="1" x14ac:dyDescent="0.25">
      <c r="A4" s="1"/>
      <c r="B4" s="17" t="s">
        <v>16</v>
      </c>
      <c r="C4" s="13"/>
      <c r="D4" s="398" t="s">
        <v>17</v>
      </c>
      <c r="E4" s="399"/>
      <c r="F4" s="400" t="s">
        <v>121</v>
      </c>
      <c r="G4" s="401"/>
      <c r="H4" s="398" t="s">
        <v>19</v>
      </c>
      <c r="I4" s="402"/>
      <c r="J4" s="399"/>
      <c r="K4" s="14"/>
      <c r="L4" s="403" t="s">
        <v>20</v>
      </c>
      <c r="M4" s="404"/>
      <c r="N4" s="405"/>
      <c r="O4" s="9"/>
      <c r="P4" s="406">
        <f>P2-P3</f>
        <v>11690.899999999998</v>
      </c>
      <c r="Q4" s="406"/>
      <c r="R4" s="407"/>
      <c r="S4" s="408" t="s">
        <v>21</v>
      </c>
      <c r="T4" s="409"/>
      <c r="U4" s="410"/>
      <c r="V4" s="411"/>
      <c r="W4" s="15"/>
      <c r="X4" s="1"/>
      <c r="Y4" s="16"/>
      <c r="Z4" s="4"/>
      <c r="AA4" s="4"/>
      <c r="AB4" s="4"/>
    </row>
    <row r="5" spans="1:28" ht="15" customHeight="1" thickBot="1" x14ac:dyDescent="0.3">
      <c r="A5" s="1"/>
      <c r="B5" s="17" t="s">
        <v>22</v>
      </c>
      <c r="C5" s="13"/>
      <c r="D5" s="398" t="s">
        <v>23</v>
      </c>
      <c r="E5" s="399"/>
      <c r="F5" s="400">
        <v>348</v>
      </c>
      <c r="G5" s="401"/>
      <c r="H5" s="398" t="s">
        <v>25</v>
      </c>
      <c r="I5" s="402"/>
      <c r="J5" s="399"/>
      <c r="K5" s="14"/>
      <c r="L5" s="424" t="s">
        <v>26</v>
      </c>
      <c r="M5" s="425"/>
      <c r="N5" s="426"/>
      <c r="O5" s="9"/>
      <c r="P5" s="427">
        <f>IFERROR((P2-P3)/P2,"")</f>
        <v>0.56894454069416589</v>
      </c>
      <c r="Q5" s="427"/>
      <c r="R5" s="428"/>
      <c r="S5" s="408" t="s">
        <v>27</v>
      </c>
      <c r="T5" s="409"/>
      <c r="U5" s="410"/>
      <c r="V5" s="411"/>
      <c r="W5" s="15"/>
      <c r="X5" s="1"/>
      <c r="Y5" s="16"/>
      <c r="Z5" s="4"/>
      <c r="AA5" s="4"/>
      <c r="AB5" s="4"/>
    </row>
    <row r="6" spans="1:28" ht="15" customHeight="1" x14ac:dyDescent="0.25">
      <c r="A6" s="1"/>
      <c r="B6" s="17" t="s">
        <v>28</v>
      </c>
      <c r="C6" s="18"/>
      <c r="D6" s="398" t="s">
        <v>29</v>
      </c>
      <c r="E6" s="399"/>
      <c r="F6" s="400" t="s">
        <v>135</v>
      </c>
      <c r="G6" s="401"/>
      <c r="H6" s="398" t="s">
        <v>31</v>
      </c>
      <c r="I6" s="402"/>
      <c r="J6" s="399"/>
      <c r="K6" s="14"/>
      <c r="L6" s="438" t="s">
        <v>32</v>
      </c>
      <c r="M6" s="439"/>
      <c r="N6" s="440"/>
      <c r="O6" s="9"/>
      <c r="P6" s="441">
        <f>T61</f>
        <v>8857.5</v>
      </c>
      <c r="Q6" s="441"/>
      <c r="R6" s="442"/>
      <c r="S6" s="408" t="s">
        <v>33</v>
      </c>
      <c r="T6" s="409"/>
      <c r="U6" s="410"/>
      <c r="V6" s="411"/>
      <c r="W6" s="19"/>
      <c r="X6" s="20"/>
      <c r="Y6" s="21"/>
      <c r="Z6" s="4"/>
      <c r="AA6" s="4"/>
      <c r="AB6" s="4"/>
    </row>
    <row r="7" spans="1:28" ht="15" customHeight="1" x14ac:dyDescent="0.25">
      <c r="A7" s="1"/>
      <c r="B7" s="17" t="s">
        <v>34</v>
      </c>
      <c r="C7" s="22"/>
      <c r="D7" s="398" t="s">
        <v>35</v>
      </c>
      <c r="E7" s="399"/>
      <c r="F7" s="400">
        <v>74828293</v>
      </c>
      <c r="G7" s="401"/>
      <c r="H7" s="398" t="s">
        <v>36</v>
      </c>
      <c r="I7" s="402"/>
      <c r="J7" s="399"/>
      <c r="K7" s="14"/>
      <c r="L7" s="429" t="s">
        <v>37</v>
      </c>
      <c r="M7" s="430"/>
      <c r="N7" s="431"/>
      <c r="O7" s="9"/>
      <c r="P7" s="432">
        <f>R61</f>
        <v>0</v>
      </c>
      <c r="Q7" s="432"/>
      <c r="R7" s="433"/>
      <c r="S7" s="434" t="s">
        <v>38</v>
      </c>
      <c r="T7" s="435"/>
      <c r="U7" s="436"/>
      <c r="V7" s="437"/>
      <c r="W7" s="19"/>
      <c r="X7" s="23"/>
      <c r="Y7" s="4"/>
      <c r="Z7" s="4"/>
      <c r="AA7" s="4"/>
      <c r="AB7" s="4"/>
    </row>
    <row r="8" spans="1:28" ht="15" customHeight="1" x14ac:dyDescent="0.25">
      <c r="A8" s="1"/>
      <c r="B8" s="24"/>
      <c r="C8" s="25"/>
      <c r="D8" s="398" t="s">
        <v>39</v>
      </c>
      <c r="E8" s="399"/>
      <c r="F8" s="400"/>
      <c r="G8" s="401"/>
      <c r="H8" s="398" t="s">
        <v>40</v>
      </c>
      <c r="I8" s="402"/>
      <c r="J8" s="399"/>
      <c r="K8" s="14"/>
      <c r="L8" s="429" t="s">
        <v>41</v>
      </c>
      <c r="M8" s="430"/>
      <c r="N8" s="431"/>
      <c r="O8" s="9"/>
      <c r="P8" s="432">
        <f>IF(P1=Q14,R14,IF(Q14="CAD $",R14*D15,IF(Q14="USD $",R14*E15,0)))</f>
        <v>0</v>
      </c>
      <c r="Q8" s="432"/>
      <c r="R8" s="433"/>
      <c r="S8" s="26" t="s">
        <v>42</v>
      </c>
      <c r="T8" s="27" t="s">
        <v>43</v>
      </c>
      <c r="U8" s="27" t="s">
        <v>44</v>
      </c>
      <c r="V8" s="28" t="s">
        <v>45</v>
      </c>
      <c r="W8" s="29"/>
      <c r="X8" s="30"/>
      <c r="Y8" s="4"/>
      <c r="Z8" s="4"/>
      <c r="AA8" s="4"/>
      <c r="AB8" s="4"/>
    </row>
    <row r="9" spans="1:28" ht="15" customHeight="1" x14ac:dyDescent="0.25">
      <c r="A9" s="1"/>
      <c r="B9" s="25"/>
      <c r="C9" s="25"/>
      <c r="D9" s="398" t="s">
        <v>46</v>
      </c>
      <c r="E9" s="399"/>
      <c r="F9" s="400" t="s">
        <v>408</v>
      </c>
      <c r="G9" s="401"/>
      <c r="H9" s="31"/>
      <c r="I9" s="32"/>
      <c r="J9" s="32"/>
      <c r="K9" s="33"/>
      <c r="L9" s="429" t="s">
        <v>47</v>
      </c>
      <c r="M9" s="430"/>
      <c r="N9" s="431"/>
      <c r="O9" s="9"/>
      <c r="P9" s="446">
        <f>V14</f>
        <v>0</v>
      </c>
      <c r="Q9" s="446"/>
      <c r="R9" s="447"/>
      <c r="S9" s="448">
        <f>P7+P8+P9</f>
        <v>0</v>
      </c>
      <c r="T9" s="448">
        <f>P3-S9</f>
        <v>8857.5</v>
      </c>
      <c r="U9" s="450">
        <f>IFERROR(((P3-S9)/S9),0)</f>
        <v>0</v>
      </c>
      <c r="V9" s="450">
        <f>IFERROR(T9/P3,0)</f>
        <v>1</v>
      </c>
      <c r="W9" s="452"/>
      <c r="X9" s="30"/>
      <c r="Y9" s="4"/>
      <c r="Z9" s="4"/>
      <c r="AA9" s="4"/>
      <c r="AB9" s="4"/>
    </row>
    <row r="10" spans="1:28" ht="15" customHeight="1" thickBot="1" x14ac:dyDescent="0.3">
      <c r="A10" s="1"/>
      <c r="B10" s="25"/>
      <c r="C10" s="25"/>
      <c r="D10" s="34"/>
      <c r="E10" s="34"/>
      <c r="F10" s="31"/>
      <c r="G10" s="31"/>
      <c r="H10" s="31"/>
      <c r="I10" s="32"/>
      <c r="J10" s="32"/>
      <c r="K10" s="33"/>
      <c r="L10" s="408" t="s">
        <v>48</v>
      </c>
      <c r="M10" s="443"/>
      <c r="N10" s="409"/>
      <c r="O10" s="9"/>
      <c r="P10" s="444">
        <f>E61</f>
        <v>13</v>
      </c>
      <c r="Q10" s="444"/>
      <c r="R10" s="445"/>
      <c r="S10" s="449"/>
      <c r="T10" s="449"/>
      <c r="U10" s="451"/>
      <c r="V10" s="451"/>
      <c r="W10" s="453"/>
      <c r="X10" s="30"/>
      <c r="Y10" s="4"/>
      <c r="Z10" s="4"/>
      <c r="AA10" s="4"/>
      <c r="AB10" s="4"/>
    </row>
    <row r="11" spans="1:28" ht="15" customHeight="1" x14ac:dyDescent="0.25">
      <c r="A11" s="1"/>
      <c r="B11" s="501"/>
      <c r="C11" s="502"/>
      <c r="D11" s="505" t="s">
        <v>49</v>
      </c>
      <c r="E11" s="506"/>
      <c r="F11" s="509" t="s">
        <v>8</v>
      </c>
      <c r="G11" s="455"/>
      <c r="H11" s="510"/>
      <c r="I11" s="35"/>
      <c r="J11" s="514" t="s">
        <v>50</v>
      </c>
      <c r="K11" s="515"/>
      <c r="L11" s="515"/>
      <c r="M11" s="515"/>
      <c r="N11" s="516"/>
      <c r="O11" s="9"/>
      <c r="P11" s="454" t="s">
        <v>51</v>
      </c>
      <c r="Q11" s="455"/>
      <c r="R11" s="455"/>
      <c r="S11" s="455"/>
      <c r="T11" s="455"/>
      <c r="U11" s="455"/>
      <c r="V11" s="456"/>
      <c r="W11" s="36"/>
      <c r="X11" s="37"/>
      <c r="Y11" s="4" t="s">
        <v>52</v>
      </c>
      <c r="Z11" s="4"/>
      <c r="AA11" s="4"/>
      <c r="AB11" s="4"/>
    </row>
    <row r="12" spans="1:28" ht="15" customHeight="1" x14ac:dyDescent="0.25">
      <c r="A12" s="1"/>
      <c r="B12" s="503"/>
      <c r="C12" s="504"/>
      <c r="D12" s="507"/>
      <c r="E12" s="508"/>
      <c r="F12" s="511"/>
      <c r="G12" s="512"/>
      <c r="H12" s="513"/>
      <c r="I12" s="38"/>
      <c r="J12" s="517"/>
      <c r="K12" s="518"/>
      <c r="L12" s="518"/>
      <c r="M12" s="518"/>
      <c r="N12" s="519"/>
      <c r="O12" s="39"/>
      <c r="P12" s="457"/>
      <c r="Q12" s="458"/>
      <c r="R12" s="458"/>
      <c r="S12" s="458"/>
      <c r="T12" s="458"/>
      <c r="U12" s="458"/>
      <c r="V12" s="459"/>
      <c r="W12" s="40"/>
      <c r="X12" s="37"/>
      <c r="Y12" s="4" t="s">
        <v>53</v>
      </c>
      <c r="Z12" s="4"/>
      <c r="AA12" s="4"/>
      <c r="AB12" s="4"/>
    </row>
    <row r="13" spans="1:28" ht="15" customHeight="1" x14ac:dyDescent="0.25">
      <c r="A13" s="1"/>
      <c r="B13" s="503"/>
      <c r="C13" s="504"/>
      <c r="D13" s="467"/>
      <c r="E13" s="468"/>
      <c r="F13" s="460" t="s">
        <v>54</v>
      </c>
      <c r="G13" s="461"/>
      <c r="H13" s="41" t="s">
        <v>55</v>
      </c>
      <c r="I13" s="42"/>
      <c r="J13" s="520"/>
      <c r="K13" s="521"/>
      <c r="L13" s="521"/>
      <c r="M13" s="521"/>
      <c r="N13" s="522"/>
      <c r="O13" s="39"/>
      <c r="P13" s="457"/>
      <c r="Q13" s="458"/>
      <c r="R13" s="458"/>
      <c r="S13" s="458"/>
      <c r="T13" s="458"/>
      <c r="U13" s="458"/>
      <c r="V13" s="459"/>
      <c r="W13" s="43"/>
      <c r="X13" s="37"/>
      <c r="Y13" s="4" t="s">
        <v>55</v>
      </c>
      <c r="Z13" s="4"/>
      <c r="AA13" s="4"/>
      <c r="AB13" s="4"/>
    </row>
    <row r="14" spans="1:28" ht="30" customHeight="1" x14ac:dyDescent="0.25">
      <c r="A14" s="1"/>
      <c r="B14" s="503"/>
      <c r="C14" s="504"/>
      <c r="D14" s="44" t="s">
        <v>56</v>
      </c>
      <c r="E14" s="45" t="s">
        <v>57</v>
      </c>
      <c r="F14" s="462" t="s">
        <v>58</v>
      </c>
      <c r="G14" s="463"/>
      <c r="H14" s="464"/>
      <c r="I14" s="46"/>
      <c r="J14" s="465" t="s">
        <v>59</v>
      </c>
      <c r="K14" s="466"/>
      <c r="L14" s="469" t="s">
        <v>60</v>
      </c>
      <c r="M14" s="470"/>
      <c r="N14" s="471"/>
      <c r="O14" s="47"/>
      <c r="P14" s="48" t="s">
        <v>61</v>
      </c>
      <c r="Q14" s="49" t="s">
        <v>53</v>
      </c>
      <c r="R14" s="50"/>
      <c r="S14" s="48" t="s">
        <v>62</v>
      </c>
      <c r="T14" s="51">
        <v>2.5000000000000001E-2</v>
      </c>
      <c r="U14" s="48" t="s">
        <v>63</v>
      </c>
      <c r="V14" s="52">
        <f>ROUND(R61*T14,2)</f>
        <v>0</v>
      </c>
      <c r="W14" s="53"/>
      <c r="X14" s="37"/>
      <c r="Y14" s="4" t="s">
        <v>64</v>
      </c>
      <c r="Z14" s="4"/>
      <c r="AA14" s="4"/>
      <c r="AB14" s="4"/>
    </row>
    <row r="15" spans="1:28" ht="15" customHeight="1" x14ac:dyDescent="0.25">
      <c r="A15" s="1"/>
      <c r="B15" s="503"/>
      <c r="C15" s="504"/>
      <c r="D15" s="54">
        <f>1/E15</f>
        <v>0.68965517241379315</v>
      </c>
      <c r="E15" s="55">
        <v>1.45</v>
      </c>
      <c r="F15" s="475"/>
      <c r="G15" s="476"/>
      <c r="H15" s="477"/>
      <c r="I15" s="56"/>
      <c r="J15" s="467"/>
      <c r="K15" s="468"/>
      <c r="L15" s="472"/>
      <c r="M15" s="473"/>
      <c r="N15" s="474"/>
      <c r="O15" s="47"/>
      <c r="P15" s="483" t="s">
        <v>65</v>
      </c>
      <c r="Q15" s="484"/>
      <c r="R15" s="484"/>
      <c r="S15" s="484"/>
      <c r="T15" s="484"/>
      <c r="U15" s="484"/>
      <c r="V15" s="485"/>
      <c r="W15" s="57"/>
      <c r="X15" s="58"/>
      <c r="Y15" s="4"/>
      <c r="Z15" s="4"/>
      <c r="AA15" s="4"/>
      <c r="AB15" s="4"/>
    </row>
    <row r="16" spans="1:28" ht="15" customHeight="1" x14ac:dyDescent="0.25">
      <c r="A16" s="1"/>
      <c r="B16" s="486" t="s">
        <v>66</v>
      </c>
      <c r="C16" s="488" t="s">
        <v>67</v>
      </c>
      <c r="D16" s="490" t="s">
        <v>68</v>
      </c>
      <c r="E16" s="492" t="s">
        <v>69</v>
      </c>
      <c r="F16" s="489" t="s">
        <v>70</v>
      </c>
      <c r="G16" s="494"/>
      <c r="H16" s="59" t="s">
        <v>71</v>
      </c>
      <c r="I16" s="60"/>
      <c r="J16" s="495" t="s">
        <v>69</v>
      </c>
      <c r="K16" s="61" t="s">
        <v>72</v>
      </c>
      <c r="L16" s="62" t="s">
        <v>73</v>
      </c>
      <c r="M16" s="497" t="s">
        <v>74</v>
      </c>
      <c r="N16" s="497" t="s">
        <v>75</v>
      </c>
      <c r="O16" s="63"/>
      <c r="P16" s="499" t="s">
        <v>76</v>
      </c>
      <c r="Q16" s="64" t="s">
        <v>77</v>
      </c>
      <c r="R16" s="64" t="s">
        <v>78</v>
      </c>
      <c r="S16" s="65" t="s">
        <v>79</v>
      </c>
      <c r="T16" s="65" t="s">
        <v>80</v>
      </c>
      <c r="U16" s="62" t="s">
        <v>81</v>
      </c>
      <c r="V16" s="62" t="s">
        <v>82</v>
      </c>
      <c r="W16" s="66"/>
      <c r="X16" s="67"/>
      <c r="Y16" s="4"/>
      <c r="Z16" s="4"/>
      <c r="AA16" s="4"/>
      <c r="AB16" s="4"/>
    </row>
    <row r="17" spans="1:28" s="76" customFormat="1" ht="15" customHeight="1" x14ac:dyDescent="0.25">
      <c r="A17" s="68"/>
      <c r="B17" s="487"/>
      <c r="C17" s="489"/>
      <c r="D17" s="491"/>
      <c r="E17" s="493"/>
      <c r="F17" s="49" t="s">
        <v>52</v>
      </c>
      <c r="G17" s="69" t="str">
        <f>IF(F17="USD $", "CAD $", "USD $")</f>
        <v>USD $</v>
      </c>
      <c r="H17" s="70" t="str">
        <f>K17</f>
        <v>CAD $</v>
      </c>
      <c r="I17" s="71"/>
      <c r="J17" s="496"/>
      <c r="K17" s="478" t="s">
        <v>52</v>
      </c>
      <c r="L17" s="479"/>
      <c r="M17" s="498"/>
      <c r="N17" s="498"/>
      <c r="O17" s="72"/>
      <c r="P17" s="500"/>
      <c r="Q17" s="49" t="s">
        <v>52</v>
      </c>
      <c r="R17" s="480" t="str">
        <f>K17</f>
        <v>CAD $</v>
      </c>
      <c r="S17" s="481"/>
      <c r="T17" s="481"/>
      <c r="U17" s="481"/>
      <c r="V17" s="482"/>
      <c r="W17" s="73"/>
      <c r="X17" s="74"/>
      <c r="Y17" s="75"/>
      <c r="Z17" s="75"/>
      <c r="AA17" s="75"/>
      <c r="AB17" s="75"/>
    </row>
    <row r="18" spans="1:28" x14ac:dyDescent="0.25">
      <c r="A18" s="1"/>
      <c r="B18" s="131" t="s">
        <v>123</v>
      </c>
      <c r="C18" s="132" t="s">
        <v>124</v>
      </c>
      <c r="D18" s="79"/>
      <c r="E18" s="80">
        <v>1</v>
      </c>
      <c r="F18" s="81">
        <v>68.569999999999993</v>
      </c>
      <c r="G18" s="82">
        <f>ROUND(IF($F$17="USD $", F18*$E$15,F18*$D$15),2)</f>
        <v>47.29</v>
      </c>
      <c r="H18" s="83">
        <f>ROUND(IF($H$17=$G$17,E18*G18,E18*F18),2)</f>
        <v>68.569999999999993</v>
      </c>
      <c r="I18" s="84"/>
      <c r="J18" s="85">
        <f t="shared" ref="J18:J60" si="0">E18</f>
        <v>1</v>
      </c>
      <c r="K18" s="82">
        <f>IFERROR(IF(M18="OEM DISC %",ROUND(IF($K$17=$F$17,F18*(1-N18),G18*(1-N18)),2),IF(M18="MARKUP %",ROUND(R18/J18*(1+N18),2))),0)</f>
        <v>26.06</v>
      </c>
      <c r="L18" s="82">
        <f>ROUND((J18*K18),2)</f>
        <v>26.06</v>
      </c>
      <c r="M18" s="81" t="s">
        <v>84</v>
      </c>
      <c r="N18" s="86">
        <v>0.62</v>
      </c>
      <c r="O18" s="87"/>
      <c r="P18" s="77"/>
      <c r="Q18" s="88"/>
      <c r="R18" s="89">
        <f>ROUND(IF($R$17=$Q$17,Q18,IF($R$17="USD $",Q18*$D$15,Q18*$E$15))*E18,2)</f>
        <v>0</v>
      </c>
      <c r="S18" s="89">
        <f>IFERROR(ROUND(T18/E18,2),0)</f>
        <v>26.06</v>
      </c>
      <c r="T18" s="89">
        <f>ROUND(L18-R18,2)</f>
        <v>26.06</v>
      </c>
      <c r="U18" s="90">
        <f>IFERROR(((K18-(R18/J18))/(R18/J18)),0)</f>
        <v>0</v>
      </c>
      <c r="V18" s="90">
        <f>IFERROR(((K18-(R18/J18))/K18),0)</f>
        <v>1</v>
      </c>
      <c r="W18" s="91"/>
      <c r="X18" s="92"/>
      <c r="Y18" s="4"/>
      <c r="Z18" s="4">
        <v>250</v>
      </c>
      <c r="AA18" s="93"/>
      <c r="AB18" s="94"/>
    </row>
    <row r="19" spans="1:28" x14ac:dyDescent="0.25">
      <c r="A19" s="1"/>
      <c r="B19" s="133" t="s">
        <v>125</v>
      </c>
      <c r="C19" s="134" t="s">
        <v>126</v>
      </c>
      <c r="D19" s="96"/>
      <c r="E19" s="97">
        <v>1</v>
      </c>
      <c r="F19" s="98">
        <v>65.02</v>
      </c>
      <c r="G19" s="99">
        <f t="shared" ref="G19:G60" si="1">ROUND(IF($F$17="USD $", F19*$E$15,F19*$D$15),2)</f>
        <v>44.84</v>
      </c>
      <c r="H19" s="100">
        <f t="shared" ref="H19:H60" si="2">ROUND(IF($H$17=$G$17,E19*G19,E19*F19),2)</f>
        <v>65.02</v>
      </c>
      <c r="I19" s="101"/>
      <c r="J19" s="102">
        <f t="shared" si="0"/>
        <v>1</v>
      </c>
      <c r="K19" s="99">
        <f t="shared" ref="K19:K60" si="3">IFERROR(IF(M19="OEM DISC %",ROUND(IF($K$17=$F$17,F19*(1-N19),G19*(1-N19)),2),IF(M19="MARKUP %",ROUND(R19/J19*(1+N19),2))),0)</f>
        <v>24.71</v>
      </c>
      <c r="L19" s="99">
        <f t="shared" ref="L19:L60" si="4">ROUND((J19*K19),2)</f>
        <v>24.71</v>
      </c>
      <c r="M19" s="103" t="s">
        <v>84</v>
      </c>
      <c r="N19" s="104">
        <v>0.62</v>
      </c>
      <c r="O19" s="87"/>
      <c r="P19" s="95"/>
      <c r="Q19" s="98"/>
      <c r="R19" s="105">
        <f>ROUND(IF($R$17=$Q$17,Q19,IF($R$17="USD $",Q19*$D$15,Q19*$E$15))*E19,2)</f>
        <v>0</v>
      </c>
      <c r="S19" s="106">
        <f t="shared" ref="S19:S60" si="5">IFERROR(ROUND(T19/E19,2),0)</f>
        <v>24.71</v>
      </c>
      <c r="T19" s="106">
        <f t="shared" ref="T19:T60" si="6">ROUND(L19-R19,2)</f>
        <v>24.71</v>
      </c>
      <c r="U19" s="107">
        <f t="shared" ref="U19:U60" si="7">IFERROR(((K19-(R19/J19))/(R19/J19)),0)</f>
        <v>0</v>
      </c>
      <c r="V19" s="107">
        <f t="shared" ref="V19:V60" si="8">IFERROR(((K19-(R19/J19))/K19),0)</f>
        <v>1</v>
      </c>
      <c r="W19" s="108"/>
      <c r="X19" s="92"/>
      <c r="Y19" s="4" t="s">
        <v>86</v>
      </c>
      <c r="Z19" s="4">
        <v>500</v>
      </c>
      <c r="AA19" s="4"/>
      <c r="AB19" s="4"/>
    </row>
    <row r="20" spans="1:28" x14ac:dyDescent="0.25">
      <c r="A20" s="1"/>
      <c r="B20" s="135" t="s">
        <v>127</v>
      </c>
      <c r="C20" s="136" t="s">
        <v>128</v>
      </c>
      <c r="D20" s="110"/>
      <c r="E20" s="80">
        <v>1</v>
      </c>
      <c r="F20" s="81">
        <v>100.72</v>
      </c>
      <c r="G20" s="82">
        <f t="shared" si="1"/>
        <v>69.459999999999994</v>
      </c>
      <c r="H20" s="83">
        <f t="shared" si="2"/>
        <v>100.72</v>
      </c>
      <c r="I20" s="101"/>
      <c r="J20" s="85">
        <f t="shared" si="0"/>
        <v>1</v>
      </c>
      <c r="K20" s="82">
        <f t="shared" si="3"/>
        <v>38.270000000000003</v>
      </c>
      <c r="L20" s="82">
        <f t="shared" si="4"/>
        <v>38.270000000000003</v>
      </c>
      <c r="M20" s="81" t="s">
        <v>84</v>
      </c>
      <c r="N20" s="111">
        <v>0.62</v>
      </c>
      <c r="O20" s="87"/>
      <c r="P20" s="112"/>
      <c r="Q20" s="88"/>
      <c r="R20" s="89">
        <f t="shared" ref="R20:R60" si="9">ROUND(IF($R$17=$Q$17,Q20,IF($R$17="USD $",Q20*$D$15,Q20*$E$15))*E20,2)</f>
        <v>0</v>
      </c>
      <c r="S20" s="89">
        <f t="shared" si="5"/>
        <v>38.270000000000003</v>
      </c>
      <c r="T20" s="89">
        <f t="shared" si="6"/>
        <v>38.270000000000003</v>
      </c>
      <c r="U20" s="90">
        <f t="shared" si="7"/>
        <v>0</v>
      </c>
      <c r="V20" s="90">
        <f t="shared" si="8"/>
        <v>1</v>
      </c>
      <c r="W20" s="91"/>
      <c r="X20" s="92"/>
      <c r="Y20" s="4" t="s">
        <v>87</v>
      </c>
      <c r="Z20" s="4">
        <v>750</v>
      </c>
      <c r="AA20" s="4"/>
      <c r="AB20" s="4"/>
    </row>
    <row r="21" spans="1:28" x14ac:dyDescent="0.25">
      <c r="A21" s="1"/>
      <c r="B21" s="133" t="s">
        <v>129</v>
      </c>
      <c r="C21" s="134" t="s">
        <v>130</v>
      </c>
      <c r="D21" s="96"/>
      <c r="E21" s="97">
        <v>1</v>
      </c>
      <c r="F21" s="98">
        <v>112.39</v>
      </c>
      <c r="G21" s="99">
        <f t="shared" si="1"/>
        <v>77.510000000000005</v>
      </c>
      <c r="H21" s="100">
        <f t="shared" si="2"/>
        <v>112.39</v>
      </c>
      <c r="I21" s="101"/>
      <c r="J21" s="102">
        <f t="shared" si="0"/>
        <v>1</v>
      </c>
      <c r="K21" s="99">
        <f t="shared" si="3"/>
        <v>42.71</v>
      </c>
      <c r="L21" s="99">
        <f t="shared" si="4"/>
        <v>42.71</v>
      </c>
      <c r="M21" s="103" t="s">
        <v>84</v>
      </c>
      <c r="N21" s="104">
        <v>0.62</v>
      </c>
      <c r="O21" s="87"/>
      <c r="P21" s="95"/>
      <c r="Q21" s="98"/>
      <c r="R21" s="105">
        <f t="shared" si="9"/>
        <v>0</v>
      </c>
      <c r="S21" s="106">
        <f t="shared" si="5"/>
        <v>42.71</v>
      </c>
      <c r="T21" s="106">
        <f t="shared" si="6"/>
        <v>42.71</v>
      </c>
      <c r="U21" s="107">
        <f t="shared" si="7"/>
        <v>0</v>
      </c>
      <c r="V21" s="107">
        <f t="shared" si="8"/>
        <v>1</v>
      </c>
      <c r="W21" s="108"/>
      <c r="X21" s="92"/>
      <c r="Y21" s="4" t="s">
        <v>89</v>
      </c>
      <c r="Z21" s="4">
        <v>1000</v>
      </c>
      <c r="AA21" s="4"/>
      <c r="AB21" s="4"/>
    </row>
    <row r="22" spans="1:28" x14ac:dyDescent="0.25">
      <c r="A22" s="1"/>
      <c r="B22" s="135" t="s">
        <v>131</v>
      </c>
      <c r="C22" s="136" t="s">
        <v>132</v>
      </c>
      <c r="D22" s="110"/>
      <c r="E22" s="80">
        <v>1</v>
      </c>
      <c r="F22" s="81">
        <v>118.01</v>
      </c>
      <c r="G22" s="82">
        <f t="shared" si="1"/>
        <v>81.39</v>
      </c>
      <c r="H22" s="83">
        <f t="shared" si="2"/>
        <v>118.01</v>
      </c>
      <c r="I22" s="101"/>
      <c r="J22" s="85">
        <f t="shared" si="0"/>
        <v>1</v>
      </c>
      <c r="K22" s="82">
        <f t="shared" si="3"/>
        <v>44.84</v>
      </c>
      <c r="L22" s="82">
        <f t="shared" si="4"/>
        <v>44.84</v>
      </c>
      <c r="M22" s="81" t="s">
        <v>84</v>
      </c>
      <c r="N22" s="111">
        <v>0.62</v>
      </c>
      <c r="O22" s="87"/>
      <c r="P22" s="112"/>
      <c r="Q22" s="88"/>
      <c r="R22" s="89">
        <f t="shared" si="9"/>
        <v>0</v>
      </c>
      <c r="S22" s="89">
        <f t="shared" si="5"/>
        <v>44.84</v>
      </c>
      <c r="T22" s="89">
        <f t="shared" si="6"/>
        <v>44.84</v>
      </c>
      <c r="U22" s="90">
        <f t="shared" si="7"/>
        <v>0</v>
      </c>
      <c r="V22" s="90">
        <f t="shared" si="8"/>
        <v>1</v>
      </c>
      <c r="W22" s="91"/>
      <c r="X22" s="92"/>
      <c r="Y22" s="4" t="s">
        <v>91</v>
      </c>
      <c r="Z22" s="4">
        <v>1200</v>
      </c>
      <c r="AA22" s="4"/>
      <c r="AB22" s="4"/>
    </row>
    <row r="23" spans="1:28" x14ac:dyDescent="0.25">
      <c r="A23" s="1"/>
      <c r="B23" s="95"/>
      <c r="C23" s="13"/>
      <c r="D23" s="96"/>
      <c r="E23" s="97"/>
      <c r="F23" s="98"/>
      <c r="G23" s="99">
        <f t="shared" si="1"/>
        <v>0</v>
      </c>
      <c r="H23" s="100">
        <f t="shared" si="2"/>
        <v>0</v>
      </c>
      <c r="I23" s="101"/>
      <c r="J23" s="102">
        <f t="shared" si="0"/>
        <v>0</v>
      </c>
      <c r="K23" s="99">
        <f t="shared" si="3"/>
        <v>0</v>
      </c>
      <c r="L23" s="99">
        <f t="shared" si="4"/>
        <v>0</v>
      </c>
      <c r="M23" s="103" t="s">
        <v>84</v>
      </c>
      <c r="N23" s="104">
        <v>0.62</v>
      </c>
      <c r="O23" s="87"/>
      <c r="P23" s="95"/>
      <c r="Q23" s="98"/>
      <c r="R23" s="105">
        <f t="shared" si="9"/>
        <v>0</v>
      </c>
      <c r="S23" s="106">
        <f t="shared" si="5"/>
        <v>0</v>
      </c>
      <c r="T23" s="106">
        <f t="shared" si="6"/>
        <v>0</v>
      </c>
      <c r="U23" s="107">
        <f t="shared" si="7"/>
        <v>0</v>
      </c>
      <c r="V23" s="107">
        <f t="shared" si="8"/>
        <v>0</v>
      </c>
      <c r="W23" s="108"/>
      <c r="X23" s="92"/>
      <c r="Y23" s="4" t="s">
        <v>93</v>
      </c>
      <c r="Z23" s="4">
        <v>2000</v>
      </c>
      <c r="AA23" s="4"/>
      <c r="AB23" s="4"/>
    </row>
    <row r="24" spans="1:28" x14ac:dyDescent="0.25">
      <c r="A24" s="1"/>
      <c r="B24" s="137">
        <v>5326680</v>
      </c>
      <c r="C24" s="13" t="s">
        <v>133</v>
      </c>
      <c r="D24" s="110"/>
      <c r="E24" s="80">
        <v>1</v>
      </c>
      <c r="F24" s="81">
        <v>12141.32</v>
      </c>
      <c r="G24" s="82">
        <f t="shared" si="1"/>
        <v>8373.32</v>
      </c>
      <c r="H24" s="83">
        <f t="shared" si="2"/>
        <v>12141.32</v>
      </c>
      <c r="I24" s="101"/>
      <c r="J24" s="85">
        <f t="shared" si="0"/>
        <v>1</v>
      </c>
      <c r="K24" s="82">
        <f t="shared" si="3"/>
        <v>4613.7</v>
      </c>
      <c r="L24" s="82">
        <f t="shared" si="4"/>
        <v>4613.7</v>
      </c>
      <c r="M24" s="81" t="s">
        <v>84</v>
      </c>
      <c r="N24" s="111">
        <v>0.62</v>
      </c>
      <c r="O24" s="87"/>
      <c r="P24" s="112"/>
      <c r="Q24" s="88"/>
      <c r="R24" s="89">
        <f t="shared" si="9"/>
        <v>0</v>
      </c>
      <c r="S24" s="89">
        <f t="shared" si="5"/>
        <v>4613.7</v>
      </c>
      <c r="T24" s="89">
        <f t="shared" si="6"/>
        <v>4613.7</v>
      </c>
      <c r="U24" s="90">
        <f t="shared" si="7"/>
        <v>0</v>
      </c>
      <c r="V24" s="90">
        <f t="shared" si="8"/>
        <v>1</v>
      </c>
      <c r="W24" s="91"/>
      <c r="X24" s="92"/>
      <c r="Y24" s="4" t="s">
        <v>95</v>
      </c>
      <c r="Z24" s="4">
        <v>4000</v>
      </c>
      <c r="AA24" s="4"/>
      <c r="AB24" s="4"/>
    </row>
    <row r="25" spans="1:28" x14ac:dyDescent="0.25">
      <c r="A25" s="1"/>
      <c r="B25" s="95"/>
      <c r="C25" s="109" t="s">
        <v>134</v>
      </c>
      <c r="D25" s="96"/>
      <c r="E25" s="97">
        <v>1</v>
      </c>
      <c r="F25" s="98">
        <v>191.99</v>
      </c>
      <c r="G25" s="99">
        <f t="shared" si="1"/>
        <v>132.41</v>
      </c>
      <c r="H25" s="100">
        <f t="shared" si="2"/>
        <v>191.99</v>
      </c>
      <c r="I25" s="101"/>
      <c r="J25" s="102">
        <f t="shared" si="0"/>
        <v>1</v>
      </c>
      <c r="K25" s="99">
        <f t="shared" si="3"/>
        <v>191.99</v>
      </c>
      <c r="L25" s="99">
        <f t="shared" si="4"/>
        <v>191.99</v>
      </c>
      <c r="M25" s="103" t="s">
        <v>84</v>
      </c>
      <c r="N25" s="104"/>
      <c r="O25" s="87"/>
      <c r="P25" s="95"/>
      <c r="Q25" s="98"/>
      <c r="R25" s="105">
        <f t="shared" si="9"/>
        <v>0</v>
      </c>
      <c r="S25" s="106">
        <f t="shared" si="5"/>
        <v>191.99</v>
      </c>
      <c r="T25" s="106">
        <f t="shared" si="6"/>
        <v>191.99</v>
      </c>
      <c r="U25" s="107">
        <f t="shared" si="7"/>
        <v>0</v>
      </c>
      <c r="V25" s="107">
        <f t="shared" si="8"/>
        <v>1</v>
      </c>
      <c r="W25" s="108"/>
      <c r="X25" s="92"/>
      <c r="Y25" s="4" t="s">
        <v>96</v>
      </c>
      <c r="Z25" s="4">
        <v>6000</v>
      </c>
      <c r="AA25" s="4"/>
      <c r="AB25" s="4"/>
    </row>
    <row r="26" spans="1:28" x14ac:dyDescent="0.25">
      <c r="A26" s="1"/>
      <c r="B26" s="138">
        <v>3016675</v>
      </c>
      <c r="C26" s="13" t="s">
        <v>115</v>
      </c>
      <c r="D26" s="110"/>
      <c r="E26" s="80">
        <v>6</v>
      </c>
      <c r="F26" s="81">
        <v>1291.73</v>
      </c>
      <c r="G26" s="82">
        <f t="shared" si="1"/>
        <v>890.85</v>
      </c>
      <c r="H26" s="83">
        <f t="shared" si="2"/>
        <v>7750.38</v>
      </c>
      <c r="I26" s="101"/>
      <c r="J26" s="85">
        <f t="shared" si="0"/>
        <v>6</v>
      </c>
      <c r="K26" s="82">
        <f t="shared" si="3"/>
        <v>645.87</v>
      </c>
      <c r="L26" s="82">
        <f t="shared" si="4"/>
        <v>3875.22</v>
      </c>
      <c r="M26" s="81" t="s">
        <v>84</v>
      </c>
      <c r="N26" s="111">
        <v>0.5</v>
      </c>
      <c r="O26" s="87"/>
      <c r="P26" s="112"/>
      <c r="Q26" s="88"/>
      <c r="R26" s="89">
        <f t="shared" si="9"/>
        <v>0</v>
      </c>
      <c r="S26" s="89">
        <f t="shared" si="5"/>
        <v>645.87</v>
      </c>
      <c r="T26" s="89">
        <f t="shared" si="6"/>
        <v>3875.22</v>
      </c>
      <c r="U26" s="90">
        <f t="shared" si="7"/>
        <v>0</v>
      </c>
      <c r="V26" s="90">
        <f t="shared" si="8"/>
        <v>1</v>
      </c>
      <c r="W26" s="91"/>
      <c r="X26" s="92"/>
      <c r="Y26" s="4" t="s">
        <v>98</v>
      </c>
      <c r="Z26" s="4">
        <v>8000</v>
      </c>
      <c r="AA26" s="4"/>
      <c r="AB26" s="4"/>
    </row>
    <row r="27" spans="1:28" x14ac:dyDescent="0.25">
      <c r="A27" s="1"/>
      <c r="B27" s="95"/>
      <c r="C27" s="13"/>
      <c r="D27" s="96"/>
      <c r="E27" s="97"/>
      <c r="F27" s="98"/>
      <c r="G27" s="99">
        <f t="shared" si="1"/>
        <v>0</v>
      </c>
      <c r="H27" s="100">
        <f t="shared" si="2"/>
        <v>0</v>
      </c>
      <c r="I27" s="101"/>
      <c r="J27" s="102">
        <f t="shared" si="0"/>
        <v>0</v>
      </c>
      <c r="K27" s="99">
        <f t="shared" si="3"/>
        <v>0</v>
      </c>
      <c r="L27" s="99">
        <f t="shared" si="4"/>
        <v>0</v>
      </c>
      <c r="M27" s="103" t="s">
        <v>84</v>
      </c>
      <c r="N27" s="104"/>
      <c r="O27" s="87"/>
      <c r="P27" s="95"/>
      <c r="Q27" s="98"/>
      <c r="R27" s="105">
        <f t="shared" si="9"/>
        <v>0</v>
      </c>
      <c r="S27" s="106">
        <f t="shared" si="5"/>
        <v>0</v>
      </c>
      <c r="T27" s="106">
        <f t="shared" si="6"/>
        <v>0</v>
      </c>
      <c r="U27" s="107">
        <f t="shared" si="7"/>
        <v>0</v>
      </c>
      <c r="V27" s="107">
        <f t="shared" si="8"/>
        <v>0</v>
      </c>
      <c r="W27" s="108"/>
      <c r="X27" s="92"/>
      <c r="Y27" s="4" t="s">
        <v>99</v>
      </c>
      <c r="Z27" s="113">
        <v>10000</v>
      </c>
      <c r="AA27" s="4"/>
      <c r="AB27" s="4"/>
    </row>
    <row r="28" spans="1:28" x14ac:dyDescent="0.25">
      <c r="A28" s="1"/>
      <c r="B28" s="114"/>
      <c r="C28" s="109"/>
      <c r="D28" s="110"/>
      <c r="E28" s="80"/>
      <c r="F28" s="81"/>
      <c r="G28" s="82">
        <f t="shared" si="1"/>
        <v>0</v>
      </c>
      <c r="H28" s="83">
        <f t="shared" si="2"/>
        <v>0</v>
      </c>
      <c r="I28" s="101"/>
      <c r="J28" s="85">
        <f t="shared" si="0"/>
        <v>0</v>
      </c>
      <c r="K28" s="82">
        <f t="shared" si="3"/>
        <v>0</v>
      </c>
      <c r="L28" s="82">
        <f t="shared" si="4"/>
        <v>0</v>
      </c>
      <c r="M28" s="81" t="s">
        <v>84</v>
      </c>
      <c r="N28" s="111"/>
      <c r="O28" s="87"/>
      <c r="P28" s="112"/>
      <c r="Q28" s="88"/>
      <c r="R28" s="89">
        <f t="shared" si="9"/>
        <v>0</v>
      </c>
      <c r="S28" s="89">
        <f t="shared" si="5"/>
        <v>0</v>
      </c>
      <c r="T28" s="89">
        <f t="shared" si="6"/>
        <v>0</v>
      </c>
      <c r="U28" s="90">
        <f t="shared" si="7"/>
        <v>0</v>
      </c>
      <c r="V28" s="90">
        <f t="shared" si="8"/>
        <v>0</v>
      </c>
      <c r="W28" s="91"/>
      <c r="X28" s="92"/>
      <c r="Y28" s="4" t="s">
        <v>100</v>
      </c>
      <c r="Z28" s="4" t="s">
        <v>101</v>
      </c>
      <c r="AA28" s="4"/>
      <c r="AB28" s="4"/>
    </row>
    <row r="29" spans="1:28" x14ac:dyDescent="0.25">
      <c r="A29" s="1"/>
      <c r="B29" s="95"/>
      <c r="C29" s="13"/>
      <c r="D29" s="96"/>
      <c r="E29" s="97"/>
      <c r="F29" s="98"/>
      <c r="G29" s="99">
        <f>ROUND(IF($F$17="USD $", F29*$E$15,F29*$D$15),2)</f>
        <v>0</v>
      </c>
      <c r="H29" s="100">
        <f>ROUND(IF($H$17=$G$17,E29*G29,E29*F29),2)</f>
        <v>0</v>
      </c>
      <c r="I29" s="101"/>
      <c r="J29" s="102">
        <f t="shared" si="0"/>
        <v>0</v>
      </c>
      <c r="K29" s="99">
        <f t="shared" si="3"/>
        <v>0</v>
      </c>
      <c r="L29" s="99">
        <f>ROUND((J29*K29),2)</f>
        <v>0</v>
      </c>
      <c r="M29" s="103" t="s">
        <v>84</v>
      </c>
      <c r="N29" s="104"/>
      <c r="O29" s="87"/>
      <c r="P29" s="95"/>
      <c r="Q29" s="98"/>
      <c r="R29" s="105">
        <f t="shared" si="9"/>
        <v>0</v>
      </c>
      <c r="S29" s="106">
        <f t="shared" si="5"/>
        <v>0</v>
      </c>
      <c r="T29" s="106">
        <f t="shared" si="6"/>
        <v>0</v>
      </c>
      <c r="U29" s="107">
        <f t="shared" si="7"/>
        <v>0</v>
      </c>
      <c r="V29" s="107">
        <f t="shared" si="8"/>
        <v>0</v>
      </c>
      <c r="W29" s="108"/>
      <c r="X29" s="92"/>
      <c r="Y29" s="4" t="s">
        <v>102</v>
      </c>
      <c r="Z29" s="4"/>
      <c r="AA29" s="4"/>
      <c r="AB29" s="4"/>
    </row>
    <row r="30" spans="1:28" x14ac:dyDescent="0.25">
      <c r="A30" s="1"/>
      <c r="B30" s="77"/>
      <c r="C30" s="109"/>
      <c r="D30" s="110"/>
      <c r="E30" s="80"/>
      <c r="F30" s="81"/>
      <c r="G30" s="82">
        <f t="shared" si="1"/>
        <v>0</v>
      </c>
      <c r="H30" s="83">
        <f t="shared" si="2"/>
        <v>0</v>
      </c>
      <c r="I30" s="101"/>
      <c r="J30" s="85">
        <f t="shared" si="0"/>
        <v>0</v>
      </c>
      <c r="K30" s="82">
        <f t="shared" si="3"/>
        <v>0</v>
      </c>
      <c r="L30" s="82">
        <f t="shared" si="4"/>
        <v>0</v>
      </c>
      <c r="M30" s="81" t="s">
        <v>84</v>
      </c>
      <c r="N30" s="111"/>
      <c r="O30" s="87"/>
      <c r="P30" s="112"/>
      <c r="Q30" s="88"/>
      <c r="R30" s="89">
        <f t="shared" si="9"/>
        <v>0</v>
      </c>
      <c r="S30" s="89">
        <f t="shared" si="5"/>
        <v>0</v>
      </c>
      <c r="T30" s="89">
        <f t="shared" si="6"/>
        <v>0</v>
      </c>
      <c r="U30" s="90">
        <f t="shared" si="7"/>
        <v>0</v>
      </c>
      <c r="V30" s="90">
        <f t="shared" si="8"/>
        <v>0</v>
      </c>
      <c r="W30" s="91"/>
      <c r="X30" s="92"/>
      <c r="Y30" s="4"/>
      <c r="Z30" s="4"/>
      <c r="AA30" s="4"/>
      <c r="AB30" s="4"/>
    </row>
    <row r="31" spans="1:28" x14ac:dyDescent="0.25">
      <c r="A31" s="1"/>
      <c r="B31" s="95"/>
      <c r="C31" s="13"/>
      <c r="D31" s="96"/>
      <c r="E31" s="97"/>
      <c r="F31" s="98"/>
      <c r="G31" s="99">
        <f t="shared" si="1"/>
        <v>0</v>
      </c>
      <c r="H31" s="100">
        <f t="shared" si="2"/>
        <v>0</v>
      </c>
      <c r="I31" s="101"/>
      <c r="J31" s="102">
        <f t="shared" si="0"/>
        <v>0</v>
      </c>
      <c r="K31" s="99">
        <f t="shared" si="3"/>
        <v>0</v>
      </c>
      <c r="L31" s="99">
        <f t="shared" si="4"/>
        <v>0</v>
      </c>
      <c r="M31" s="103" t="s">
        <v>84</v>
      </c>
      <c r="N31" s="104"/>
      <c r="O31" s="87"/>
      <c r="P31" s="95"/>
      <c r="Q31" s="98"/>
      <c r="R31" s="105">
        <f>ROUND(IF($R$17=$Q$17,Q31,IF($R$17="USD $",Q31*$D$15,Q31*$E$15))*E31,2)</f>
        <v>0</v>
      </c>
      <c r="S31" s="106">
        <f t="shared" si="5"/>
        <v>0</v>
      </c>
      <c r="T31" s="106">
        <f t="shared" si="6"/>
        <v>0</v>
      </c>
      <c r="U31" s="107">
        <f t="shared" si="7"/>
        <v>0</v>
      </c>
      <c r="V31" s="107">
        <f t="shared" si="8"/>
        <v>0</v>
      </c>
      <c r="W31" s="108"/>
      <c r="X31" s="92"/>
      <c r="Y31" s="4" t="s">
        <v>84</v>
      </c>
      <c r="Z31" s="4"/>
      <c r="AA31" s="4"/>
      <c r="AB31" s="4"/>
    </row>
    <row r="32" spans="1:28" x14ac:dyDescent="0.25">
      <c r="A32" s="1"/>
      <c r="B32" s="77"/>
      <c r="C32" s="109"/>
      <c r="D32" s="110"/>
      <c r="E32" s="80"/>
      <c r="F32" s="81"/>
      <c r="G32" s="82">
        <f t="shared" si="1"/>
        <v>0</v>
      </c>
      <c r="H32" s="83">
        <f t="shared" si="2"/>
        <v>0</v>
      </c>
      <c r="I32" s="101"/>
      <c r="J32" s="85">
        <f t="shared" si="0"/>
        <v>0</v>
      </c>
      <c r="K32" s="82">
        <f t="shared" si="3"/>
        <v>0</v>
      </c>
      <c r="L32" s="82">
        <f t="shared" si="4"/>
        <v>0</v>
      </c>
      <c r="M32" s="81" t="s">
        <v>84</v>
      </c>
      <c r="N32" s="111">
        <v>0.5</v>
      </c>
      <c r="O32" s="87"/>
      <c r="P32" s="112"/>
      <c r="Q32" s="88"/>
      <c r="R32" s="89">
        <f t="shared" si="9"/>
        <v>0</v>
      </c>
      <c r="S32" s="89">
        <f t="shared" si="5"/>
        <v>0</v>
      </c>
      <c r="T32" s="89">
        <f t="shared" si="6"/>
        <v>0</v>
      </c>
      <c r="U32" s="90">
        <f t="shared" si="7"/>
        <v>0</v>
      </c>
      <c r="V32" s="90">
        <f t="shared" si="8"/>
        <v>0</v>
      </c>
      <c r="W32" s="91"/>
      <c r="X32" s="92"/>
      <c r="Y32" s="4" t="s">
        <v>104</v>
      </c>
      <c r="Z32" s="4"/>
      <c r="AA32" s="4"/>
      <c r="AB32" s="4"/>
    </row>
    <row r="33" spans="1:28" x14ac:dyDescent="0.25">
      <c r="A33" s="1"/>
      <c r="B33" s="95"/>
      <c r="C33" s="13"/>
      <c r="D33" s="96"/>
      <c r="E33" s="97"/>
      <c r="F33" s="98"/>
      <c r="G33" s="99">
        <f t="shared" si="1"/>
        <v>0</v>
      </c>
      <c r="H33" s="100">
        <f t="shared" si="2"/>
        <v>0</v>
      </c>
      <c r="I33" s="101"/>
      <c r="J33" s="102">
        <f t="shared" si="0"/>
        <v>0</v>
      </c>
      <c r="K33" s="99">
        <f t="shared" si="3"/>
        <v>0</v>
      </c>
      <c r="L33" s="99">
        <f t="shared" si="4"/>
        <v>0</v>
      </c>
      <c r="M33" s="103" t="s">
        <v>84</v>
      </c>
      <c r="N33" s="104"/>
      <c r="O33" s="87"/>
      <c r="P33" s="95"/>
      <c r="Q33" s="98"/>
      <c r="R33" s="105">
        <f t="shared" si="9"/>
        <v>0</v>
      </c>
      <c r="S33" s="106">
        <f t="shared" si="5"/>
        <v>0</v>
      </c>
      <c r="T33" s="106">
        <f t="shared" si="6"/>
        <v>0</v>
      </c>
      <c r="U33" s="107">
        <f t="shared" si="7"/>
        <v>0</v>
      </c>
      <c r="V33" s="107">
        <f t="shared" si="8"/>
        <v>0</v>
      </c>
      <c r="W33" s="108"/>
      <c r="X33" s="92"/>
      <c r="Y33" s="4"/>
      <c r="Z33" s="4"/>
      <c r="AA33" s="4"/>
      <c r="AB33" s="4"/>
    </row>
    <row r="34" spans="1:28" x14ac:dyDescent="0.25">
      <c r="A34" s="1"/>
      <c r="B34" s="77"/>
      <c r="C34" s="109"/>
      <c r="D34" s="110"/>
      <c r="E34" s="80"/>
      <c r="F34" s="81"/>
      <c r="G34" s="82">
        <f t="shared" si="1"/>
        <v>0</v>
      </c>
      <c r="H34" s="83">
        <f t="shared" si="2"/>
        <v>0</v>
      </c>
      <c r="I34" s="101"/>
      <c r="J34" s="85">
        <f t="shared" si="0"/>
        <v>0</v>
      </c>
      <c r="K34" s="82">
        <f t="shared" si="3"/>
        <v>0</v>
      </c>
      <c r="L34" s="82">
        <f t="shared" si="4"/>
        <v>0</v>
      </c>
      <c r="M34" s="81" t="s">
        <v>84</v>
      </c>
      <c r="N34" s="111">
        <v>0.5</v>
      </c>
      <c r="O34" s="87"/>
      <c r="P34" s="112"/>
      <c r="Q34" s="88"/>
      <c r="R34" s="89">
        <f t="shared" si="9"/>
        <v>0</v>
      </c>
      <c r="S34" s="89">
        <f t="shared" si="5"/>
        <v>0</v>
      </c>
      <c r="T34" s="89">
        <f t="shared" si="6"/>
        <v>0</v>
      </c>
      <c r="U34" s="90">
        <f t="shared" si="7"/>
        <v>0</v>
      </c>
      <c r="V34" s="90">
        <f t="shared" si="8"/>
        <v>0</v>
      </c>
      <c r="W34" s="91"/>
      <c r="X34" s="92"/>
      <c r="Y34" s="4"/>
      <c r="Z34" s="4"/>
      <c r="AA34" s="4"/>
      <c r="AB34" s="4"/>
    </row>
    <row r="35" spans="1:28" x14ac:dyDescent="0.25">
      <c r="A35" s="1"/>
      <c r="B35" s="95"/>
      <c r="C35" s="13"/>
      <c r="D35" s="96"/>
      <c r="E35" s="97"/>
      <c r="F35" s="98"/>
      <c r="G35" s="99">
        <f t="shared" si="1"/>
        <v>0</v>
      </c>
      <c r="H35" s="100">
        <f t="shared" si="2"/>
        <v>0</v>
      </c>
      <c r="I35" s="101"/>
      <c r="J35" s="102">
        <f t="shared" si="0"/>
        <v>0</v>
      </c>
      <c r="K35" s="99">
        <f t="shared" si="3"/>
        <v>0</v>
      </c>
      <c r="L35" s="99">
        <f t="shared" si="4"/>
        <v>0</v>
      </c>
      <c r="M35" s="103" t="s">
        <v>84</v>
      </c>
      <c r="N35" s="104">
        <v>0.5</v>
      </c>
      <c r="O35" s="87"/>
      <c r="P35" s="95"/>
      <c r="Q35" s="98"/>
      <c r="R35" s="105">
        <f t="shared" si="9"/>
        <v>0</v>
      </c>
      <c r="S35" s="106">
        <f t="shared" si="5"/>
        <v>0</v>
      </c>
      <c r="T35" s="106">
        <f t="shared" si="6"/>
        <v>0</v>
      </c>
      <c r="U35" s="107">
        <f t="shared" si="7"/>
        <v>0</v>
      </c>
      <c r="V35" s="107">
        <f t="shared" si="8"/>
        <v>0</v>
      </c>
      <c r="W35" s="108"/>
      <c r="X35" s="92"/>
      <c r="Y35" s="4"/>
      <c r="Z35" s="4"/>
      <c r="AA35" s="4"/>
      <c r="AB35" s="4"/>
    </row>
    <row r="36" spans="1:28" x14ac:dyDescent="0.25">
      <c r="A36" s="1"/>
      <c r="B36" s="77"/>
      <c r="C36" s="109"/>
      <c r="D36" s="110"/>
      <c r="E36" s="80"/>
      <c r="F36" s="81"/>
      <c r="G36" s="82">
        <f t="shared" si="1"/>
        <v>0</v>
      </c>
      <c r="H36" s="83">
        <f t="shared" si="2"/>
        <v>0</v>
      </c>
      <c r="I36" s="101"/>
      <c r="J36" s="85">
        <f t="shared" si="0"/>
        <v>0</v>
      </c>
      <c r="K36" s="82">
        <f t="shared" si="3"/>
        <v>0</v>
      </c>
      <c r="L36" s="82">
        <f t="shared" si="4"/>
        <v>0</v>
      </c>
      <c r="M36" s="81" t="s">
        <v>84</v>
      </c>
      <c r="N36" s="111"/>
      <c r="O36" s="87"/>
      <c r="P36" s="112"/>
      <c r="Q36" s="88"/>
      <c r="R36" s="89">
        <f t="shared" si="9"/>
        <v>0</v>
      </c>
      <c r="S36" s="89">
        <f t="shared" si="5"/>
        <v>0</v>
      </c>
      <c r="T36" s="89">
        <f t="shared" si="6"/>
        <v>0</v>
      </c>
      <c r="U36" s="90">
        <f t="shared" si="7"/>
        <v>0</v>
      </c>
      <c r="V36" s="90">
        <f t="shared" si="8"/>
        <v>0</v>
      </c>
      <c r="W36" s="91"/>
      <c r="X36" s="92"/>
      <c r="Y36" s="4"/>
      <c r="Z36" s="4"/>
      <c r="AA36" s="4"/>
      <c r="AB36" s="4"/>
    </row>
    <row r="37" spans="1:28" x14ac:dyDescent="0.25">
      <c r="A37" s="1"/>
      <c r="B37" s="95"/>
      <c r="C37" s="13"/>
      <c r="D37" s="96"/>
      <c r="E37" s="97"/>
      <c r="F37" s="98"/>
      <c r="G37" s="99">
        <f t="shared" si="1"/>
        <v>0</v>
      </c>
      <c r="H37" s="100">
        <f t="shared" si="2"/>
        <v>0</v>
      </c>
      <c r="I37" s="101"/>
      <c r="J37" s="102">
        <f t="shared" si="0"/>
        <v>0</v>
      </c>
      <c r="K37" s="99">
        <f t="shared" si="3"/>
        <v>0</v>
      </c>
      <c r="L37" s="99">
        <f t="shared" si="4"/>
        <v>0</v>
      </c>
      <c r="M37" s="103" t="s">
        <v>84</v>
      </c>
      <c r="N37" s="104"/>
      <c r="O37" s="87"/>
      <c r="P37" s="95"/>
      <c r="Q37" s="98"/>
      <c r="R37" s="105">
        <f t="shared" si="9"/>
        <v>0</v>
      </c>
      <c r="S37" s="106">
        <f t="shared" si="5"/>
        <v>0</v>
      </c>
      <c r="T37" s="106">
        <f t="shared" si="6"/>
        <v>0</v>
      </c>
      <c r="U37" s="107">
        <f t="shared" si="7"/>
        <v>0</v>
      </c>
      <c r="V37" s="107">
        <f t="shared" si="8"/>
        <v>0</v>
      </c>
      <c r="W37" s="108"/>
      <c r="X37" s="92"/>
      <c r="Y37" s="4"/>
      <c r="Z37" s="4"/>
      <c r="AA37" s="4"/>
      <c r="AB37" s="4"/>
    </row>
    <row r="38" spans="1:28" x14ac:dyDescent="0.25">
      <c r="A38" s="1"/>
      <c r="B38" s="77"/>
      <c r="C38" s="109"/>
      <c r="D38" s="110"/>
      <c r="E38" s="80"/>
      <c r="F38" s="81"/>
      <c r="G38" s="82">
        <f t="shared" si="1"/>
        <v>0</v>
      </c>
      <c r="H38" s="83">
        <f t="shared" si="2"/>
        <v>0</v>
      </c>
      <c r="I38" s="101"/>
      <c r="J38" s="85">
        <f t="shared" si="0"/>
        <v>0</v>
      </c>
      <c r="K38" s="82">
        <f t="shared" si="3"/>
        <v>0</v>
      </c>
      <c r="L38" s="82">
        <f t="shared" si="4"/>
        <v>0</v>
      </c>
      <c r="M38" s="81" t="s">
        <v>84</v>
      </c>
      <c r="N38" s="111"/>
      <c r="O38" s="87"/>
      <c r="P38" s="112"/>
      <c r="Q38" s="88"/>
      <c r="R38" s="89">
        <f t="shared" si="9"/>
        <v>0</v>
      </c>
      <c r="S38" s="89">
        <f t="shared" si="5"/>
        <v>0</v>
      </c>
      <c r="T38" s="89">
        <f t="shared" si="6"/>
        <v>0</v>
      </c>
      <c r="U38" s="90">
        <f t="shared" si="7"/>
        <v>0</v>
      </c>
      <c r="V38" s="90">
        <f t="shared" si="8"/>
        <v>0</v>
      </c>
      <c r="W38" s="108"/>
      <c r="X38" s="92"/>
      <c r="Y38" s="4"/>
      <c r="Z38" s="4"/>
      <c r="AA38" s="4"/>
      <c r="AB38" s="4"/>
    </row>
    <row r="39" spans="1:28" x14ac:dyDescent="0.25">
      <c r="A39" s="1"/>
      <c r="B39" s="95"/>
      <c r="C39" s="13"/>
      <c r="D39" s="96"/>
      <c r="E39" s="97"/>
      <c r="F39" s="98"/>
      <c r="G39" s="99">
        <f t="shared" si="1"/>
        <v>0</v>
      </c>
      <c r="H39" s="100">
        <f t="shared" si="2"/>
        <v>0</v>
      </c>
      <c r="I39" s="101"/>
      <c r="J39" s="102">
        <f t="shared" si="0"/>
        <v>0</v>
      </c>
      <c r="K39" s="99">
        <f t="shared" si="3"/>
        <v>0</v>
      </c>
      <c r="L39" s="99">
        <f t="shared" si="4"/>
        <v>0</v>
      </c>
      <c r="M39" s="103" t="s">
        <v>84</v>
      </c>
      <c r="N39" s="104"/>
      <c r="O39" s="87"/>
      <c r="P39" s="95"/>
      <c r="Q39" s="98"/>
      <c r="R39" s="105">
        <f t="shared" si="9"/>
        <v>0</v>
      </c>
      <c r="S39" s="106">
        <f t="shared" si="5"/>
        <v>0</v>
      </c>
      <c r="T39" s="106">
        <f t="shared" si="6"/>
        <v>0</v>
      </c>
      <c r="U39" s="107">
        <f t="shared" si="7"/>
        <v>0</v>
      </c>
      <c r="V39" s="107">
        <f t="shared" si="8"/>
        <v>0</v>
      </c>
      <c r="W39" s="108"/>
      <c r="X39" s="92"/>
      <c r="Y39" s="4"/>
      <c r="Z39" s="4"/>
      <c r="AA39" s="4"/>
      <c r="AB39" s="4"/>
    </row>
    <row r="40" spans="1:28" x14ac:dyDescent="0.25">
      <c r="A40" s="1"/>
      <c r="B40" s="77"/>
      <c r="C40" s="109"/>
      <c r="D40" s="110"/>
      <c r="E40" s="80"/>
      <c r="F40" s="81"/>
      <c r="G40" s="82">
        <f t="shared" si="1"/>
        <v>0</v>
      </c>
      <c r="H40" s="83">
        <f t="shared" si="2"/>
        <v>0</v>
      </c>
      <c r="I40" s="101"/>
      <c r="J40" s="85">
        <f t="shared" si="0"/>
        <v>0</v>
      </c>
      <c r="K40" s="82">
        <f t="shared" si="3"/>
        <v>0</v>
      </c>
      <c r="L40" s="82">
        <f t="shared" si="4"/>
        <v>0</v>
      </c>
      <c r="M40" s="81" t="s">
        <v>84</v>
      </c>
      <c r="N40" s="111">
        <v>0.5</v>
      </c>
      <c r="O40" s="87"/>
      <c r="P40" s="112"/>
      <c r="Q40" s="88"/>
      <c r="R40" s="89">
        <f t="shared" si="9"/>
        <v>0</v>
      </c>
      <c r="S40" s="89">
        <f t="shared" si="5"/>
        <v>0</v>
      </c>
      <c r="T40" s="89">
        <f t="shared" si="6"/>
        <v>0</v>
      </c>
      <c r="U40" s="90">
        <f t="shared" si="7"/>
        <v>0</v>
      </c>
      <c r="V40" s="90">
        <f t="shared" si="8"/>
        <v>0</v>
      </c>
      <c r="W40" s="108"/>
      <c r="X40" s="92"/>
      <c r="Y40" s="4"/>
      <c r="Z40" s="4"/>
      <c r="AA40" s="4"/>
      <c r="AB40" s="4"/>
    </row>
    <row r="41" spans="1:28" x14ac:dyDescent="0.25">
      <c r="A41" s="1"/>
      <c r="B41" s="95"/>
      <c r="C41" s="13"/>
      <c r="D41" s="96"/>
      <c r="E41" s="97"/>
      <c r="F41" s="98"/>
      <c r="G41" s="99">
        <f t="shared" si="1"/>
        <v>0</v>
      </c>
      <c r="H41" s="100">
        <f t="shared" si="2"/>
        <v>0</v>
      </c>
      <c r="I41" s="101"/>
      <c r="J41" s="102">
        <f t="shared" si="0"/>
        <v>0</v>
      </c>
      <c r="K41" s="99">
        <f t="shared" si="3"/>
        <v>0</v>
      </c>
      <c r="L41" s="99">
        <f t="shared" si="4"/>
        <v>0</v>
      </c>
      <c r="M41" s="103" t="s">
        <v>84</v>
      </c>
      <c r="N41" s="104"/>
      <c r="O41" s="87"/>
      <c r="P41" s="95"/>
      <c r="Q41" s="98"/>
      <c r="R41" s="105">
        <f t="shared" si="9"/>
        <v>0</v>
      </c>
      <c r="S41" s="106">
        <f t="shared" si="5"/>
        <v>0</v>
      </c>
      <c r="T41" s="106">
        <f t="shared" si="6"/>
        <v>0</v>
      </c>
      <c r="U41" s="107">
        <f t="shared" si="7"/>
        <v>0</v>
      </c>
      <c r="V41" s="107">
        <f t="shared" si="8"/>
        <v>0</v>
      </c>
      <c r="W41" s="108"/>
      <c r="X41" s="92"/>
      <c r="Y41" s="4"/>
      <c r="Z41" s="4"/>
      <c r="AA41" s="4"/>
      <c r="AB41" s="4"/>
    </row>
    <row r="42" spans="1:28" x14ac:dyDescent="0.25">
      <c r="A42" s="1"/>
      <c r="B42" s="77"/>
      <c r="C42" s="109"/>
      <c r="D42" s="110"/>
      <c r="E42" s="80"/>
      <c r="F42" s="81"/>
      <c r="G42" s="82">
        <f t="shared" si="1"/>
        <v>0</v>
      </c>
      <c r="H42" s="83">
        <f t="shared" si="2"/>
        <v>0</v>
      </c>
      <c r="I42" s="101"/>
      <c r="J42" s="85">
        <f t="shared" si="0"/>
        <v>0</v>
      </c>
      <c r="K42" s="82">
        <f t="shared" si="3"/>
        <v>0</v>
      </c>
      <c r="L42" s="82">
        <f t="shared" si="4"/>
        <v>0</v>
      </c>
      <c r="M42" s="81" t="s">
        <v>84</v>
      </c>
      <c r="N42" s="111"/>
      <c r="O42" s="87"/>
      <c r="P42" s="112"/>
      <c r="Q42" s="88"/>
      <c r="R42" s="89">
        <f t="shared" si="9"/>
        <v>0</v>
      </c>
      <c r="S42" s="89">
        <f t="shared" si="5"/>
        <v>0</v>
      </c>
      <c r="T42" s="89">
        <f t="shared" si="6"/>
        <v>0</v>
      </c>
      <c r="U42" s="90">
        <f t="shared" si="7"/>
        <v>0</v>
      </c>
      <c r="V42" s="90">
        <f t="shared" si="8"/>
        <v>0</v>
      </c>
      <c r="W42" s="108"/>
      <c r="X42" s="92"/>
      <c r="Y42" s="4"/>
      <c r="Z42" s="4"/>
      <c r="AA42" s="4"/>
      <c r="AB42" s="4"/>
    </row>
    <row r="43" spans="1:28" x14ac:dyDescent="0.25">
      <c r="A43" s="1"/>
      <c r="B43" s="95"/>
      <c r="C43" s="13"/>
      <c r="D43" s="96"/>
      <c r="E43" s="97"/>
      <c r="F43" s="98"/>
      <c r="G43" s="99">
        <f t="shared" si="1"/>
        <v>0</v>
      </c>
      <c r="H43" s="100">
        <f t="shared" si="2"/>
        <v>0</v>
      </c>
      <c r="I43" s="101"/>
      <c r="J43" s="102">
        <f t="shared" si="0"/>
        <v>0</v>
      </c>
      <c r="K43" s="99">
        <f t="shared" si="3"/>
        <v>0</v>
      </c>
      <c r="L43" s="99">
        <f t="shared" si="4"/>
        <v>0</v>
      </c>
      <c r="M43" s="103" t="s">
        <v>84</v>
      </c>
      <c r="N43" s="104"/>
      <c r="O43" s="87"/>
      <c r="P43" s="95"/>
      <c r="Q43" s="98"/>
      <c r="R43" s="105">
        <f t="shared" si="9"/>
        <v>0</v>
      </c>
      <c r="S43" s="106">
        <f t="shared" si="5"/>
        <v>0</v>
      </c>
      <c r="T43" s="106">
        <f t="shared" si="6"/>
        <v>0</v>
      </c>
      <c r="U43" s="107">
        <f t="shared" si="7"/>
        <v>0</v>
      </c>
      <c r="V43" s="107">
        <f t="shared" si="8"/>
        <v>0</v>
      </c>
      <c r="W43" s="108"/>
      <c r="X43" s="92"/>
      <c r="Y43" s="4"/>
      <c r="Z43" s="4"/>
      <c r="AA43" s="4"/>
      <c r="AB43" s="4"/>
    </row>
    <row r="44" spans="1:28" x14ac:dyDescent="0.25">
      <c r="A44" s="1"/>
      <c r="B44" s="77"/>
      <c r="C44" s="109"/>
      <c r="D44" s="110"/>
      <c r="E44" s="80"/>
      <c r="F44" s="81"/>
      <c r="G44" s="82">
        <f t="shared" si="1"/>
        <v>0</v>
      </c>
      <c r="H44" s="83">
        <f t="shared" si="2"/>
        <v>0</v>
      </c>
      <c r="I44" s="101"/>
      <c r="J44" s="85">
        <f t="shared" si="0"/>
        <v>0</v>
      </c>
      <c r="K44" s="82">
        <f t="shared" si="3"/>
        <v>0</v>
      </c>
      <c r="L44" s="82">
        <f t="shared" si="4"/>
        <v>0</v>
      </c>
      <c r="M44" s="81" t="s">
        <v>84</v>
      </c>
      <c r="N44" s="111"/>
      <c r="O44" s="87"/>
      <c r="P44" s="112"/>
      <c r="Q44" s="88"/>
      <c r="R44" s="89">
        <f t="shared" si="9"/>
        <v>0</v>
      </c>
      <c r="S44" s="89">
        <f t="shared" si="5"/>
        <v>0</v>
      </c>
      <c r="T44" s="89">
        <f t="shared" si="6"/>
        <v>0</v>
      </c>
      <c r="U44" s="90">
        <f t="shared" si="7"/>
        <v>0</v>
      </c>
      <c r="V44" s="90">
        <f t="shared" si="8"/>
        <v>0</v>
      </c>
      <c r="W44" s="108"/>
      <c r="X44" s="92"/>
      <c r="Y44" s="4"/>
      <c r="Z44" s="4"/>
      <c r="AA44" s="4"/>
      <c r="AB44" s="4"/>
    </row>
    <row r="45" spans="1:28" x14ac:dyDescent="0.25">
      <c r="A45" s="1"/>
      <c r="B45" s="95"/>
      <c r="C45" s="13"/>
      <c r="D45" s="96"/>
      <c r="E45" s="97"/>
      <c r="F45" s="98"/>
      <c r="G45" s="99">
        <f t="shared" si="1"/>
        <v>0</v>
      </c>
      <c r="H45" s="100">
        <f t="shared" si="2"/>
        <v>0</v>
      </c>
      <c r="I45" s="101"/>
      <c r="J45" s="102">
        <f t="shared" si="0"/>
        <v>0</v>
      </c>
      <c r="K45" s="99">
        <f t="shared" si="3"/>
        <v>0</v>
      </c>
      <c r="L45" s="99">
        <f t="shared" si="4"/>
        <v>0</v>
      </c>
      <c r="M45" s="103" t="s">
        <v>84</v>
      </c>
      <c r="N45" s="104"/>
      <c r="O45" s="87"/>
      <c r="P45" s="95"/>
      <c r="Q45" s="98"/>
      <c r="R45" s="105">
        <f t="shared" si="9"/>
        <v>0</v>
      </c>
      <c r="S45" s="106">
        <f t="shared" si="5"/>
        <v>0</v>
      </c>
      <c r="T45" s="106">
        <f t="shared" si="6"/>
        <v>0</v>
      </c>
      <c r="U45" s="107">
        <f t="shared" si="7"/>
        <v>0</v>
      </c>
      <c r="V45" s="107">
        <f t="shared" si="8"/>
        <v>0</v>
      </c>
      <c r="W45" s="108"/>
      <c r="X45" s="92"/>
      <c r="Y45" s="4"/>
      <c r="Z45" s="4"/>
      <c r="AA45" s="4"/>
      <c r="AB45" s="4"/>
    </row>
    <row r="46" spans="1:28" x14ac:dyDescent="0.25">
      <c r="A46" s="1"/>
      <c r="B46" s="77"/>
      <c r="C46" s="109"/>
      <c r="D46" s="110"/>
      <c r="E46" s="80"/>
      <c r="F46" s="81"/>
      <c r="G46" s="82">
        <f t="shared" si="1"/>
        <v>0</v>
      </c>
      <c r="H46" s="83">
        <f t="shared" si="2"/>
        <v>0</v>
      </c>
      <c r="I46" s="101"/>
      <c r="J46" s="85">
        <f t="shared" si="0"/>
        <v>0</v>
      </c>
      <c r="K46" s="82">
        <f t="shared" si="3"/>
        <v>0</v>
      </c>
      <c r="L46" s="82">
        <f t="shared" si="4"/>
        <v>0</v>
      </c>
      <c r="M46" s="81" t="s">
        <v>84</v>
      </c>
      <c r="N46" s="111"/>
      <c r="O46" s="87"/>
      <c r="P46" s="112"/>
      <c r="Q46" s="88"/>
      <c r="R46" s="89">
        <f t="shared" si="9"/>
        <v>0</v>
      </c>
      <c r="S46" s="89">
        <f t="shared" si="5"/>
        <v>0</v>
      </c>
      <c r="T46" s="89">
        <f t="shared" si="6"/>
        <v>0</v>
      </c>
      <c r="U46" s="90">
        <f t="shared" si="7"/>
        <v>0</v>
      </c>
      <c r="V46" s="90">
        <f t="shared" si="8"/>
        <v>0</v>
      </c>
      <c r="W46" s="108"/>
      <c r="X46" s="92"/>
      <c r="Y46" s="4"/>
      <c r="Z46" s="4"/>
      <c r="AA46" s="4"/>
      <c r="AB46" s="4"/>
    </row>
    <row r="47" spans="1:28" x14ac:dyDescent="0.25">
      <c r="A47" s="1"/>
      <c r="B47" s="95"/>
      <c r="C47" s="13"/>
      <c r="D47" s="96"/>
      <c r="E47" s="97"/>
      <c r="F47" s="98"/>
      <c r="G47" s="99">
        <f t="shared" si="1"/>
        <v>0</v>
      </c>
      <c r="H47" s="100">
        <f t="shared" si="2"/>
        <v>0</v>
      </c>
      <c r="I47" s="101"/>
      <c r="J47" s="102">
        <f t="shared" si="0"/>
        <v>0</v>
      </c>
      <c r="K47" s="99">
        <f t="shared" si="3"/>
        <v>0</v>
      </c>
      <c r="L47" s="99">
        <f t="shared" si="4"/>
        <v>0</v>
      </c>
      <c r="M47" s="103" t="s">
        <v>84</v>
      </c>
      <c r="N47" s="104"/>
      <c r="O47" s="87"/>
      <c r="P47" s="95"/>
      <c r="Q47" s="98"/>
      <c r="R47" s="105">
        <f t="shared" si="9"/>
        <v>0</v>
      </c>
      <c r="S47" s="106">
        <f t="shared" si="5"/>
        <v>0</v>
      </c>
      <c r="T47" s="106">
        <f t="shared" si="6"/>
        <v>0</v>
      </c>
      <c r="U47" s="107">
        <f t="shared" si="7"/>
        <v>0</v>
      </c>
      <c r="V47" s="107">
        <f t="shared" si="8"/>
        <v>0</v>
      </c>
      <c r="W47" s="108"/>
      <c r="X47" s="92"/>
      <c r="Y47" s="4"/>
      <c r="Z47" s="4"/>
      <c r="AA47" s="4"/>
      <c r="AB47" s="4"/>
    </row>
    <row r="48" spans="1:28" x14ac:dyDescent="0.25">
      <c r="A48" s="1"/>
      <c r="B48" s="77"/>
      <c r="C48" s="109"/>
      <c r="D48" s="110"/>
      <c r="E48" s="80"/>
      <c r="F48" s="81"/>
      <c r="G48" s="82">
        <f t="shared" si="1"/>
        <v>0</v>
      </c>
      <c r="H48" s="83">
        <f t="shared" si="2"/>
        <v>0</v>
      </c>
      <c r="I48" s="101"/>
      <c r="J48" s="85">
        <f t="shared" si="0"/>
        <v>0</v>
      </c>
      <c r="K48" s="82">
        <f t="shared" si="3"/>
        <v>0</v>
      </c>
      <c r="L48" s="82">
        <f t="shared" si="4"/>
        <v>0</v>
      </c>
      <c r="M48" s="81" t="s">
        <v>84</v>
      </c>
      <c r="N48" s="111"/>
      <c r="O48" s="87"/>
      <c r="P48" s="112"/>
      <c r="Q48" s="88"/>
      <c r="R48" s="89">
        <f t="shared" si="9"/>
        <v>0</v>
      </c>
      <c r="S48" s="89">
        <f t="shared" si="5"/>
        <v>0</v>
      </c>
      <c r="T48" s="89">
        <f t="shared" si="6"/>
        <v>0</v>
      </c>
      <c r="U48" s="90">
        <f t="shared" si="7"/>
        <v>0</v>
      </c>
      <c r="V48" s="90">
        <f t="shared" si="8"/>
        <v>0</v>
      </c>
      <c r="W48" s="108"/>
      <c r="X48" s="92"/>
      <c r="Y48" s="4"/>
      <c r="Z48" s="4"/>
      <c r="AA48" s="4"/>
      <c r="AB48" s="4"/>
    </row>
    <row r="49" spans="1:28" x14ac:dyDescent="0.25">
      <c r="A49" s="1"/>
      <c r="B49" s="95"/>
      <c r="C49" s="13"/>
      <c r="D49" s="96"/>
      <c r="E49" s="97"/>
      <c r="F49" s="98"/>
      <c r="G49" s="99">
        <f t="shared" si="1"/>
        <v>0</v>
      </c>
      <c r="H49" s="100">
        <f t="shared" si="2"/>
        <v>0</v>
      </c>
      <c r="I49" s="101"/>
      <c r="J49" s="102">
        <f t="shared" si="0"/>
        <v>0</v>
      </c>
      <c r="K49" s="99">
        <f t="shared" si="3"/>
        <v>0</v>
      </c>
      <c r="L49" s="99">
        <f t="shared" si="4"/>
        <v>0</v>
      </c>
      <c r="M49" s="103" t="s">
        <v>84</v>
      </c>
      <c r="N49" s="104">
        <v>0.5</v>
      </c>
      <c r="O49" s="87"/>
      <c r="P49" s="95"/>
      <c r="Q49" s="98"/>
      <c r="R49" s="105">
        <f t="shared" si="9"/>
        <v>0</v>
      </c>
      <c r="S49" s="106">
        <f t="shared" si="5"/>
        <v>0</v>
      </c>
      <c r="T49" s="106">
        <f t="shared" si="6"/>
        <v>0</v>
      </c>
      <c r="U49" s="107">
        <f t="shared" si="7"/>
        <v>0</v>
      </c>
      <c r="V49" s="107">
        <f t="shared" si="8"/>
        <v>0</v>
      </c>
      <c r="W49" s="108"/>
      <c r="X49" s="92"/>
      <c r="Y49" s="4"/>
      <c r="Z49" s="4"/>
      <c r="AA49" s="4"/>
      <c r="AB49" s="4"/>
    </row>
    <row r="50" spans="1:28" x14ac:dyDescent="0.25">
      <c r="A50" s="1"/>
      <c r="B50" s="77"/>
      <c r="C50" s="109"/>
      <c r="D50" s="110"/>
      <c r="E50" s="80"/>
      <c r="F50" s="81"/>
      <c r="G50" s="82">
        <f t="shared" si="1"/>
        <v>0</v>
      </c>
      <c r="H50" s="83">
        <f t="shared" si="2"/>
        <v>0</v>
      </c>
      <c r="I50" s="101"/>
      <c r="J50" s="85">
        <f t="shared" si="0"/>
        <v>0</v>
      </c>
      <c r="K50" s="82">
        <f t="shared" si="3"/>
        <v>0</v>
      </c>
      <c r="L50" s="82">
        <f t="shared" si="4"/>
        <v>0</v>
      </c>
      <c r="M50" s="81" t="s">
        <v>84</v>
      </c>
      <c r="N50" s="111">
        <v>0.5</v>
      </c>
      <c r="O50" s="87"/>
      <c r="P50" s="112"/>
      <c r="Q50" s="88"/>
      <c r="R50" s="89">
        <f t="shared" si="9"/>
        <v>0</v>
      </c>
      <c r="S50" s="89">
        <f t="shared" si="5"/>
        <v>0</v>
      </c>
      <c r="T50" s="89">
        <f t="shared" si="6"/>
        <v>0</v>
      </c>
      <c r="U50" s="90">
        <f t="shared" si="7"/>
        <v>0</v>
      </c>
      <c r="V50" s="90">
        <f t="shared" si="8"/>
        <v>0</v>
      </c>
      <c r="W50" s="108"/>
      <c r="X50" s="92"/>
      <c r="Y50" s="4"/>
      <c r="Z50" s="4"/>
      <c r="AA50" s="4"/>
      <c r="AB50" s="4"/>
    </row>
    <row r="51" spans="1:28" x14ac:dyDescent="0.25">
      <c r="A51" s="1"/>
      <c r="B51" s="95"/>
      <c r="C51" s="13"/>
      <c r="D51" s="96"/>
      <c r="E51" s="97"/>
      <c r="F51" s="98"/>
      <c r="G51" s="99">
        <f t="shared" si="1"/>
        <v>0</v>
      </c>
      <c r="H51" s="100">
        <f t="shared" si="2"/>
        <v>0</v>
      </c>
      <c r="I51" s="101"/>
      <c r="J51" s="102">
        <f t="shared" si="0"/>
        <v>0</v>
      </c>
      <c r="K51" s="99">
        <f t="shared" si="3"/>
        <v>0</v>
      </c>
      <c r="L51" s="99">
        <f t="shared" si="4"/>
        <v>0</v>
      </c>
      <c r="M51" s="103" t="s">
        <v>84</v>
      </c>
      <c r="N51" s="104">
        <v>0.5</v>
      </c>
      <c r="O51" s="87"/>
      <c r="P51" s="95"/>
      <c r="Q51" s="98"/>
      <c r="R51" s="105">
        <f t="shared" si="9"/>
        <v>0</v>
      </c>
      <c r="S51" s="106">
        <f t="shared" si="5"/>
        <v>0</v>
      </c>
      <c r="T51" s="106">
        <f t="shared" si="6"/>
        <v>0</v>
      </c>
      <c r="U51" s="107">
        <f t="shared" si="7"/>
        <v>0</v>
      </c>
      <c r="V51" s="107">
        <f t="shared" si="8"/>
        <v>0</v>
      </c>
      <c r="W51" s="108"/>
      <c r="X51" s="92"/>
      <c r="Y51" s="4"/>
      <c r="Z51" s="4"/>
      <c r="AA51" s="4"/>
      <c r="AB51" s="4"/>
    </row>
    <row r="52" spans="1:28" x14ac:dyDescent="0.25">
      <c r="A52" s="1"/>
      <c r="B52" s="77"/>
      <c r="C52" s="109"/>
      <c r="D52" s="110"/>
      <c r="E52" s="80"/>
      <c r="F52" s="81"/>
      <c r="G52" s="82">
        <f t="shared" si="1"/>
        <v>0</v>
      </c>
      <c r="H52" s="83">
        <f t="shared" si="2"/>
        <v>0</v>
      </c>
      <c r="I52" s="101"/>
      <c r="J52" s="85">
        <f t="shared" si="0"/>
        <v>0</v>
      </c>
      <c r="K52" s="82">
        <f t="shared" si="3"/>
        <v>0</v>
      </c>
      <c r="L52" s="82">
        <f t="shared" si="4"/>
        <v>0</v>
      </c>
      <c r="M52" s="81" t="s">
        <v>84</v>
      </c>
      <c r="N52" s="111">
        <v>0.5</v>
      </c>
      <c r="O52" s="87"/>
      <c r="P52" s="112"/>
      <c r="Q52" s="88"/>
      <c r="R52" s="89">
        <f t="shared" si="9"/>
        <v>0</v>
      </c>
      <c r="S52" s="89">
        <f t="shared" si="5"/>
        <v>0</v>
      </c>
      <c r="T52" s="89">
        <f t="shared" si="6"/>
        <v>0</v>
      </c>
      <c r="U52" s="90">
        <f t="shared" si="7"/>
        <v>0</v>
      </c>
      <c r="V52" s="90">
        <f t="shared" si="8"/>
        <v>0</v>
      </c>
      <c r="W52" s="108"/>
      <c r="X52" s="92"/>
      <c r="Y52" s="4"/>
      <c r="Z52" s="4"/>
      <c r="AA52" s="4"/>
      <c r="AB52" s="4"/>
    </row>
    <row r="53" spans="1:28" x14ac:dyDescent="0.25">
      <c r="A53" s="1"/>
      <c r="B53" s="95"/>
      <c r="C53" s="13"/>
      <c r="D53" s="96"/>
      <c r="E53" s="97"/>
      <c r="F53" s="98"/>
      <c r="G53" s="99">
        <f t="shared" si="1"/>
        <v>0</v>
      </c>
      <c r="H53" s="100">
        <f t="shared" si="2"/>
        <v>0</v>
      </c>
      <c r="I53" s="101"/>
      <c r="J53" s="102">
        <f t="shared" si="0"/>
        <v>0</v>
      </c>
      <c r="K53" s="99">
        <f t="shared" si="3"/>
        <v>0</v>
      </c>
      <c r="L53" s="99">
        <f t="shared" si="4"/>
        <v>0</v>
      </c>
      <c r="M53" s="103" t="s">
        <v>84</v>
      </c>
      <c r="N53" s="104"/>
      <c r="O53" s="87"/>
      <c r="P53" s="95"/>
      <c r="Q53" s="98"/>
      <c r="R53" s="105">
        <f t="shared" si="9"/>
        <v>0</v>
      </c>
      <c r="S53" s="106">
        <f t="shared" si="5"/>
        <v>0</v>
      </c>
      <c r="T53" s="106">
        <f t="shared" si="6"/>
        <v>0</v>
      </c>
      <c r="U53" s="107">
        <f t="shared" si="7"/>
        <v>0</v>
      </c>
      <c r="V53" s="107">
        <f t="shared" si="8"/>
        <v>0</v>
      </c>
      <c r="W53" s="108"/>
      <c r="X53" s="92"/>
      <c r="Y53" s="4"/>
      <c r="Z53" s="4"/>
      <c r="AA53" s="4"/>
      <c r="AB53" s="4"/>
    </row>
    <row r="54" spans="1:28" x14ac:dyDescent="0.25">
      <c r="A54" s="1"/>
      <c r="B54" s="77"/>
      <c r="C54" s="109"/>
      <c r="D54" s="110"/>
      <c r="E54" s="80"/>
      <c r="F54" s="81"/>
      <c r="G54" s="82">
        <f t="shared" si="1"/>
        <v>0</v>
      </c>
      <c r="H54" s="83">
        <f t="shared" si="2"/>
        <v>0</v>
      </c>
      <c r="I54" s="101"/>
      <c r="J54" s="85">
        <f t="shared" si="0"/>
        <v>0</v>
      </c>
      <c r="K54" s="82">
        <f t="shared" si="3"/>
        <v>0</v>
      </c>
      <c r="L54" s="82">
        <f t="shared" si="4"/>
        <v>0</v>
      </c>
      <c r="M54" s="81" t="s">
        <v>84</v>
      </c>
      <c r="N54" s="111"/>
      <c r="O54" s="87"/>
      <c r="P54" s="112"/>
      <c r="Q54" s="88"/>
      <c r="R54" s="89">
        <f t="shared" si="9"/>
        <v>0</v>
      </c>
      <c r="S54" s="89">
        <f t="shared" si="5"/>
        <v>0</v>
      </c>
      <c r="T54" s="89">
        <f t="shared" si="6"/>
        <v>0</v>
      </c>
      <c r="U54" s="90">
        <f t="shared" si="7"/>
        <v>0</v>
      </c>
      <c r="V54" s="90">
        <f t="shared" si="8"/>
        <v>0</v>
      </c>
      <c r="W54" s="108"/>
      <c r="X54" s="92"/>
      <c r="Y54" s="4"/>
      <c r="Z54" s="4"/>
      <c r="AA54" s="4"/>
      <c r="AB54" s="4"/>
    </row>
    <row r="55" spans="1:28" x14ac:dyDescent="0.25">
      <c r="A55" s="1"/>
      <c r="B55" s="95"/>
      <c r="C55" s="13"/>
      <c r="D55" s="96"/>
      <c r="E55" s="97"/>
      <c r="F55" s="98"/>
      <c r="G55" s="99">
        <f t="shared" si="1"/>
        <v>0</v>
      </c>
      <c r="H55" s="100">
        <f t="shared" si="2"/>
        <v>0</v>
      </c>
      <c r="I55" s="101"/>
      <c r="J55" s="102">
        <f t="shared" si="0"/>
        <v>0</v>
      </c>
      <c r="K55" s="99">
        <f t="shared" si="3"/>
        <v>0</v>
      </c>
      <c r="L55" s="99">
        <f t="shared" si="4"/>
        <v>0</v>
      </c>
      <c r="M55" s="103" t="s">
        <v>84</v>
      </c>
      <c r="N55" s="104"/>
      <c r="O55" s="87"/>
      <c r="P55" s="95"/>
      <c r="Q55" s="98"/>
      <c r="R55" s="105">
        <f t="shared" si="9"/>
        <v>0</v>
      </c>
      <c r="S55" s="106">
        <f t="shared" si="5"/>
        <v>0</v>
      </c>
      <c r="T55" s="106">
        <f t="shared" si="6"/>
        <v>0</v>
      </c>
      <c r="U55" s="107">
        <f t="shared" si="7"/>
        <v>0</v>
      </c>
      <c r="V55" s="107">
        <f t="shared" si="8"/>
        <v>0</v>
      </c>
      <c r="W55" s="108"/>
      <c r="X55" s="92"/>
      <c r="Y55" s="4"/>
      <c r="Z55" s="4"/>
      <c r="AA55" s="4"/>
      <c r="AB55" s="4"/>
    </row>
    <row r="56" spans="1:28" x14ac:dyDescent="0.25">
      <c r="A56" s="1"/>
      <c r="B56" s="77"/>
      <c r="C56" s="109"/>
      <c r="D56" s="110"/>
      <c r="E56" s="80"/>
      <c r="F56" s="81"/>
      <c r="G56" s="82">
        <f t="shared" si="1"/>
        <v>0</v>
      </c>
      <c r="H56" s="83">
        <f t="shared" si="2"/>
        <v>0</v>
      </c>
      <c r="I56" s="101"/>
      <c r="J56" s="85">
        <f t="shared" si="0"/>
        <v>0</v>
      </c>
      <c r="K56" s="82">
        <f t="shared" si="3"/>
        <v>0</v>
      </c>
      <c r="L56" s="82">
        <f t="shared" si="4"/>
        <v>0</v>
      </c>
      <c r="M56" s="81" t="s">
        <v>84</v>
      </c>
      <c r="N56" s="111"/>
      <c r="O56" s="87"/>
      <c r="P56" s="112"/>
      <c r="Q56" s="88"/>
      <c r="R56" s="89">
        <f t="shared" si="9"/>
        <v>0</v>
      </c>
      <c r="S56" s="89">
        <f t="shared" si="5"/>
        <v>0</v>
      </c>
      <c r="T56" s="89">
        <f t="shared" si="6"/>
        <v>0</v>
      </c>
      <c r="U56" s="90">
        <f t="shared" si="7"/>
        <v>0</v>
      </c>
      <c r="V56" s="90">
        <f t="shared" si="8"/>
        <v>0</v>
      </c>
      <c r="W56" s="108"/>
      <c r="X56" s="92"/>
      <c r="Y56" s="4"/>
      <c r="Z56" s="4"/>
      <c r="AA56" s="4"/>
      <c r="AB56" s="4"/>
    </row>
    <row r="57" spans="1:28" x14ac:dyDescent="0.25">
      <c r="A57" s="1"/>
      <c r="B57" s="95"/>
      <c r="C57" s="13"/>
      <c r="D57" s="96"/>
      <c r="E57" s="97"/>
      <c r="F57" s="98"/>
      <c r="G57" s="99">
        <f t="shared" si="1"/>
        <v>0</v>
      </c>
      <c r="H57" s="100">
        <f t="shared" si="2"/>
        <v>0</v>
      </c>
      <c r="I57" s="101"/>
      <c r="J57" s="102">
        <f t="shared" si="0"/>
        <v>0</v>
      </c>
      <c r="K57" s="99">
        <f t="shared" si="3"/>
        <v>0</v>
      </c>
      <c r="L57" s="99">
        <f t="shared" si="4"/>
        <v>0</v>
      </c>
      <c r="M57" s="103" t="s">
        <v>84</v>
      </c>
      <c r="N57" s="104"/>
      <c r="O57" s="87"/>
      <c r="P57" s="95"/>
      <c r="Q57" s="98"/>
      <c r="R57" s="105">
        <f t="shared" si="9"/>
        <v>0</v>
      </c>
      <c r="S57" s="106">
        <f t="shared" si="5"/>
        <v>0</v>
      </c>
      <c r="T57" s="106">
        <f t="shared" si="6"/>
        <v>0</v>
      </c>
      <c r="U57" s="107">
        <f t="shared" si="7"/>
        <v>0</v>
      </c>
      <c r="V57" s="107">
        <f t="shared" si="8"/>
        <v>0</v>
      </c>
      <c r="W57" s="108"/>
      <c r="X57" s="92"/>
      <c r="Y57" s="4"/>
      <c r="Z57" s="4"/>
      <c r="AA57" s="4"/>
      <c r="AB57" s="4"/>
    </row>
    <row r="58" spans="1:28" x14ac:dyDescent="0.25">
      <c r="A58" s="1"/>
      <c r="B58" s="77"/>
      <c r="C58" s="109"/>
      <c r="D58" s="110"/>
      <c r="E58" s="80"/>
      <c r="F58" s="81"/>
      <c r="G58" s="82">
        <f t="shared" si="1"/>
        <v>0</v>
      </c>
      <c r="H58" s="83">
        <f t="shared" si="2"/>
        <v>0</v>
      </c>
      <c r="I58" s="101"/>
      <c r="J58" s="85">
        <f t="shared" si="0"/>
        <v>0</v>
      </c>
      <c r="K58" s="82">
        <f t="shared" si="3"/>
        <v>0</v>
      </c>
      <c r="L58" s="82">
        <f t="shared" si="4"/>
        <v>0</v>
      </c>
      <c r="M58" s="81" t="s">
        <v>84</v>
      </c>
      <c r="N58" s="111"/>
      <c r="O58" s="87"/>
      <c r="P58" s="112"/>
      <c r="Q58" s="88"/>
      <c r="R58" s="89">
        <f t="shared" si="9"/>
        <v>0</v>
      </c>
      <c r="S58" s="89">
        <f t="shared" si="5"/>
        <v>0</v>
      </c>
      <c r="T58" s="89">
        <f t="shared" si="6"/>
        <v>0</v>
      </c>
      <c r="U58" s="90">
        <f t="shared" si="7"/>
        <v>0</v>
      </c>
      <c r="V58" s="90">
        <f t="shared" si="8"/>
        <v>0</v>
      </c>
      <c r="W58" s="108"/>
      <c r="X58" s="92"/>
      <c r="Y58" s="4"/>
      <c r="Z58" s="4"/>
      <c r="AA58" s="4"/>
      <c r="AB58" s="4"/>
    </row>
    <row r="59" spans="1:28" x14ac:dyDescent="0.25">
      <c r="A59" s="1"/>
      <c r="B59" s="95"/>
      <c r="C59" s="13"/>
      <c r="D59" s="96"/>
      <c r="E59" s="97"/>
      <c r="F59" s="98"/>
      <c r="G59" s="99">
        <f t="shared" si="1"/>
        <v>0</v>
      </c>
      <c r="H59" s="100">
        <f t="shared" si="2"/>
        <v>0</v>
      </c>
      <c r="I59" s="101"/>
      <c r="J59" s="102">
        <f t="shared" si="0"/>
        <v>0</v>
      </c>
      <c r="K59" s="99">
        <f t="shared" si="3"/>
        <v>0</v>
      </c>
      <c r="L59" s="99">
        <f t="shared" si="4"/>
        <v>0</v>
      </c>
      <c r="M59" s="103" t="s">
        <v>84</v>
      </c>
      <c r="N59" s="104"/>
      <c r="O59" s="87"/>
      <c r="P59" s="95"/>
      <c r="Q59" s="98"/>
      <c r="R59" s="105">
        <f t="shared" si="9"/>
        <v>0</v>
      </c>
      <c r="S59" s="106">
        <f t="shared" si="5"/>
        <v>0</v>
      </c>
      <c r="T59" s="106">
        <f t="shared" si="6"/>
        <v>0</v>
      </c>
      <c r="U59" s="107">
        <f t="shared" si="7"/>
        <v>0</v>
      </c>
      <c r="V59" s="107">
        <f t="shared" si="8"/>
        <v>0</v>
      </c>
      <c r="W59" s="108"/>
      <c r="X59" s="92"/>
      <c r="Y59" s="4"/>
      <c r="Z59" s="4"/>
      <c r="AA59" s="4"/>
      <c r="AB59" s="4"/>
    </row>
    <row r="60" spans="1:28" x14ac:dyDescent="0.25">
      <c r="A60" s="1"/>
      <c r="B60" s="77"/>
      <c r="C60" s="109"/>
      <c r="D60" s="110"/>
      <c r="E60" s="80"/>
      <c r="F60" s="81"/>
      <c r="G60" s="82">
        <f t="shared" si="1"/>
        <v>0</v>
      </c>
      <c r="H60" s="83">
        <f t="shared" si="2"/>
        <v>0</v>
      </c>
      <c r="I60" s="101"/>
      <c r="J60" s="85">
        <f t="shared" si="0"/>
        <v>0</v>
      </c>
      <c r="K60" s="82">
        <f t="shared" si="3"/>
        <v>0</v>
      </c>
      <c r="L60" s="82">
        <f t="shared" si="4"/>
        <v>0</v>
      </c>
      <c r="M60" s="81" t="s">
        <v>84</v>
      </c>
      <c r="N60" s="111"/>
      <c r="O60" s="87"/>
      <c r="P60" s="112"/>
      <c r="Q60" s="88"/>
      <c r="R60" s="89">
        <f t="shared" si="9"/>
        <v>0</v>
      </c>
      <c r="S60" s="89">
        <f t="shared" si="5"/>
        <v>0</v>
      </c>
      <c r="T60" s="89">
        <f t="shared" si="6"/>
        <v>0</v>
      </c>
      <c r="U60" s="90">
        <f t="shared" si="7"/>
        <v>0</v>
      </c>
      <c r="V60" s="90">
        <f t="shared" si="8"/>
        <v>0</v>
      </c>
      <c r="W60" s="108"/>
      <c r="X60" s="92"/>
      <c r="Y60" s="4"/>
      <c r="Z60" s="4"/>
      <c r="AA60" s="4"/>
      <c r="AB60" s="4"/>
    </row>
    <row r="61" spans="1:28" ht="20.25" customHeight="1" x14ac:dyDescent="0.25">
      <c r="A61" s="115"/>
      <c r="B61" s="116"/>
      <c r="C61" s="116"/>
      <c r="D61" s="117" t="s">
        <v>116</v>
      </c>
      <c r="E61" s="118">
        <f>SUM(E18:E60)</f>
        <v>13</v>
      </c>
      <c r="F61" s="119">
        <f>SUM(F18:F60)</f>
        <v>14089.749999999998</v>
      </c>
      <c r="G61" s="120">
        <f>SUM(G18:G60)</f>
        <v>9717.07</v>
      </c>
      <c r="H61" s="121">
        <f>SUM(H18:H60)</f>
        <v>20548.399999999998</v>
      </c>
      <c r="I61" s="122"/>
      <c r="J61" s="123">
        <f>SUM(J18:J60)</f>
        <v>13</v>
      </c>
      <c r="K61" s="120">
        <f>SUM(K18:K60)</f>
        <v>5628.15</v>
      </c>
      <c r="L61" s="121">
        <f>SUM(L18:L60)</f>
        <v>8857.5</v>
      </c>
      <c r="M61" s="121"/>
      <c r="N61" s="121"/>
      <c r="O61" s="124"/>
      <c r="P61" s="125"/>
      <c r="Q61" s="120">
        <f>SUM(Q18:Q60)</f>
        <v>0</v>
      </c>
      <c r="R61" s="120">
        <f>SUM(R18:R60)</f>
        <v>0</v>
      </c>
      <c r="S61" s="121">
        <f>SUM(S18:S60)</f>
        <v>5628.15</v>
      </c>
      <c r="T61" s="121">
        <f>SUM(T18:T60)</f>
        <v>8857.5</v>
      </c>
      <c r="U61" s="126"/>
      <c r="V61" s="126"/>
      <c r="W61" s="127"/>
      <c r="X61" s="128"/>
    </row>
    <row r="63" spans="1:28" ht="15" customHeight="1" x14ac:dyDescent="0.25">
      <c r="U63" s="130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39" priority="3" stopIfTrue="1">
      <formula>$U$9&gt;100%</formula>
    </cfRule>
    <cfRule type="expression" dxfId="238" priority="4">
      <formula>$U$9&lt;50%</formula>
    </cfRule>
  </conditionalFormatting>
  <conditionalFormatting sqref="V9:V10">
    <cfRule type="expression" dxfId="237" priority="1">
      <formula>$V$9&lt;50%</formula>
    </cfRule>
    <cfRule type="expression" dxfId="236" priority="2">
      <formula>$V$9&gt;50%</formula>
    </cfRule>
  </conditionalFormatting>
  <dataValidations count="5">
    <dataValidation type="list" allowBlank="1" showInputMessage="1" showErrorMessage="1" sqref="F17 K17 Q17 Q14" xr:uid="{32B09320-786A-4BCA-8EC8-905CEF1FC6B7}">
      <formula1>$Y$11:$Y$12</formula1>
    </dataValidation>
    <dataValidation type="list" allowBlank="1" showInputMessage="1" showErrorMessage="1" sqref="H13" xr:uid="{223A3AC2-9BAF-430D-A884-A92F8508858D}">
      <formula1>$Y$13:$Y$14</formula1>
    </dataValidation>
    <dataValidation type="list" allowBlank="1" showInputMessage="1" showErrorMessage="1" sqref="I13" xr:uid="{8C9EA389-88AD-4E3C-8E74-18D3896E4CB1}">
      <formula1>$K$9:$K$9</formula1>
    </dataValidation>
    <dataValidation type="list" showInputMessage="1" showErrorMessage="1" sqref="D18:D60" xr:uid="{BE1A3645-FF3F-47B0-882F-A7EC1DC91C46}">
      <formula1>$Z$18:$Z$29</formula1>
    </dataValidation>
    <dataValidation type="list" allowBlank="1" showInputMessage="1" showErrorMessage="1" sqref="M18:M60" xr:uid="{B1C3B047-632C-42DD-95D8-F76B4FF32B45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23A9D-17F0-48EB-8435-198398E189F2}">
  <sheetPr>
    <pageSetUpPr fitToPage="1"/>
  </sheetPr>
  <dimension ref="A1:AB63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" customWidth="1"/>
    <col min="2" max="2" width="25.7109375" style="5" customWidth="1"/>
    <col min="3" max="3" width="43.28515625" style="5" customWidth="1"/>
    <col min="4" max="4" width="9.7109375" style="129" customWidth="1"/>
    <col min="5" max="5" width="9.7109375" style="5" customWidth="1"/>
    <col min="6" max="8" width="18.7109375" style="5" customWidth="1"/>
    <col min="9" max="9" width="0.85546875" style="5" customWidth="1"/>
    <col min="10" max="10" width="9.5703125" style="5" customWidth="1"/>
    <col min="11" max="13" width="18.7109375" style="5" customWidth="1"/>
    <col min="14" max="14" width="13.7109375" style="5" customWidth="1"/>
    <col min="15" max="15" width="0.85546875" style="5" customWidth="1"/>
    <col min="16" max="16" width="17.85546875" style="5" customWidth="1"/>
    <col min="17" max="20" width="18.7109375" style="5" customWidth="1"/>
    <col min="21" max="21" width="15" style="5" bestFit="1" customWidth="1"/>
    <col min="22" max="22" width="14.7109375" style="5" bestFit="1" customWidth="1"/>
    <col min="23" max="23" width="13.42578125" style="5" hidden="1" customWidth="1"/>
    <col min="24" max="24" width="0.85546875" style="5" customWidth="1"/>
    <col min="25" max="26" width="9.140625" style="5" hidden="1" customWidth="1"/>
    <col min="27" max="27" width="9.140625" style="5" customWidth="1"/>
    <col min="28" max="28" width="10.5703125" style="5" bestFit="1" customWidth="1"/>
    <col min="29" max="16384" width="9.140625" style="5"/>
  </cols>
  <sheetData>
    <row r="1" spans="1:28" ht="23.25" customHeight="1" x14ac:dyDescent="0.25">
      <c r="A1" s="1"/>
      <c r="B1" s="392" t="s">
        <v>0</v>
      </c>
      <c r="C1" s="389"/>
      <c r="D1" s="393" t="s">
        <v>1</v>
      </c>
      <c r="E1" s="390"/>
      <c r="F1" s="390"/>
      <c r="G1" s="391"/>
      <c r="H1" s="389" t="s">
        <v>2</v>
      </c>
      <c r="I1" s="390"/>
      <c r="J1" s="390"/>
      <c r="K1" s="391"/>
      <c r="L1" s="394" t="s">
        <v>3</v>
      </c>
      <c r="M1" s="395"/>
      <c r="N1" s="395"/>
      <c r="O1" s="395"/>
      <c r="P1" s="390" t="str">
        <f>K17</f>
        <v>CAD $</v>
      </c>
      <c r="Q1" s="390"/>
      <c r="R1" s="391"/>
      <c r="S1" s="389" t="s">
        <v>4</v>
      </c>
      <c r="T1" s="390"/>
      <c r="U1" s="390"/>
      <c r="V1" s="390"/>
      <c r="W1" s="391"/>
      <c r="X1" s="2"/>
      <c r="Y1" s="3"/>
      <c r="Z1" s="4"/>
      <c r="AA1" s="4"/>
      <c r="AB1" s="4"/>
    </row>
    <row r="2" spans="1:28" ht="15" customHeight="1" x14ac:dyDescent="0.25">
      <c r="A2" s="1"/>
      <c r="B2" s="6" t="s">
        <v>5</v>
      </c>
      <c r="C2" s="7">
        <v>45919</v>
      </c>
      <c r="D2" s="412" t="s">
        <v>6</v>
      </c>
      <c r="E2" s="413"/>
      <c r="F2" s="414">
        <v>58624</v>
      </c>
      <c r="G2" s="415"/>
      <c r="H2" s="412" t="s">
        <v>7</v>
      </c>
      <c r="I2" s="416"/>
      <c r="J2" s="413"/>
      <c r="K2" s="8"/>
      <c r="L2" s="417" t="s">
        <v>8</v>
      </c>
      <c r="M2" s="418"/>
      <c r="N2" s="419"/>
      <c r="O2" s="9"/>
      <c r="P2" s="420">
        <f>H61</f>
        <v>20548.399999999998</v>
      </c>
      <c r="Q2" s="420"/>
      <c r="R2" s="421"/>
      <c r="S2" s="422" t="s">
        <v>9</v>
      </c>
      <c r="T2" s="423"/>
      <c r="U2" s="396"/>
      <c r="V2" s="397"/>
      <c r="W2" s="10"/>
      <c r="X2" s="11"/>
      <c r="Y2" s="3"/>
      <c r="Z2" s="4"/>
      <c r="AA2" s="4"/>
      <c r="AB2" s="4"/>
    </row>
    <row r="3" spans="1:28" ht="15" customHeight="1" x14ac:dyDescent="0.25">
      <c r="A3" s="1"/>
      <c r="B3" s="12" t="s">
        <v>10</v>
      </c>
      <c r="C3" s="13" t="s">
        <v>11</v>
      </c>
      <c r="D3" s="398" t="s">
        <v>12</v>
      </c>
      <c r="E3" s="399"/>
      <c r="F3" s="400"/>
      <c r="G3" s="401"/>
      <c r="H3" s="398" t="s">
        <v>13</v>
      </c>
      <c r="I3" s="402"/>
      <c r="J3" s="399"/>
      <c r="K3" s="14"/>
      <c r="L3" s="403" t="s">
        <v>14</v>
      </c>
      <c r="M3" s="404"/>
      <c r="N3" s="405"/>
      <c r="O3" s="9"/>
      <c r="P3" s="406">
        <f>L61</f>
        <v>8857.5</v>
      </c>
      <c r="Q3" s="406"/>
      <c r="R3" s="407"/>
      <c r="S3" s="408" t="s">
        <v>15</v>
      </c>
      <c r="T3" s="409"/>
      <c r="U3" s="410"/>
      <c r="V3" s="411"/>
      <c r="W3" s="15"/>
      <c r="X3" s="1"/>
      <c r="Y3" s="16"/>
      <c r="Z3" s="4"/>
      <c r="AA3" s="4"/>
      <c r="AB3" s="4"/>
    </row>
    <row r="4" spans="1:28" ht="15" customHeight="1" x14ac:dyDescent="0.25">
      <c r="A4" s="1"/>
      <c r="B4" s="17" t="s">
        <v>16</v>
      </c>
      <c r="C4" s="13"/>
      <c r="D4" s="398" t="s">
        <v>17</v>
      </c>
      <c r="E4" s="399"/>
      <c r="F4" s="400" t="s">
        <v>121</v>
      </c>
      <c r="G4" s="401"/>
      <c r="H4" s="398" t="s">
        <v>19</v>
      </c>
      <c r="I4" s="402"/>
      <c r="J4" s="399"/>
      <c r="K4" s="14"/>
      <c r="L4" s="403" t="s">
        <v>20</v>
      </c>
      <c r="M4" s="404"/>
      <c r="N4" s="405"/>
      <c r="O4" s="9"/>
      <c r="P4" s="406">
        <f>P2-P3</f>
        <v>11690.899999999998</v>
      </c>
      <c r="Q4" s="406"/>
      <c r="R4" s="407"/>
      <c r="S4" s="408" t="s">
        <v>21</v>
      </c>
      <c r="T4" s="409"/>
      <c r="U4" s="410"/>
      <c r="V4" s="411"/>
      <c r="W4" s="15"/>
      <c r="X4" s="1"/>
      <c r="Y4" s="16"/>
      <c r="Z4" s="4"/>
      <c r="AA4" s="4"/>
      <c r="AB4" s="4"/>
    </row>
    <row r="5" spans="1:28" ht="15" customHeight="1" thickBot="1" x14ac:dyDescent="0.3">
      <c r="A5" s="1"/>
      <c r="B5" s="17" t="s">
        <v>22</v>
      </c>
      <c r="C5" s="13"/>
      <c r="D5" s="398" t="s">
        <v>23</v>
      </c>
      <c r="E5" s="399"/>
      <c r="F5" s="400">
        <v>348</v>
      </c>
      <c r="G5" s="401"/>
      <c r="H5" s="398" t="s">
        <v>25</v>
      </c>
      <c r="I5" s="402"/>
      <c r="J5" s="399"/>
      <c r="K5" s="14"/>
      <c r="L5" s="424" t="s">
        <v>26</v>
      </c>
      <c r="M5" s="425"/>
      <c r="N5" s="426"/>
      <c r="O5" s="9"/>
      <c r="P5" s="427">
        <f>IFERROR((P2-P3)/P2,"")</f>
        <v>0.56894454069416589</v>
      </c>
      <c r="Q5" s="427"/>
      <c r="R5" s="428"/>
      <c r="S5" s="408" t="s">
        <v>27</v>
      </c>
      <c r="T5" s="409"/>
      <c r="U5" s="410"/>
      <c r="V5" s="411"/>
      <c r="W5" s="15"/>
      <c r="X5" s="1"/>
      <c r="Y5" s="16"/>
      <c r="Z5" s="4"/>
      <c r="AA5" s="4"/>
      <c r="AB5" s="4"/>
    </row>
    <row r="6" spans="1:28" ht="15" customHeight="1" x14ac:dyDescent="0.25">
      <c r="A6" s="1"/>
      <c r="B6" s="17" t="s">
        <v>28</v>
      </c>
      <c r="C6" s="18"/>
      <c r="D6" s="398" t="s">
        <v>29</v>
      </c>
      <c r="E6" s="399"/>
      <c r="F6" s="400" t="s">
        <v>136</v>
      </c>
      <c r="G6" s="401"/>
      <c r="H6" s="398" t="s">
        <v>31</v>
      </c>
      <c r="I6" s="402"/>
      <c r="J6" s="399"/>
      <c r="K6" s="14"/>
      <c r="L6" s="438" t="s">
        <v>32</v>
      </c>
      <c r="M6" s="439"/>
      <c r="N6" s="440"/>
      <c r="O6" s="9"/>
      <c r="P6" s="441">
        <f>T61</f>
        <v>8857.5</v>
      </c>
      <c r="Q6" s="441"/>
      <c r="R6" s="442"/>
      <c r="S6" s="408" t="s">
        <v>33</v>
      </c>
      <c r="T6" s="409"/>
      <c r="U6" s="410"/>
      <c r="V6" s="411"/>
      <c r="W6" s="19"/>
      <c r="X6" s="20"/>
      <c r="Y6" s="21"/>
      <c r="Z6" s="4"/>
      <c r="AA6" s="4"/>
      <c r="AB6" s="4"/>
    </row>
    <row r="7" spans="1:28" ht="15" customHeight="1" x14ac:dyDescent="0.25">
      <c r="A7" s="1"/>
      <c r="B7" s="17" t="s">
        <v>34</v>
      </c>
      <c r="C7" s="22"/>
      <c r="D7" s="398" t="s">
        <v>35</v>
      </c>
      <c r="E7" s="399"/>
      <c r="F7" s="400">
        <v>74828160</v>
      </c>
      <c r="G7" s="401"/>
      <c r="H7" s="398" t="s">
        <v>36</v>
      </c>
      <c r="I7" s="402"/>
      <c r="J7" s="399"/>
      <c r="K7" s="14"/>
      <c r="L7" s="429" t="s">
        <v>37</v>
      </c>
      <c r="M7" s="430"/>
      <c r="N7" s="431"/>
      <c r="O7" s="9"/>
      <c r="P7" s="432">
        <f>R61</f>
        <v>0</v>
      </c>
      <c r="Q7" s="432"/>
      <c r="R7" s="433"/>
      <c r="S7" s="434" t="s">
        <v>38</v>
      </c>
      <c r="T7" s="435"/>
      <c r="U7" s="436"/>
      <c r="V7" s="437"/>
      <c r="W7" s="19"/>
      <c r="X7" s="23"/>
      <c r="Y7" s="4"/>
      <c r="Z7" s="4"/>
      <c r="AA7" s="4"/>
      <c r="AB7" s="4"/>
    </row>
    <row r="8" spans="1:28" ht="15" customHeight="1" x14ac:dyDescent="0.25">
      <c r="A8" s="1"/>
      <c r="B8" s="24"/>
      <c r="C8" s="25"/>
      <c r="D8" s="398" t="s">
        <v>39</v>
      </c>
      <c r="E8" s="399"/>
      <c r="F8" s="400"/>
      <c r="G8" s="401"/>
      <c r="H8" s="398" t="s">
        <v>40</v>
      </c>
      <c r="I8" s="402"/>
      <c r="J8" s="399"/>
      <c r="K8" s="14"/>
      <c r="L8" s="429" t="s">
        <v>41</v>
      </c>
      <c r="M8" s="430"/>
      <c r="N8" s="431"/>
      <c r="O8" s="9"/>
      <c r="P8" s="432">
        <f>IF(P1=Q14,R14,IF(Q14="CAD $",R14*D15,IF(Q14="USD $",R14*E15,0)))</f>
        <v>0</v>
      </c>
      <c r="Q8" s="432"/>
      <c r="R8" s="433"/>
      <c r="S8" s="26" t="s">
        <v>42</v>
      </c>
      <c r="T8" s="27" t="s">
        <v>43</v>
      </c>
      <c r="U8" s="27" t="s">
        <v>44</v>
      </c>
      <c r="V8" s="28" t="s">
        <v>45</v>
      </c>
      <c r="W8" s="29"/>
      <c r="X8" s="30"/>
      <c r="Y8" s="4"/>
      <c r="Z8" s="4"/>
      <c r="AA8" s="4"/>
      <c r="AB8" s="4"/>
    </row>
    <row r="9" spans="1:28" ht="15" customHeight="1" x14ac:dyDescent="0.25">
      <c r="A9" s="1"/>
      <c r="B9" s="25"/>
      <c r="C9" s="25"/>
      <c r="D9" s="398" t="s">
        <v>46</v>
      </c>
      <c r="E9" s="399"/>
      <c r="F9" s="400" t="s">
        <v>408</v>
      </c>
      <c r="G9" s="401"/>
      <c r="H9" s="31"/>
      <c r="I9" s="32"/>
      <c r="J9" s="32"/>
      <c r="K9" s="33"/>
      <c r="L9" s="429" t="s">
        <v>47</v>
      </c>
      <c r="M9" s="430"/>
      <c r="N9" s="431"/>
      <c r="O9" s="9"/>
      <c r="P9" s="446">
        <f>V14</f>
        <v>0</v>
      </c>
      <c r="Q9" s="446"/>
      <c r="R9" s="447"/>
      <c r="S9" s="448">
        <f>P7+P8+P9</f>
        <v>0</v>
      </c>
      <c r="T9" s="448">
        <f>P3-S9</f>
        <v>8857.5</v>
      </c>
      <c r="U9" s="450">
        <f>IFERROR(((P3-S9)/S9),0)</f>
        <v>0</v>
      </c>
      <c r="V9" s="450">
        <f>IFERROR(T9/P3,0)</f>
        <v>1</v>
      </c>
      <c r="W9" s="452"/>
      <c r="X9" s="30"/>
      <c r="Y9" s="4"/>
      <c r="Z9" s="4"/>
      <c r="AA9" s="4"/>
      <c r="AB9" s="4"/>
    </row>
    <row r="10" spans="1:28" ht="15" customHeight="1" thickBot="1" x14ac:dyDescent="0.3">
      <c r="A10" s="1"/>
      <c r="B10" s="25"/>
      <c r="C10" s="25"/>
      <c r="D10" s="34"/>
      <c r="E10" s="34"/>
      <c r="F10" s="31"/>
      <c r="G10" s="31"/>
      <c r="H10" s="31"/>
      <c r="I10" s="32"/>
      <c r="J10" s="32"/>
      <c r="K10" s="33"/>
      <c r="L10" s="408" t="s">
        <v>48</v>
      </c>
      <c r="M10" s="443"/>
      <c r="N10" s="409"/>
      <c r="O10" s="9"/>
      <c r="P10" s="444">
        <f>E61</f>
        <v>13</v>
      </c>
      <c r="Q10" s="444"/>
      <c r="R10" s="445"/>
      <c r="S10" s="449"/>
      <c r="T10" s="449"/>
      <c r="U10" s="451"/>
      <c r="V10" s="451"/>
      <c r="W10" s="453"/>
      <c r="X10" s="30"/>
      <c r="Y10" s="4"/>
      <c r="Z10" s="4"/>
      <c r="AA10" s="4"/>
      <c r="AB10" s="4"/>
    </row>
    <row r="11" spans="1:28" ht="15" customHeight="1" x14ac:dyDescent="0.25">
      <c r="A11" s="1"/>
      <c r="B11" s="501"/>
      <c r="C11" s="502"/>
      <c r="D11" s="505" t="s">
        <v>49</v>
      </c>
      <c r="E11" s="506"/>
      <c r="F11" s="509" t="s">
        <v>8</v>
      </c>
      <c r="G11" s="455"/>
      <c r="H11" s="510"/>
      <c r="I11" s="35"/>
      <c r="J11" s="514" t="s">
        <v>50</v>
      </c>
      <c r="K11" s="515"/>
      <c r="L11" s="515"/>
      <c r="M11" s="515"/>
      <c r="N11" s="516"/>
      <c r="O11" s="9"/>
      <c r="P11" s="454" t="s">
        <v>51</v>
      </c>
      <c r="Q11" s="455"/>
      <c r="R11" s="455"/>
      <c r="S11" s="455"/>
      <c r="T11" s="455"/>
      <c r="U11" s="455"/>
      <c r="V11" s="456"/>
      <c r="W11" s="36"/>
      <c r="X11" s="37"/>
      <c r="Y11" s="4" t="s">
        <v>52</v>
      </c>
      <c r="Z11" s="4"/>
      <c r="AA11" s="4"/>
      <c r="AB11" s="4"/>
    </row>
    <row r="12" spans="1:28" ht="15" customHeight="1" x14ac:dyDescent="0.25">
      <c r="A12" s="1"/>
      <c r="B12" s="503"/>
      <c r="C12" s="504"/>
      <c r="D12" s="507"/>
      <c r="E12" s="508"/>
      <c r="F12" s="511"/>
      <c r="G12" s="512"/>
      <c r="H12" s="513"/>
      <c r="I12" s="38"/>
      <c r="J12" s="517"/>
      <c r="K12" s="518"/>
      <c r="L12" s="518"/>
      <c r="M12" s="518"/>
      <c r="N12" s="519"/>
      <c r="O12" s="39"/>
      <c r="P12" s="457"/>
      <c r="Q12" s="458"/>
      <c r="R12" s="458"/>
      <c r="S12" s="458"/>
      <c r="T12" s="458"/>
      <c r="U12" s="458"/>
      <c r="V12" s="459"/>
      <c r="W12" s="40"/>
      <c r="X12" s="37"/>
      <c r="Y12" s="4" t="s">
        <v>53</v>
      </c>
      <c r="Z12" s="4"/>
      <c r="AA12" s="4"/>
      <c r="AB12" s="4"/>
    </row>
    <row r="13" spans="1:28" ht="15" customHeight="1" x14ac:dyDescent="0.25">
      <c r="A13" s="1"/>
      <c r="B13" s="503"/>
      <c r="C13" s="504"/>
      <c r="D13" s="467"/>
      <c r="E13" s="468"/>
      <c r="F13" s="460" t="s">
        <v>54</v>
      </c>
      <c r="G13" s="461"/>
      <c r="H13" s="41" t="s">
        <v>55</v>
      </c>
      <c r="I13" s="42"/>
      <c r="J13" s="520"/>
      <c r="K13" s="521"/>
      <c r="L13" s="521"/>
      <c r="M13" s="521"/>
      <c r="N13" s="522"/>
      <c r="O13" s="39"/>
      <c r="P13" s="457"/>
      <c r="Q13" s="458"/>
      <c r="R13" s="458"/>
      <c r="S13" s="458"/>
      <c r="T13" s="458"/>
      <c r="U13" s="458"/>
      <c r="V13" s="459"/>
      <c r="W13" s="43"/>
      <c r="X13" s="37"/>
      <c r="Y13" s="4" t="s">
        <v>55</v>
      </c>
      <c r="Z13" s="4"/>
      <c r="AA13" s="4"/>
      <c r="AB13" s="4"/>
    </row>
    <row r="14" spans="1:28" ht="30" customHeight="1" x14ac:dyDescent="0.25">
      <c r="A14" s="1"/>
      <c r="B14" s="503"/>
      <c r="C14" s="504"/>
      <c r="D14" s="44" t="s">
        <v>56</v>
      </c>
      <c r="E14" s="45" t="s">
        <v>57</v>
      </c>
      <c r="F14" s="462" t="s">
        <v>58</v>
      </c>
      <c r="G14" s="463"/>
      <c r="H14" s="464"/>
      <c r="I14" s="46"/>
      <c r="J14" s="465" t="s">
        <v>59</v>
      </c>
      <c r="K14" s="466"/>
      <c r="L14" s="469" t="s">
        <v>60</v>
      </c>
      <c r="M14" s="470"/>
      <c r="N14" s="471"/>
      <c r="O14" s="47"/>
      <c r="P14" s="48" t="s">
        <v>61</v>
      </c>
      <c r="Q14" s="49" t="s">
        <v>53</v>
      </c>
      <c r="R14" s="50"/>
      <c r="S14" s="48" t="s">
        <v>62</v>
      </c>
      <c r="T14" s="51">
        <v>2.5000000000000001E-2</v>
      </c>
      <c r="U14" s="48" t="s">
        <v>63</v>
      </c>
      <c r="V14" s="52">
        <f>ROUND(R61*T14,2)</f>
        <v>0</v>
      </c>
      <c r="W14" s="53"/>
      <c r="X14" s="37"/>
      <c r="Y14" s="4" t="s">
        <v>64</v>
      </c>
      <c r="Z14" s="4"/>
      <c r="AA14" s="4"/>
      <c r="AB14" s="4"/>
    </row>
    <row r="15" spans="1:28" ht="15" customHeight="1" x14ac:dyDescent="0.25">
      <c r="A15" s="1"/>
      <c r="B15" s="503"/>
      <c r="C15" s="504"/>
      <c r="D15" s="54">
        <f>1/E15</f>
        <v>0.68965517241379315</v>
      </c>
      <c r="E15" s="55">
        <v>1.45</v>
      </c>
      <c r="F15" s="475"/>
      <c r="G15" s="476"/>
      <c r="H15" s="477"/>
      <c r="I15" s="56"/>
      <c r="J15" s="467"/>
      <c r="K15" s="468"/>
      <c r="L15" s="472"/>
      <c r="M15" s="473"/>
      <c r="N15" s="474"/>
      <c r="O15" s="47"/>
      <c r="P15" s="483" t="s">
        <v>65</v>
      </c>
      <c r="Q15" s="484"/>
      <c r="R15" s="484"/>
      <c r="S15" s="484"/>
      <c r="T15" s="484"/>
      <c r="U15" s="484"/>
      <c r="V15" s="485"/>
      <c r="W15" s="57"/>
      <c r="X15" s="58"/>
      <c r="Y15" s="4"/>
      <c r="Z15" s="4"/>
      <c r="AA15" s="4"/>
      <c r="AB15" s="4"/>
    </row>
    <row r="16" spans="1:28" ht="15" customHeight="1" x14ac:dyDescent="0.25">
      <c r="A16" s="1"/>
      <c r="B16" s="486" t="s">
        <v>66</v>
      </c>
      <c r="C16" s="488" t="s">
        <v>67</v>
      </c>
      <c r="D16" s="490" t="s">
        <v>68</v>
      </c>
      <c r="E16" s="492" t="s">
        <v>69</v>
      </c>
      <c r="F16" s="489" t="s">
        <v>70</v>
      </c>
      <c r="G16" s="494"/>
      <c r="H16" s="59" t="s">
        <v>71</v>
      </c>
      <c r="I16" s="60"/>
      <c r="J16" s="495" t="s">
        <v>69</v>
      </c>
      <c r="K16" s="61" t="s">
        <v>72</v>
      </c>
      <c r="L16" s="62" t="s">
        <v>73</v>
      </c>
      <c r="M16" s="497" t="s">
        <v>74</v>
      </c>
      <c r="N16" s="497" t="s">
        <v>75</v>
      </c>
      <c r="O16" s="63"/>
      <c r="P16" s="499" t="s">
        <v>76</v>
      </c>
      <c r="Q16" s="64" t="s">
        <v>77</v>
      </c>
      <c r="R16" s="64" t="s">
        <v>78</v>
      </c>
      <c r="S16" s="65" t="s">
        <v>79</v>
      </c>
      <c r="T16" s="65" t="s">
        <v>80</v>
      </c>
      <c r="U16" s="62" t="s">
        <v>81</v>
      </c>
      <c r="V16" s="62" t="s">
        <v>82</v>
      </c>
      <c r="W16" s="66"/>
      <c r="X16" s="67"/>
      <c r="Y16" s="4"/>
      <c r="Z16" s="4"/>
      <c r="AA16" s="4"/>
      <c r="AB16" s="4"/>
    </row>
    <row r="17" spans="1:28" s="76" customFormat="1" ht="15" customHeight="1" x14ac:dyDescent="0.25">
      <c r="A17" s="68"/>
      <c r="B17" s="487"/>
      <c r="C17" s="489"/>
      <c r="D17" s="491"/>
      <c r="E17" s="493"/>
      <c r="F17" s="49" t="s">
        <v>52</v>
      </c>
      <c r="G17" s="69" t="str">
        <f>IF(F17="USD $", "CAD $", "USD $")</f>
        <v>USD $</v>
      </c>
      <c r="H17" s="70" t="str">
        <f>K17</f>
        <v>CAD $</v>
      </c>
      <c r="I17" s="71"/>
      <c r="J17" s="496"/>
      <c r="K17" s="478" t="s">
        <v>52</v>
      </c>
      <c r="L17" s="479"/>
      <c r="M17" s="498"/>
      <c r="N17" s="498"/>
      <c r="O17" s="72"/>
      <c r="P17" s="500"/>
      <c r="Q17" s="49" t="s">
        <v>52</v>
      </c>
      <c r="R17" s="480" t="str">
        <f>K17</f>
        <v>CAD $</v>
      </c>
      <c r="S17" s="481"/>
      <c r="T17" s="481"/>
      <c r="U17" s="481"/>
      <c r="V17" s="482"/>
      <c r="W17" s="73"/>
      <c r="X17" s="74"/>
      <c r="Y17" s="75"/>
      <c r="Z17" s="75"/>
      <c r="AA17" s="75"/>
      <c r="AB17" s="75"/>
    </row>
    <row r="18" spans="1:28" x14ac:dyDescent="0.25">
      <c r="A18" s="1"/>
      <c r="B18" s="131" t="s">
        <v>123</v>
      </c>
      <c r="C18" s="132" t="s">
        <v>124</v>
      </c>
      <c r="D18" s="79"/>
      <c r="E18" s="80">
        <v>1</v>
      </c>
      <c r="F18" s="81">
        <v>68.569999999999993</v>
      </c>
      <c r="G18" s="82">
        <f>ROUND(IF($F$17="USD $", F18*$E$15,F18*$D$15),2)</f>
        <v>47.29</v>
      </c>
      <c r="H18" s="83">
        <f>ROUND(IF($H$17=$G$17,E18*G18,E18*F18),2)</f>
        <v>68.569999999999993</v>
      </c>
      <c r="I18" s="84"/>
      <c r="J18" s="85">
        <f t="shared" ref="J18:J60" si="0">E18</f>
        <v>1</v>
      </c>
      <c r="K18" s="82">
        <f>IFERROR(IF(M18="OEM DISC %",ROUND(IF($K$17=$F$17,F18*(1-N18),G18*(1-N18)),2),IF(M18="MARKUP %",ROUND(R18/J18*(1+N18),2))),0)</f>
        <v>26.06</v>
      </c>
      <c r="L18" s="82">
        <f>ROUND((J18*K18),2)</f>
        <v>26.06</v>
      </c>
      <c r="M18" s="81" t="s">
        <v>84</v>
      </c>
      <c r="N18" s="86">
        <v>0.62</v>
      </c>
      <c r="O18" s="87"/>
      <c r="P18" s="77"/>
      <c r="Q18" s="88"/>
      <c r="R18" s="89">
        <f>ROUND(IF($R$17=$Q$17,Q18,IF($R$17="USD $",Q18*$D$15,Q18*$E$15))*E18,2)</f>
        <v>0</v>
      </c>
      <c r="S18" s="89">
        <f>IFERROR(ROUND(T18/E18,2),0)</f>
        <v>26.06</v>
      </c>
      <c r="T18" s="89">
        <f>ROUND(L18-R18,2)</f>
        <v>26.06</v>
      </c>
      <c r="U18" s="90">
        <f>IFERROR(((K18-(R18/J18))/(R18/J18)),0)</f>
        <v>0</v>
      </c>
      <c r="V18" s="90">
        <f>IFERROR(((K18-(R18/J18))/K18),0)</f>
        <v>1</v>
      </c>
      <c r="W18" s="91"/>
      <c r="X18" s="92"/>
      <c r="Y18" s="4"/>
      <c r="Z18" s="4">
        <v>250</v>
      </c>
      <c r="AA18" s="93"/>
      <c r="AB18" s="94"/>
    </row>
    <row r="19" spans="1:28" x14ac:dyDescent="0.25">
      <c r="A19" s="1"/>
      <c r="B19" s="133" t="s">
        <v>125</v>
      </c>
      <c r="C19" s="134" t="s">
        <v>126</v>
      </c>
      <c r="D19" s="96"/>
      <c r="E19" s="97">
        <v>1</v>
      </c>
      <c r="F19" s="98">
        <v>65.02</v>
      </c>
      <c r="G19" s="99">
        <f t="shared" ref="G19:G60" si="1">ROUND(IF($F$17="USD $", F19*$E$15,F19*$D$15),2)</f>
        <v>44.84</v>
      </c>
      <c r="H19" s="100">
        <f t="shared" ref="H19:H60" si="2">ROUND(IF($H$17=$G$17,E19*G19,E19*F19),2)</f>
        <v>65.02</v>
      </c>
      <c r="I19" s="101"/>
      <c r="J19" s="102">
        <f t="shared" si="0"/>
        <v>1</v>
      </c>
      <c r="K19" s="99">
        <f t="shared" ref="K19:K60" si="3">IFERROR(IF(M19="OEM DISC %",ROUND(IF($K$17=$F$17,F19*(1-N19),G19*(1-N19)),2),IF(M19="MARKUP %",ROUND(R19/J19*(1+N19),2))),0)</f>
        <v>24.71</v>
      </c>
      <c r="L19" s="99">
        <f t="shared" ref="L19:L60" si="4">ROUND((J19*K19),2)</f>
        <v>24.71</v>
      </c>
      <c r="M19" s="103" t="s">
        <v>84</v>
      </c>
      <c r="N19" s="104">
        <v>0.62</v>
      </c>
      <c r="O19" s="87"/>
      <c r="P19" s="95"/>
      <c r="Q19" s="98"/>
      <c r="R19" s="105">
        <f>ROUND(IF($R$17=$Q$17,Q19,IF($R$17="USD $",Q19*$D$15,Q19*$E$15))*E19,2)</f>
        <v>0</v>
      </c>
      <c r="S19" s="106">
        <f t="shared" ref="S19:S60" si="5">IFERROR(ROUND(T19/E19,2),0)</f>
        <v>24.71</v>
      </c>
      <c r="T19" s="106">
        <f t="shared" ref="T19:T60" si="6">ROUND(L19-R19,2)</f>
        <v>24.71</v>
      </c>
      <c r="U19" s="107">
        <f t="shared" ref="U19:U60" si="7">IFERROR(((K19-(R19/J19))/(R19/J19)),0)</f>
        <v>0</v>
      </c>
      <c r="V19" s="107">
        <f t="shared" ref="V19:V60" si="8">IFERROR(((K19-(R19/J19))/K19),0)</f>
        <v>1</v>
      </c>
      <c r="W19" s="108"/>
      <c r="X19" s="92"/>
      <c r="Y19" s="4" t="s">
        <v>86</v>
      </c>
      <c r="Z19" s="4">
        <v>500</v>
      </c>
      <c r="AA19" s="4"/>
      <c r="AB19" s="4"/>
    </row>
    <row r="20" spans="1:28" x14ac:dyDescent="0.25">
      <c r="A20" s="1"/>
      <c r="B20" s="135" t="s">
        <v>127</v>
      </c>
      <c r="C20" s="136" t="s">
        <v>128</v>
      </c>
      <c r="D20" s="110"/>
      <c r="E20" s="80">
        <v>1</v>
      </c>
      <c r="F20" s="81">
        <v>100.72</v>
      </c>
      <c r="G20" s="82">
        <f t="shared" si="1"/>
        <v>69.459999999999994</v>
      </c>
      <c r="H20" s="83">
        <f t="shared" si="2"/>
        <v>100.72</v>
      </c>
      <c r="I20" s="101"/>
      <c r="J20" s="85">
        <f t="shared" si="0"/>
        <v>1</v>
      </c>
      <c r="K20" s="82">
        <f t="shared" si="3"/>
        <v>38.270000000000003</v>
      </c>
      <c r="L20" s="82">
        <f t="shared" si="4"/>
        <v>38.270000000000003</v>
      </c>
      <c r="M20" s="81" t="s">
        <v>84</v>
      </c>
      <c r="N20" s="111">
        <v>0.62</v>
      </c>
      <c r="O20" s="87"/>
      <c r="P20" s="112"/>
      <c r="Q20" s="88"/>
      <c r="R20" s="89">
        <f t="shared" ref="R20:R60" si="9">ROUND(IF($R$17=$Q$17,Q20,IF($R$17="USD $",Q20*$D$15,Q20*$E$15))*E20,2)</f>
        <v>0</v>
      </c>
      <c r="S20" s="89">
        <f t="shared" si="5"/>
        <v>38.270000000000003</v>
      </c>
      <c r="T20" s="89">
        <f t="shared" si="6"/>
        <v>38.270000000000003</v>
      </c>
      <c r="U20" s="90">
        <f t="shared" si="7"/>
        <v>0</v>
      </c>
      <c r="V20" s="90">
        <f t="shared" si="8"/>
        <v>1</v>
      </c>
      <c r="W20" s="91"/>
      <c r="X20" s="92"/>
      <c r="Y20" s="4" t="s">
        <v>87</v>
      </c>
      <c r="Z20" s="4">
        <v>750</v>
      </c>
      <c r="AA20" s="4"/>
      <c r="AB20" s="4"/>
    </row>
    <row r="21" spans="1:28" x14ac:dyDescent="0.25">
      <c r="A21" s="1"/>
      <c r="B21" s="133" t="s">
        <v>129</v>
      </c>
      <c r="C21" s="134" t="s">
        <v>130</v>
      </c>
      <c r="D21" s="96"/>
      <c r="E21" s="97">
        <v>1</v>
      </c>
      <c r="F21" s="98">
        <v>112.39</v>
      </c>
      <c r="G21" s="99">
        <f t="shared" si="1"/>
        <v>77.510000000000005</v>
      </c>
      <c r="H21" s="100">
        <f t="shared" si="2"/>
        <v>112.39</v>
      </c>
      <c r="I21" s="101"/>
      <c r="J21" s="102">
        <f t="shared" si="0"/>
        <v>1</v>
      </c>
      <c r="K21" s="99">
        <f t="shared" si="3"/>
        <v>42.71</v>
      </c>
      <c r="L21" s="99">
        <f t="shared" si="4"/>
        <v>42.71</v>
      </c>
      <c r="M21" s="103" t="s">
        <v>84</v>
      </c>
      <c r="N21" s="104">
        <v>0.62</v>
      </c>
      <c r="O21" s="87"/>
      <c r="P21" s="95"/>
      <c r="Q21" s="98"/>
      <c r="R21" s="105">
        <f t="shared" si="9"/>
        <v>0</v>
      </c>
      <c r="S21" s="106">
        <f t="shared" si="5"/>
        <v>42.71</v>
      </c>
      <c r="T21" s="106">
        <f t="shared" si="6"/>
        <v>42.71</v>
      </c>
      <c r="U21" s="107">
        <f t="shared" si="7"/>
        <v>0</v>
      </c>
      <c r="V21" s="107">
        <f t="shared" si="8"/>
        <v>1</v>
      </c>
      <c r="W21" s="108"/>
      <c r="X21" s="92"/>
      <c r="Y21" s="4" t="s">
        <v>89</v>
      </c>
      <c r="Z21" s="4">
        <v>1000</v>
      </c>
      <c r="AA21" s="4"/>
      <c r="AB21" s="4"/>
    </row>
    <row r="22" spans="1:28" x14ac:dyDescent="0.25">
      <c r="A22" s="1"/>
      <c r="B22" s="135" t="s">
        <v>131</v>
      </c>
      <c r="C22" s="136" t="s">
        <v>132</v>
      </c>
      <c r="D22" s="110"/>
      <c r="E22" s="80">
        <v>1</v>
      </c>
      <c r="F22" s="81">
        <v>118.01</v>
      </c>
      <c r="G22" s="82">
        <f t="shared" si="1"/>
        <v>81.39</v>
      </c>
      <c r="H22" s="83">
        <f t="shared" si="2"/>
        <v>118.01</v>
      </c>
      <c r="I22" s="101"/>
      <c r="J22" s="85">
        <f t="shared" si="0"/>
        <v>1</v>
      </c>
      <c r="K22" s="82">
        <f t="shared" si="3"/>
        <v>44.84</v>
      </c>
      <c r="L22" s="82">
        <f t="shared" si="4"/>
        <v>44.84</v>
      </c>
      <c r="M22" s="81" t="s">
        <v>84</v>
      </c>
      <c r="N22" s="111">
        <v>0.62</v>
      </c>
      <c r="O22" s="87"/>
      <c r="P22" s="112"/>
      <c r="Q22" s="88"/>
      <c r="R22" s="89">
        <f t="shared" si="9"/>
        <v>0</v>
      </c>
      <c r="S22" s="89">
        <f t="shared" si="5"/>
        <v>44.84</v>
      </c>
      <c r="T22" s="89">
        <f t="shared" si="6"/>
        <v>44.84</v>
      </c>
      <c r="U22" s="90">
        <f t="shared" si="7"/>
        <v>0</v>
      </c>
      <c r="V22" s="90">
        <f t="shared" si="8"/>
        <v>1</v>
      </c>
      <c r="W22" s="91"/>
      <c r="X22" s="92"/>
      <c r="Y22" s="4" t="s">
        <v>91</v>
      </c>
      <c r="Z22" s="4">
        <v>1200</v>
      </c>
      <c r="AA22" s="4"/>
      <c r="AB22" s="4"/>
    </row>
    <row r="23" spans="1:28" x14ac:dyDescent="0.25">
      <c r="A23" s="1"/>
      <c r="B23" s="95"/>
      <c r="C23" s="13"/>
      <c r="D23" s="96"/>
      <c r="E23" s="97"/>
      <c r="F23" s="98"/>
      <c r="G23" s="99">
        <f t="shared" si="1"/>
        <v>0</v>
      </c>
      <c r="H23" s="100">
        <f t="shared" si="2"/>
        <v>0</v>
      </c>
      <c r="I23" s="101"/>
      <c r="J23" s="102">
        <f t="shared" si="0"/>
        <v>0</v>
      </c>
      <c r="K23" s="99">
        <f t="shared" si="3"/>
        <v>0</v>
      </c>
      <c r="L23" s="99">
        <f t="shared" si="4"/>
        <v>0</v>
      </c>
      <c r="M23" s="103" t="s">
        <v>84</v>
      </c>
      <c r="N23" s="104">
        <v>0.62</v>
      </c>
      <c r="O23" s="87"/>
      <c r="P23" s="95"/>
      <c r="Q23" s="98"/>
      <c r="R23" s="105">
        <f t="shared" si="9"/>
        <v>0</v>
      </c>
      <c r="S23" s="106">
        <f t="shared" si="5"/>
        <v>0</v>
      </c>
      <c r="T23" s="106">
        <f t="shared" si="6"/>
        <v>0</v>
      </c>
      <c r="U23" s="107">
        <f t="shared" si="7"/>
        <v>0</v>
      </c>
      <c r="V23" s="107">
        <f t="shared" si="8"/>
        <v>0</v>
      </c>
      <c r="W23" s="108"/>
      <c r="X23" s="92"/>
      <c r="Y23" s="4" t="s">
        <v>93</v>
      </c>
      <c r="Z23" s="4">
        <v>2000</v>
      </c>
      <c r="AA23" s="4"/>
      <c r="AB23" s="4"/>
    </row>
    <row r="24" spans="1:28" x14ac:dyDescent="0.25">
      <c r="A24" s="1"/>
      <c r="B24" s="137">
        <v>5326680</v>
      </c>
      <c r="C24" s="13" t="s">
        <v>133</v>
      </c>
      <c r="D24" s="110"/>
      <c r="E24" s="80">
        <v>1</v>
      </c>
      <c r="F24" s="81">
        <v>12141.32</v>
      </c>
      <c r="G24" s="82">
        <f t="shared" si="1"/>
        <v>8373.32</v>
      </c>
      <c r="H24" s="83">
        <f t="shared" si="2"/>
        <v>12141.32</v>
      </c>
      <c r="I24" s="101"/>
      <c r="J24" s="85">
        <f t="shared" si="0"/>
        <v>1</v>
      </c>
      <c r="K24" s="82">
        <f t="shared" si="3"/>
        <v>4613.7</v>
      </c>
      <c r="L24" s="82">
        <f t="shared" si="4"/>
        <v>4613.7</v>
      </c>
      <c r="M24" s="81" t="s">
        <v>84</v>
      </c>
      <c r="N24" s="111">
        <v>0.62</v>
      </c>
      <c r="O24" s="87"/>
      <c r="P24" s="112"/>
      <c r="Q24" s="88"/>
      <c r="R24" s="89">
        <f t="shared" si="9"/>
        <v>0</v>
      </c>
      <c r="S24" s="89">
        <f t="shared" si="5"/>
        <v>4613.7</v>
      </c>
      <c r="T24" s="89">
        <f t="shared" si="6"/>
        <v>4613.7</v>
      </c>
      <c r="U24" s="90">
        <f t="shared" si="7"/>
        <v>0</v>
      </c>
      <c r="V24" s="90">
        <f t="shared" si="8"/>
        <v>1</v>
      </c>
      <c r="W24" s="91"/>
      <c r="X24" s="92"/>
      <c r="Y24" s="4" t="s">
        <v>95</v>
      </c>
      <c r="Z24" s="4">
        <v>4000</v>
      </c>
      <c r="AA24" s="4"/>
      <c r="AB24" s="4"/>
    </row>
    <row r="25" spans="1:28" x14ac:dyDescent="0.25">
      <c r="A25" s="1"/>
      <c r="B25" s="95"/>
      <c r="C25" s="109" t="s">
        <v>134</v>
      </c>
      <c r="D25" s="96"/>
      <c r="E25" s="97">
        <v>1</v>
      </c>
      <c r="F25" s="98">
        <v>191.99</v>
      </c>
      <c r="G25" s="99">
        <f t="shared" si="1"/>
        <v>132.41</v>
      </c>
      <c r="H25" s="100">
        <f t="shared" si="2"/>
        <v>191.99</v>
      </c>
      <c r="I25" s="101"/>
      <c r="J25" s="102">
        <f t="shared" si="0"/>
        <v>1</v>
      </c>
      <c r="K25" s="99">
        <f t="shared" si="3"/>
        <v>191.99</v>
      </c>
      <c r="L25" s="99">
        <f t="shared" si="4"/>
        <v>191.99</v>
      </c>
      <c r="M25" s="103" t="s">
        <v>84</v>
      </c>
      <c r="N25" s="104"/>
      <c r="O25" s="87"/>
      <c r="P25" s="95"/>
      <c r="Q25" s="98"/>
      <c r="R25" s="105">
        <f t="shared" si="9"/>
        <v>0</v>
      </c>
      <c r="S25" s="106">
        <f t="shared" si="5"/>
        <v>191.99</v>
      </c>
      <c r="T25" s="106">
        <f t="shared" si="6"/>
        <v>191.99</v>
      </c>
      <c r="U25" s="107">
        <f t="shared" si="7"/>
        <v>0</v>
      </c>
      <c r="V25" s="107">
        <f t="shared" si="8"/>
        <v>1</v>
      </c>
      <c r="W25" s="108"/>
      <c r="X25" s="92"/>
      <c r="Y25" s="4" t="s">
        <v>96</v>
      </c>
      <c r="Z25" s="4">
        <v>6000</v>
      </c>
      <c r="AA25" s="4"/>
      <c r="AB25" s="4"/>
    </row>
    <row r="26" spans="1:28" x14ac:dyDescent="0.25">
      <c r="A26" s="1"/>
      <c r="B26" s="138">
        <v>3016675</v>
      </c>
      <c r="C26" s="13" t="s">
        <v>115</v>
      </c>
      <c r="D26" s="110"/>
      <c r="E26" s="80">
        <v>6</v>
      </c>
      <c r="F26" s="81">
        <v>1291.73</v>
      </c>
      <c r="G26" s="82">
        <f t="shared" si="1"/>
        <v>890.85</v>
      </c>
      <c r="H26" s="83">
        <f t="shared" si="2"/>
        <v>7750.38</v>
      </c>
      <c r="I26" s="101"/>
      <c r="J26" s="85">
        <f t="shared" si="0"/>
        <v>6</v>
      </c>
      <c r="K26" s="82">
        <f t="shared" si="3"/>
        <v>645.87</v>
      </c>
      <c r="L26" s="82">
        <f t="shared" si="4"/>
        <v>3875.22</v>
      </c>
      <c r="M26" s="81" t="s">
        <v>84</v>
      </c>
      <c r="N26" s="111">
        <v>0.5</v>
      </c>
      <c r="O26" s="87"/>
      <c r="P26" s="112"/>
      <c r="Q26" s="88"/>
      <c r="R26" s="89">
        <f t="shared" si="9"/>
        <v>0</v>
      </c>
      <c r="S26" s="89">
        <f t="shared" si="5"/>
        <v>645.87</v>
      </c>
      <c r="T26" s="89">
        <f t="shared" si="6"/>
        <v>3875.22</v>
      </c>
      <c r="U26" s="90">
        <f t="shared" si="7"/>
        <v>0</v>
      </c>
      <c r="V26" s="90">
        <f t="shared" si="8"/>
        <v>1</v>
      </c>
      <c r="W26" s="91"/>
      <c r="X26" s="92"/>
      <c r="Y26" s="4" t="s">
        <v>98</v>
      </c>
      <c r="Z26" s="4">
        <v>8000</v>
      </c>
      <c r="AA26" s="4"/>
      <c r="AB26" s="4"/>
    </row>
    <row r="27" spans="1:28" x14ac:dyDescent="0.25">
      <c r="A27" s="1"/>
      <c r="B27" s="95"/>
      <c r="C27" s="13"/>
      <c r="D27" s="96"/>
      <c r="E27" s="97"/>
      <c r="F27" s="98"/>
      <c r="G27" s="99">
        <f t="shared" si="1"/>
        <v>0</v>
      </c>
      <c r="H27" s="100">
        <f t="shared" si="2"/>
        <v>0</v>
      </c>
      <c r="I27" s="101"/>
      <c r="J27" s="102">
        <f t="shared" si="0"/>
        <v>0</v>
      </c>
      <c r="K27" s="99">
        <f t="shared" si="3"/>
        <v>0</v>
      </c>
      <c r="L27" s="99">
        <f t="shared" si="4"/>
        <v>0</v>
      </c>
      <c r="M27" s="103" t="s">
        <v>84</v>
      </c>
      <c r="N27" s="104"/>
      <c r="O27" s="87"/>
      <c r="P27" s="95"/>
      <c r="Q27" s="98"/>
      <c r="R27" s="105">
        <f t="shared" si="9"/>
        <v>0</v>
      </c>
      <c r="S27" s="106">
        <f t="shared" si="5"/>
        <v>0</v>
      </c>
      <c r="T27" s="106">
        <f t="shared" si="6"/>
        <v>0</v>
      </c>
      <c r="U27" s="107">
        <f t="shared" si="7"/>
        <v>0</v>
      </c>
      <c r="V27" s="107">
        <f t="shared" si="8"/>
        <v>0</v>
      </c>
      <c r="W27" s="108"/>
      <c r="X27" s="92"/>
      <c r="Y27" s="4" t="s">
        <v>99</v>
      </c>
      <c r="Z27" s="113">
        <v>10000</v>
      </c>
      <c r="AA27" s="4"/>
      <c r="AB27" s="4"/>
    </row>
    <row r="28" spans="1:28" x14ac:dyDescent="0.25">
      <c r="A28" s="1"/>
      <c r="B28" s="114"/>
      <c r="C28" s="109"/>
      <c r="D28" s="110"/>
      <c r="E28" s="80"/>
      <c r="F28" s="81"/>
      <c r="G28" s="82">
        <f t="shared" si="1"/>
        <v>0</v>
      </c>
      <c r="H28" s="83">
        <f t="shared" si="2"/>
        <v>0</v>
      </c>
      <c r="I28" s="101"/>
      <c r="J28" s="85">
        <f t="shared" si="0"/>
        <v>0</v>
      </c>
      <c r="K28" s="82">
        <f t="shared" si="3"/>
        <v>0</v>
      </c>
      <c r="L28" s="82">
        <f t="shared" si="4"/>
        <v>0</v>
      </c>
      <c r="M28" s="81" t="s">
        <v>84</v>
      </c>
      <c r="N28" s="111"/>
      <c r="O28" s="87"/>
      <c r="P28" s="112"/>
      <c r="Q28" s="88"/>
      <c r="R28" s="89">
        <f t="shared" si="9"/>
        <v>0</v>
      </c>
      <c r="S28" s="89">
        <f t="shared" si="5"/>
        <v>0</v>
      </c>
      <c r="T28" s="89">
        <f t="shared" si="6"/>
        <v>0</v>
      </c>
      <c r="U28" s="90">
        <f t="shared" si="7"/>
        <v>0</v>
      </c>
      <c r="V28" s="90">
        <f t="shared" si="8"/>
        <v>0</v>
      </c>
      <c r="W28" s="91"/>
      <c r="X28" s="92"/>
      <c r="Y28" s="4" t="s">
        <v>100</v>
      </c>
      <c r="Z28" s="4" t="s">
        <v>101</v>
      </c>
      <c r="AA28" s="4"/>
      <c r="AB28" s="4"/>
    </row>
    <row r="29" spans="1:28" x14ac:dyDescent="0.25">
      <c r="A29" s="1"/>
      <c r="B29" s="95"/>
      <c r="C29" s="13"/>
      <c r="D29" s="96"/>
      <c r="E29" s="97"/>
      <c r="F29" s="98"/>
      <c r="G29" s="99">
        <f>ROUND(IF($F$17="USD $", F29*$E$15,F29*$D$15),2)</f>
        <v>0</v>
      </c>
      <c r="H29" s="100">
        <f>ROUND(IF($H$17=$G$17,E29*G29,E29*F29),2)</f>
        <v>0</v>
      </c>
      <c r="I29" s="101"/>
      <c r="J29" s="102">
        <f t="shared" si="0"/>
        <v>0</v>
      </c>
      <c r="K29" s="99">
        <f t="shared" si="3"/>
        <v>0</v>
      </c>
      <c r="L29" s="99">
        <f>ROUND((J29*K29),2)</f>
        <v>0</v>
      </c>
      <c r="M29" s="103" t="s">
        <v>84</v>
      </c>
      <c r="N29" s="104"/>
      <c r="O29" s="87"/>
      <c r="P29" s="95"/>
      <c r="Q29" s="98"/>
      <c r="R29" s="105">
        <f t="shared" si="9"/>
        <v>0</v>
      </c>
      <c r="S29" s="106">
        <f t="shared" si="5"/>
        <v>0</v>
      </c>
      <c r="T29" s="106">
        <f t="shared" si="6"/>
        <v>0</v>
      </c>
      <c r="U29" s="107">
        <f t="shared" si="7"/>
        <v>0</v>
      </c>
      <c r="V29" s="107">
        <f t="shared" si="8"/>
        <v>0</v>
      </c>
      <c r="W29" s="108"/>
      <c r="X29" s="92"/>
      <c r="Y29" s="4" t="s">
        <v>102</v>
      </c>
      <c r="Z29" s="4"/>
      <c r="AA29" s="4"/>
      <c r="AB29" s="4"/>
    </row>
    <row r="30" spans="1:28" x14ac:dyDescent="0.25">
      <c r="A30" s="1"/>
      <c r="B30" s="77"/>
      <c r="C30" s="109"/>
      <c r="D30" s="110"/>
      <c r="E30" s="80"/>
      <c r="F30" s="81"/>
      <c r="G30" s="82">
        <f t="shared" si="1"/>
        <v>0</v>
      </c>
      <c r="H30" s="83">
        <f t="shared" si="2"/>
        <v>0</v>
      </c>
      <c r="I30" s="101"/>
      <c r="J30" s="85">
        <f t="shared" si="0"/>
        <v>0</v>
      </c>
      <c r="K30" s="82">
        <f t="shared" si="3"/>
        <v>0</v>
      </c>
      <c r="L30" s="82">
        <f t="shared" si="4"/>
        <v>0</v>
      </c>
      <c r="M30" s="81" t="s">
        <v>84</v>
      </c>
      <c r="N30" s="111"/>
      <c r="O30" s="87"/>
      <c r="P30" s="112"/>
      <c r="Q30" s="88"/>
      <c r="R30" s="89">
        <f t="shared" si="9"/>
        <v>0</v>
      </c>
      <c r="S30" s="89">
        <f t="shared" si="5"/>
        <v>0</v>
      </c>
      <c r="T30" s="89">
        <f t="shared" si="6"/>
        <v>0</v>
      </c>
      <c r="U30" s="90">
        <f t="shared" si="7"/>
        <v>0</v>
      </c>
      <c r="V30" s="90">
        <f t="shared" si="8"/>
        <v>0</v>
      </c>
      <c r="W30" s="91"/>
      <c r="X30" s="92"/>
      <c r="Y30" s="4"/>
      <c r="Z30" s="4"/>
      <c r="AA30" s="4"/>
      <c r="AB30" s="4"/>
    </row>
    <row r="31" spans="1:28" x14ac:dyDescent="0.25">
      <c r="A31" s="1"/>
      <c r="B31" s="95"/>
      <c r="C31" s="13"/>
      <c r="D31" s="96"/>
      <c r="E31" s="97"/>
      <c r="F31" s="98"/>
      <c r="G31" s="99">
        <f t="shared" si="1"/>
        <v>0</v>
      </c>
      <c r="H31" s="100">
        <f t="shared" si="2"/>
        <v>0</v>
      </c>
      <c r="I31" s="101"/>
      <c r="J31" s="102">
        <f t="shared" si="0"/>
        <v>0</v>
      </c>
      <c r="K31" s="99">
        <f t="shared" si="3"/>
        <v>0</v>
      </c>
      <c r="L31" s="99">
        <f t="shared" si="4"/>
        <v>0</v>
      </c>
      <c r="M31" s="103" t="s">
        <v>84</v>
      </c>
      <c r="N31" s="104"/>
      <c r="O31" s="87"/>
      <c r="P31" s="95"/>
      <c r="Q31" s="98"/>
      <c r="R31" s="105">
        <f>ROUND(IF($R$17=$Q$17,Q31,IF($R$17="USD $",Q31*$D$15,Q31*$E$15))*E31,2)</f>
        <v>0</v>
      </c>
      <c r="S31" s="106">
        <f t="shared" si="5"/>
        <v>0</v>
      </c>
      <c r="T31" s="106">
        <f t="shared" si="6"/>
        <v>0</v>
      </c>
      <c r="U31" s="107">
        <f t="shared" si="7"/>
        <v>0</v>
      </c>
      <c r="V31" s="107">
        <f t="shared" si="8"/>
        <v>0</v>
      </c>
      <c r="W31" s="108"/>
      <c r="X31" s="92"/>
      <c r="Y31" s="4" t="s">
        <v>84</v>
      </c>
      <c r="Z31" s="4"/>
      <c r="AA31" s="4"/>
      <c r="AB31" s="4"/>
    </row>
    <row r="32" spans="1:28" x14ac:dyDescent="0.25">
      <c r="A32" s="1"/>
      <c r="B32" s="77"/>
      <c r="C32" s="109"/>
      <c r="D32" s="110"/>
      <c r="E32" s="80"/>
      <c r="F32" s="81"/>
      <c r="G32" s="82">
        <f t="shared" si="1"/>
        <v>0</v>
      </c>
      <c r="H32" s="83">
        <f t="shared" si="2"/>
        <v>0</v>
      </c>
      <c r="I32" s="101"/>
      <c r="J32" s="85">
        <f t="shared" si="0"/>
        <v>0</v>
      </c>
      <c r="K32" s="82">
        <f t="shared" si="3"/>
        <v>0</v>
      </c>
      <c r="L32" s="82">
        <f t="shared" si="4"/>
        <v>0</v>
      </c>
      <c r="M32" s="81" t="s">
        <v>84</v>
      </c>
      <c r="N32" s="111">
        <v>0.5</v>
      </c>
      <c r="O32" s="87"/>
      <c r="P32" s="112"/>
      <c r="Q32" s="88"/>
      <c r="R32" s="89">
        <f t="shared" si="9"/>
        <v>0</v>
      </c>
      <c r="S32" s="89">
        <f t="shared" si="5"/>
        <v>0</v>
      </c>
      <c r="T32" s="89">
        <f t="shared" si="6"/>
        <v>0</v>
      </c>
      <c r="U32" s="90">
        <f t="shared" si="7"/>
        <v>0</v>
      </c>
      <c r="V32" s="90">
        <f t="shared" si="8"/>
        <v>0</v>
      </c>
      <c r="W32" s="91"/>
      <c r="X32" s="92"/>
      <c r="Y32" s="4" t="s">
        <v>104</v>
      </c>
      <c r="Z32" s="4"/>
      <c r="AA32" s="4"/>
      <c r="AB32" s="4"/>
    </row>
    <row r="33" spans="1:28" x14ac:dyDescent="0.25">
      <c r="A33" s="1"/>
      <c r="B33" s="95"/>
      <c r="C33" s="13"/>
      <c r="D33" s="96"/>
      <c r="E33" s="97"/>
      <c r="F33" s="98"/>
      <c r="G33" s="99">
        <f t="shared" si="1"/>
        <v>0</v>
      </c>
      <c r="H33" s="100">
        <f t="shared" si="2"/>
        <v>0</v>
      </c>
      <c r="I33" s="101"/>
      <c r="J33" s="102">
        <f t="shared" si="0"/>
        <v>0</v>
      </c>
      <c r="K33" s="99">
        <f t="shared" si="3"/>
        <v>0</v>
      </c>
      <c r="L33" s="99">
        <f t="shared" si="4"/>
        <v>0</v>
      </c>
      <c r="M33" s="103" t="s">
        <v>84</v>
      </c>
      <c r="N33" s="104"/>
      <c r="O33" s="87"/>
      <c r="P33" s="95"/>
      <c r="Q33" s="98"/>
      <c r="R33" s="105">
        <f t="shared" si="9"/>
        <v>0</v>
      </c>
      <c r="S33" s="106">
        <f t="shared" si="5"/>
        <v>0</v>
      </c>
      <c r="T33" s="106">
        <f t="shared" si="6"/>
        <v>0</v>
      </c>
      <c r="U33" s="107">
        <f t="shared" si="7"/>
        <v>0</v>
      </c>
      <c r="V33" s="107">
        <f t="shared" si="8"/>
        <v>0</v>
      </c>
      <c r="W33" s="108"/>
      <c r="X33" s="92"/>
      <c r="Y33" s="4"/>
      <c r="Z33" s="4"/>
      <c r="AA33" s="4"/>
      <c r="AB33" s="4"/>
    </row>
    <row r="34" spans="1:28" x14ac:dyDescent="0.25">
      <c r="A34" s="1"/>
      <c r="B34" s="77"/>
      <c r="C34" s="109"/>
      <c r="D34" s="110"/>
      <c r="E34" s="80"/>
      <c r="F34" s="81"/>
      <c r="G34" s="82">
        <f t="shared" si="1"/>
        <v>0</v>
      </c>
      <c r="H34" s="83">
        <f t="shared" si="2"/>
        <v>0</v>
      </c>
      <c r="I34" s="101"/>
      <c r="J34" s="85">
        <f t="shared" si="0"/>
        <v>0</v>
      </c>
      <c r="K34" s="82">
        <f t="shared" si="3"/>
        <v>0</v>
      </c>
      <c r="L34" s="82">
        <f t="shared" si="4"/>
        <v>0</v>
      </c>
      <c r="M34" s="81" t="s">
        <v>84</v>
      </c>
      <c r="N34" s="111">
        <v>0.5</v>
      </c>
      <c r="O34" s="87"/>
      <c r="P34" s="112"/>
      <c r="Q34" s="88"/>
      <c r="R34" s="89">
        <f t="shared" si="9"/>
        <v>0</v>
      </c>
      <c r="S34" s="89">
        <f t="shared" si="5"/>
        <v>0</v>
      </c>
      <c r="T34" s="89">
        <f t="shared" si="6"/>
        <v>0</v>
      </c>
      <c r="U34" s="90">
        <f t="shared" si="7"/>
        <v>0</v>
      </c>
      <c r="V34" s="90">
        <f t="shared" si="8"/>
        <v>0</v>
      </c>
      <c r="W34" s="91"/>
      <c r="X34" s="92"/>
      <c r="Y34" s="4"/>
      <c r="Z34" s="4"/>
      <c r="AA34" s="4"/>
      <c r="AB34" s="4"/>
    </row>
    <row r="35" spans="1:28" x14ac:dyDescent="0.25">
      <c r="A35" s="1"/>
      <c r="B35" s="95"/>
      <c r="C35" s="13"/>
      <c r="D35" s="96"/>
      <c r="E35" s="97"/>
      <c r="F35" s="98"/>
      <c r="G35" s="99">
        <f t="shared" si="1"/>
        <v>0</v>
      </c>
      <c r="H35" s="100">
        <f t="shared" si="2"/>
        <v>0</v>
      </c>
      <c r="I35" s="101"/>
      <c r="J35" s="102">
        <f t="shared" si="0"/>
        <v>0</v>
      </c>
      <c r="K35" s="99">
        <f t="shared" si="3"/>
        <v>0</v>
      </c>
      <c r="L35" s="99">
        <f t="shared" si="4"/>
        <v>0</v>
      </c>
      <c r="M35" s="103" t="s">
        <v>84</v>
      </c>
      <c r="N35" s="104">
        <v>0.5</v>
      </c>
      <c r="O35" s="87"/>
      <c r="P35" s="95"/>
      <c r="Q35" s="98"/>
      <c r="R35" s="105">
        <f t="shared" si="9"/>
        <v>0</v>
      </c>
      <c r="S35" s="106">
        <f t="shared" si="5"/>
        <v>0</v>
      </c>
      <c r="T35" s="106">
        <f t="shared" si="6"/>
        <v>0</v>
      </c>
      <c r="U35" s="107">
        <f t="shared" si="7"/>
        <v>0</v>
      </c>
      <c r="V35" s="107">
        <f t="shared" si="8"/>
        <v>0</v>
      </c>
      <c r="W35" s="108"/>
      <c r="X35" s="92"/>
      <c r="Y35" s="4"/>
      <c r="Z35" s="4"/>
      <c r="AA35" s="4"/>
      <c r="AB35" s="4"/>
    </row>
    <row r="36" spans="1:28" x14ac:dyDescent="0.25">
      <c r="A36" s="1"/>
      <c r="B36" s="77"/>
      <c r="C36" s="109"/>
      <c r="D36" s="110"/>
      <c r="E36" s="80"/>
      <c r="F36" s="81"/>
      <c r="G36" s="82">
        <f t="shared" si="1"/>
        <v>0</v>
      </c>
      <c r="H36" s="83">
        <f t="shared" si="2"/>
        <v>0</v>
      </c>
      <c r="I36" s="101"/>
      <c r="J36" s="85">
        <f t="shared" si="0"/>
        <v>0</v>
      </c>
      <c r="K36" s="82">
        <f t="shared" si="3"/>
        <v>0</v>
      </c>
      <c r="L36" s="82">
        <f t="shared" si="4"/>
        <v>0</v>
      </c>
      <c r="M36" s="81" t="s">
        <v>84</v>
      </c>
      <c r="N36" s="111"/>
      <c r="O36" s="87"/>
      <c r="P36" s="112"/>
      <c r="Q36" s="88"/>
      <c r="R36" s="89">
        <f t="shared" si="9"/>
        <v>0</v>
      </c>
      <c r="S36" s="89">
        <f t="shared" si="5"/>
        <v>0</v>
      </c>
      <c r="T36" s="89">
        <f t="shared" si="6"/>
        <v>0</v>
      </c>
      <c r="U36" s="90">
        <f t="shared" si="7"/>
        <v>0</v>
      </c>
      <c r="V36" s="90">
        <f t="shared" si="8"/>
        <v>0</v>
      </c>
      <c r="W36" s="91"/>
      <c r="X36" s="92"/>
      <c r="Y36" s="4"/>
      <c r="Z36" s="4"/>
      <c r="AA36" s="4"/>
      <c r="AB36" s="4"/>
    </row>
    <row r="37" spans="1:28" x14ac:dyDescent="0.25">
      <c r="A37" s="1"/>
      <c r="B37" s="95"/>
      <c r="C37" s="13"/>
      <c r="D37" s="96"/>
      <c r="E37" s="97"/>
      <c r="F37" s="98"/>
      <c r="G37" s="99">
        <f t="shared" si="1"/>
        <v>0</v>
      </c>
      <c r="H37" s="100">
        <f t="shared" si="2"/>
        <v>0</v>
      </c>
      <c r="I37" s="101"/>
      <c r="J37" s="102">
        <f t="shared" si="0"/>
        <v>0</v>
      </c>
      <c r="K37" s="99">
        <f t="shared" si="3"/>
        <v>0</v>
      </c>
      <c r="L37" s="99">
        <f t="shared" si="4"/>
        <v>0</v>
      </c>
      <c r="M37" s="103" t="s">
        <v>84</v>
      </c>
      <c r="N37" s="104"/>
      <c r="O37" s="87"/>
      <c r="P37" s="95"/>
      <c r="Q37" s="98"/>
      <c r="R37" s="105">
        <f t="shared" si="9"/>
        <v>0</v>
      </c>
      <c r="S37" s="106">
        <f t="shared" si="5"/>
        <v>0</v>
      </c>
      <c r="T37" s="106">
        <f t="shared" si="6"/>
        <v>0</v>
      </c>
      <c r="U37" s="107">
        <f t="shared" si="7"/>
        <v>0</v>
      </c>
      <c r="V37" s="107">
        <f t="shared" si="8"/>
        <v>0</v>
      </c>
      <c r="W37" s="108"/>
      <c r="X37" s="92"/>
      <c r="Y37" s="4"/>
      <c r="Z37" s="4"/>
      <c r="AA37" s="4"/>
      <c r="AB37" s="4"/>
    </row>
    <row r="38" spans="1:28" x14ac:dyDescent="0.25">
      <c r="A38" s="1"/>
      <c r="B38" s="77"/>
      <c r="C38" s="109"/>
      <c r="D38" s="110"/>
      <c r="E38" s="80"/>
      <c r="F38" s="81"/>
      <c r="G38" s="82">
        <f t="shared" si="1"/>
        <v>0</v>
      </c>
      <c r="H38" s="83">
        <f t="shared" si="2"/>
        <v>0</v>
      </c>
      <c r="I38" s="101"/>
      <c r="J38" s="85">
        <f t="shared" si="0"/>
        <v>0</v>
      </c>
      <c r="K38" s="82">
        <f t="shared" si="3"/>
        <v>0</v>
      </c>
      <c r="L38" s="82">
        <f t="shared" si="4"/>
        <v>0</v>
      </c>
      <c r="M38" s="81" t="s">
        <v>84</v>
      </c>
      <c r="N38" s="111"/>
      <c r="O38" s="87"/>
      <c r="P38" s="112"/>
      <c r="Q38" s="88"/>
      <c r="R38" s="89">
        <f t="shared" si="9"/>
        <v>0</v>
      </c>
      <c r="S38" s="89">
        <f t="shared" si="5"/>
        <v>0</v>
      </c>
      <c r="T38" s="89">
        <f t="shared" si="6"/>
        <v>0</v>
      </c>
      <c r="U38" s="90">
        <f t="shared" si="7"/>
        <v>0</v>
      </c>
      <c r="V38" s="90">
        <f t="shared" si="8"/>
        <v>0</v>
      </c>
      <c r="W38" s="108"/>
      <c r="X38" s="92"/>
      <c r="Y38" s="4"/>
      <c r="Z38" s="4"/>
      <c r="AA38" s="4"/>
      <c r="AB38" s="4"/>
    </row>
    <row r="39" spans="1:28" x14ac:dyDescent="0.25">
      <c r="A39" s="1"/>
      <c r="B39" s="95"/>
      <c r="C39" s="13"/>
      <c r="D39" s="96"/>
      <c r="E39" s="97"/>
      <c r="F39" s="98"/>
      <c r="G39" s="99">
        <f t="shared" si="1"/>
        <v>0</v>
      </c>
      <c r="H39" s="100">
        <f t="shared" si="2"/>
        <v>0</v>
      </c>
      <c r="I39" s="101"/>
      <c r="J39" s="102">
        <f t="shared" si="0"/>
        <v>0</v>
      </c>
      <c r="K39" s="99">
        <f t="shared" si="3"/>
        <v>0</v>
      </c>
      <c r="L39" s="99">
        <f t="shared" si="4"/>
        <v>0</v>
      </c>
      <c r="M39" s="103" t="s">
        <v>84</v>
      </c>
      <c r="N39" s="104"/>
      <c r="O39" s="87"/>
      <c r="P39" s="95"/>
      <c r="Q39" s="98"/>
      <c r="R39" s="105">
        <f t="shared" si="9"/>
        <v>0</v>
      </c>
      <c r="S39" s="106">
        <f t="shared" si="5"/>
        <v>0</v>
      </c>
      <c r="T39" s="106">
        <f t="shared" si="6"/>
        <v>0</v>
      </c>
      <c r="U39" s="107">
        <f t="shared" si="7"/>
        <v>0</v>
      </c>
      <c r="V39" s="107">
        <f t="shared" si="8"/>
        <v>0</v>
      </c>
      <c r="W39" s="108"/>
      <c r="X39" s="92"/>
      <c r="Y39" s="4"/>
      <c r="Z39" s="4"/>
      <c r="AA39" s="4"/>
      <c r="AB39" s="4"/>
    </row>
    <row r="40" spans="1:28" x14ac:dyDescent="0.25">
      <c r="A40" s="1"/>
      <c r="B40" s="77"/>
      <c r="C40" s="109"/>
      <c r="D40" s="110"/>
      <c r="E40" s="80"/>
      <c r="F40" s="81"/>
      <c r="G40" s="82">
        <f t="shared" si="1"/>
        <v>0</v>
      </c>
      <c r="H40" s="83">
        <f t="shared" si="2"/>
        <v>0</v>
      </c>
      <c r="I40" s="101"/>
      <c r="J40" s="85">
        <f t="shared" si="0"/>
        <v>0</v>
      </c>
      <c r="K40" s="82">
        <f t="shared" si="3"/>
        <v>0</v>
      </c>
      <c r="L40" s="82">
        <f t="shared" si="4"/>
        <v>0</v>
      </c>
      <c r="M40" s="81" t="s">
        <v>84</v>
      </c>
      <c r="N40" s="111">
        <v>0.5</v>
      </c>
      <c r="O40" s="87"/>
      <c r="P40" s="112"/>
      <c r="Q40" s="88"/>
      <c r="R40" s="89">
        <f t="shared" si="9"/>
        <v>0</v>
      </c>
      <c r="S40" s="89">
        <f t="shared" si="5"/>
        <v>0</v>
      </c>
      <c r="T40" s="89">
        <f t="shared" si="6"/>
        <v>0</v>
      </c>
      <c r="U40" s="90">
        <f t="shared" si="7"/>
        <v>0</v>
      </c>
      <c r="V40" s="90">
        <f t="shared" si="8"/>
        <v>0</v>
      </c>
      <c r="W40" s="108"/>
      <c r="X40" s="92"/>
      <c r="Y40" s="4"/>
      <c r="Z40" s="4"/>
      <c r="AA40" s="4"/>
      <c r="AB40" s="4"/>
    </row>
    <row r="41" spans="1:28" x14ac:dyDescent="0.25">
      <c r="A41" s="1"/>
      <c r="B41" s="95"/>
      <c r="C41" s="13"/>
      <c r="D41" s="96"/>
      <c r="E41" s="97"/>
      <c r="F41" s="98"/>
      <c r="G41" s="99">
        <f t="shared" si="1"/>
        <v>0</v>
      </c>
      <c r="H41" s="100">
        <f t="shared" si="2"/>
        <v>0</v>
      </c>
      <c r="I41" s="101"/>
      <c r="J41" s="102">
        <f t="shared" si="0"/>
        <v>0</v>
      </c>
      <c r="K41" s="99">
        <f t="shared" si="3"/>
        <v>0</v>
      </c>
      <c r="L41" s="99">
        <f t="shared" si="4"/>
        <v>0</v>
      </c>
      <c r="M41" s="103" t="s">
        <v>84</v>
      </c>
      <c r="N41" s="104"/>
      <c r="O41" s="87"/>
      <c r="P41" s="95"/>
      <c r="Q41" s="98"/>
      <c r="R41" s="105">
        <f t="shared" si="9"/>
        <v>0</v>
      </c>
      <c r="S41" s="106">
        <f t="shared" si="5"/>
        <v>0</v>
      </c>
      <c r="T41" s="106">
        <f t="shared" si="6"/>
        <v>0</v>
      </c>
      <c r="U41" s="107">
        <f t="shared" si="7"/>
        <v>0</v>
      </c>
      <c r="V41" s="107">
        <f t="shared" si="8"/>
        <v>0</v>
      </c>
      <c r="W41" s="108"/>
      <c r="X41" s="92"/>
      <c r="Y41" s="4"/>
      <c r="Z41" s="4"/>
      <c r="AA41" s="4"/>
      <c r="AB41" s="4"/>
    </row>
    <row r="42" spans="1:28" x14ac:dyDescent="0.25">
      <c r="A42" s="1"/>
      <c r="B42" s="77"/>
      <c r="C42" s="109"/>
      <c r="D42" s="110"/>
      <c r="E42" s="80"/>
      <c r="F42" s="81"/>
      <c r="G42" s="82">
        <f t="shared" si="1"/>
        <v>0</v>
      </c>
      <c r="H42" s="83">
        <f t="shared" si="2"/>
        <v>0</v>
      </c>
      <c r="I42" s="101"/>
      <c r="J42" s="85">
        <f t="shared" si="0"/>
        <v>0</v>
      </c>
      <c r="K42" s="82">
        <f t="shared" si="3"/>
        <v>0</v>
      </c>
      <c r="L42" s="82">
        <f t="shared" si="4"/>
        <v>0</v>
      </c>
      <c r="M42" s="81" t="s">
        <v>84</v>
      </c>
      <c r="N42" s="111"/>
      <c r="O42" s="87"/>
      <c r="P42" s="112"/>
      <c r="Q42" s="88"/>
      <c r="R42" s="89">
        <f t="shared" si="9"/>
        <v>0</v>
      </c>
      <c r="S42" s="89">
        <f t="shared" si="5"/>
        <v>0</v>
      </c>
      <c r="T42" s="89">
        <f t="shared" si="6"/>
        <v>0</v>
      </c>
      <c r="U42" s="90">
        <f t="shared" si="7"/>
        <v>0</v>
      </c>
      <c r="V42" s="90">
        <f t="shared" si="8"/>
        <v>0</v>
      </c>
      <c r="W42" s="108"/>
      <c r="X42" s="92"/>
      <c r="Y42" s="4"/>
      <c r="Z42" s="4"/>
      <c r="AA42" s="4"/>
      <c r="AB42" s="4"/>
    </row>
    <row r="43" spans="1:28" x14ac:dyDescent="0.25">
      <c r="A43" s="1"/>
      <c r="B43" s="95"/>
      <c r="C43" s="13"/>
      <c r="D43" s="96"/>
      <c r="E43" s="97"/>
      <c r="F43" s="98"/>
      <c r="G43" s="99">
        <f t="shared" si="1"/>
        <v>0</v>
      </c>
      <c r="H43" s="100">
        <f t="shared" si="2"/>
        <v>0</v>
      </c>
      <c r="I43" s="101"/>
      <c r="J43" s="102">
        <f t="shared" si="0"/>
        <v>0</v>
      </c>
      <c r="K43" s="99">
        <f t="shared" si="3"/>
        <v>0</v>
      </c>
      <c r="L43" s="99">
        <f t="shared" si="4"/>
        <v>0</v>
      </c>
      <c r="M43" s="103" t="s">
        <v>84</v>
      </c>
      <c r="N43" s="104"/>
      <c r="O43" s="87"/>
      <c r="P43" s="95"/>
      <c r="Q43" s="98"/>
      <c r="R43" s="105">
        <f t="shared" si="9"/>
        <v>0</v>
      </c>
      <c r="S43" s="106">
        <f t="shared" si="5"/>
        <v>0</v>
      </c>
      <c r="T43" s="106">
        <f t="shared" si="6"/>
        <v>0</v>
      </c>
      <c r="U43" s="107">
        <f t="shared" si="7"/>
        <v>0</v>
      </c>
      <c r="V43" s="107">
        <f t="shared" si="8"/>
        <v>0</v>
      </c>
      <c r="W43" s="108"/>
      <c r="X43" s="92"/>
      <c r="Y43" s="4"/>
      <c r="Z43" s="4"/>
      <c r="AA43" s="4"/>
      <c r="AB43" s="4"/>
    </row>
    <row r="44" spans="1:28" x14ac:dyDescent="0.25">
      <c r="A44" s="1"/>
      <c r="B44" s="77"/>
      <c r="C44" s="109"/>
      <c r="D44" s="110"/>
      <c r="E44" s="80"/>
      <c r="F44" s="81"/>
      <c r="G44" s="82">
        <f t="shared" si="1"/>
        <v>0</v>
      </c>
      <c r="H44" s="83">
        <f t="shared" si="2"/>
        <v>0</v>
      </c>
      <c r="I44" s="101"/>
      <c r="J44" s="85">
        <f t="shared" si="0"/>
        <v>0</v>
      </c>
      <c r="K44" s="82">
        <f t="shared" si="3"/>
        <v>0</v>
      </c>
      <c r="L44" s="82">
        <f t="shared" si="4"/>
        <v>0</v>
      </c>
      <c r="M44" s="81" t="s">
        <v>84</v>
      </c>
      <c r="N44" s="111"/>
      <c r="O44" s="87"/>
      <c r="P44" s="112"/>
      <c r="Q44" s="88"/>
      <c r="R44" s="89">
        <f t="shared" si="9"/>
        <v>0</v>
      </c>
      <c r="S44" s="89">
        <f t="shared" si="5"/>
        <v>0</v>
      </c>
      <c r="T44" s="89">
        <f t="shared" si="6"/>
        <v>0</v>
      </c>
      <c r="U44" s="90">
        <f t="shared" si="7"/>
        <v>0</v>
      </c>
      <c r="V44" s="90">
        <f t="shared" si="8"/>
        <v>0</v>
      </c>
      <c r="W44" s="108"/>
      <c r="X44" s="92"/>
      <c r="Y44" s="4"/>
      <c r="Z44" s="4"/>
      <c r="AA44" s="4"/>
      <c r="AB44" s="4"/>
    </row>
    <row r="45" spans="1:28" x14ac:dyDescent="0.25">
      <c r="A45" s="1"/>
      <c r="B45" s="95"/>
      <c r="C45" s="13"/>
      <c r="D45" s="96"/>
      <c r="E45" s="97"/>
      <c r="F45" s="98"/>
      <c r="G45" s="99">
        <f t="shared" si="1"/>
        <v>0</v>
      </c>
      <c r="H45" s="100">
        <f t="shared" si="2"/>
        <v>0</v>
      </c>
      <c r="I45" s="101"/>
      <c r="J45" s="102">
        <f t="shared" si="0"/>
        <v>0</v>
      </c>
      <c r="K45" s="99">
        <f t="shared" si="3"/>
        <v>0</v>
      </c>
      <c r="L45" s="99">
        <f t="shared" si="4"/>
        <v>0</v>
      </c>
      <c r="M45" s="103" t="s">
        <v>84</v>
      </c>
      <c r="N45" s="104"/>
      <c r="O45" s="87"/>
      <c r="P45" s="95"/>
      <c r="Q45" s="98"/>
      <c r="R45" s="105">
        <f t="shared" si="9"/>
        <v>0</v>
      </c>
      <c r="S45" s="106">
        <f t="shared" si="5"/>
        <v>0</v>
      </c>
      <c r="T45" s="106">
        <f t="shared" si="6"/>
        <v>0</v>
      </c>
      <c r="U45" s="107">
        <f t="shared" si="7"/>
        <v>0</v>
      </c>
      <c r="V45" s="107">
        <f t="shared" si="8"/>
        <v>0</v>
      </c>
      <c r="W45" s="108"/>
      <c r="X45" s="92"/>
      <c r="Y45" s="4"/>
      <c r="Z45" s="4"/>
      <c r="AA45" s="4"/>
      <c r="AB45" s="4"/>
    </row>
    <row r="46" spans="1:28" x14ac:dyDescent="0.25">
      <c r="A46" s="1"/>
      <c r="B46" s="77"/>
      <c r="C46" s="109"/>
      <c r="D46" s="110"/>
      <c r="E46" s="80"/>
      <c r="F46" s="81"/>
      <c r="G46" s="82">
        <f t="shared" si="1"/>
        <v>0</v>
      </c>
      <c r="H46" s="83">
        <f t="shared" si="2"/>
        <v>0</v>
      </c>
      <c r="I46" s="101"/>
      <c r="J46" s="85">
        <f t="shared" si="0"/>
        <v>0</v>
      </c>
      <c r="K46" s="82">
        <f t="shared" si="3"/>
        <v>0</v>
      </c>
      <c r="L46" s="82">
        <f t="shared" si="4"/>
        <v>0</v>
      </c>
      <c r="M46" s="81" t="s">
        <v>84</v>
      </c>
      <c r="N46" s="111"/>
      <c r="O46" s="87"/>
      <c r="P46" s="112"/>
      <c r="Q46" s="88"/>
      <c r="R46" s="89">
        <f t="shared" si="9"/>
        <v>0</v>
      </c>
      <c r="S46" s="89">
        <f t="shared" si="5"/>
        <v>0</v>
      </c>
      <c r="T46" s="89">
        <f t="shared" si="6"/>
        <v>0</v>
      </c>
      <c r="U46" s="90">
        <f t="shared" si="7"/>
        <v>0</v>
      </c>
      <c r="V46" s="90">
        <f t="shared" si="8"/>
        <v>0</v>
      </c>
      <c r="W46" s="108"/>
      <c r="X46" s="92"/>
      <c r="Y46" s="4"/>
      <c r="Z46" s="4"/>
      <c r="AA46" s="4"/>
      <c r="AB46" s="4"/>
    </row>
    <row r="47" spans="1:28" x14ac:dyDescent="0.25">
      <c r="A47" s="1"/>
      <c r="B47" s="95"/>
      <c r="C47" s="13"/>
      <c r="D47" s="96"/>
      <c r="E47" s="97"/>
      <c r="F47" s="98"/>
      <c r="G47" s="99">
        <f t="shared" si="1"/>
        <v>0</v>
      </c>
      <c r="H47" s="100">
        <f t="shared" si="2"/>
        <v>0</v>
      </c>
      <c r="I47" s="101"/>
      <c r="J47" s="102">
        <f t="shared" si="0"/>
        <v>0</v>
      </c>
      <c r="K47" s="99">
        <f t="shared" si="3"/>
        <v>0</v>
      </c>
      <c r="L47" s="99">
        <f t="shared" si="4"/>
        <v>0</v>
      </c>
      <c r="M47" s="103" t="s">
        <v>84</v>
      </c>
      <c r="N47" s="104"/>
      <c r="O47" s="87"/>
      <c r="P47" s="95"/>
      <c r="Q47" s="98"/>
      <c r="R47" s="105">
        <f t="shared" si="9"/>
        <v>0</v>
      </c>
      <c r="S47" s="106">
        <f t="shared" si="5"/>
        <v>0</v>
      </c>
      <c r="T47" s="106">
        <f t="shared" si="6"/>
        <v>0</v>
      </c>
      <c r="U47" s="107">
        <f t="shared" si="7"/>
        <v>0</v>
      </c>
      <c r="V47" s="107">
        <f t="shared" si="8"/>
        <v>0</v>
      </c>
      <c r="W47" s="108"/>
      <c r="X47" s="92"/>
      <c r="Y47" s="4"/>
      <c r="Z47" s="4"/>
      <c r="AA47" s="4"/>
      <c r="AB47" s="4"/>
    </row>
    <row r="48" spans="1:28" x14ac:dyDescent="0.25">
      <c r="A48" s="1"/>
      <c r="B48" s="77"/>
      <c r="C48" s="109"/>
      <c r="D48" s="110"/>
      <c r="E48" s="80"/>
      <c r="F48" s="81"/>
      <c r="G48" s="82">
        <f t="shared" si="1"/>
        <v>0</v>
      </c>
      <c r="H48" s="83">
        <f t="shared" si="2"/>
        <v>0</v>
      </c>
      <c r="I48" s="101"/>
      <c r="J48" s="85">
        <f t="shared" si="0"/>
        <v>0</v>
      </c>
      <c r="K48" s="82">
        <f t="shared" si="3"/>
        <v>0</v>
      </c>
      <c r="L48" s="82">
        <f t="shared" si="4"/>
        <v>0</v>
      </c>
      <c r="M48" s="81" t="s">
        <v>84</v>
      </c>
      <c r="N48" s="111"/>
      <c r="O48" s="87"/>
      <c r="P48" s="112"/>
      <c r="Q48" s="88"/>
      <c r="R48" s="89">
        <f t="shared" si="9"/>
        <v>0</v>
      </c>
      <c r="S48" s="89">
        <f t="shared" si="5"/>
        <v>0</v>
      </c>
      <c r="T48" s="89">
        <f t="shared" si="6"/>
        <v>0</v>
      </c>
      <c r="U48" s="90">
        <f t="shared" si="7"/>
        <v>0</v>
      </c>
      <c r="V48" s="90">
        <f t="shared" si="8"/>
        <v>0</v>
      </c>
      <c r="W48" s="108"/>
      <c r="X48" s="92"/>
      <c r="Y48" s="4"/>
      <c r="Z48" s="4"/>
      <c r="AA48" s="4"/>
      <c r="AB48" s="4"/>
    </row>
    <row r="49" spans="1:28" x14ac:dyDescent="0.25">
      <c r="A49" s="1"/>
      <c r="B49" s="95"/>
      <c r="C49" s="13"/>
      <c r="D49" s="96"/>
      <c r="E49" s="97"/>
      <c r="F49" s="98"/>
      <c r="G49" s="99">
        <f t="shared" si="1"/>
        <v>0</v>
      </c>
      <c r="H49" s="100">
        <f t="shared" si="2"/>
        <v>0</v>
      </c>
      <c r="I49" s="101"/>
      <c r="J49" s="102">
        <f t="shared" si="0"/>
        <v>0</v>
      </c>
      <c r="K49" s="99">
        <f t="shared" si="3"/>
        <v>0</v>
      </c>
      <c r="L49" s="99">
        <f t="shared" si="4"/>
        <v>0</v>
      </c>
      <c r="M49" s="103" t="s">
        <v>84</v>
      </c>
      <c r="N49" s="104">
        <v>0.5</v>
      </c>
      <c r="O49" s="87"/>
      <c r="P49" s="95"/>
      <c r="Q49" s="98"/>
      <c r="R49" s="105">
        <f t="shared" si="9"/>
        <v>0</v>
      </c>
      <c r="S49" s="106">
        <f t="shared" si="5"/>
        <v>0</v>
      </c>
      <c r="T49" s="106">
        <f t="shared" si="6"/>
        <v>0</v>
      </c>
      <c r="U49" s="107">
        <f t="shared" si="7"/>
        <v>0</v>
      </c>
      <c r="V49" s="107">
        <f t="shared" si="8"/>
        <v>0</v>
      </c>
      <c r="W49" s="108"/>
      <c r="X49" s="92"/>
      <c r="Y49" s="4"/>
      <c r="Z49" s="4"/>
      <c r="AA49" s="4"/>
      <c r="AB49" s="4"/>
    </row>
    <row r="50" spans="1:28" x14ac:dyDescent="0.25">
      <c r="A50" s="1"/>
      <c r="B50" s="77"/>
      <c r="C50" s="109"/>
      <c r="D50" s="110"/>
      <c r="E50" s="80"/>
      <c r="F50" s="81"/>
      <c r="G50" s="82">
        <f t="shared" si="1"/>
        <v>0</v>
      </c>
      <c r="H50" s="83">
        <f t="shared" si="2"/>
        <v>0</v>
      </c>
      <c r="I50" s="101"/>
      <c r="J50" s="85">
        <f t="shared" si="0"/>
        <v>0</v>
      </c>
      <c r="K50" s="82">
        <f t="shared" si="3"/>
        <v>0</v>
      </c>
      <c r="L50" s="82">
        <f t="shared" si="4"/>
        <v>0</v>
      </c>
      <c r="M50" s="81" t="s">
        <v>84</v>
      </c>
      <c r="N50" s="111">
        <v>0.5</v>
      </c>
      <c r="O50" s="87"/>
      <c r="P50" s="112"/>
      <c r="Q50" s="88"/>
      <c r="R50" s="89">
        <f t="shared" si="9"/>
        <v>0</v>
      </c>
      <c r="S50" s="89">
        <f t="shared" si="5"/>
        <v>0</v>
      </c>
      <c r="T50" s="89">
        <f t="shared" si="6"/>
        <v>0</v>
      </c>
      <c r="U50" s="90">
        <f t="shared" si="7"/>
        <v>0</v>
      </c>
      <c r="V50" s="90">
        <f t="shared" si="8"/>
        <v>0</v>
      </c>
      <c r="W50" s="108"/>
      <c r="X50" s="92"/>
      <c r="Y50" s="4"/>
      <c r="Z50" s="4"/>
      <c r="AA50" s="4"/>
      <c r="AB50" s="4"/>
    </row>
    <row r="51" spans="1:28" x14ac:dyDescent="0.25">
      <c r="A51" s="1"/>
      <c r="B51" s="95"/>
      <c r="C51" s="13"/>
      <c r="D51" s="96"/>
      <c r="E51" s="97"/>
      <c r="F51" s="98"/>
      <c r="G51" s="99">
        <f t="shared" si="1"/>
        <v>0</v>
      </c>
      <c r="H51" s="100">
        <f t="shared" si="2"/>
        <v>0</v>
      </c>
      <c r="I51" s="101"/>
      <c r="J51" s="102">
        <f t="shared" si="0"/>
        <v>0</v>
      </c>
      <c r="K51" s="99">
        <f t="shared" si="3"/>
        <v>0</v>
      </c>
      <c r="L51" s="99">
        <f t="shared" si="4"/>
        <v>0</v>
      </c>
      <c r="M51" s="103" t="s">
        <v>84</v>
      </c>
      <c r="N51" s="104">
        <v>0.5</v>
      </c>
      <c r="O51" s="87"/>
      <c r="P51" s="95"/>
      <c r="Q51" s="98"/>
      <c r="R51" s="105">
        <f t="shared" si="9"/>
        <v>0</v>
      </c>
      <c r="S51" s="106">
        <f t="shared" si="5"/>
        <v>0</v>
      </c>
      <c r="T51" s="106">
        <f t="shared" si="6"/>
        <v>0</v>
      </c>
      <c r="U51" s="107">
        <f t="shared" si="7"/>
        <v>0</v>
      </c>
      <c r="V51" s="107">
        <f t="shared" si="8"/>
        <v>0</v>
      </c>
      <c r="W51" s="108"/>
      <c r="X51" s="92"/>
      <c r="Y51" s="4"/>
      <c r="Z51" s="4"/>
      <c r="AA51" s="4"/>
      <c r="AB51" s="4"/>
    </row>
    <row r="52" spans="1:28" x14ac:dyDescent="0.25">
      <c r="A52" s="1"/>
      <c r="B52" s="77"/>
      <c r="C52" s="109"/>
      <c r="D52" s="110"/>
      <c r="E52" s="80"/>
      <c r="F52" s="81"/>
      <c r="G52" s="82">
        <f t="shared" si="1"/>
        <v>0</v>
      </c>
      <c r="H52" s="83">
        <f t="shared" si="2"/>
        <v>0</v>
      </c>
      <c r="I52" s="101"/>
      <c r="J52" s="85">
        <f t="shared" si="0"/>
        <v>0</v>
      </c>
      <c r="K52" s="82">
        <f t="shared" si="3"/>
        <v>0</v>
      </c>
      <c r="L52" s="82">
        <f t="shared" si="4"/>
        <v>0</v>
      </c>
      <c r="M52" s="81" t="s">
        <v>84</v>
      </c>
      <c r="N52" s="111">
        <v>0.5</v>
      </c>
      <c r="O52" s="87"/>
      <c r="P52" s="112"/>
      <c r="Q52" s="88"/>
      <c r="R52" s="89">
        <f t="shared" si="9"/>
        <v>0</v>
      </c>
      <c r="S52" s="89">
        <f t="shared" si="5"/>
        <v>0</v>
      </c>
      <c r="T52" s="89">
        <f t="shared" si="6"/>
        <v>0</v>
      </c>
      <c r="U52" s="90">
        <f t="shared" si="7"/>
        <v>0</v>
      </c>
      <c r="V52" s="90">
        <f t="shared" si="8"/>
        <v>0</v>
      </c>
      <c r="W52" s="108"/>
      <c r="X52" s="92"/>
      <c r="Y52" s="4"/>
      <c r="Z52" s="4"/>
      <c r="AA52" s="4"/>
      <c r="AB52" s="4"/>
    </row>
    <row r="53" spans="1:28" x14ac:dyDescent="0.25">
      <c r="A53" s="1"/>
      <c r="B53" s="95"/>
      <c r="C53" s="13"/>
      <c r="D53" s="96"/>
      <c r="E53" s="97"/>
      <c r="F53" s="98"/>
      <c r="G53" s="99">
        <f t="shared" si="1"/>
        <v>0</v>
      </c>
      <c r="H53" s="100">
        <f t="shared" si="2"/>
        <v>0</v>
      </c>
      <c r="I53" s="101"/>
      <c r="J53" s="102">
        <f t="shared" si="0"/>
        <v>0</v>
      </c>
      <c r="K53" s="99">
        <f t="shared" si="3"/>
        <v>0</v>
      </c>
      <c r="L53" s="99">
        <f t="shared" si="4"/>
        <v>0</v>
      </c>
      <c r="M53" s="103" t="s">
        <v>84</v>
      </c>
      <c r="N53" s="104"/>
      <c r="O53" s="87"/>
      <c r="P53" s="95"/>
      <c r="Q53" s="98"/>
      <c r="R53" s="105">
        <f t="shared" si="9"/>
        <v>0</v>
      </c>
      <c r="S53" s="106">
        <f t="shared" si="5"/>
        <v>0</v>
      </c>
      <c r="T53" s="106">
        <f t="shared" si="6"/>
        <v>0</v>
      </c>
      <c r="U53" s="107">
        <f t="shared" si="7"/>
        <v>0</v>
      </c>
      <c r="V53" s="107">
        <f t="shared" si="8"/>
        <v>0</v>
      </c>
      <c r="W53" s="108"/>
      <c r="X53" s="92"/>
      <c r="Y53" s="4"/>
      <c r="Z53" s="4"/>
      <c r="AA53" s="4"/>
      <c r="AB53" s="4"/>
    </row>
    <row r="54" spans="1:28" x14ac:dyDescent="0.25">
      <c r="A54" s="1"/>
      <c r="B54" s="77"/>
      <c r="C54" s="109"/>
      <c r="D54" s="110"/>
      <c r="E54" s="80"/>
      <c r="F54" s="81"/>
      <c r="G54" s="82">
        <f t="shared" si="1"/>
        <v>0</v>
      </c>
      <c r="H54" s="83">
        <f t="shared" si="2"/>
        <v>0</v>
      </c>
      <c r="I54" s="101"/>
      <c r="J54" s="85">
        <f t="shared" si="0"/>
        <v>0</v>
      </c>
      <c r="K54" s="82">
        <f t="shared" si="3"/>
        <v>0</v>
      </c>
      <c r="L54" s="82">
        <f t="shared" si="4"/>
        <v>0</v>
      </c>
      <c r="M54" s="81" t="s">
        <v>84</v>
      </c>
      <c r="N54" s="111"/>
      <c r="O54" s="87"/>
      <c r="P54" s="112"/>
      <c r="Q54" s="88"/>
      <c r="R54" s="89">
        <f t="shared" si="9"/>
        <v>0</v>
      </c>
      <c r="S54" s="89">
        <f t="shared" si="5"/>
        <v>0</v>
      </c>
      <c r="T54" s="89">
        <f t="shared" si="6"/>
        <v>0</v>
      </c>
      <c r="U54" s="90">
        <f t="shared" si="7"/>
        <v>0</v>
      </c>
      <c r="V54" s="90">
        <f t="shared" si="8"/>
        <v>0</v>
      </c>
      <c r="W54" s="108"/>
      <c r="X54" s="92"/>
      <c r="Y54" s="4"/>
      <c r="Z54" s="4"/>
      <c r="AA54" s="4"/>
      <c r="AB54" s="4"/>
    </row>
    <row r="55" spans="1:28" x14ac:dyDescent="0.25">
      <c r="A55" s="1"/>
      <c r="B55" s="95"/>
      <c r="C55" s="13"/>
      <c r="D55" s="96"/>
      <c r="E55" s="97"/>
      <c r="F55" s="98"/>
      <c r="G55" s="99">
        <f t="shared" si="1"/>
        <v>0</v>
      </c>
      <c r="H55" s="100">
        <f t="shared" si="2"/>
        <v>0</v>
      </c>
      <c r="I55" s="101"/>
      <c r="J55" s="102">
        <f t="shared" si="0"/>
        <v>0</v>
      </c>
      <c r="K55" s="99">
        <f t="shared" si="3"/>
        <v>0</v>
      </c>
      <c r="L55" s="99">
        <f t="shared" si="4"/>
        <v>0</v>
      </c>
      <c r="M55" s="103" t="s">
        <v>84</v>
      </c>
      <c r="N55" s="104"/>
      <c r="O55" s="87"/>
      <c r="P55" s="95"/>
      <c r="Q55" s="98"/>
      <c r="R55" s="105">
        <f t="shared" si="9"/>
        <v>0</v>
      </c>
      <c r="S55" s="106">
        <f t="shared" si="5"/>
        <v>0</v>
      </c>
      <c r="T55" s="106">
        <f t="shared" si="6"/>
        <v>0</v>
      </c>
      <c r="U55" s="107">
        <f t="shared" si="7"/>
        <v>0</v>
      </c>
      <c r="V55" s="107">
        <f t="shared" si="8"/>
        <v>0</v>
      </c>
      <c r="W55" s="108"/>
      <c r="X55" s="92"/>
      <c r="Y55" s="4"/>
      <c r="Z55" s="4"/>
      <c r="AA55" s="4"/>
      <c r="AB55" s="4"/>
    </row>
    <row r="56" spans="1:28" x14ac:dyDescent="0.25">
      <c r="A56" s="1"/>
      <c r="B56" s="77"/>
      <c r="C56" s="109"/>
      <c r="D56" s="110"/>
      <c r="E56" s="80"/>
      <c r="F56" s="81"/>
      <c r="G56" s="82">
        <f t="shared" si="1"/>
        <v>0</v>
      </c>
      <c r="H56" s="83">
        <f t="shared" si="2"/>
        <v>0</v>
      </c>
      <c r="I56" s="101"/>
      <c r="J56" s="85">
        <f t="shared" si="0"/>
        <v>0</v>
      </c>
      <c r="K56" s="82">
        <f t="shared" si="3"/>
        <v>0</v>
      </c>
      <c r="L56" s="82">
        <f t="shared" si="4"/>
        <v>0</v>
      </c>
      <c r="M56" s="81" t="s">
        <v>84</v>
      </c>
      <c r="N56" s="111"/>
      <c r="O56" s="87"/>
      <c r="P56" s="112"/>
      <c r="Q56" s="88"/>
      <c r="R56" s="89">
        <f t="shared" si="9"/>
        <v>0</v>
      </c>
      <c r="S56" s="89">
        <f t="shared" si="5"/>
        <v>0</v>
      </c>
      <c r="T56" s="89">
        <f t="shared" si="6"/>
        <v>0</v>
      </c>
      <c r="U56" s="90">
        <f t="shared" si="7"/>
        <v>0</v>
      </c>
      <c r="V56" s="90">
        <f t="shared" si="8"/>
        <v>0</v>
      </c>
      <c r="W56" s="108"/>
      <c r="X56" s="92"/>
      <c r="Y56" s="4"/>
      <c r="Z56" s="4"/>
      <c r="AA56" s="4"/>
      <c r="AB56" s="4"/>
    </row>
    <row r="57" spans="1:28" x14ac:dyDescent="0.25">
      <c r="A57" s="1"/>
      <c r="B57" s="95"/>
      <c r="C57" s="13"/>
      <c r="D57" s="96"/>
      <c r="E57" s="97"/>
      <c r="F57" s="98"/>
      <c r="G57" s="99">
        <f t="shared" si="1"/>
        <v>0</v>
      </c>
      <c r="H57" s="100">
        <f t="shared" si="2"/>
        <v>0</v>
      </c>
      <c r="I57" s="101"/>
      <c r="J57" s="102">
        <f t="shared" si="0"/>
        <v>0</v>
      </c>
      <c r="K57" s="99">
        <f t="shared" si="3"/>
        <v>0</v>
      </c>
      <c r="L57" s="99">
        <f t="shared" si="4"/>
        <v>0</v>
      </c>
      <c r="M57" s="103" t="s">
        <v>84</v>
      </c>
      <c r="N57" s="104"/>
      <c r="O57" s="87"/>
      <c r="P57" s="95"/>
      <c r="Q57" s="98"/>
      <c r="R57" s="105">
        <f t="shared" si="9"/>
        <v>0</v>
      </c>
      <c r="S57" s="106">
        <f t="shared" si="5"/>
        <v>0</v>
      </c>
      <c r="T57" s="106">
        <f t="shared" si="6"/>
        <v>0</v>
      </c>
      <c r="U57" s="107">
        <f t="shared" si="7"/>
        <v>0</v>
      </c>
      <c r="V57" s="107">
        <f t="shared" si="8"/>
        <v>0</v>
      </c>
      <c r="W57" s="108"/>
      <c r="X57" s="92"/>
      <c r="Y57" s="4"/>
      <c r="Z57" s="4"/>
      <c r="AA57" s="4"/>
      <c r="AB57" s="4"/>
    </row>
    <row r="58" spans="1:28" x14ac:dyDescent="0.25">
      <c r="A58" s="1"/>
      <c r="B58" s="77"/>
      <c r="C58" s="109"/>
      <c r="D58" s="110"/>
      <c r="E58" s="80"/>
      <c r="F58" s="81"/>
      <c r="G58" s="82">
        <f t="shared" si="1"/>
        <v>0</v>
      </c>
      <c r="H58" s="83">
        <f t="shared" si="2"/>
        <v>0</v>
      </c>
      <c r="I58" s="101"/>
      <c r="J58" s="85">
        <f t="shared" si="0"/>
        <v>0</v>
      </c>
      <c r="K58" s="82">
        <f t="shared" si="3"/>
        <v>0</v>
      </c>
      <c r="L58" s="82">
        <f t="shared" si="4"/>
        <v>0</v>
      </c>
      <c r="M58" s="81" t="s">
        <v>84</v>
      </c>
      <c r="N58" s="111"/>
      <c r="O58" s="87"/>
      <c r="P58" s="112"/>
      <c r="Q58" s="88"/>
      <c r="R58" s="89">
        <f t="shared" si="9"/>
        <v>0</v>
      </c>
      <c r="S58" s="89">
        <f t="shared" si="5"/>
        <v>0</v>
      </c>
      <c r="T58" s="89">
        <f t="shared" si="6"/>
        <v>0</v>
      </c>
      <c r="U58" s="90">
        <f t="shared" si="7"/>
        <v>0</v>
      </c>
      <c r="V58" s="90">
        <f t="shared" si="8"/>
        <v>0</v>
      </c>
      <c r="W58" s="108"/>
      <c r="X58" s="92"/>
      <c r="Y58" s="4"/>
      <c r="Z58" s="4"/>
      <c r="AA58" s="4"/>
      <c r="AB58" s="4"/>
    </row>
    <row r="59" spans="1:28" x14ac:dyDescent="0.25">
      <c r="A59" s="1"/>
      <c r="B59" s="95"/>
      <c r="C59" s="13"/>
      <c r="D59" s="96"/>
      <c r="E59" s="97"/>
      <c r="F59" s="98"/>
      <c r="G59" s="99">
        <f t="shared" si="1"/>
        <v>0</v>
      </c>
      <c r="H59" s="100">
        <f t="shared" si="2"/>
        <v>0</v>
      </c>
      <c r="I59" s="101"/>
      <c r="J59" s="102">
        <f t="shared" si="0"/>
        <v>0</v>
      </c>
      <c r="K59" s="99">
        <f t="shared" si="3"/>
        <v>0</v>
      </c>
      <c r="L59" s="99">
        <f t="shared" si="4"/>
        <v>0</v>
      </c>
      <c r="M59" s="103" t="s">
        <v>84</v>
      </c>
      <c r="N59" s="104"/>
      <c r="O59" s="87"/>
      <c r="P59" s="95"/>
      <c r="Q59" s="98"/>
      <c r="R59" s="105">
        <f t="shared" si="9"/>
        <v>0</v>
      </c>
      <c r="S59" s="106">
        <f t="shared" si="5"/>
        <v>0</v>
      </c>
      <c r="T59" s="106">
        <f t="shared" si="6"/>
        <v>0</v>
      </c>
      <c r="U59" s="107">
        <f t="shared" si="7"/>
        <v>0</v>
      </c>
      <c r="V59" s="107">
        <f t="shared" si="8"/>
        <v>0</v>
      </c>
      <c r="W59" s="108"/>
      <c r="X59" s="92"/>
      <c r="Y59" s="4"/>
      <c r="Z59" s="4"/>
      <c r="AA59" s="4"/>
      <c r="AB59" s="4"/>
    </row>
    <row r="60" spans="1:28" x14ac:dyDescent="0.25">
      <c r="A60" s="1"/>
      <c r="B60" s="77"/>
      <c r="C60" s="109"/>
      <c r="D60" s="110"/>
      <c r="E60" s="80"/>
      <c r="F60" s="81"/>
      <c r="G60" s="82">
        <f t="shared" si="1"/>
        <v>0</v>
      </c>
      <c r="H60" s="83">
        <f t="shared" si="2"/>
        <v>0</v>
      </c>
      <c r="I60" s="101"/>
      <c r="J60" s="85">
        <f t="shared" si="0"/>
        <v>0</v>
      </c>
      <c r="K60" s="82">
        <f t="shared" si="3"/>
        <v>0</v>
      </c>
      <c r="L60" s="82">
        <f t="shared" si="4"/>
        <v>0</v>
      </c>
      <c r="M60" s="81" t="s">
        <v>84</v>
      </c>
      <c r="N60" s="111"/>
      <c r="O60" s="87"/>
      <c r="P60" s="112"/>
      <c r="Q60" s="88"/>
      <c r="R60" s="89">
        <f t="shared" si="9"/>
        <v>0</v>
      </c>
      <c r="S60" s="89">
        <f t="shared" si="5"/>
        <v>0</v>
      </c>
      <c r="T60" s="89">
        <f t="shared" si="6"/>
        <v>0</v>
      </c>
      <c r="U60" s="90">
        <f t="shared" si="7"/>
        <v>0</v>
      </c>
      <c r="V60" s="90">
        <f t="shared" si="8"/>
        <v>0</v>
      </c>
      <c r="W60" s="108"/>
      <c r="X60" s="92"/>
      <c r="Y60" s="4"/>
      <c r="Z60" s="4"/>
      <c r="AA60" s="4"/>
      <c r="AB60" s="4"/>
    </row>
    <row r="61" spans="1:28" ht="20.25" customHeight="1" x14ac:dyDescent="0.25">
      <c r="A61" s="115"/>
      <c r="B61" s="116"/>
      <c r="C61" s="116"/>
      <c r="D61" s="117" t="s">
        <v>116</v>
      </c>
      <c r="E61" s="118">
        <f>SUM(E18:E60)</f>
        <v>13</v>
      </c>
      <c r="F61" s="119">
        <f>SUM(F18:F60)</f>
        <v>14089.749999999998</v>
      </c>
      <c r="G61" s="120">
        <f>SUM(G18:G60)</f>
        <v>9717.07</v>
      </c>
      <c r="H61" s="121">
        <f>SUM(H18:H60)</f>
        <v>20548.399999999998</v>
      </c>
      <c r="I61" s="122"/>
      <c r="J61" s="123">
        <f>SUM(J18:J60)</f>
        <v>13</v>
      </c>
      <c r="K61" s="120">
        <f>SUM(K18:K60)</f>
        <v>5628.15</v>
      </c>
      <c r="L61" s="121">
        <f>SUM(L18:L60)</f>
        <v>8857.5</v>
      </c>
      <c r="M61" s="121"/>
      <c r="N61" s="121"/>
      <c r="O61" s="124"/>
      <c r="P61" s="125"/>
      <c r="Q61" s="120">
        <f>SUM(Q18:Q60)</f>
        <v>0</v>
      </c>
      <c r="R61" s="120">
        <f>SUM(R18:R60)</f>
        <v>0</v>
      </c>
      <c r="S61" s="121">
        <f>SUM(S18:S60)</f>
        <v>5628.15</v>
      </c>
      <c r="T61" s="121">
        <f>SUM(T18:T60)</f>
        <v>8857.5</v>
      </c>
      <c r="U61" s="126"/>
      <c r="V61" s="126"/>
      <c r="W61" s="127"/>
      <c r="X61" s="128"/>
    </row>
    <row r="63" spans="1:28" ht="15" customHeight="1" x14ac:dyDescent="0.25">
      <c r="U63" s="130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35" priority="3" stopIfTrue="1">
      <formula>$U$9&gt;100%</formula>
    </cfRule>
    <cfRule type="expression" dxfId="234" priority="4">
      <formula>$U$9&lt;50%</formula>
    </cfRule>
  </conditionalFormatting>
  <conditionalFormatting sqref="V9:V10">
    <cfRule type="expression" dxfId="233" priority="1">
      <formula>$V$9&lt;50%</formula>
    </cfRule>
    <cfRule type="expression" dxfId="232" priority="2">
      <formula>$V$9&gt;50%</formula>
    </cfRule>
  </conditionalFormatting>
  <dataValidations count="5">
    <dataValidation type="list" allowBlank="1" showInputMessage="1" showErrorMessage="1" sqref="M18:M60" xr:uid="{0D9E8433-6DFE-47C5-95F9-FF904AE2E06D}">
      <formula1>$Y$31:$Y$32</formula1>
    </dataValidation>
    <dataValidation type="list" showInputMessage="1" showErrorMessage="1" sqref="D18:D60" xr:uid="{6BE5C423-4C6D-4434-9577-F3CB2018D142}">
      <formula1>$Z$18:$Z$29</formula1>
    </dataValidation>
    <dataValidation type="list" allowBlank="1" showInputMessage="1" showErrorMessage="1" sqref="I13" xr:uid="{ED7D27CF-106D-4D76-A8EC-B4A09D14B0B8}">
      <formula1>$K$9:$K$9</formula1>
    </dataValidation>
    <dataValidation type="list" allowBlank="1" showInputMessage="1" showErrorMessage="1" sqref="H13" xr:uid="{3335EFF4-AD11-4F02-9DD8-F5BFE982B415}">
      <formula1>$Y$13:$Y$14</formula1>
    </dataValidation>
    <dataValidation type="list" allowBlank="1" showInputMessage="1" showErrorMessage="1" sqref="F17 K17 Q17 Q14" xr:uid="{1102AE64-11B8-422F-9468-52D81A65B37A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BD41A-D857-4AD0-9D14-1DE64F235905}">
  <sheetPr>
    <pageSetUpPr fitToPage="1"/>
  </sheetPr>
  <dimension ref="A1:AB63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523" t="s">
        <v>2</v>
      </c>
      <c r="I1" s="524"/>
      <c r="J1" s="524"/>
      <c r="K1" s="525"/>
      <c r="L1" s="528" t="s">
        <v>3</v>
      </c>
      <c r="M1" s="529"/>
      <c r="N1" s="529"/>
      <c r="O1" s="529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548">
        <v>5551</v>
      </c>
      <c r="G2" s="549"/>
      <c r="H2" s="546" t="s">
        <v>7</v>
      </c>
      <c r="I2" s="550"/>
      <c r="J2" s="547"/>
      <c r="K2" s="148"/>
      <c r="L2" s="551" t="s">
        <v>8</v>
      </c>
      <c r="M2" s="552"/>
      <c r="N2" s="553"/>
      <c r="O2" s="149"/>
      <c r="P2" s="554">
        <f>H61</f>
        <v>9639.17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532" t="s">
        <v>13</v>
      </c>
      <c r="I3" s="536"/>
      <c r="J3" s="533"/>
      <c r="K3" s="154"/>
      <c r="L3" s="537" t="s">
        <v>14</v>
      </c>
      <c r="M3" s="538"/>
      <c r="N3" s="539"/>
      <c r="O3" s="149"/>
      <c r="P3" s="540">
        <f>L61</f>
        <v>4158.93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534" t="s">
        <v>137</v>
      </c>
      <c r="G4" s="535"/>
      <c r="H4" s="532" t="s">
        <v>19</v>
      </c>
      <c r="I4" s="536"/>
      <c r="J4" s="533"/>
      <c r="K4" s="154"/>
      <c r="L4" s="537" t="s">
        <v>20</v>
      </c>
      <c r="M4" s="538"/>
      <c r="N4" s="539"/>
      <c r="O4" s="149"/>
      <c r="P4" s="540">
        <f>P2-P3</f>
        <v>5480.24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534" t="s">
        <v>138</v>
      </c>
      <c r="G5" s="535"/>
      <c r="H5" s="532" t="s">
        <v>25</v>
      </c>
      <c r="I5" s="536"/>
      <c r="J5" s="533"/>
      <c r="K5" s="154"/>
      <c r="L5" s="558" t="s">
        <v>26</v>
      </c>
      <c r="M5" s="559"/>
      <c r="N5" s="560"/>
      <c r="O5" s="149"/>
      <c r="P5" s="561">
        <f>IFERROR((P2-P3)/P2,"")</f>
        <v>0.5685385774916305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573" t="s">
        <v>139</v>
      </c>
      <c r="G6" s="535"/>
      <c r="H6" s="532" t="s">
        <v>31</v>
      </c>
      <c r="I6" s="536"/>
      <c r="J6" s="533"/>
      <c r="K6" s="154"/>
      <c r="L6" s="574" t="s">
        <v>32</v>
      </c>
      <c r="M6" s="575"/>
      <c r="N6" s="576"/>
      <c r="O6" s="149"/>
      <c r="P6" s="577">
        <f>T61</f>
        <v>4158.93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563" t="s">
        <v>140</v>
      </c>
      <c r="G7" s="535"/>
      <c r="H7" s="532" t="s">
        <v>36</v>
      </c>
      <c r="I7" s="536"/>
      <c r="J7" s="533"/>
      <c r="K7" s="154"/>
      <c r="L7" s="564" t="s">
        <v>37</v>
      </c>
      <c r="M7" s="565"/>
      <c r="N7" s="56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532" t="s">
        <v>40</v>
      </c>
      <c r="I8" s="536"/>
      <c r="J8" s="533"/>
      <c r="K8" s="154"/>
      <c r="L8" s="564" t="s">
        <v>41</v>
      </c>
      <c r="M8" s="565"/>
      <c r="N8" s="56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407</v>
      </c>
      <c r="G9" s="535"/>
      <c r="H9" s="171"/>
      <c r="I9" s="172"/>
      <c r="J9" s="172"/>
      <c r="K9" s="173"/>
      <c r="L9" s="564" t="s">
        <v>47</v>
      </c>
      <c r="M9" s="565"/>
      <c r="N9" s="56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4158.93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542" t="s">
        <v>48</v>
      </c>
      <c r="M10" s="579"/>
      <c r="N10" s="543"/>
      <c r="O10" s="149"/>
      <c r="P10" s="580">
        <f>E61</f>
        <v>13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650" t="s">
        <v>50</v>
      </c>
      <c r="K11" s="651"/>
      <c r="L11" s="651"/>
      <c r="M11" s="651"/>
      <c r="N11" s="652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653"/>
      <c r="K12" s="654"/>
      <c r="L12" s="654"/>
      <c r="M12" s="654"/>
      <c r="N12" s="655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656"/>
      <c r="K13" s="657"/>
      <c r="L13" s="657"/>
      <c r="M13" s="657"/>
      <c r="N13" s="658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601" t="s">
        <v>59</v>
      </c>
      <c r="K14" s="602"/>
      <c r="L14" s="605" t="s">
        <v>60</v>
      </c>
      <c r="M14" s="606"/>
      <c r="N14" s="60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603"/>
      <c r="K15" s="604"/>
      <c r="L15" s="608"/>
      <c r="M15" s="609"/>
      <c r="N15" s="61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631" t="s">
        <v>69</v>
      </c>
      <c r="K16" s="201" t="s">
        <v>72</v>
      </c>
      <c r="L16" s="202" t="s">
        <v>73</v>
      </c>
      <c r="M16" s="633" t="s">
        <v>74</v>
      </c>
      <c r="N16" s="633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3"/>
      <c r="C17" s="625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632"/>
      <c r="K17" s="614" t="s">
        <v>52</v>
      </c>
      <c r="L17" s="615"/>
      <c r="M17" s="634"/>
      <c r="N17" s="634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 s="216">
        <v>1948921</v>
      </c>
      <c r="C18" s="217" t="s">
        <v>141</v>
      </c>
      <c r="D18" s="218"/>
      <c r="E18" s="219">
        <v>1</v>
      </c>
      <c r="F18" s="220">
        <v>68.569999999999993</v>
      </c>
      <c r="G18" s="221">
        <f t="shared" ref="G18:G60" si="0">ROUND(IF($F$17="USD $", F18*$E$15,F18*$D$15),2)</f>
        <v>48.29</v>
      </c>
      <c r="H18" s="222">
        <f t="shared" ref="H18:H60" si="1">ROUND(IF($H$17=$G$17,E18*G18,E18*F18),2)</f>
        <v>68.569999999999993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26.06</v>
      </c>
      <c r="L18" s="221">
        <f t="shared" ref="L18:L60" si="4">ROUND((J18*K18),2)</f>
        <v>26.06</v>
      </c>
      <c r="M18" s="220" t="s">
        <v>84</v>
      </c>
      <c r="N18" s="225">
        <v>0.62</v>
      </c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26.06</v>
      </c>
      <c r="T18" s="229">
        <f t="shared" ref="T18:T60" si="7">ROUND(L18-R18,2)</f>
        <v>26.06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235" t="s">
        <v>142</v>
      </c>
      <c r="C19" s="236" t="s">
        <v>143</v>
      </c>
      <c r="D19" s="237"/>
      <c r="E19" s="238">
        <v>1</v>
      </c>
      <c r="F19" s="239">
        <v>65.02</v>
      </c>
      <c r="G19" s="240">
        <f t="shared" si="0"/>
        <v>45.79</v>
      </c>
      <c r="H19" s="241">
        <f t="shared" si="1"/>
        <v>65.02</v>
      </c>
      <c r="I19" s="242"/>
      <c r="J19" s="243">
        <f t="shared" si="2"/>
        <v>1</v>
      </c>
      <c r="K19" s="240">
        <f t="shared" si="3"/>
        <v>24.71</v>
      </c>
      <c r="L19" s="240">
        <f t="shared" si="4"/>
        <v>24.71</v>
      </c>
      <c r="M19" s="244" t="s">
        <v>84</v>
      </c>
      <c r="N19" s="245">
        <v>0.62</v>
      </c>
      <c r="O19" s="226"/>
      <c r="P19" s="246"/>
      <c r="Q19" s="239"/>
      <c r="R19" s="247">
        <f t="shared" si="5"/>
        <v>0</v>
      </c>
      <c r="S19" s="248">
        <f t="shared" si="6"/>
        <v>24.71</v>
      </c>
      <c r="T19" s="248">
        <f t="shared" si="7"/>
        <v>24.71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251" t="s">
        <v>144</v>
      </c>
      <c r="C20" s="252" t="s">
        <v>145</v>
      </c>
      <c r="D20" s="253"/>
      <c r="E20" s="219">
        <v>1</v>
      </c>
      <c r="F20" s="220">
        <v>100.72</v>
      </c>
      <c r="G20" s="221">
        <f t="shared" si="0"/>
        <v>70.930000000000007</v>
      </c>
      <c r="H20" s="222">
        <f t="shared" si="1"/>
        <v>100.72</v>
      </c>
      <c r="I20" s="242"/>
      <c r="J20" s="224">
        <f t="shared" si="2"/>
        <v>1</v>
      </c>
      <c r="K20" s="221">
        <f t="shared" si="3"/>
        <v>38.270000000000003</v>
      </c>
      <c r="L20" s="221">
        <f t="shared" si="4"/>
        <v>38.270000000000003</v>
      </c>
      <c r="M20" s="220" t="s">
        <v>84</v>
      </c>
      <c r="N20" s="254">
        <v>0.62</v>
      </c>
      <c r="O20" s="226"/>
      <c r="P20" s="255"/>
      <c r="Q20" s="228"/>
      <c r="R20" s="229">
        <f t="shared" si="5"/>
        <v>0</v>
      </c>
      <c r="S20" s="229">
        <f t="shared" si="6"/>
        <v>38.270000000000003</v>
      </c>
      <c r="T20" s="229">
        <f t="shared" si="7"/>
        <v>38.270000000000003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235">
        <v>1852006</v>
      </c>
      <c r="C21" s="236" t="s">
        <v>146</v>
      </c>
      <c r="D21" s="237"/>
      <c r="E21" s="238">
        <v>1</v>
      </c>
      <c r="F21" s="239">
        <v>112.39</v>
      </c>
      <c r="G21" s="240">
        <f t="shared" si="0"/>
        <v>79.150000000000006</v>
      </c>
      <c r="H21" s="241">
        <f t="shared" si="1"/>
        <v>112.39</v>
      </c>
      <c r="I21" s="242"/>
      <c r="J21" s="243">
        <f t="shared" si="2"/>
        <v>1</v>
      </c>
      <c r="K21" s="240">
        <f t="shared" si="3"/>
        <v>42.71</v>
      </c>
      <c r="L21" s="240">
        <f t="shared" si="4"/>
        <v>42.71</v>
      </c>
      <c r="M21" s="244" t="s">
        <v>84</v>
      </c>
      <c r="N21" s="245">
        <v>0.62</v>
      </c>
      <c r="O21" s="226"/>
      <c r="P21" s="246"/>
      <c r="Q21" s="239"/>
      <c r="R21" s="247">
        <f t="shared" si="5"/>
        <v>0</v>
      </c>
      <c r="S21" s="248">
        <f t="shared" si="6"/>
        <v>42.71</v>
      </c>
      <c r="T21" s="248">
        <f t="shared" si="7"/>
        <v>42.71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251">
        <v>1922496</v>
      </c>
      <c r="C22" s="252" t="s">
        <v>83</v>
      </c>
      <c r="D22" s="253"/>
      <c r="E22" s="219">
        <v>1</v>
      </c>
      <c r="F22" s="220">
        <v>118.01</v>
      </c>
      <c r="G22" s="221">
        <f t="shared" si="0"/>
        <v>83.11</v>
      </c>
      <c r="H22" s="222">
        <f t="shared" si="1"/>
        <v>118.01</v>
      </c>
      <c r="I22" s="242"/>
      <c r="J22" s="224">
        <f t="shared" si="2"/>
        <v>1</v>
      </c>
      <c r="K22" s="221">
        <f t="shared" si="3"/>
        <v>44.84</v>
      </c>
      <c r="L22" s="221">
        <f t="shared" si="4"/>
        <v>44.84</v>
      </c>
      <c r="M22" s="220" t="s">
        <v>84</v>
      </c>
      <c r="N22" s="254">
        <v>0.62</v>
      </c>
      <c r="O22" s="226"/>
      <c r="P22" s="255"/>
      <c r="Q22" s="228"/>
      <c r="R22" s="229">
        <f t="shared" si="5"/>
        <v>0</v>
      </c>
      <c r="S22" s="229">
        <f t="shared" si="6"/>
        <v>44.84</v>
      </c>
      <c r="T22" s="229">
        <f t="shared" si="7"/>
        <v>44.84</v>
      </c>
      <c r="U22" s="230">
        <f t="shared" si="8"/>
        <v>0</v>
      </c>
      <c r="V22" s="230">
        <f t="shared" si="9"/>
        <v>1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246"/>
      <c r="C23" s="153"/>
      <c r="D23" s="237"/>
      <c r="E23" s="238"/>
      <c r="F23" s="239"/>
      <c r="G23" s="240">
        <f t="shared" si="0"/>
        <v>0</v>
      </c>
      <c r="H23" s="241">
        <f t="shared" si="1"/>
        <v>0</v>
      </c>
      <c r="I23" s="242"/>
      <c r="J23" s="243">
        <f t="shared" si="2"/>
        <v>0</v>
      </c>
      <c r="K23" s="240">
        <f t="shared" si="3"/>
        <v>0</v>
      </c>
      <c r="L23" s="240">
        <f t="shared" si="4"/>
        <v>0</v>
      </c>
      <c r="M23" s="244" t="s">
        <v>84</v>
      </c>
      <c r="N23" s="245">
        <v>0.62</v>
      </c>
      <c r="O23" s="226"/>
      <c r="P23" s="246"/>
      <c r="Q23" s="239"/>
      <c r="R23" s="247">
        <f t="shared" si="5"/>
        <v>0</v>
      </c>
      <c r="S23" s="248">
        <f t="shared" si="6"/>
        <v>0</v>
      </c>
      <c r="T23" s="248">
        <f t="shared" si="7"/>
        <v>0</v>
      </c>
      <c r="U23" s="249">
        <f t="shared" si="8"/>
        <v>0</v>
      </c>
      <c r="V23" s="249">
        <f t="shared" si="9"/>
        <v>0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256">
        <v>1973273</v>
      </c>
      <c r="C24" s="153" t="s">
        <v>133</v>
      </c>
      <c r="D24" s="253"/>
      <c r="E24" s="219">
        <v>1</v>
      </c>
      <c r="F24" s="220">
        <v>5041</v>
      </c>
      <c r="G24" s="221">
        <f t="shared" si="0"/>
        <v>3550</v>
      </c>
      <c r="H24" s="222">
        <f t="shared" si="1"/>
        <v>5041</v>
      </c>
      <c r="I24" s="242"/>
      <c r="J24" s="224">
        <f t="shared" si="2"/>
        <v>1</v>
      </c>
      <c r="K24" s="221">
        <f t="shared" si="3"/>
        <v>1915.58</v>
      </c>
      <c r="L24" s="221">
        <f t="shared" si="4"/>
        <v>1915.58</v>
      </c>
      <c r="M24" s="220" t="s">
        <v>84</v>
      </c>
      <c r="N24" s="254">
        <v>0.62</v>
      </c>
      <c r="O24" s="226"/>
      <c r="P24" s="255"/>
      <c r="Q24" s="228"/>
      <c r="R24" s="229">
        <f t="shared" si="5"/>
        <v>0</v>
      </c>
      <c r="S24" s="229">
        <f t="shared" si="6"/>
        <v>1915.58</v>
      </c>
      <c r="T24" s="229">
        <f t="shared" si="7"/>
        <v>1915.58</v>
      </c>
      <c r="U24" s="230">
        <f t="shared" si="8"/>
        <v>0</v>
      </c>
      <c r="V24" s="230">
        <f t="shared" si="9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 s="246"/>
      <c r="C25" s="257" t="s">
        <v>134</v>
      </c>
      <c r="D25" s="237"/>
      <c r="E25" s="238">
        <v>1</v>
      </c>
      <c r="F25" s="239"/>
      <c r="G25" s="240">
        <f t="shared" si="0"/>
        <v>0</v>
      </c>
      <c r="H25" s="241">
        <f t="shared" si="1"/>
        <v>0</v>
      </c>
      <c r="I25" s="242"/>
      <c r="J25" s="243">
        <f t="shared" si="2"/>
        <v>1</v>
      </c>
      <c r="K25" s="240">
        <f t="shared" si="3"/>
        <v>0</v>
      </c>
      <c r="L25" s="240">
        <f t="shared" si="4"/>
        <v>0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0</v>
      </c>
      <c r="T25" s="248">
        <f t="shared" si="7"/>
        <v>0</v>
      </c>
      <c r="U25" s="249">
        <f t="shared" si="8"/>
        <v>0</v>
      </c>
      <c r="V25" s="249">
        <f t="shared" si="9"/>
        <v>0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 s="258" t="s">
        <v>147</v>
      </c>
      <c r="C26" s="153" t="s">
        <v>115</v>
      </c>
      <c r="D26" s="253"/>
      <c r="E26" s="219">
        <v>6</v>
      </c>
      <c r="F26" s="220">
        <v>688.91</v>
      </c>
      <c r="G26" s="221">
        <f t="shared" si="0"/>
        <v>485.15</v>
      </c>
      <c r="H26" s="222">
        <f t="shared" si="1"/>
        <v>4133.46</v>
      </c>
      <c r="I26" s="242"/>
      <c r="J26" s="224">
        <f t="shared" si="2"/>
        <v>6</v>
      </c>
      <c r="K26" s="221">
        <f t="shared" si="3"/>
        <v>344.46</v>
      </c>
      <c r="L26" s="221">
        <f t="shared" si="4"/>
        <v>2066.7600000000002</v>
      </c>
      <c r="M26" s="220" t="s">
        <v>84</v>
      </c>
      <c r="N26" s="254">
        <v>0.5</v>
      </c>
      <c r="O26" s="226"/>
      <c r="P26" s="255"/>
      <c r="Q26" s="228"/>
      <c r="R26" s="229">
        <f t="shared" si="5"/>
        <v>0</v>
      </c>
      <c r="S26" s="229">
        <f t="shared" si="6"/>
        <v>344.46</v>
      </c>
      <c r="T26" s="229">
        <f t="shared" si="7"/>
        <v>2066.7600000000002</v>
      </c>
      <c r="U26" s="230">
        <f t="shared" si="8"/>
        <v>0</v>
      </c>
      <c r="V26" s="230">
        <f t="shared" si="9"/>
        <v>1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246"/>
      <c r="C27" s="153"/>
      <c r="D27" s="237"/>
      <c r="E27" s="238"/>
      <c r="F27" s="239"/>
      <c r="G27" s="240">
        <f t="shared" si="0"/>
        <v>0</v>
      </c>
      <c r="H27" s="241">
        <f t="shared" si="1"/>
        <v>0</v>
      </c>
      <c r="I27" s="242"/>
      <c r="J27" s="243">
        <f t="shared" si="2"/>
        <v>0</v>
      </c>
      <c r="K27" s="240">
        <f t="shared" si="3"/>
        <v>0</v>
      </c>
      <c r="L27" s="240">
        <f t="shared" si="4"/>
        <v>0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0</v>
      </c>
      <c r="T27" s="248">
        <f t="shared" si="7"/>
        <v>0</v>
      </c>
      <c r="U27" s="249">
        <f t="shared" si="8"/>
        <v>0</v>
      </c>
      <c r="V27" s="249">
        <f t="shared" si="9"/>
        <v>0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260"/>
      <c r="C28" s="257"/>
      <c r="D28" s="253"/>
      <c r="E28" s="219"/>
      <c r="F28" s="220"/>
      <c r="G28" s="221">
        <f t="shared" si="0"/>
        <v>0</v>
      </c>
      <c r="H28" s="222">
        <f t="shared" si="1"/>
        <v>0</v>
      </c>
      <c r="I28" s="242"/>
      <c r="J28" s="224">
        <f t="shared" si="2"/>
        <v>0</v>
      </c>
      <c r="K28" s="221">
        <f t="shared" si="3"/>
        <v>0</v>
      </c>
      <c r="L28" s="221">
        <f t="shared" si="4"/>
        <v>0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0</v>
      </c>
      <c r="T28" s="229">
        <f t="shared" si="7"/>
        <v>0</v>
      </c>
      <c r="U28" s="230">
        <f t="shared" si="8"/>
        <v>0</v>
      </c>
      <c r="V28" s="230">
        <f t="shared" si="9"/>
        <v>0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246"/>
      <c r="C29" s="153"/>
      <c r="D29" s="237"/>
      <c r="E29" s="238"/>
      <c r="F29" s="239"/>
      <c r="G29" s="240">
        <f t="shared" si="0"/>
        <v>0</v>
      </c>
      <c r="H29" s="241">
        <f t="shared" si="1"/>
        <v>0</v>
      </c>
      <c r="I29" s="242"/>
      <c r="J29" s="243">
        <f t="shared" si="2"/>
        <v>0</v>
      </c>
      <c r="K29" s="240">
        <f t="shared" si="3"/>
        <v>0</v>
      </c>
      <c r="L29" s="240">
        <f t="shared" si="4"/>
        <v>0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0</v>
      </c>
      <c r="T29" s="248">
        <f t="shared" si="7"/>
        <v>0</v>
      </c>
      <c r="U29" s="249">
        <f t="shared" si="8"/>
        <v>0</v>
      </c>
      <c r="V29" s="249">
        <f t="shared" si="9"/>
        <v>0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227"/>
      <c r="C30" s="257"/>
      <c r="D30" s="253"/>
      <c r="E30" s="219"/>
      <c r="F30" s="220"/>
      <c r="G30" s="221">
        <f t="shared" si="0"/>
        <v>0</v>
      </c>
      <c r="H30" s="222">
        <f t="shared" si="1"/>
        <v>0</v>
      </c>
      <c r="I30" s="242"/>
      <c r="J30" s="224">
        <f t="shared" si="2"/>
        <v>0</v>
      </c>
      <c r="K30" s="221">
        <f t="shared" si="3"/>
        <v>0</v>
      </c>
      <c r="L30" s="221">
        <f t="shared" si="4"/>
        <v>0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0</v>
      </c>
      <c r="T30" s="229">
        <f t="shared" si="7"/>
        <v>0</v>
      </c>
      <c r="U30" s="230">
        <f t="shared" si="8"/>
        <v>0</v>
      </c>
      <c r="V30" s="230">
        <f t="shared" si="9"/>
        <v>0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246"/>
      <c r="C31" s="153"/>
      <c r="D31" s="237"/>
      <c r="E31" s="238"/>
      <c r="F31" s="239"/>
      <c r="G31" s="240">
        <f t="shared" si="0"/>
        <v>0</v>
      </c>
      <c r="H31" s="241">
        <f t="shared" si="1"/>
        <v>0</v>
      </c>
      <c r="I31" s="242"/>
      <c r="J31" s="243">
        <f t="shared" si="2"/>
        <v>0</v>
      </c>
      <c r="K31" s="240">
        <f t="shared" si="3"/>
        <v>0</v>
      </c>
      <c r="L31" s="240">
        <f t="shared" si="4"/>
        <v>0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0</v>
      </c>
      <c r="T31" s="248">
        <f t="shared" si="7"/>
        <v>0</v>
      </c>
      <c r="U31" s="249">
        <f t="shared" si="8"/>
        <v>0</v>
      </c>
      <c r="V31" s="249">
        <f t="shared" si="9"/>
        <v>0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227"/>
      <c r="C32" s="257"/>
      <c r="D32" s="253"/>
      <c r="E32" s="219"/>
      <c r="F32" s="220"/>
      <c r="G32" s="221">
        <f t="shared" si="0"/>
        <v>0</v>
      </c>
      <c r="H32" s="222">
        <f t="shared" si="1"/>
        <v>0</v>
      </c>
      <c r="I32" s="242"/>
      <c r="J32" s="224">
        <f t="shared" si="2"/>
        <v>0</v>
      </c>
      <c r="K32" s="221">
        <f t="shared" si="3"/>
        <v>0</v>
      </c>
      <c r="L32" s="221">
        <f t="shared" si="4"/>
        <v>0</v>
      </c>
      <c r="M32" s="220" t="s">
        <v>84</v>
      </c>
      <c r="N32" s="254">
        <v>0.5</v>
      </c>
      <c r="O32" s="226"/>
      <c r="P32" s="255"/>
      <c r="Q32" s="228"/>
      <c r="R32" s="229">
        <f t="shared" si="5"/>
        <v>0</v>
      </c>
      <c r="S32" s="229">
        <f t="shared" si="6"/>
        <v>0</v>
      </c>
      <c r="T32" s="229">
        <f t="shared" si="7"/>
        <v>0</v>
      </c>
      <c r="U32" s="230">
        <f t="shared" si="8"/>
        <v>0</v>
      </c>
      <c r="V32" s="230">
        <f t="shared" si="9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246"/>
      <c r="C33" s="153"/>
      <c r="D33" s="237"/>
      <c r="E33" s="238"/>
      <c r="F33" s="239"/>
      <c r="G33" s="240">
        <f t="shared" si="0"/>
        <v>0</v>
      </c>
      <c r="H33" s="241">
        <f t="shared" si="1"/>
        <v>0</v>
      </c>
      <c r="I33" s="242"/>
      <c r="J33" s="243">
        <f t="shared" si="2"/>
        <v>0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227"/>
      <c r="C34" s="257"/>
      <c r="D34" s="253"/>
      <c r="E34" s="219"/>
      <c r="F34" s="220"/>
      <c r="G34" s="221">
        <f t="shared" si="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>
        <v>0.5</v>
      </c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246"/>
      <c r="C35" s="153"/>
      <c r="D35" s="237"/>
      <c r="E35" s="238"/>
      <c r="F35" s="239"/>
      <c r="G35" s="240">
        <f t="shared" si="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>
        <v>0.5</v>
      </c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227"/>
      <c r="C36" s="257"/>
      <c r="D36" s="253"/>
      <c r="E36" s="219"/>
      <c r="F36" s="220"/>
      <c r="G36" s="221">
        <f t="shared" si="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246"/>
      <c r="C37" s="153"/>
      <c r="D37" s="237"/>
      <c r="E37" s="238"/>
      <c r="F37" s="239"/>
      <c r="G37" s="240">
        <f t="shared" si="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227"/>
      <c r="C38" s="257"/>
      <c r="D38" s="253"/>
      <c r="E38" s="219"/>
      <c r="F38" s="220"/>
      <c r="G38" s="221">
        <f t="shared" si="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246"/>
      <c r="C39" s="153"/>
      <c r="D39" s="237"/>
      <c r="E39" s="238"/>
      <c r="F39" s="239"/>
      <c r="G39" s="240">
        <f t="shared" si="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227"/>
      <c r="C40" s="257"/>
      <c r="D40" s="253"/>
      <c r="E40" s="219"/>
      <c r="F40" s="220"/>
      <c r="G40" s="221">
        <f t="shared" si="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246"/>
      <c r="C41" s="153"/>
      <c r="D41" s="237"/>
      <c r="E41" s="238"/>
      <c r="F41" s="239"/>
      <c r="G41" s="240">
        <f t="shared" si="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227"/>
      <c r="C42" s="257"/>
      <c r="D42" s="253"/>
      <c r="E42" s="219"/>
      <c r="F42" s="220"/>
      <c r="G42" s="221">
        <f t="shared" si="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246"/>
      <c r="C43" s="153"/>
      <c r="D43" s="237"/>
      <c r="E43" s="238"/>
      <c r="F43" s="239"/>
      <c r="G43" s="240">
        <f t="shared" si="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227"/>
      <c r="C44" s="257"/>
      <c r="D44" s="253"/>
      <c r="E44" s="219"/>
      <c r="F44" s="220"/>
      <c r="G44" s="221">
        <f t="shared" si="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246"/>
      <c r="C45" s="153"/>
      <c r="D45" s="237"/>
      <c r="E45" s="238"/>
      <c r="F45" s="239"/>
      <c r="G45" s="240">
        <f t="shared" si="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227"/>
      <c r="C46" s="257"/>
      <c r="D46" s="253"/>
      <c r="E46" s="219"/>
      <c r="F46" s="220"/>
      <c r="G46" s="221">
        <f t="shared" si="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246"/>
      <c r="C47" s="153"/>
      <c r="D47" s="237"/>
      <c r="E47" s="238"/>
      <c r="F47" s="239"/>
      <c r="G47" s="240">
        <f t="shared" si="0"/>
        <v>0</v>
      </c>
      <c r="H47" s="241">
        <f t="shared" si="1"/>
        <v>0</v>
      </c>
      <c r="I47" s="242"/>
      <c r="J47" s="243">
        <f t="shared" si="2"/>
        <v>0</v>
      </c>
      <c r="K47" s="240">
        <f t="shared" si="3"/>
        <v>0</v>
      </c>
      <c r="L47" s="240">
        <f t="shared" si="4"/>
        <v>0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0</v>
      </c>
      <c r="T47" s="248">
        <f t="shared" si="7"/>
        <v>0</v>
      </c>
      <c r="U47" s="249">
        <f t="shared" si="8"/>
        <v>0</v>
      </c>
      <c r="V47" s="249">
        <f t="shared" si="9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227"/>
      <c r="C48" s="257"/>
      <c r="D48" s="253"/>
      <c r="E48" s="219"/>
      <c r="F48" s="220"/>
      <c r="G48" s="221">
        <f t="shared" si="0"/>
        <v>0</v>
      </c>
      <c r="H48" s="222">
        <f t="shared" si="1"/>
        <v>0</v>
      </c>
      <c r="I48" s="242"/>
      <c r="J48" s="224">
        <f t="shared" si="2"/>
        <v>0</v>
      </c>
      <c r="K48" s="221">
        <f t="shared" si="3"/>
        <v>0</v>
      </c>
      <c r="L48" s="221">
        <f t="shared" si="4"/>
        <v>0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0</v>
      </c>
      <c r="T48" s="229">
        <f t="shared" si="7"/>
        <v>0</v>
      </c>
      <c r="U48" s="230">
        <f t="shared" si="8"/>
        <v>0</v>
      </c>
      <c r="V48" s="230">
        <f t="shared" si="9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246"/>
      <c r="C49" s="153"/>
      <c r="D49" s="237"/>
      <c r="E49" s="238"/>
      <c r="F49" s="239"/>
      <c r="G49" s="240">
        <f t="shared" si="0"/>
        <v>0</v>
      </c>
      <c r="H49" s="241">
        <f t="shared" si="1"/>
        <v>0</v>
      </c>
      <c r="I49" s="242"/>
      <c r="J49" s="243">
        <f t="shared" si="2"/>
        <v>0</v>
      </c>
      <c r="K49" s="240">
        <f t="shared" si="3"/>
        <v>0</v>
      </c>
      <c r="L49" s="240">
        <f t="shared" si="4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0</v>
      </c>
      <c r="T49" s="248">
        <f t="shared" si="7"/>
        <v>0</v>
      </c>
      <c r="U49" s="249">
        <f t="shared" si="8"/>
        <v>0</v>
      </c>
      <c r="V49" s="249">
        <f t="shared" si="9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227"/>
      <c r="C50" s="257"/>
      <c r="D50" s="253"/>
      <c r="E50" s="219"/>
      <c r="F50" s="220"/>
      <c r="G50" s="221">
        <f t="shared" si="0"/>
        <v>0</v>
      </c>
      <c r="H50" s="222">
        <f t="shared" si="1"/>
        <v>0</v>
      </c>
      <c r="I50" s="242"/>
      <c r="J50" s="224">
        <f t="shared" si="2"/>
        <v>0</v>
      </c>
      <c r="K50" s="221">
        <f t="shared" si="3"/>
        <v>0</v>
      </c>
      <c r="L50" s="221">
        <f t="shared" si="4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0</v>
      </c>
      <c r="T50" s="229">
        <f t="shared" si="7"/>
        <v>0</v>
      </c>
      <c r="U50" s="230">
        <f t="shared" si="8"/>
        <v>0</v>
      </c>
      <c r="V50" s="230">
        <f t="shared" si="9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246"/>
      <c r="C51" s="153"/>
      <c r="D51" s="237"/>
      <c r="E51" s="238"/>
      <c r="F51" s="239"/>
      <c r="G51" s="240">
        <f t="shared" si="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13</v>
      </c>
      <c r="F61" s="265">
        <f>SUM(F18:F60)</f>
        <v>6194.62</v>
      </c>
      <c r="G61" s="266">
        <f>SUM(G18:G60)</f>
        <v>4362.42</v>
      </c>
      <c r="H61" s="267">
        <f>SUM(H18:H60)</f>
        <v>9639.17</v>
      </c>
      <c r="I61" s="268"/>
      <c r="J61" s="269">
        <f>SUM(J18:J60)</f>
        <v>13</v>
      </c>
      <c r="K61" s="266">
        <f>SUM(K18:K60)</f>
        <v>2436.63</v>
      </c>
      <c r="L61" s="267">
        <f>SUM(L18:L60)</f>
        <v>4158.93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2436.63</v>
      </c>
      <c r="T61" s="267">
        <f>SUM(T18:T60)</f>
        <v>4158.93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31" priority="3" stopIfTrue="1">
      <formula>$U$9&gt;100%</formula>
    </cfRule>
    <cfRule type="expression" dxfId="230" priority="4">
      <formula>$U$9&lt;50%</formula>
    </cfRule>
  </conditionalFormatting>
  <conditionalFormatting sqref="V9:V10">
    <cfRule type="expression" dxfId="229" priority="1">
      <formula>$V$9&lt;50%</formula>
    </cfRule>
    <cfRule type="expression" dxfId="228" priority="2">
      <formula>$V$9&gt;50%</formula>
    </cfRule>
  </conditionalFormatting>
  <dataValidations count="5">
    <dataValidation type="list" allowBlank="1" showInputMessage="1" showErrorMessage="1" sqref="M18:M60" xr:uid="{15CF0D91-3B89-4639-A7F6-6A97712934F9}">
      <formula1>$Y$31:$Y$32</formula1>
    </dataValidation>
    <dataValidation type="list" showInputMessage="1" showErrorMessage="1" sqref="D18:D60" xr:uid="{169148C7-FAAB-4A48-AF66-A7FED8858A27}">
      <formula1>$Z$18:$Z$29</formula1>
    </dataValidation>
    <dataValidation type="list" allowBlank="1" showInputMessage="1" showErrorMessage="1" sqref="I13" xr:uid="{41ACF045-6F78-46B9-A7AF-7CDDD63E005F}">
      <formula1>$K$9:$K$9</formula1>
    </dataValidation>
    <dataValidation type="list" allowBlank="1" showInputMessage="1" showErrorMessage="1" sqref="H13" xr:uid="{DF1A233D-F340-4D70-9FBB-1A7BD96A6C73}">
      <formula1>$Y$13:$Y$14</formula1>
    </dataValidation>
    <dataValidation type="list" allowBlank="1" showInputMessage="1" showErrorMessage="1" sqref="F17 K17 Q17 Q14" xr:uid="{986DBB52-3F28-4430-A33F-C1AB0C42A8EC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98CC3-06C9-443B-BE71-3E68CFA91B51}">
  <sheetPr>
    <pageSetUpPr fitToPage="1"/>
  </sheetPr>
  <dimension ref="A1:AB63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523" t="s">
        <v>2</v>
      </c>
      <c r="I1" s="524"/>
      <c r="J1" s="524"/>
      <c r="K1" s="525"/>
      <c r="L1" s="528" t="s">
        <v>3</v>
      </c>
      <c r="M1" s="529"/>
      <c r="N1" s="529"/>
      <c r="O1" s="529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59">
        <v>55217</v>
      </c>
      <c r="G2" s="549"/>
      <c r="H2" s="546" t="s">
        <v>7</v>
      </c>
      <c r="I2" s="550"/>
      <c r="J2" s="547"/>
      <c r="K2" s="148"/>
      <c r="L2" s="551" t="s">
        <v>8</v>
      </c>
      <c r="M2" s="552"/>
      <c r="N2" s="553"/>
      <c r="O2" s="149"/>
      <c r="P2" s="554">
        <f>H61</f>
        <v>15094.130000000001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532" t="s">
        <v>13</v>
      </c>
      <c r="I3" s="536"/>
      <c r="J3" s="533"/>
      <c r="K3" s="154"/>
      <c r="L3" s="537" t="s">
        <v>14</v>
      </c>
      <c r="M3" s="538"/>
      <c r="N3" s="539"/>
      <c r="O3" s="149"/>
      <c r="P3" s="540">
        <f>L61</f>
        <v>6883.66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534" t="s">
        <v>137</v>
      </c>
      <c r="G4" s="535"/>
      <c r="H4" s="532" t="s">
        <v>19</v>
      </c>
      <c r="I4" s="536"/>
      <c r="J4" s="533"/>
      <c r="K4" s="154"/>
      <c r="L4" s="537" t="s">
        <v>20</v>
      </c>
      <c r="M4" s="538"/>
      <c r="N4" s="539"/>
      <c r="O4" s="149"/>
      <c r="P4" s="540">
        <f>P2-P3</f>
        <v>8210.4700000000012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534" t="s">
        <v>148</v>
      </c>
      <c r="G5" s="535"/>
      <c r="H5" s="532" t="s">
        <v>25</v>
      </c>
      <c r="I5" s="536"/>
      <c r="J5" s="533"/>
      <c r="K5" s="154"/>
      <c r="L5" s="558" t="s">
        <v>26</v>
      </c>
      <c r="M5" s="559"/>
      <c r="N5" s="560"/>
      <c r="O5" s="149"/>
      <c r="P5" s="561">
        <f>IFERROR((P2-P3)/P2,"")</f>
        <v>0.54395119162217365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60" t="s">
        <v>149</v>
      </c>
      <c r="G6" s="535"/>
      <c r="H6" s="532" t="s">
        <v>31</v>
      </c>
      <c r="I6" s="536"/>
      <c r="J6" s="533"/>
      <c r="K6" s="154"/>
      <c r="L6" s="574" t="s">
        <v>32</v>
      </c>
      <c r="M6" s="575"/>
      <c r="N6" s="576"/>
      <c r="O6" s="149"/>
      <c r="P6" s="577">
        <f>T61</f>
        <v>6883.66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563" t="s">
        <v>150</v>
      </c>
      <c r="G7" s="535"/>
      <c r="H7" s="532" t="s">
        <v>36</v>
      </c>
      <c r="I7" s="536"/>
      <c r="J7" s="533"/>
      <c r="K7" s="154"/>
      <c r="L7" s="564" t="s">
        <v>37</v>
      </c>
      <c r="M7" s="565"/>
      <c r="N7" s="56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532" t="s">
        <v>40</v>
      </c>
      <c r="I8" s="536"/>
      <c r="J8" s="533"/>
      <c r="K8" s="154"/>
      <c r="L8" s="564" t="s">
        <v>41</v>
      </c>
      <c r="M8" s="565"/>
      <c r="N8" s="56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407</v>
      </c>
      <c r="G9" s="535"/>
      <c r="H9" s="171"/>
      <c r="I9" s="172"/>
      <c r="J9" s="172"/>
      <c r="K9" s="173"/>
      <c r="L9" s="564" t="s">
        <v>47</v>
      </c>
      <c r="M9" s="565"/>
      <c r="N9" s="56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6883.66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542" t="s">
        <v>48</v>
      </c>
      <c r="M10" s="579"/>
      <c r="N10" s="543"/>
      <c r="O10" s="149"/>
      <c r="P10" s="580">
        <f>E61</f>
        <v>14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650" t="s">
        <v>50</v>
      </c>
      <c r="K11" s="651"/>
      <c r="L11" s="651"/>
      <c r="M11" s="651"/>
      <c r="N11" s="652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653"/>
      <c r="K12" s="654"/>
      <c r="L12" s="654"/>
      <c r="M12" s="654"/>
      <c r="N12" s="655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656"/>
      <c r="K13" s="657"/>
      <c r="L13" s="657"/>
      <c r="M13" s="657"/>
      <c r="N13" s="658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601" t="s">
        <v>59</v>
      </c>
      <c r="K14" s="602"/>
      <c r="L14" s="605" t="s">
        <v>60</v>
      </c>
      <c r="M14" s="606"/>
      <c r="N14" s="60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603"/>
      <c r="K15" s="604"/>
      <c r="L15" s="608"/>
      <c r="M15" s="609"/>
      <c r="N15" s="61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631" t="s">
        <v>69</v>
      </c>
      <c r="K16" s="201" t="s">
        <v>72</v>
      </c>
      <c r="L16" s="202" t="s">
        <v>73</v>
      </c>
      <c r="M16" s="633" t="s">
        <v>74</v>
      </c>
      <c r="N16" s="633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3"/>
      <c r="C17" s="625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632"/>
      <c r="K17" s="614" t="s">
        <v>52</v>
      </c>
      <c r="L17" s="615"/>
      <c r="M17" s="634"/>
      <c r="N17" s="634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 s="216" t="s">
        <v>151</v>
      </c>
      <c r="C18" s="217" t="s">
        <v>141</v>
      </c>
      <c r="D18" s="218"/>
      <c r="E18" s="219">
        <v>1</v>
      </c>
      <c r="F18" s="220">
        <v>68.569999999999993</v>
      </c>
      <c r="G18" s="221">
        <f t="shared" ref="G18:G60" si="0">ROUND(IF($F$17="USD $", F18*$E$15,F18*$D$15),2)</f>
        <v>48.29</v>
      </c>
      <c r="H18" s="222">
        <f t="shared" ref="H18:H60" si="1">ROUND(IF($H$17=$G$17,E18*G18,E18*F18),2)</f>
        <v>68.569999999999993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26.06</v>
      </c>
      <c r="L18" s="221">
        <f t="shared" ref="L18:L60" si="4">ROUND((J18*K18),2)</f>
        <v>26.06</v>
      </c>
      <c r="M18" s="220" t="s">
        <v>84</v>
      </c>
      <c r="N18" s="225">
        <v>0.62</v>
      </c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26.06</v>
      </c>
      <c r="T18" s="229">
        <f t="shared" ref="T18:T60" si="7">ROUND(L18-R18,2)</f>
        <v>26.06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246" t="s">
        <v>152</v>
      </c>
      <c r="C19" s="153" t="s">
        <v>153</v>
      </c>
      <c r="D19" s="237"/>
      <c r="E19" s="238">
        <v>1</v>
      </c>
      <c r="F19" s="239">
        <v>102.33</v>
      </c>
      <c r="G19" s="240">
        <f t="shared" si="0"/>
        <v>72.06</v>
      </c>
      <c r="H19" s="241">
        <f t="shared" si="1"/>
        <v>102.33</v>
      </c>
      <c r="I19" s="242"/>
      <c r="J19" s="243">
        <f t="shared" si="2"/>
        <v>1</v>
      </c>
      <c r="K19" s="240">
        <f t="shared" si="3"/>
        <v>38.89</v>
      </c>
      <c r="L19" s="240">
        <f t="shared" si="4"/>
        <v>38.89</v>
      </c>
      <c r="M19" s="244" t="s">
        <v>84</v>
      </c>
      <c r="N19" s="245">
        <v>0.62</v>
      </c>
      <c r="O19" s="226"/>
      <c r="P19" s="246"/>
      <c r="Q19" s="239"/>
      <c r="R19" s="247">
        <f t="shared" si="5"/>
        <v>0</v>
      </c>
      <c r="S19" s="248">
        <f t="shared" si="6"/>
        <v>38.89</v>
      </c>
      <c r="T19" s="248">
        <f t="shared" si="7"/>
        <v>38.89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260" t="s">
        <v>154</v>
      </c>
      <c r="C20" s="257" t="s">
        <v>155</v>
      </c>
      <c r="D20" s="253"/>
      <c r="E20" s="219">
        <v>1</v>
      </c>
      <c r="F20" s="220">
        <v>50.28</v>
      </c>
      <c r="G20" s="221">
        <f t="shared" si="0"/>
        <v>35.409999999999997</v>
      </c>
      <c r="H20" s="222">
        <f t="shared" si="1"/>
        <v>50.28</v>
      </c>
      <c r="I20" s="242"/>
      <c r="J20" s="224">
        <f t="shared" si="2"/>
        <v>1</v>
      </c>
      <c r="K20" s="221">
        <f t="shared" si="3"/>
        <v>19.11</v>
      </c>
      <c r="L20" s="221">
        <f t="shared" si="4"/>
        <v>19.11</v>
      </c>
      <c r="M20" s="220" t="s">
        <v>84</v>
      </c>
      <c r="N20" s="254">
        <v>0.62</v>
      </c>
      <c r="O20" s="226"/>
      <c r="P20" s="255"/>
      <c r="Q20" s="228"/>
      <c r="R20" s="229">
        <f t="shared" si="5"/>
        <v>0</v>
      </c>
      <c r="S20" s="229">
        <f t="shared" si="6"/>
        <v>19.11</v>
      </c>
      <c r="T20" s="229">
        <f t="shared" si="7"/>
        <v>19.11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235" t="s">
        <v>156</v>
      </c>
      <c r="C21" s="236" t="s">
        <v>157</v>
      </c>
      <c r="D21" s="237"/>
      <c r="E21" s="238">
        <v>1</v>
      </c>
      <c r="F21" s="239">
        <v>112.39</v>
      </c>
      <c r="G21" s="240">
        <f t="shared" si="0"/>
        <v>79.150000000000006</v>
      </c>
      <c r="H21" s="241">
        <f t="shared" si="1"/>
        <v>112.39</v>
      </c>
      <c r="I21" s="242"/>
      <c r="J21" s="243">
        <f t="shared" si="2"/>
        <v>1</v>
      </c>
      <c r="K21" s="240">
        <f t="shared" si="3"/>
        <v>42.71</v>
      </c>
      <c r="L21" s="240">
        <f t="shared" si="4"/>
        <v>42.71</v>
      </c>
      <c r="M21" s="244" t="s">
        <v>84</v>
      </c>
      <c r="N21" s="245">
        <v>0.62</v>
      </c>
      <c r="O21" s="226"/>
      <c r="P21" s="246"/>
      <c r="Q21" s="239"/>
      <c r="R21" s="247">
        <f t="shared" si="5"/>
        <v>0</v>
      </c>
      <c r="S21" s="248">
        <f t="shared" si="6"/>
        <v>42.71</v>
      </c>
      <c r="T21" s="248">
        <f t="shared" si="7"/>
        <v>42.71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251" t="s">
        <v>158</v>
      </c>
      <c r="C22" s="252" t="s">
        <v>83</v>
      </c>
      <c r="D22" s="253"/>
      <c r="E22" s="219">
        <v>1</v>
      </c>
      <c r="F22" s="220">
        <v>118.01</v>
      </c>
      <c r="G22" s="221">
        <f t="shared" si="0"/>
        <v>83.11</v>
      </c>
      <c r="H22" s="222">
        <f t="shared" si="1"/>
        <v>118.01</v>
      </c>
      <c r="I22" s="242"/>
      <c r="J22" s="224">
        <f t="shared" si="2"/>
        <v>1</v>
      </c>
      <c r="K22" s="221">
        <f t="shared" si="3"/>
        <v>44.84</v>
      </c>
      <c r="L22" s="221">
        <f t="shared" si="4"/>
        <v>44.84</v>
      </c>
      <c r="M22" s="220" t="s">
        <v>84</v>
      </c>
      <c r="N22" s="254">
        <v>0.62</v>
      </c>
      <c r="O22" s="226"/>
      <c r="P22" s="255"/>
      <c r="Q22" s="228"/>
      <c r="R22" s="229">
        <f t="shared" si="5"/>
        <v>0</v>
      </c>
      <c r="S22" s="229">
        <f t="shared" si="6"/>
        <v>44.84</v>
      </c>
      <c r="T22" s="229">
        <f t="shared" si="7"/>
        <v>44.84</v>
      </c>
      <c r="U22" s="230">
        <f t="shared" si="8"/>
        <v>0</v>
      </c>
      <c r="V22" s="230">
        <f t="shared" si="9"/>
        <v>1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246" t="s">
        <v>159</v>
      </c>
      <c r="C23" s="153" t="s">
        <v>160</v>
      </c>
      <c r="D23" s="237"/>
      <c r="E23" s="238">
        <v>1</v>
      </c>
      <c r="F23" s="239">
        <v>35.869999999999997</v>
      </c>
      <c r="G23" s="240">
        <f t="shared" si="0"/>
        <v>25.26</v>
      </c>
      <c r="H23" s="241">
        <f t="shared" si="1"/>
        <v>35.869999999999997</v>
      </c>
      <c r="I23" s="242"/>
      <c r="J23" s="243">
        <f t="shared" si="2"/>
        <v>1</v>
      </c>
      <c r="K23" s="240">
        <f t="shared" si="3"/>
        <v>13.63</v>
      </c>
      <c r="L23" s="240">
        <f t="shared" si="4"/>
        <v>13.63</v>
      </c>
      <c r="M23" s="244" t="s">
        <v>84</v>
      </c>
      <c r="N23" s="245">
        <v>0.62</v>
      </c>
      <c r="O23" s="226"/>
      <c r="P23" s="246"/>
      <c r="Q23" s="239"/>
      <c r="R23" s="247">
        <f t="shared" si="5"/>
        <v>0</v>
      </c>
      <c r="S23" s="248">
        <f t="shared" si="6"/>
        <v>13.63</v>
      </c>
      <c r="T23" s="248">
        <f t="shared" si="7"/>
        <v>13.63</v>
      </c>
      <c r="U23" s="249">
        <f t="shared" si="8"/>
        <v>0</v>
      </c>
      <c r="V23" s="249">
        <f t="shared" si="9"/>
        <v>1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256" t="s">
        <v>161</v>
      </c>
      <c r="C24" s="153" t="s">
        <v>133</v>
      </c>
      <c r="D24" s="253"/>
      <c r="E24" s="219">
        <v>1</v>
      </c>
      <c r="F24" s="220">
        <v>5041</v>
      </c>
      <c r="G24" s="221">
        <f t="shared" si="0"/>
        <v>3550</v>
      </c>
      <c r="H24" s="222">
        <f t="shared" si="1"/>
        <v>5041</v>
      </c>
      <c r="I24" s="242"/>
      <c r="J24" s="224">
        <f t="shared" si="2"/>
        <v>1</v>
      </c>
      <c r="K24" s="221">
        <f t="shared" si="3"/>
        <v>1915.58</v>
      </c>
      <c r="L24" s="221">
        <f t="shared" si="4"/>
        <v>1915.58</v>
      </c>
      <c r="M24" s="220" t="s">
        <v>84</v>
      </c>
      <c r="N24" s="254">
        <v>0.62</v>
      </c>
      <c r="O24" s="226"/>
      <c r="P24" s="255"/>
      <c r="Q24" s="228"/>
      <c r="R24" s="229">
        <f t="shared" si="5"/>
        <v>0</v>
      </c>
      <c r="S24" s="229">
        <f t="shared" si="6"/>
        <v>1915.58</v>
      </c>
      <c r="T24" s="229">
        <f t="shared" si="7"/>
        <v>1915.58</v>
      </c>
      <c r="U24" s="230">
        <f t="shared" si="8"/>
        <v>0</v>
      </c>
      <c r="V24" s="230">
        <f t="shared" si="9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 s="246"/>
      <c r="C25" s="257" t="s">
        <v>134</v>
      </c>
      <c r="D25" s="237"/>
      <c r="E25" s="238">
        <v>1</v>
      </c>
      <c r="F25" s="239"/>
      <c r="G25" s="240">
        <f t="shared" si="0"/>
        <v>0</v>
      </c>
      <c r="H25" s="241">
        <f t="shared" si="1"/>
        <v>0</v>
      </c>
      <c r="I25" s="242"/>
      <c r="J25" s="243">
        <f t="shared" si="2"/>
        <v>1</v>
      </c>
      <c r="K25" s="240">
        <f t="shared" si="3"/>
        <v>0</v>
      </c>
      <c r="L25" s="240">
        <f t="shared" si="4"/>
        <v>0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0</v>
      </c>
      <c r="T25" s="248">
        <f t="shared" si="7"/>
        <v>0</v>
      </c>
      <c r="U25" s="249">
        <f t="shared" si="8"/>
        <v>0</v>
      </c>
      <c r="V25" s="249">
        <f t="shared" si="9"/>
        <v>0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 s="258" t="s">
        <v>162</v>
      </c>
      <c r="C26" s="153" t="s">
        <v>163</v>
      </c>
      <c r="D26" s="253"/>
      <c r="E26" s="219">
        <v>6</v>
      </c>
      <c r="F26" s="220">
        <v>1594.28</v>
      </c>
      <c r="G26" s="221">
        <f t="shared" si="0"/>
        <v>1122.73</v>
      </c>
      <c r="H26" s="222">
        <f t="shared" si="1"/>
        <v>9565.68</v>
      </c>
      <c r="I26" s="242"/>
      <c r="J26" s="224">
        <f t="shared" si="2"/>
        <v>6</v>
      </c>
      <c r="K26" s="221">
        <f t="shared" si="3"/>
        <v>797.14</v>
      </c>
      <c r="L26" s="221">
        <f t="shared" si="4"/>
        <v>4782.84</v>
      </c>
      <c r="M26" s="220" t="s">
        <v>84</v>
      </c>
      <c r="N26" s="254">
        <v>0.5</v>
      </c>
      <c r="O26" s="226"/>
      <c r="P26" s="255"/>
      <c r="Q26" s="228"/>
      <c r="R26" s="229">
        <f t="shared" si="5"/>
        <v>0</v>
      </c>
      <c r="S26" s="229">
        <f t="shared" si="6"/>
        <v>797.14</v>
      </c>
      <c r="T26" s="229">
        <f t="shared" si="7"/>
        <v>4782.84</v>
      </c>
      <c r="U26" s="230">
        <f t="shared" si="8"/>
        <v>0</v>
      </c>
      <c r="V26" s="230">
        <f t="shared" si="9"/>
        <v>1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246"/>
      <c r="C27" s="153"/>
      <c r="D27" s="237"/>
      <c r="E27" s="238"/>
      <c r="F27" s="239"/>
      <c r="G27" s="240">
        <f t="shared" si="0"/>
        <v>0</v>
      </c>
      <c r="H27" s="241">
        <f t="shared" si="1"/>
        <v>0</v>
      </c>
      <c r="I27" s="242"/>
      <c r="J27" s="243">
        <f t="shared" si="2"/>
        <v>0</v>
      </c>
      <c r="K27" s="240">
        <f t="shared" si="3"/>
        <v>0</v>
      </c>
      <c r="L27" s="240">
        <f t="shared" si="4"/>
        <v>0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0</v>
      </c>
      <c r="T27" s="248">
        <f t="shared" si="7"/>
        <v>0</v>
      </c>
      <c r="U27" s="249">
        <f t="shared" si="8"/>
        <v>0</v>
      </c>
      <c r="V27" s="249">
        <f t="shared" si="9"/>
        <v>0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260"/>
      <c r="C28" s="257"/>
      <c r="D28" s="253"/>
      <c r="E28" s="219"/>
      <c r="F28" s="220"/>
      <c r="G28" s="221">
        <f t="shared" si="0"/>
        <v>0</v>
      </c>
      <c r="H28" s="222">
        <f t="shared" si="1"/>
        <v>0</v>
      </c>
      <c r="I28" s="242"/>
      <c r="J28" s="224">
        <f t="shared" si="2"/>
        <v>0</v>
      </c>
      <c r="K28" s="221">
        <f t="shared" si="3"/>
        <v>0</v>
      </c>
      <c r="L28" s="221">
        <f t="shared" si="4"/>
        <v>0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0</v>
      </c>
      <c r="T28" s="229">
        <f t="shared" si="7"/>
        <v>0</v>
      </c>
      <c r="U28" s="230">
        <f t="shared" si="8"/>
        <v>0</v>
      </c>
      <c r="V28" s="230">
        <f t="shared" si="9"/>
        <v>0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246"/>
      <c r="C29" s="153"/>
      <c r="D29" s="237"/>
      <c r="E29" s="238"/>
      <c r="F29" s="239"/>
      <c r="G29" s="240">
        <f t="shared" si="0"/>
        <v>0</v>
      </c>
      <c r="H29" s="241">
        <f t="shared" si="1"/>
        <v>0</v>
      </c>
      <c r="I29" s="242"/>
      <c r="J29" s="243">
        <f t="shared" si="2"/>
        <v>0</v>
      </c>
      <c r="K29" s="240">
        <f t="shared" si="3"/>
        <v>0</v>
      </c>
      <c r="L29" s="240">
        <f t="shared" si="4"/>
        <v>0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0</v>
      </c>
      <c r="T29" s="248">
        <f t="shared" si="7"/>
        <v>0</v>
      </c>
      <c r="U29" s="249">
        <f t="shared" si="8"/>
        <v>0</v>
      </c>
      <c r="V29" s="249">
        <f t="shared" si="9"/>
        <v>0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227"/>
      <c r="C30" s="257"/>
      <c r="D30" s="253"/>
      <c r="E30" s="219"/>
      <c r="F30" s="220"/>
      <c r="G30" s="221">
        <f t="shared" si="0"/>
        <v>0</v>
      </c>
      <c r="H30" s="222">
        <f t="shared" si="1"/>
        <v>0</v>
      </c>
      <c r="I30" s="242"/>
      <c r="J30" s="224">
        <f t="shared" si="2"/>
        <v>0</v>
      </c>
      <c r="K30" s="221">
        <f t="shared" si="3"/>
        <v>0</v>
      </c>
      <c r="L30" s="221">
        <f t="shared" si="4"/>
        <v>0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0</v>
      </c>
      <c r="T30" s="229">
        <f t="shared" si="7"/>
        <v>0</v>
      </c>
      <c r="U30" s="230">
        <f t="shared" si="8"/>
        <v>0</v>
      </c>
      <c r="V30" s="230">
        <f t="shared" si="9"/>
        <v>0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246"/>
      <c r="C31" s="153"/>
      <c r="D31" s="237"/>
      <c r="E31" s="238"/>
      <c r="F31" s="239"/>
      <c r="G31" s="240">
        <f t="shared" si="0"/>
        <v>0</v>
      </c>
      <c r="H31" s="241">
        <f t="shared" si="1"/>
        <v>0</v>
      </c>
      <c r="I31" s="242"/>
      <c r="J31" s="243">
        <f t="shared" si="2"/>
        <v>0</v>
      </c>
      <c r="K31" s="240">
        <f t="shared" si="3"/>
        <v>0</v>
      </c>
      <c r="L31" s="240">
        <f t="shared" si="4"/>
        <v>0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0</v>
      </c>
      <c r="T31" s="248">
        <f t="shared" si="7"/>
        <v>0</v>
      </c>
      <c r="U31" s="249">
        <f t="shared" si="8"/>
        <v>0</v>
      </c>
      <c r="V31" s="249">
        <f t="shared" si="9"/>
        <v>0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227"/>
      <c r="C32" s="257"/>
      <c r="D32" s="253"/>
      <c r="E32" s="219"/>
      <c r="F32" s="220"/>
      <c r="G32" s="221">
        <f t="shared" si="0"/>
        <v>0</v>
      </c>
      <c r="H32" s="222">
        <f t="shared" si="1"/>
        <v>0</v>
      </c>
      <c r="I32" s="242"/>
      <c r="J32" s="224">
        <f t="shared" si="2"/>
        <v>0</v>
      </c>
      <c r="K32" s="221">
        <f t="shared" si="3"/>
        <v>0</v>
      </c>
      <c r="L32" s="221">
        <f t="shared" si="4"/>
        <v>0</v>
      </c>
      <c r="M32" s="220" t="s">
        <v>84</v>
      </c>
      <c r="N32" s="254">
        <v>0.5</v>
      </c>
      <c r="O32" s="226"/>
      <c r="P32" s="255"/>
      <c r="Q32" s="228"/>
      <c r="R32" s="229">
        <f t="shared" si="5"/>
        <v>0</v>
      </c>
      <c r="S32" s="229">
        <f t="shared" si="6"/>
        <v>0</v>
      </c>
      <c r="T32" s="229">
        <f t="shared" si="7"/>
        <v>0</v>
      </c>
      <c r="U32" s="230">
        <f t="shared" si="8"/>
        <v>0</v>
      </c>
      <c r="V32" s="230">
        <f t="shared" si="9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246"/>
      <c r="C33" s="153"/>
      <c r="D33" s="237"/>
      <c r="E33" s="238"/>
      <c r="F33" s="239"/>
      <c r="G33" s="240">
        <f t="shared" si="0"/>
        <v>0</v>
      </c>
      <c r="H33" s="241">
        <f t="shared" si="1"/>
        <v>0</v>
      </c>
      <c r="I33" s="242"/>
      <c r="J33" s="243">
        <f t="shared" si="2"/>
        <v>0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227"/>
      <c r="C34" s="257"/>
      <c r="D34" s="253"/>
      <c r="E34" s="219"/>
      <c r="F34" s="220"/>
      <c r="G34" s="221">
        <f t="shared" si="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>
        <v>0.5</v>
      </c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246"/>
      <c r="C35" s="153"/>
      <c r="D35" s="237"/>
      <c r="E35" s="238"/>
      <c r="F35" s="239"/>
      <c r="G35" s="240">
        <f t="shared" si="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>
        <v>0.5</v>
      </c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227"/>
      <c r="C36" s="257"/>
      <c r="D36" s="253"/>
      <c r="E36" s="219"/>
      <c r="F36" s="220"/>
      <c r="G36" s="221">
        <f t="shared" si="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246"/>
      <c r="C37" s="153"/>
      <c r="D37" s="237"/>
      <c r="E37" s="238"/>
      <c r="F37" s="239"/>
      <c r="G37" s="240">
        <f t="shared" si="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227"/>
      <c r="C38" s="257"/>
      <c r="D38" s="253"/>
      <c r="E38" s="219"/>
      <c r="F38" s="220"/>
      <c r="G38" s="221">
        <f t="shared" si="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246"/>
      <c r="C39" s="153"/>
      <c r="D39" s="237"/>
      <c r="E39" s="238"/>
      <c r="F39" s="239"/>
      <c r="G39" s="240">
        <f t="shared" si="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227"/>
      <c r="C40" s="257"/>
      <c r="D40" s="253"/>
      <c r="E40" s="219"/>
      <c r="F40" s="220"/>
      <c r="G40" s="221">
        <f t="shared" si="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246"/>
      <c r="C41" s="153"/>
      <c r="D41" s="237"/>
      <c r="E41" s="238"/>
      <c r="F41" s="239"/>
      <c r="G41" s="240">
        <f t="shared" si="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227"/>
      <c r="C42" s="257"/>
      <c r="D42" s="253"/>
      <c r="E42" s="219"/>
      <c r="F42" s="220"/>
      <c r="G42" s="221">
        <f t="shared" si="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246"/>
      <c r="C43" s="153"/>
      <c r="D43" s="237"/>
      <c r="E43" s="238"/>
      <c r="F43" s="239"/>
      <c r="G43" s="240">
        <f t="shared" si="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227"/>
      <c r="C44" s="257"/>
      <c r="D44" s="253"/>
      <c r="E44" s="219"/>
      <c r="F44" s="220"/>
      <c r="G44" s="221">
        <f t="shared" si="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246"/>
      <c r="C45" s="153"/>
      <c r="D45" s="237"/>
      <c r="E45" s="238"/>
      <c r="F45" s="239"/>
      <c r="G45" s="240">
        <f t="shared" si="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227"/>
      <c r="C46" s="257"/>
      <c r="D46" s="253"/>
      <c r="E46" s="219"/>
      <c r="F46" s="220"/>
      <c r="G46" s="221">
        <f t="shared" si="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246"/>
      <c r="C47" s="153"/>
      <c r="D47" s="237"/>
      <c r="E47" s="238"/>
      <c r="F47" s="239"/>
      <c r="G47" s="240">
        <f t="shared" si="0"/>
        <v>0</v>
      </c>
      <c r="H47" s="241">
        <f t="shared" si="1"/>
        <v>0</v>
      </c>
      <c r="I47" s="242"/>
      <c r="J47" s="243">
        <f t="shared" si="2"/>
        <v>0</v>
      </c>
      <c r="K47" s="240">
        <f t="shared" si="3"/>
        <v>0</v>
      </c>
      <c r="L47" s="240">
        <f t="shared" si="4"/>
        <v>0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0</v>
      </c>
      <c r="T47" s="248">
        <f t="shared" si="7"/>
        <v>0</v>
      </c>
      <c r="U47" s="249">
        <f t="shared" si="8"/>
        <v>0</v>
      </c>
      <c r="V47" s="249">
        <f t="shared" si="9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227"/>
      <c r="C48" s="257"/>
      <c r="D48" s="253"/>
      <c r="E48" s="219"/>
      <c r="F48" s="220"/>
      <c r="G48" s="221">
        <f t="shared" si="0"/>
        <v>0</v>
      </c>
      <c r="H48" s="222">
        <f t="shared" si="1"/>
        <v>0</v>
      </c>
      <c r="I48" s="242"/>
      <c r="J48" s="224">
        <f t="shared" si="2"/>
        <v>0</v>
      </c>
      <c r="K48" s="221">
        <f t="shared" si="3"/>
        <v>0</v>
      </c>
      <c r="L48" s="221">
        <f t="shared" si="4"/>
        <v>0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0</v>
      </c>
      <c r="T48" s="229">
        <f t="shared" si="7"/>
        <v>0</v>
      </c>
      <c r="U48" s="230">
        <f t="shared" si="8"/>
        <v>0</v>
      </c>
      <c r="V48" s="230">
        <f t="shared" si="9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246"/>
      <c r="C49" s="153"/>
      <c r="D49" s="237"/>
      <c r="E49" s="238"/>
      <c r="F49" s="239"/>
      <c r="G49" s="240">
        <f t="shared" si="0"/>
        <v>0</v>
      </c>
      <c r="H49" s="241">
        <f t="shared" si="1"/>
        <v>0</v>
      </c>
      <c r="I49" s="242"/>
      <c r="J49" s="243">
        <f t="shared" si="2"/>
        <v>0</v>
      </c>
      <c r="K49" s="240">
        <f t="shared" si="3"/>
        <v>0</v>
      </c>
      <c r="L49" s="240">
        <f t="shared" si="4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0</v>
      </c>
      <c r="T49" s="248">
        <f t="shared" si="7"/>
        <v>0</v>
      </c>
      <c r="U49" s="249">
        <f t="shared" si="8"/>
        <v>0</v>
      </c>
      <c r="V49" s="249">
        <f t="shared" si="9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227"/>
      <c r="C50" s="257"/>
      <c r="D50" s="253"/>
      <c r="E50" s="219"/>
      <c r="F50" s="220"/>
      <c r="G50" s="221">
        <f t="shared" si="0"/>
        <v>0</v>
      </c>
      <c r="H50" s="222">
        <f t="shared" si="1"/>
        <v>0</v>
      </c>
      <c r="I50" s="242"/>
      <c r="J50" s="224">
        <f t="shared" si="2"/>
        <v>0</v>
      </c>
      <c r="K50" s="221">
        <f t="shared" si="3"/>
        <v>0</v>
      </c>
      <c r="L50" s="221">
        <f t="shared" si="4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0</v>
      </c>
      <c r="T50" s="229">
        <f t="shared" si="7"/>
        <v>0</v>
      </c>
      <c r="U50" s="230">
        <f t="shared" si="8"/>
        <v>0</v>
      </c>
      <c r="V50" s="230">
        <f t="shared" si="9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246"/>
      <c r="C51" s="153"/>
      <c r="D51" s="237"/>
      <c r="E51" s="238"/>
      <c r="F51" s="239"/>
      <c r="G51" s="240">
        <f t="shared" si="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14</v>
      </c>
      <c r="F61" s="265">
        <f>SUM(F18:F60)</f>
        <v>7122.73</v>
      </c>
      <c r="G61" s="266">
        <f>SUM(G18:G60)</f>
        <v>5016.01</v>
      </c>
      <c r="H61" s="267">
        <f>SUM(H18:H60)</f>
        <v>15094.130000000001</v>
      </c>
      <c r="I61" s="268"/>
      <c r="J61" s="269">
        <f>SUM(J18:J60)</f>
        <v>14</v>
      </c>
      <c r="K61" s="266">
        <f>SUM(K18:K60)</f>
        <v>2897.9599999999996</v>
      </c>
      <c r="L61" s="267">
        <f>SUM(L18:L60)</f>
        <v>6883.66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2897.9599999999996</v>
      </c>
      <c r="T61" s="267">
        <f>SUM(T18:T60)</f>
        <v>6883.66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27" priority="3" stopIfTrue="1">
      <formula>$U$9&gt;100%</formula>
    </cfRule>
    <cfRule type="expression" dxfId="226" priority="4">
      <formula>$U$9&lt;50%</formula>
    </cfRule>
  </conditionalFormatting>
  <conditionalFormatting sqref="V9:V10">
    <cfRule type="expression" dxfId="225" priority="1">
      <formula>$V$9&lt;50%</formula>
    </cfRule>
    <cfRule type="expression" dxfId="224" priority="2">
      <formula>$V$9&gt;50%</formula>
    </cfRule>
  </conditionalFormatting>
  <dataValidations count="5">
    <dataValidation type="list" allowBlank="1" showInputMessage="1" showErrorMessage="1" sqref="F17 K17 Q17 Q14" xr:uid="{96680623-F0C5-424C-A8B3-1BCE84877AD3}">
      <formula1>$Y$11:$Y$12</formula1>
    </dataValidation>
    <dataValidation type="list" allowBlank="1" showInputMessage="1" showErrorMessage="1" sqref="H13" xr:uid="{BE170C3B-930E-464D-B47A-5F9B75C20BEC}">
      <formula1>$Y$13:$Y$14</formula1>
    </dataValidation>
    <dataValidation type="list" allowBlank="1" showInputMessage="1" showErrorMessage="1" sqref="I13" xr:uid="{82033E56-8094-46FA-B058-72CC7CC426AE}">
      <formula1>$K$9:$K$9</formula1>
    </dataValidation>
    <dataValidation type="list" showInputMessage="1" showErrorMessage="1" sqref="D18:D60" xr:uid="{9075E0B8-4BF6-4D4C-B33C-C027E1F7209E}">
      <formula1>$Z$18:$Z$29</formula1>
    </dataValidation>
    <dataValidation type="list" allowBlank="1" showInputMessage="1" showErrorMessage="1" sqref="M18:M60" xr:uid="{AEA85430-67FF-4FEE-992D-5E35B98B97E2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CF7C8-EDFA-46A0-BCDF-14F714F0DE43}">
  <sheetPr>
    <pageSetUpPr fitToPage="1"/>
  </sheetPr>
  <dimension ref="A1:AB63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523" t="s">
        <v>2</v>
      </c>
      <c r="I1" s="524"/>
      <c r="J1" s="524"/>
      <c r="K1" s="525"/>
      <c r="L1" s="528" t="s">
        <v>3</v>
      </c>
      <c r="M1" s="529"/>
      <c r="N1" s="529"/>
      <c r="O1" s="529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59">
        <v>55218</v>
      </c>
      <c r="G2" s="549"/>
      <c r="H2" s="546" t="s">
        <v>7</v>
      </c>
      <c r="I2" s="550"/>
      <c r="J2" s="547"/>
      <c r="K2" s="148"/>
      <c r="L2" s="551" t="s">
        <v>8</v>
      </c>
      <c r="M2" s="552"/>
      <c r="N2" s="553"/>
      <c r="O2" s="149"/>
      <c r="P2" s="554">
        <f>H61</f>
        <v>15094.130000000001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532" t="s">
        <v>13</v>
      </c>
      <c r="I3" s="536"/>
      <c r="J3" s="533"/>
      <c r="K3" s="154"/>
      <c r="L3" s="537" t="s">
        <v>14</v>
      </c>
      <c r="M3" s="538"/>
      <c r="N3" s="539"/>
      <c r="O3" s="149"/>
      <c r="P3" s="540">
        <f>L61</f>
        <v>6883.66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534" t="s">
        <v>137</v>
      </c>
      <c r="G4" s="535"/>
      <c r="H4" s="532" t="s">
        <v>19</v>
      </c>
      <c r="I4" s="536"/>
      <c r="J4" s="533"/>
      <c r="K4" s="154"/>
      <c r="L4" s="537" t="s">
        <v>20</v>
      </c>
      <c r="M4" s="538"/>
      <c r="N4" s="539"/>
      <c r="O4" s="149"/>
      <c r="P4" s="540">
        <f>P2-P3</f>
        <v>8210.4700000000012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534" t="s">
        <v>148</v>
      </c>
      <c r="G5" s="535"/>
      <c r="H5" s="532" t="s">
        <v>25</v>
      </c>
      <c r="I5" s="536"/>
      <c r="J5" s="533"/>
      <c r="K5" s="154"/>
      <c r="L5" s="558" t="s">
        <v>26</v>
      </c>
      <c r="M5" s="559"/>
      <c r="N5" s="560"/>
      <c r="O5" s="149"/>
      <c r="P5" s="561">
        <f>IFERROR((P2-P3)/P2,"")</f>
        <v>0.54395119162217365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61" t="s">
        <v>164</v>
      </c>
      <c r="G6" s="535"/>
      <c r="H6" s="532" t="s">
        <v>31</v>
      </c>
      <c r="I6" s="536"/>
      <c r="J6" s="533"/>
      <c r="K6" s="154"/>
      <c r="L6" s="574" t="s">
        <v>32</v>
      </c>
      <c r="M6" s="575"/>
      <c r="N6" s="576"/>
      <c r="O6" s="149"/>
      <c r="P6" s="577">
        <f>T61</f>
        <v>6883.66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563" t="s">
        <v>165</v>
      </c>
      <c r="G7" s="535"/>
      <c r="H7" s="532" t="s">
        <v>36</v>
      </c>
      <c r="I7" s="536"/>
      <c r="J7" s="533"/>
      <c r="K7" s="154"/>
      <c r="L7" s="564" t="s">
        <v>37</v>
      </c>
      <c r="M7" s="565"/>
      <c r="N7" s="56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532" t="s">
        <v>40</v>
      </c>
      <c r="I8" s="536"/>
      <c r="J8" s="533"/>
      <c r="K8" s="154"/>
      <c r="L8" s="564" t="s">
        <v>41</v>
      </c>
      <c r="M8" s="565"/>
      <c r="N8" s="56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407</v>
      </c>
      <c r="G9" s="535"/>
      <c r="H9" s="171"/>
      <c r="I9" s="172"/>
      <c r="J9" s="172"/>
      <c r="K9" s="173"/>
      <c r="L9" s="564" t="s">
        <v>47</v>
      </c>
      <c r="M9" s="565"/>
      <c r="N9" s="56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6883.66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542" t="s">
        <v>48</v>
      </c>
      <c r="M10" s="579"/>
      <c r="N10" s="543"/>
      <c r="O10" s="149"/>
      <c r="P10" s="580">
        <f>E61</f>
        <v>14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650" t="s">
        <v>50</v>
      </c>
      <c r="K11" s="651"/>
      <c r="L11" s="651"/>
      <c r="M11" s="651"/>
      <c r="N11" s="652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653"/>
      <c r="K12" s="654"/>
      <c r="L12" s="654"/>
      <c r="M12" s="654"/>
      <c r="N12" s="655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656"/>
      <c r="K13" s="657"/>
      <c r="L13" s="657"/>
      <c r="M13" s="657"/>
      <c r="N13" s="658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601" t="s">
        <v>59</v>
      </c>
      <c r="K14" s="602"/>
      <c r="L14" s="605" t="s">
        <v>60</v>
      </c>
      <c r="M14" s="606"/>
      <c r="N14" s="60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603"/>
      <c r="K15" s="604"/>
      <c r="L15" s="608"/>
      <c r="M15" s="609"/>
      <c r="N15" s="61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631" t="s">
        <v>69</v>
      </c>
      <c r="K16" s="201" t="s">
        <v>72</v>
      </c>
      <c r="L16" s="202" t="s">
        <v>73</v>
      </c>
      <c r="M16" s="633" t="s">
        <v>74</v>
      </c>
      <c r="N16" s="633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3"/>
      <c r="C17" s="625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632"/>
      <c r="K17" s="614" t="s">
        <v>52</v>
      </c>
      <c r="L17" s="615"/>
      <c r="M17" s="634"/>
      <c r="N17" s="634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 s="216" t="s">
        <v>151</v>
      </c>
      <c r="C18" s="217" t="s">
        <v>141</v>
      </c>
      <c r="D18" s="218"/>
      <c r="E18" s="219">
        <v>1</v>
      </c>
      <c r="F18" s="220">
        <v>68.569999999999993</v>
      </c>
      <c r="G18" s="221">
        <f t="shared" ref="G18:G60" si="0">ROUND(IF($F$17="USD $", F18*$E$15,F18*$D$15),2)</f>
        <v>48.29</v>
      </c>
      <c r="H18" s="222">
        <f t="shared" ref="H18:H60" si="1">ROUND(IF($H$17=$G$17,E18*G18,E18*F18),2)</f>
        <v>68.569999999999993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26.06</v>
      </c>
      <c r="L18" s="221">
        <f t="shared" ref="L18:L60" si="4">ROUND((J18*K18),2)</f>
        <v>26.06</v>
      </c>
      <c r="M18" s="220" t="s">
        <v>84</v>
      </c>
      <c r="N18" s="225">
        <v>0.62</v>
      </c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26.06</v>
      </c>
      <c r="T18" s="229">
        <f t="shared" ref="T18:T60" si="7">ROUND(L18-R18,2)</f>
        <v>26.06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246" t="s">
        <v>152</v>
      </c>
      <c r="C19" s="153" t="s">
        <v>153</v>
      </c>
      <c r="D19" s="237"/>
      <c r="E19" s="238">
        <v>1</v>
      </c>
      <c r="F19" s="239">
        <v>102.33</v>
      </c>
      <c r="G19" s="240">
        <f t="shared" si="0"/>
        <v>72.06</v>
      </c>
      <c r="H19" s="241">
        <f t="shared" si="1"/>
        <v>102.33</v>
      </c>
      <c r="I19" s="242"/>
      <c r="J19" s="243">
        <f t="shared" si="2"/>
        <v>1</v>
      </c>
      <c r="K19" s="240">
        <f t="shared" si="3"/>
        <v>38.89</v>
      </c>
      <c r="L19" s="240">
        <f t="shared" si="4"/>
        <v>38.89</v>
      </c>
      <c r="M19" s="244" t="s">
        <v>84</v>
      </c>
      <c r="N19" s="245">
        <v>0.62</v>
      </c>
      <c r="O19" s="226"/>
      <c r="P19" s="246"/>
      <c r="Q19" s="239"/>
      <c r="R19" s="247">
        <f t="shared" si="5"/>
        <v>0</v>
      </c>
      <c r="S19" s="248">
        <f t="shared" si="6"/>
        <v>38.89</v>
      </c>
      <c r="T19" s="248">
        <f t="shared" si="7"/>
        <v>38.89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260" t="s">
        <v>154</v>
      </c>
      <c r="C20" s="257" t="s">
        <v>155</v>
      </c>
      <c r="D20" s="253"/>
      <c r="E20" s="219">
        <v>1</v>
      </c>
      <c r="F20" s="220">
        <v>50.28</v>
      </c>
      <c r="G20" s="221">
        <f t="shared" si="0"/>
        <v>35.409999999999997</v>
      </c>
      <c r="H20" s="222">
        <f t="shared" si="1"/>
        <v>50.28</v>
      </c>
      <c r="I20" s="242"/>
      <c r="J20" s="224">
        <f t="shared" si="2"/>
        <v>1</v>
      </c>
      <c r="K20" s="221">
        <f t="shared" si="3"/>
        <v>19.11</v>
      </c>
      <c r="L20" s="221">
        <f t="shared" si="4"/>
        <v>19.11</v>
      </c>
      <c r="M20" s="220" t="s">
        <v>84</v>
      </c>
      <c r="N20" s="254">
        <v>0.62</v>
      </c>
      <c r="O20" s="226"/>
      <c r="P20" s="255"/>
      <c r="Q20" s="228"/>
      <c r="R20" s="229">
        <f t="shared" si="5"/>
        <v>0</v>
      </c>
      <c r="S20" s="229">
        <f t="shared" si="6"/>
        <v>19.11</v>
      </c>
      <c r="T20" s="229">
        <f t="shared" si="7"/>
        <v>19.11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235" t="s">
        <v>156</v>
      </c>
      <c r="C21" s="236" t="s">
        <v>157</v>
      </c>
      <c r="D21" s="237"/>
      <c r="E21" s="238">
        <v>1</v>
      </c>
      <c r="F21" s="239">
        <v>112.39</v>
      </c>
      <c r="G21" s="240">
        <f t="shared" si="0"/>
        <v>79.150000000000006</v>
      </c>
      <c r="H21" s="241">
        <f t="shared" si="1"/>
        <v>112.39</v>
      </c>
      <c r="I21" s="242"/>
      <c r="J21" s="243">
        <f t="shared" si="2"/>
        <v>1</v>
      </c>
      <c r="K21" s="240">
        <f t="shared" si="3"/>
        <v>42.71</v>
      </c>
      <c r="L21" s="240">
        <f t="shared" si="4"/>
        <v>42.71</v>
      </c>
      <c r="M21" s="244" t="s">
        <v>84</v>
      </c>
      <c r="N21" s="245">
        <v>0.62</v>
      </c>
      <c r="O21" s="226"/>
      <c r="P21" s="246"/>
      <c r="Q21" s="239"/>
      <c r="R21" s="247">
        <f t="shared" si="5"/>
        <v>0</v>
      </c>
      <c r="S21" s="248">
        <f t="shared" si="6"/>
        <v>42.71</v>
      </c>
      <c r="T21" s="248">
        <f t="shared" si="7"/>
        <v>42.71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251" t="s">
        <v>158</v>
      </c>
      <c r="C22" s="252" t="s">
        <v>83</v>
      </c>
      <c r="D22" s="253"/>
      <c r="E22" s="219">
        <v>1</v>
      </c>
      <c r="F22" s="220">
        <v>118.01</v>
      </c>
      <c r="G22" s="221">
        <f t="shared" si="0"/>
        <v>83.11</v>
      </c>
      <c r="H22" s="222">
        <f t="shared" si="1"/>
        <v>118.01</v>
      </c>
      <c r="I22" s="242"/>
      <c r="J22" s="224">
        <f t="shared" si="2"/>
        <v>1</v>
      </c>
      <c r="K22" s="221">
        <f t="shared" si="3"/>
        <v>44.84</v>
      </c>
      <c r="L22" s="221">
        <f t="shared" si="4"/>
        <v>44.84</v>
      </c>
      <c r="M22" s="220" t="s">
        <v>84</v>
      </c>
      <c r="N22" s="254">
        <v>0.62</v>
      </c>
      <c r="O22" s="226"/>
      <c r="P22" s="255"/>
      <c r="Q22" s="228"/>
      <c r="R22" s="229">
        <f t="shared" si="5"/>
        <v>0</v>
      </c>
      <c r="S22" s="229">
        <f t="shared" si="6"/>
        <v>44.84</v>
      </c>
      <c r="T22" s="229">
        <f t="shared" si="7"/>
        <v>44.84</v>
      </c>
      <c r="U22" s="230">
        <f t="shared" si="8"/>
        <v>0</v>
      </c>
      <c r="V22" s="230">
        <f t="shared" si="9"/>
        <v>1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246" t="s">
        <v>159</v>
      </c>
      <c r="C23" s="153" t="s">
        <v>160</v>
      </c>
      <c r="D23" s="237"/>
      <c r="E23" s="238">
        <v>1</v>
      </c>
      <c r="F23" s="239">
        <v>35.869999999999997</v>
      </c>
      <c r="G23" s="240">
        <f t="shared" si="0"/>
        <v>25.26</v>
      </c>
      <c r="H23" s="241">
        <f t="shared" si="1"/>
        <v>35.869999999999997</v>
      </c>
      <c r="I23" s="242"/>
      <c r="J23" s="243">
        <f t="shared" si="2"/>
        <v>1</v>
      </c>
      <c r="K23" s="240">
        <f t="shared" si="3"/>
        <v>13.63</v>
      </c>
      <c r="L23" s="240">
        <f t="shared" si="4"/>
        <v>13.63</v>
      </c>
      <c r="M23" s="244" t="s">
        <v>84</v>
      </c>
      <c r="N23" s="245">
        <v>0.62</v>
      </c>
      <c r="O23" s="226"/>
      <c r="P23" s="246"/>
      <c r="Q23" s="239"/>
      <c r="R23" s="247">
        <f t="shared" si="5"/>
        <v>0</v>
      </c>
      <c r="S23" s="248">
        <f t="shared" si="6"/>
        <v>13.63</v>
      </c>
      <c r="T23" s="248">
        <f t="shared" si="7"/>
        <v>13.63</v>
      </c>
      <c r="U23" s="249">
        <f t="shared" si="8"/>
        <v>0</v>
      </c>
      <c r="V23" s="249">
        <f t="shared" si="9"/>
        <v>1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256" t="s">
        <v>161</v>
      </c>
      <c r="C24" s="153" t="s">
        <v>133</v>
      </c>
      <c r="D24" s="253"/>
      <c r="E24" s="219">
        <v>1</v>
      </c>
      <c r="F24" s="220">
        <v>5041</v>
      </c>
      <c r="G24" s="221">
        <f t="shared" si="0"/>
        <v>3550</v>
      </c>
      <c r="H24" s="222">
        <f t="shared" si="1"/>
        <v>5041</v>
      </c>
      <c r="I24" s="242"/>
      <c r="J24" s="224">
        <f t="shared" si="2"/>
        <v>1</v>
      </c>
      <c r="K24" s="221">
        <f t="shared" si="3"/>
        <v>1915.58</v>
      </c>
      <c r="L24" s="221">
        <f t="shared" si="4"/>
        <v>1915.58</v>
      </c>
      <c r="M24" s="220" t="s">
        <v>84</v>
      </c>
      <c r="N24" s="254">
        <v>0.62</v>
      </c>
      <c r="O24" s="226"/>
      <c r="P24" s="255"/>
      <c r="Q24" s="228"/>
      <c r="R24" s="229">
        <f t="shared" si="5"/>
        <v>0</v>
      </c>
      <c r="S24" s="229">
        <f t="shared" si="6"/>
        <v>1915.58</v>
      </c>
      <c r="T24" s="229">
        <f t="shared" si="7"/>
        <v>1915.58</v>
      </c>
      <c r="U24" s="230">
        <f t="shared" si="8"/>
        <v>0</v>
      </c>
      <c r="V24" s="230">
        <f t="shared" si="9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 s="246"/>
      <c r="C25" s="257" t="s">
        <v>134</v>
      </c>
      <c r="D25" s="237"/>
      <c r="E25" s="238">
        <v>1</v>
      </c>
      <c r="F25" s="239"/>
      <c r="G25" s="240">
        <f t="shared" si="0"/>
        <v>0</v>
      </c>
      <c r="H25" s="241">
        <f t="shared" si="1"/>
        <v>0</v>
      </c>
      <c r="I25" s="242"/>
      <c r="J25" s="243">
        <f t="shared" si="2"/>
        <v>1</v>
      </c>
      <c r="K25" s="240">
        <f t="shared" si="3"/>
        <v>0</v>
      </c>
      <c r="L25" s="240">
        <f t="shared" si="4"/>
        <v>0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0</v>
      </c>
      <c r="T25" s="248">
        <f t="shared" si="7"/>
        <v>0</v>
      </c>
      <c r="U25" s="249">
        <f t="shared" si="8"/>
        <v>0</v>
      </c>
      <c r="V25" s="249">
        <f t="shared" si="9"/>
        <v>0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 s="258" t="s">
        <v>162</v>
      </c>
      <c r="C26" s="153" t="s">
        <v>163</v>
      </c>
      <c r="D26" s="253"/>
      <c r="E26" s="219">
        <v>6</v>
      </c>
      <c r="F26" s="220">
        <v>1594.28</v>
      </c>
      <c r="G26" s="221">
        <f t="shared" si="0"/>
        <v>1122.73</v>
      </c>
      <c r="H26" s="222">
        <f t="shared" si="1"/>
        <v>9565.68</v>
      </c>
      <c r="I26" s="242"/>
      <c r="J26" s="224">
        <f t="shared" si="2"/>
        <v>6</v>
      </c>
      <c r="K26" s="221">
        <f t="shared" si="3"/>
        <v>797.14</v>
      </c>
      <c r="L26" s="221">
        <f t="shared" si="4"/>
        <v>4782.84</v>
      </c>
      <c r="M26" s="220" t="s">
        <v>84</v>
      </c>
      <c r="N26" s="254">
        <v>0.5</v>
      </c>
      <c r="O26" s="226"/>
      <c r="P26" s="255"/>
      <c r="Q26" s="228"/>
      <c r="R26" s="229">
        <f t="shared" si="5"/>
        <v>0</v>
      </c>
      <c r="S26" s="229">
        <f t="shared" si="6"/>
        <v>797.14</v>
      </c>
      <c r="T26" s="229">
        <f t="shared" si="7"/>
        <v>4782.84</v>
      </c>
      <c r="U26" s="230">
        <f t="shared" si="8"/>
        <v>0</v>
      </c>
      <c r="V26" s="230">
        <f t="shared" si="9"/>
        <v>1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246"/>
      <c r="C27" s="153"/>
      <c r="D27" s="237"/>
      <c r="E27" s="238"/>
      <c r="F27" s="239"/>
      <c r="G27" s="240">
        <f t="shared" si="0"/>
        <v>0</v>
      </c>
      <c r="H27" s="241">
        <f t="shared" si="1"/>
        <v>0</v>
      </c>
      <c r="I27" s="242"/>
      <c r="J27" s="243">
        <f t="shared" si="2"/>
        <v>0</v>
      </c>
      <c r="K27" s="240">
        <f t="shared" si="3"/>
        <v>0</v>
      </c>
      <c r="L27" s="240">
        <f t="shared" si="4"/>
        <v>0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0</v>
      </c>
      <c r="T27" s="248">
        <f t="shared" si="7"/>
        <v>0</v>
      </c>
      <c r="U27" s="249">
        <f t="shared" si="8"/>
        <v>0</v>
      </c>
      <c r="V27" s="249">
        <f t="shared" si="9"/>
        <v>0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260"/>
      <c r="C28" s="257"/>
      <c r="D28" s="253"/>
      <c r="E28" s="219"/>
      <c r="F28" s="220"/>
      <c r="G28" s="221">
        <f t="shared" si="0"/>
        <v>0</v>
      </c>
      <c r="H28" s="222">
        <f t="shared" si="1"/>
        <v>0</v>
      </c>
      <c r="I28" s="242"/>
      <c r="J28" s="224">
        <f t="shared" si="2"/>
        <v>0</v>
      </c>
      <c r="K28" s="221">
        <f t="shared" si="3"/>
        <v>0</v>
      </c>
      <c r="L28" s="221">
        <f t="shared" si="4"/>
        <v>0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0</v>
      </c>
      <c r="T28" s="229">
        <f t="shared" si="7"/>
        <v>0</v>
      </c>
      <c r="U28" s="230">
        <f t="shared" si="8"/>
        <v>0</v>
      </c>
      <c r="V28" s="230">
        <f t="shared" si="9"/>
        <v>0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246"/>
      <c r="C29" s="153"/>
      <c r="D29" s="237"/>
      <c r="E29" s="238"/>
      <c r="F29" s="239"/>
      <c r="G29" s="240">
        <f t="shared" si="0"/>
        <v>0</v>
      </c>
      <c r="H29" s="241">
        <f t="shared" si="1"/>
        <v>0</v>
      </c>
      <c r="I29" s="242"/>
      <c r="J29" s="243">
        <f t="shared" si="2"/>
        <v>0</v>
      </c>
      <c r="K29" s="240">
        <f t="shared" si="3"/>
        <v>0</v>
      </c>
      <c r="L29" s="240">
        <f t="shared" si="4"/>
        <v>0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0</v>
      </c>
      <c r="T29" s="248">
        <f t="shared" si="7"/>
        <v>0</v>
      </c>
      <c r="U29" s="249">
        <f t="shared" si="8"/>
        <v>0</v>
      </c>
      <c r="V29" s="249">
        <f t="shared" si="9"/>
        <v>0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227"/>
      <c r="C30" s="257"/>
      <c r="D30" s="253"/>
      <c r="E30" s="219"/>
      <c r="F30" s="220"/>
      <c r="G30" s="221">
        <f t="shared" si="0"/>
        <v>0</v>
      </c>
      <c r="H30" s="222">
        <f t="shared" si="1"/>
        <v>0</v>
      </c>
      <c r="I30" s="242"/>
      <c r="J30" s="224">
        <f t="shared" si="2"/>
        <v>0</v>
      </c>
      <c r="K30" s="221">
        <f t="shared" si="3"/>
        <v>0</v>
      </c>
      <c r="L30" s="221">
        <f t="shared" si="4"/>
        <v>0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0</v>
      </c>
      <c r="T30" s="229">
        <f t="shared" si="7"/>
        <v>0</v>
      </c>
      <c r="U30" s="230">
        <f t="shared" si="8"/>
        <v>0</v>
      </c>
      <c r="V30" s="230">
        <f t="shared" si="9"/>
        <v>0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246"/>
      <c r="C31" s="153"/>
      <c r="D31" s="237"/>
      <c r="E31" s="238"/>
      <c r="F31" s="239"/>
      <c r="G31" s="240">
        <f t="shared" si="0"/>
        <v>0</v>
      </c>
      <c r="H31" s="241">
        <f t="shared" si="1"/>
        <v>0</v>
      </c>
      <c r="I31" s="242"/>
      <c r="J31" s="243">
        <f t="shared" si="2"/>
        <v>0</v>
      </c>
      <c r="K31" s="240">
        <f t="shared" si="3"/>
        <v>0</v>
      </c>
      <c r="L31" s="240">
        <f t="shared" si="4"/>
        <v>0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0</v>
      </c>
      <c r="T31" s="248">
        <f t="shared" si="7"/>
        <v>0</v>
      </c>
      <c r="U31" s="249">
        <f t="shared" si="8"/>
        <v>0</v>
      </c>
      <c r="V31" s="249">
        <f t="shared" si="9"/>
        <v>0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227"/>
      <c r="C32" s="257"/>
      <c r="D32" s="253"/>
      <c r="E32" s="219"/>
      <c r="F32" s="220"/>
      <c r="G32" s="221">
        <f t="shared" si="0"/>
        <v>0</v>
      </c>
      <c r="H32" s="222">
        <f t="shared" si="1"/>
        <v>0</v>
      </c>
      <c r="I32" s="242"/>
      <c r="J32" s="224">
        <f t="shared" si="2"/>
        <v>0</v>
      </c>
      <c r="K32" s="221">
        <f t="shared" si="3"/>
        <v>0</v>
      </c>
      <c r="L32" s="221">
        <f t="shared" si="4"/>
        <v>0</v>
      </c>
      <c r="M32" s="220" t="s">
        <v>84</v>
      </c>
      <c r="N32" s="254">
        <v>0.5</v>
      </c>
      <c r="O32" s="226"/>
      <c r="P32" s="255"/>
      <c r="Q32" s="228"/>
      <c r="R32" s="229">
        <f t="shared" si="5"/>
        <v>0</v>
      </c>
      <c r="S32" s="229">
        <f t="shared" si="6"/>
        <v>0</v>
      </c>
      <c r="T32" s="229">
        <f t="shared" si="7"/>
        <v>0</v>
      </c>
      <c r="U32" s="230">
        <f t="shared" si="8"/>
        <v>0</v>
      </c>
      <c r="V32" s="230">
        <f t="shared" si="9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246"/>
      <c r="C33" s="153"/>
      <c r="D33" s="237"/>
      <c r="E33" s="238"/>
      <c r="F33" s="239"/>
      <c r="G33" s="240">
        <f t="shared" si="0"/>
        <v>0</v>
      </c>
      <c r="H33" s="241">
        <f t="shared" si="1"/>
        <v>0</v>
      </c>
      <c r="I33" s="242"/>
      <c r="J33" s="243">
        <f t="shared" si="2"/>
        <v>0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227"/>
      <c r="C34" s="257"/>
      <c r="D34" s="253"/>
      <c r="E34" s="219"/>
      <c r="F34" s="220"/>
      <c r="G34" s="221">
        <f t="shared" si="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>
        <v>0.5</v>
      </c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246"/>
      <c r="C35" s="153"/>
      <c r="D35" s="237"/>
      <c r="E35" s="238"/>
      <c r="F35" s="239"/>
      <c r="G35" s="240">
        <f t="shared" si="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>
        <v>0.5</v>
      </c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227"/>
      <c r="C36" s="257"/>
      <c r="D36" s="253"/>
      <c r="E36" s="219"/>
      <c r="F36" s="220"/>
      <c r="G36" s="221">
        <f t="shared" si="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246"/>
      <c r="C37" s="153"/>
      <c r="D37" s="237"/>
      <c r="E37" s="238"/>
      <c r="F37" s="239"/>
      <c r="G37" s="240">
        <f t="shared" si="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227"/>
      <c r="C38" s="257"/>
      <c r="D38" s="253"/>
      <c r="E38" s="219"/>
      <c r="F38" s="220"/>
      <c r="G38" s="221">
        <f t="shared" si="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246"/>
      <c r="C39" s="153"/>
      <c r="D39" s="237"/>
      <c r="E39" s="238"/>
      <c r="F39" s="239"/>
      <c r="G39" s="240">
        <f t="shared" si="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227"/>
      <c r="C40" s="257"/>
      <c r="D40" s="253"/>
      <c r="E40" s="219"/>
      <c r="F40" s="220"/>
      <c r="G40" s="221">
        <f t="shared" si="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246"/>
      <c r="C41" s="153"/>
      <c r="D41" s="237"/>
      <c r="E41" s="238"/>
      <c r="F41" s="239"/>
      <c r="G41" s="240">
        <f t="shared" si="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227"/>
      <c r="C42" s="257"/>
      <c r="D42" s="253"/>
      <c r="E42" s="219"/>
      <c r="F42" s="220"/>
      <c r="G42" s="221">
        <f t="shared" si="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246"/>
      <c r="C43" s="153"/>
      <c r="D43" s="237"/>
      <c r="E43" s="238"/>
      <c r="F43" s="239"/>
      <c r="G43" s="240">
        <f t="shared" si="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227"/>
      <c r="C44" s="257"/>
      <c r="D44" s="253"/>
      <c r="E44" s="219"/>
      <c r="F44" s="220"/>
      <c r="G44" s="221">
        <f t="shared" si="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246"/>
      <c r="C45" s="153"/>
      <c r="D45" s="237"/>
      <c r="E45" s="238"/>
      <c r="F45" s="239"/>
      <c r="G45" s="240">
        <f t="shared" si="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227"/>
      <c r="C46" s="257"/>
      <c r="D46" s="253"/>
      <c r="E46" s="219"/>
      <c r="F46" s="220"/>
      <c r="G46" s="221">
        <f t="shared" si="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246"/>
      <c r="C47" s="153"/>
      <c r="D47" s="237"/>
      <c r="E47" s="238"/>
      <c r="F47" s="239"/>
      <c r="G47" s="240">
        <f t="shared" si="0"/>
        <v>0</v>
      </c>
      <c r="H47" s="241">
        <f t="shared" si="1"/>
        <v>0</v>
      </c>
      <c r="I47" s="242"/>
      <c r="J47" s="243">
        <f t="shared" si="2"/>
        <v>0</v>
      </c>
      <c r="K47" s="240">
        <f t="shared" si="3"/>
        <v>0</v>
      </c>
      <c r="L47" s="240">
        <f t="shared" si="4"/>
        <v>0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0</v>
      </c>
      <c r="T47" s="248">
        <f t="shared" si="7"/>
        <v>0</v>
      </c>
      <c r="U47" s="249">
        <f t="shared" si="8"/>
        <v>0</v>
      </c>
      <c r="V47" s="249">
        <f t="shared" si="9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227"/>
      <c r="C48" s="257"/>
      <c r="D48" s="253"/>
      <c r="E48" s="219"/>
      <c r="F48" s="220"/>
      <c r="G48" s="221">
        <f t="shared" si="0"/>
        <v>0</v>
      </c>
      <c r="H48" s="222">
        <f t="shared" si="1"/>
        <v>0</v>
      </c>
      <c r="I48" s="242"/>
      <c r="J48" s="224">
        <f t="shared" si="2"/>
        <v>0</v>
      </c>
      <c r="K48" s="221">
        <f t="shared" si="3"/>
        <v>0</v>
      </c>
      <c r="L48" s="221">
        <f t="shared" si="4"/>
        <v>0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0</v>
      </c>
      <c r="T48" s="229">
        <f t="shared" si="7"/>
        <v>0</v>
      </c>
      <c r="U48" s="230">
        <f t="shared" si="8"/>
        <v>0</v>
      </c>
      <c r="V48" s="230">
        <f t="shared" si="9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246"/>
      <c r="C49" s="153"/>
      <c r="D49" s="237"/>
      <c r="E49" s="238"/>
      <c r="F49" s="239"/>
      <c r="G49" s="240">
        <f t="shared" si="0"/>
        <v>0</v>
      </c>
      <c r="H49" s="241">
        <f t="shared" si="1"/>
        <v>0</v>
      </c>
      <c r="I49" s="242"/>
      <c r="J49" s="243">
        <f t="shared" si="2"/>
        <v>0</v>
      </c>
      <c r="K49" s="240">
        <f t="shared" si="3"/>
        <v>0</v>
      </c>
      <c r="L49" s="240">
        <f t="shared" si="4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0</v>
      </c>
      <c r="T49" s="248">
        <f t="shared" si="7"/>
        <v>0</v>
      </c>
      <c r="U49" s="249">
        <f t="shared" si="8"/>
        <v>0</v>
      </c>
      <c r="V49" s="249">
        <f t="shared" si="9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227"/>
      <c r="C50" s="257"/>
      <c r="D50" s="253"/>
      <c r="E50" s="219"/>
      <c r="F50" s="220"/>
      <c r="G50" s="221">
        <f t="shared" si="0"/>
        <v>0</v>
      </c>
      <c r="H50" s="222">
        <f t="shared" si="1"/>
        <v>0</v>
      </c>
      <c r="I50" s="242"/>
      <c r="J50" s="224">
        <f t="shared" si="2"/>
        <v>0</v>
      </c>
      <c r="K50" s="221">
        <f t="shared" si="3"/>
        <v>0</v>
      </c>
      <c r="L50" s="221">
        <f t="shared" si="4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0</v>
      </c>
      <c r="T50" s="229">
        <f t="shared" si="7"/>
        <v>0</v>
      </c>
      <c r="U50" s="230">
        <f t="shared" si="8"/>
        <v>0</v>
      </c>
      <c r="V50" s="230">
        <f t="shared" si="9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246"/>
      <c r="C51" s="153"/>
      <c r="D51" s="237"/>
      <c r="E51" s="238"/>
      <c r="F51" s="239"/>
      <c r="G51" s="240">
        <f t="shared" si="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14</v>
      </c>
      <c r="F61" s="265">
        <f>SUM(F18:F60)</f>
        <v>7122.73</v>
      </c>
      <c r="G61" s="266">
        <f>SUM(G18:G60)</f>
        <v>5016.01</v>
      </c>
      <c r="H61" s="267">
        <f>SUM(H18:H60)</f>
        <v>15094.130000000001</v>
      </c>
      <c r="I61" s="268"/>
      <c r="J61" s="269">
        <f>SUM(J18:J60)</f>
        <v>14</v>
      </c>
      <c r="K61" s="266">
        <f>SUM(K18:K60)</f>
        <v>2897.9599999999996</v>
      </c>
      <c r="L61" s="267">
        <f>SUM(L18:L60)</f>
        <v>6883.66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2897.9599999999996</v>
      </c>
      <c r="T61" s="267">
        <f>SUM(T18:T60)</f>
        <v>6883.66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23" priority="3" stopIfTrue="1">
      <formula>$U$9&gt;100%</formula>
    </cfRule>
    <cfRule type="expression" dxfId="222" priority="4">
      <formula>$U$9&lt;50%</formula>
    </cfRule>
  </conditionalFormatting>
  <conditionalFormatting sqref="V9:V10">
    <cfRule type="expression" dxfId="221" priority="1">
      <formula>$V$9&lt;50%</formula>
    </cfRule>
    <cfRule type="expression" dxfId="220" priority="2">
      <formula>$V$9&gt;50%</formula>
    </cfRule>
  </conditionalFormatting>
  <dataValidations count="5">
    <dataValidation type="list" allowBlank="1" showInputMessage="1" showErrorMessage="1" sqref="M18:M60" xr:uid="{746D8621-18F1-47A8-BADC-0B3366C5BB60}">
      <formula1>$Y$31:$Y$32</formula1>
    </dataValidation>
    <dataValidation type="list" showInputMessage="1" showErrorMessage="1" sqref="D18:D60" xr:uid="{34456B4F-2F1F-4833-9359-AFA75EC2846F}">
      <formula1>$Z$18:$Z$29</formula1>
    </dataValidation>
    <dataValidation type="list" allowBlank="1" showInputMessage="1" showErrorMessage="1" sqref="I13" xr:uid="{BC00F3C2-0251-44A1-AE41-A160D3F44F5B}">
      <formula1>$K$9:$K$9</formula1>
    </dataValidation>
    <dataValidation type="list" allowBlank="1" showInputMessage="1" showErrorMessage="1" sqref="H13" xr:uid="{59E63FD4-C8E2-4829-BA14-8946679AB3EF}">
      <formula1>$Y$13:$Y$14</formula1>
    </dataValidation>
    <dataValidation type="list" allowBlank="1" showInputMessage="1" showErrorMessage="1" sqref="F17 K17 Q17 Q14" xr:uid="{28A7CAB0-DFAA-44F9-8674-4824EF154E4D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22E98-9D6E-4289-ABC2-6BEAA1542BAB}">
  <sheetPr>
    <pageSetUpPr fitToPage="1"/>
  </sheetPr>
  <dimension ref="A1:AB63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523" t="s">
        <v>2</v>
      </c>
      <c r="I1" s="524"/>
      <c r="J1" s="524"/>
      <c r="K1" s="525"/>
      <c r="L1" s="528" t="s">
        <v>3</v>
      </c>
      <c r="M1" s="529"/>
      <c r="N1" s="529"/>
      <c r="O1" s="529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59">
        <v>55219</v>
      </c>
      <c r="G2" s="549"/>
      <c r="H2" s="546" t="s">
        <v>7</v>
      </c>
      <c r="I2" s="550"/>
      <c r="J2" s="547"/>
      <c r="K2" s="148"/>
      <c r="L2" s="551" t="s">
        <v>8</v>
      </c>
      <c r="M2" s="552"/>
      <c r="N2" s="553"/>
      <c r="O2" s="149"/>
      <c r="P2" s="554">
        <f>H61</f>
        <v>15094.130000000001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532" t="s">
        <v>13</v>
      </c>
      <c r="I3" s="536"/>
      <c r="J3" s="533"/>
      <c r="K3" s="154"/>
      <c r="L3" s="537" t="s">
        <v>14</v>
      </c>
      <c r="M3" s="538"/>
      <c r="N3" s="539"/>
      <c r="O3" s="149"/>
      <c r="P3" s="540">
        <f>L61</f>
        <v>6883.66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534" t="s">
        <v>137</v>
      </c>
      <c r="G4" s="535"/>
      <c r="H4" s="532" t="s">
        <v>19</v>
      </c>
      <c r="I4" s="536"/>
      <c r="J4" s="533"/>
      <c r="K4" s="154"/>
      <c r="L4" s="537" t="s">
        <v>20</v>
      </c>
      <c r="M4" s="538"/>
      <c r="N4" s="539"/>
      <c r="O4" s="149"/>
      <c r="P4" s="540">
        <f>P2-P3</f>
        <v>8210.4700000000012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534" t="s">
        <v>148</v>
      </c>
      <c r="G5" s="535"/>
      <c r="H5" s="532" t="s">
        <v>25</v>
      </c>
      <c r="I5" s="536"/>
      <c r="J5" s="533"/>
      <c r="K5" s="154"/>
      <c r="L5" s="558" t="s">
        <v>26</v>
      </c>
      <c r="M5" s="559"/>
      <c r="N5" s="560"/>
      <c r="O5" s="149"/>
      <c r="P5" s="561">
        <f>IFERROR((P2-P3)/P2,"")</f>
        <v>0.54395119162217365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62" t="s">
        <v>166</v>
      </c>
      <c r="G6" s="535"/>
      <c r="H6" s="532" t="s">
        <v>31</v>
      </c>
      <c r="I6" s="536"/>
      <c r="J6" s="533"/>
      <c r="K6" s="154"/>
      <c r="L6" s="574" t="s">
        <v>32</v>
      </c>
      <c r="M6" s="575"/>
      <c r="N6" s="576"/>
      <c r="O6" s="149"/>
      <c r="P6" s="577">
        <f>T61</f>
        <v>6883.66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563" t="s">
        <v>167</v>
      </c>
      <c r="G7" s="535"/>
      <c r="H7" s="532" t="s">
        <v>36</v>
      </c>
      <c r="I7" s="536"/>
      <c r="J7" s="533"/>
      <c r="K7" s="154"/>
      <c r="L7" s="564" t="s">
        <v>37</v>
      </c>
      <c r="M7" s="565"/>
      <c r="N7" s="56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532" t="s">
        <v>40</v>
      </c>
      <c r="I8" s="536"/>
      <c r="J8" s="533"/>
      <c r="K8" s="154"/>
      <c r="L8" s="564" t="s">
        <v>41</v>
      </c>
      <c r="M8" s="565"/>
      <c r="N8" s="56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407</v>
      </c>
      <c r="G9" s="535"/>
      <c r="H9" s="171"/>
      <c r="I9" s="172"/>
      <c r="J9" s="172"/>
      <c r="K9" s="173"/>
      <c r="L9" s="564" t="s">
        <v>47</v>
      </c>
      <c r="M9" s="565"/>
      <c r="N9" s="56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6883.66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542" t="s">
        <v>48</v>
      </c>
      <c r="M10" s="579"/>
      <c r="N10" s="543"/>
      <c r="O10" s="149"/>
      <c r="P10" s="580">
        <f>E61</f>
        <v>14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650" t="s">
        <v>50</v>
      </c>
      <c r="K11" s="651"/>
      <c r="L11" s="651"/>
      <c r="M11" s="651"/>
      <c r="N11" s="652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653"/>
      <c r="K12" s="654"/>
      <c r="L12" s="654"/>
      <c r="M12" s="654"/>
      <c r="N12" s="655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656"/>
      <c r="K13" s="657"/>
      <c r="L13" s="657"/>
      <c r="M13" s="657"/>
      <c r="N13" s="658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601" t="s">
        <v>59</v>
      </c>
      <c r="K14" s="602"/>
      <c r="L14" s="605" t="s">
        <v>60</v>
      </c>
      <c r="M14" s="606"/>
      <c r="N14" s="60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603"/>
      <c r="K15" s="604"/>
      <c r="L15" s="608"/>
      <c r="M15" s="609"/>
      <c r="N15" s="61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631" t="s">
        <v>69</v>
      </c>
      <c r="K16" s="201" t="s">
        <v>72</v>
      </c>
      <c r="L16" s="202" t="s">
        <v>73</v>
      </c>
      <c r="M16" s="633" t="s">
        <v>74</v>
      </c>
      <c r="N16" s="633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3"/>
      <c r="C17" s="625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632"/>
      <c r="K17" s="614" t="s">
        <v>52</v>
      </c>
      <c r="L17" s="615"/>
      <c r="M17" s="634"/>
      <c r="N17" s="634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 s="216" t="s">
        <v>151</v>
      </c>
      <c r="C18" s="217" t="s">
        <v>141</v>
      </c>
      <c r="D18" s="218"/>
      <c r="E18" s="219">
        <v>1</v>
      </c>
      <c r="F18" s="220">
        <v>68.569999999999993</v>
      </c>
      <c r="G18" s="221">
        <f t="shared" ref="G18:G60" si="0">ROUND(IF($F$17="USD $", F18*$E$15,F18*$D$15),2)</f>
        <v>48.29</v>
      </c>
      <c r="H18" s="222">
        <f t="shared" ref="H18:H60" si="1">ROUND(IF($H$17=$G$17,E18*G18,E18*F18),2)</f>
        <v>68.569999999999993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26.06</v>
      </c>
      <c r="L18" s="221">
        <f t="shared" ref="L18:L60" si="4">ROUND((J18*K18),2)</f>
        <v>26.06</v>
      </c>
      <c r="M18" s="220" t="s">
        <v>84</v>
      </c>
      <c r="N18" s="225">
        <v>0.62</v>
      </c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26.06</v>
      </c>
      <c r="T18" s="229">
        <f t="shared" ref="T18:T60" si="7">ROUND(L18-R18,2)</f>
        <v>26.06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246" t="s">
        <v>152</v>
      </c>
      <c r="C19" s="153" t="s">
        <v>153</v>
      </c>
      <c r="D19" s="237"/>
      <c r="E19" s="238">
        <v>1</v>
      </c>
      <c r="F19" s="239">
        <v>102.33</v>
      </c>
      <c r="G19" s="240">
        <f t="shared" si="0"/>
        <v>72.06</v>
      </c>
      <c r="H19" s="241">
        <f t="shared" si="1"/>
        <v>102.33</v>
      </c>
      <c r="I19" s="242"/>
      <c r="J19" s="243">
        <f t="shared" si="2"/>
        <v>1</v>
      </c>
      <c r="K19" s="240">
        <f t="shared" si="3"/>
        <v>38.89</v>
      </c>
      <c r="L19" s="240">
        <f t="shared" si="4"/>
        <v>38.89</v>
      </c>
      <c r="M19" s="244" t="s">
        <v>84</v>
      </c>
      <c r="N19" s="245">
        <v>0.62</v>
      </c>
      <c r="O19" s="226"/>
      <c r="P19" s="246"/>
      <c r="Q19" s="239"/>
      <c r="R19" s="247">
        <f t="shared" si="5"/>
        <v>0</v>
      </c>
      <c r="S19" s="248">
        <f t="shared" si="6"/>
        <v>38.89</v>
      </c>
      <c r="T19" s="248">
        <f t="shared" si="7"/>
        <v>38.89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260" t="s">
        <v>154</v>
      </c>
      <c r="C20" s="257" t="s">
        <v>155</v>
      </c>
      <c r="D20" s="253"/>
      <c r="E20" s="219">
        <v>1</v>
      </c>
      <c r="F20" s="220">
        <v>50.28</v>
      </c>
      <c r="G20" s="221">
        <f t="shared" si="0"/>
        <v>35.409999999999997</v>
      </c>
      <c r="H20" s="222">
        <f t="shared" si="1"/>
        <v>50.28</v>
      </c>
      <c r="I20" s="242"/>
      <c r="J20" s="224">
        <f t="shared" si="2"/>
        <v>1</v>
      </c>
      <c r="K20" s="221">
        <f t="shared" si="3"/>
        <v>19.11</v>
      </c>
      <c r="L20" s="221">
        <f t="shared" si="4"/>
        <v>19.11</v>
      </c>
      <c r="M20" s="220" t="s">
        <v>84</v>
      </c>
      <c r="N20" s="254">
        <v>0.62</v>
      </c>
      <c r="O20" s="226"/>
      <c r="P20" s="255"/>
      <c r="Q20" s="228"/>
      <c r="R20" s="229">
        <f t="shared" si="5"/>
        <v>0</v>
      </c>
      <c r="S20" s="229">
        <f t="shared" si="6"/>
        <v>19.11</v>
      </c>
      <c r="T20" s="229">
        <f t="shared" si="7"/>
        <v>19.11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235" t="s">
        <v>156</v>
      </c>
      <c r="C21" s="236" t="s">
        <v>157</v>
      </c>
      <c r="D21" s="237"/>
      <c r="E21" s="238">
        <v>1</v>
      </c>
      <c r="F21" s="239">
        <v>112.39</v>
      </c>
      <c r="G21" s="240">
        <f t="shared" si="0"/>
        <v>79.150000000000006</v>
      </c>
      <c r="H21" s="241">
        <f t="shared" si="1"/>
        <v>112.39</v>
      </c>
      <c r="I21" s="242"/>
      <c r="J21" s="243">
        <f t="shared" si="2"/>
        <v>1</v>
      </c>
      <c r="K21" s="240">
        <f t="shared" si="3"/>
        <v>42.71</v>
      </c>
      <c r="L21" s="240">
        <f t="shared" si="4"/>
        <v>42.71</v>
      </c>
      <c r="M21" s="244" t="s">
        <v>84</v>
      </c>
      <c r="N21" s="245">
        <v>0.62</v>
      </c>
      <c r="O21" s="226"/>
      <c r="P21" s="246"/>
      <c r="Q21" s="239"/>
      <c r="R21" s="247">
        <f t="shared" si="5"/>
        <v>0</v>
      </c>
      <c r="S21" s="248">
        <f t="shared" si="6"/>
        <v>42.71</v>
      </c>
      <c r="T21" s="248">
        <f t="shared" si="7"/>
        <v>42.71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251" t="s">
        <v>158</v>
      </c>
      <c r="C22" s="252" t="s">
        <v>83</v>
      </c>
      <c r="D22" s="253"/>
      <c r="E22" s="219">
        <v>1</v>
      </c>
      <c r="F22" s="220">
        <v>118.01</v>
      </c>
      <c r="G22" s="221">
        <f t="shared" si="0"/>
        <v>83.11</v>
      </c>
      <c r="H22" s="222">
        <f t="shared" si="1"/>
        <v>118.01</v>
      </c>
      <c r="I22" s="242"/>
      <c r="J22" s="224">
        <f t="shared" si="2"/>
        <v>1</v>
      </c>
      <c r="K22" s="221">
        <f t="shared" si="3"/>
        <v>44.84</v>
      </c>
      <c r="L22" s="221">
        <f t="shared" si="4"/>
        <v>44.84</v>
      </c>
      <c r="M22" s="220" t="s">
        <v>84</v>
      </c>
      <c r="N22" s="254">
        <v>0.62</v>
      </c>
      <c r="O22" s="226"/>
      <c r="P22" s="255"/>
      <c r="Q22" s="228"/>
      <c r="R22" s="229">
        <f t="shared" si="5"/>
        <v>0</v>
      </c>
      <c r="S22" s="229">
        <f t="shared" si="6"/>
        <v>44.84</v>
      </c>
      <c r="T22" s="229">
        <f t="shared" si="7"/>
        <v>44.84</v>
      </c>
      <c r="U22" s="230">
        <f t="shared" si="8"/>
        <v>0</v>
      </c>
      <c r="V22" s="230">
        <f t="shared" si="9"/>
        <v>1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246" t="s">
        <v>159</v>
      </c>
      <c r="C23" s="153" t="s">
        <v>160</v>
      </c>
      <c r="D23" s="237"/>
      <c r="E23" s="238">
        <v>1</v>
      </c>
      <c r="F23" s="239">
        <v>35.869999999999997</v>
      </c>
      <c r="G23" s="240">
        <f t="shared" si="0"/>
        <v>25.26</v>
      </c>
      <c r="H23" s="241">
        <f t="shared" si="1"/>
        <v>35.869999999999997</v>
      </c>
      <c r="I23" s="242"/>
      <c r="J23" s="243">
        <f t="shared" si="2"/>
        <v>1</v>
      </c>
      <c r="K23" s="240">
        <f t="shared" si="3"/>
        <v>13.63</v>
      </c>
      <c r="L23" s="240">
        <f t="shared" si="4"/>
        <v>13.63</v>
      </c>
      <c r="M23" s="244" t="s">
        <v>84</v>
      </c>
      <c r="N23" s="245">
        <v>0.62</v>
      </c>
      <c r="O23" s="226"/>
      <c r="P23" s="246"/>
      <c r="Q23" s="239"/>
      <c r="R23" s="247">
        <f t="shared" si="5"/>
        <v>0</v>
      </c>
      <c r="S23" s="248">
        <f t="shared" si="6"/>
        <v>13.63</v>
      </c>
      <c r="T23" s="248">
        <f t="shared" si="7"/>
        <v>13.63</v>
      </c>
      <c r="U23" s="249">
        <f t="shared" si="8"/>
        <v>0</v>
      </c>
      <c r="V23" s="249">
        <f t="shared" si="9"/>
        <v>1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256" t="s">
        <v>161</v>
      </c>
      <c r="C24" s="153" t="s">
        <v>133</v>
      </c>
      <c r="D24" s="253"/>
      <c r="E24" s="219">
        <v>1</v>
      </c>
      <c r="F24" s="220">
        <v>5041</v>
      </c>
      <c r="G24" s="221">
        <f t="shared" si="0"/>
        <v>3550</v>
      </c>
      <c r="H24" s="222">
        <f t="shared" si="1"/>
        <v>5041</v>
      </c>
      <c r="I24" s="242"/>
      <c r="J24" s="224">
        <f t="shared" si="2"/>
        <v>1</v>
      </c>
      <c r="K24" s="221">
        <f t="shared" si="3"/>
        <v>1915.58</v>
      </c>
      <c r="L24" s="221">
        <f t="shared" si="4"/>
        <v>1915.58</v>
      </c>
      <c r="M24" s="220" t="s">
        <v>84</v>
      </c>
      <c r="N24" s="254">
        <v>0.62</v>
      </c>
      <c r="O24" s="226"/>
      <c r="P24" s="255"/>
      <c r="Q24" s="228"/>
      <c r="R24" s="229">
        <f t="shared" si="5"/>
        <v>0</v>
      </c>
      <c r="S24" s="229">
        <f t="shared" si="6"/>
        <v>1915.58</v>
      </c>
      <c r="T24" s="229">
        <f t="shared" si="7"/>
        <v>1915.58</v>
      </c>
      <c r="U24" s="230">
        <f t="shared" si="8"/>
        <v>0</v>
      </c>
      <c r="V24" s="230">
        <f t="shared" si="9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 s="246"/>
      <c r="C25" s="257" t="s">
        <v>134</v>
      </c>
      <c r="D25" s="237"/>
      <c r="E25" s="238">
        <v>1</v>
      </c>
      <c r="F25" s="239"/>
      <c r="G25" s="240">
        <f t="shared" si="0"/>
        <v>0</v>
      </c>
      <c r="H25" s="241">
        <f t="shared" si="1"/>
        <v>0</v>
      </c>
      <c r="I25" s="242"/>
      <c r="J25" s="243">
        <f t="shared" si="2"/>
        <v>1</v>
      </c>
      <c r="K25" s="240">
        <f t="shared" si="3"/>
        <v>0</v>
      </c>
      <c r="L25" s="240">
        <f t="shared" si="4"/>
        <v>0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0</v>
      </c>
      <c r="T25" s="248">
        <f t="shared" si="7"/>
        <v>0</v>
      </c>
      <c r="U25" s="249">
        <f t="shared" si="8"/>
        <v>0</v>
      </c>
      <c r="V25" s="249">
        <f t="shared" si="9"/>
        <v>0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 s="258" t="s">
        <v>162</v>
      </c>
      <c r="C26" s="153" t="s">
        <v>163</v>
      </c>
      <c r="D26" s="253"/>
      <c r="E26" s="219">
        <v>6</v>
      </c>
      <c r="F26" s="220">
        <v>1594.28</v>
      </c>
      <c r="G26" s="221">
        <f t="shared" si="0"/>
        <v>1122.73</v>
      </c>
      <c r="H26" s="222">
        <f t="shared" si="1"/>
        <v>9565.68</v>
      </c>
      <c r="I26" s="242"/>
      <c r="J26" s="224">
        <f t="shared" si="2"/>
        <v>6</v>
      </c>
      <c r="K26" s="221">
        <f t="shared" si="3"/>
        <v>797.14</v>
      </c>
      <c r="L26" s="221">
        <f t="shared" si="4"/>
        <v>4782.84</v>
      </c>
      <c r="M26" s="220" t="s">
        <v>84</v>
      </c>
      <c r="N26" s="254">
        <v>0.5</v>
      </c>
      <c r="O26" s="226"/>
      <c r="P26" s="255"/>
      <c r="Q26" s="228"/>
      <c r="R26" s="229">
        <f t="shared" si="5"/>
        <v>0</v>
      </c>
      <c r="S26" s="229">
        <f t="shared" si="6"/>
        <v>797.14</v>
      </c>
      <c r="T26" s="229">
        <f t="shared" si="7"/>
        <v>4782.84</v>
      </c>
      <c r="U26" s="230">
        <f t="shared" si="8"/>
        <v>0</v>
      </c>
      <c r="V26" s="230">
        <f t="shared" si="9"/>
        <v>1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246"/>
      <c r="C27" s="153"/>
      <c r="D27" s="237"/>
      <c r="E27" s="238"/>
      <c r="F27" s="239"/>
      <c r="G27" s="240">
        <f t="shared" si="0"/>
        <v>0</v>
      </c>
      <c r="H27" s="241">
        <f t="shared" si="1"/>
        <v>0</v>
      </c>
      <c r="I27" s="242"/>
      <c r="J27" s="243">
        <f t="shared" si="2"/>
        <v>0</v>
      </c>
      <c r="K27" s="240">
        <f t="shared" si="3"/>
        <v>0</v>
      </c>
      <c r="L27" s="240">
        <f t="shared" si="4"/>
        <v>0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0</v>
      </c>
      <c r="T27" s="248">
        <f t="shared" si="7"/>
        <v>0</v>
      </c>
      <c r="U27" s="249">
        <f t="shared" si="8"/>
        <v>0</v>
      </c>
      <c r="V27" s="249">
        <f t="shared" si="9"/>
        <v>0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260"/>
      <c r="C28" s="257"/>
      <c r="D28" s="253"/>
      <c r="E28" s="219"/>
      <c r="F28" s="220"/>
      <c r="G28" s="221">
        <f t="shared" si="0"/>
        <v>0</v>
      </c>
      <c r="H28" s="222">
        <f t="shared" si="1"/>
        <v>0</v>
      </c>
      <c r="I28" s="242"/>
      <c r="J28" s="224">
        <f t="shared" si="2"/>
        <v>0</v>
      </c>
      <c r="K28" s="221">
        <f t="shared" si="3"/>
        <v>0</v>
      </c>
      <c r="L28" s="221">
        <f t="shared" si="4"/>
        <v>0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0</v>
      </c>
      <c r="T28" s="229">
        <f t="shared" si="7"/>
        <v>0</v>
      </c>
      <c r="U28" s="230">
        <f t="shared" si="8"/>
        <v>0</v>
      </c>
      <c r="V28" s="230">
        <f t="shared" si="9"/>
        <v>0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246"/>
      <c r="C29" s="153"/>
      <c r="D29" s="237"/>
      <c r="E29" s="238"/>
      <c r="F29" s="239"/>
      <c r="G29" s="240">
        <f t="shared" si="0"/>
        <v>0</v>
      </c>
      <c r="H29" s="241">
        <f t="shared" si="1"/>
        <v>0</v>
      </c>
      <c r="I29" s="242"/>
      <c r="J29" s="243">
        <f t="shared" si="2"/>
        <v>0</v>
      </c>
      <c r="K29" s="240">
        <f t="shared" si="3"/>
        <v>0</v>
      </c>
      <c r="L29" s="240">
        <f t="shared" si="4"/>
        <v>0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0</v>
      </c>
      <c r="T29" s="248">
        <f t="shared" si="7"/>
        <v>0</v>
      </c>
      <c r="U29" s="249">
        <f t="shared" si="8"/>
        <v>0</v>
      </c>
      <c r="V29" s="249">
        <f t="shared" si="9"/>
        <v>0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227"/>
      <c r="C30" s="257"/>
      <c r="D30" s="253"/>
      <c r="E30" s="219"/>
      <c r="F30" s="220"/>
      <c r="G30" s="221">
        <f t="shared" si="0"/>
        <v>0</v>
      </c>
      <c r="H30" s="222">
        <f t="shared" si="1"/>
        <v>0</v>
      </c>
      <c r="I30" s="242"/>
      <c r="J30" s="224">
        <f t="shared" si="2"/>
        <v>0</v>
      </c>
      <c r="K30" s="221">
        <f t="shared" si="3"/>
        <v>0</v>
      </c>
      <c r="L30" s="221">
        <f t="shared" si="4"/>
        <v>0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0</v>
      </c>
      <c r="T30" s="229">
        <f t="shared" si="7"/>
        <v>0</v>
      </c>
      <c r="U30" s="230">
        <f t="shared" si="8"/>
        <v>0</v>
      </c>
      <c r="V30" s="230">
        <f t="shared" si="9"/>
        <v>0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246"/>
      <c r="C31" s="153"/>
      <c r="D31" s="237"/>
      <c r="E31" s="238"/>
      <c r="F31" s="239"/>
      <c r="G31" s="240">
        <f t="shared" si="0"/>
        <v>0</v>
      </c>
      <c r="H31" s="241">
        <f t="shared" si="1"/>
        <v>0</v>
      </c>
      <c r="I31" s="242"/>
      <c r="J31" s="243">
        <f t="shared" si="2"/>
        <v>0</v>
      </c>
      <c r="K31" s="240">
        <f t="shared" si="3"/>
        <v>0</v>
      </c>
      <c r="L31" s="240">
        <f t="shared" si="4"/>
        <v>0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0</v>
      </c>
      <c r="T31" s="248">
        <f t="shared" si="7"/>
        <v>0</v>
      </c>
      <c r="U31" s="249">
        <f t="shared" si="8"/>
        <v>0</v>
      </c>
      <c r="V31" s="249">
        <f t="shared" si="9"/>
        <v>0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227"/>
      <c r="C32" s="257"/>
      <c r="D32" s="253"/>
      <c r="E32" s="219"/>
      <c r="F32" s="220"/>
      <c r="G32" s="221">
        <f t="shared" si="0"/>
        <v>0</v>
      </c>
      <c r="H32" s="222">
        <f t="shared" si="1"/>
        <v>0</v>
      </c>
      <c r="I32" s="242"/>
      <c r="J32" s="224">
        <f t="shared" si="2"/>
        <v>0</v>
      </c>
      <c r="K32" s="221">
        <f t="shared" si="3"/>
        <v>0</v>
      </c>
      <c r="L32" s="221">
        <f t="shared" si="4"/>
        <v>0</v>
      </c>
      <c r="M32" s="220" t="s">
        <v>84</v>
      </c>
      <c r="N32" s="254">
        <v>0.5</v>
      </c>
      <c r="O32" s="226"/>
      <c r="P32" s="255"/>
      <c r="Q32" s="228"/>
      <c r="R32" s="229">
        <f t="shared" si="5"/>
        <v>0</v>
      </c>
      <c r="S32" s="229">
        <f t="shared" si="6"/>
        <v>0</v>
      </c>
      <c r="T32" s="229">
        <f t="shared" si="7"/>
        <v>0</v>
      </c>
      <c r="U32" s="230">
        <f t="shared" si="8"/>
        <v>0</v>
      </c>
      <c r="V32" s="230">
        <f t="shared" si="9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246"/>
      <c r="C33" s="153"/>
      <c r="D33" s="237"/>
      <c r="E33" s="238"/>
      <c r="F33" s="239"/>
      <c r="G33" s="240">
        <f t="shared" si="0"/>
        <v>0</v>
      </c>
      <c r="H33" s="241">
        <f t="shared" si="1"/>
        <v>0</v>
      </c>
      <c r="I33" s="242"/>
      <c r="J33" s="243">
        <f t="shared" si="2"/>
        <v>0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227"/>
      <c r="C34" s="257"/>
      <c r="D34" s="253"/>
      <c r="E34" s="219"/>
      <c r="F34" s="220"/>
      <c r="G34" s="221">
        <f t="shared" si="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>
        <v>0.5</v>
      </c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246"/>
      <c r="C35" s="153"/>
      <c r="D35" s="237"/>
      <c r="E35" s="238"/>
      <c r="F35" s="239"/>
      <c r="G35" s="240">
        <f t="shared" si="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>
        <v>0.5</v>
      </c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227"/>
      <c r="C36" s="257"/>
      <c r="D36" s="253"/>
      <c r="E36" s="219"/>
      <c r="F36" s="220"/>
      <c r="G36" s="221">
        <f t="shared" si="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246"/>
      <c r="C37" s="153"/>
      <c r="D37" s="237"/>
      <c r="E37" s="238"/>
      <c r="F37" s="239"/>
      <c r="G37" s="240">
        <f t="shared" si="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227"/>
      <c r="C38" s="257"/>
      <c r="D38" s="253"/>
      <c r="E38" s="219"/>
      <c r="F38" s="220"/>
      <c r="G38" s="221">
        <f t="shared" si="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246"/>
      <c r="C39" s="153"/>
      <c r="D39" s="237"/>
      <c r="E39" s="238"/>
      <c r="F39" s="239"/>
      <c r="G39" s="240">
        <f t="shared" si="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227"/>
      <c r="C40" s="257"/>
      <c r="D40" s="253"/>
      <c r="E40" s="219"/>
      <c r="F40" s="220"/>
      <c r="G40" s="221">
        <f t="shared" si="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246"/>
      <c r="C41" s="153"/>
      <c r="D41" s="237"/>
      <c r="E41" s="238"/>
      <c r="F41" s="239"/>
      <c r="G41" s="240">
        <f t="shared" si="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227"/>
      <c r="C42" s="257"/>
      <c r="D42" s="253"/>
      <c r="E42" s="219"/>
      <c r="F42" s="220"/>
      <c r="G42" s="221">
        <f t="shared" si="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246"/>
      <c r="C43" s="153"/>
      <c r="D43" s="237"/>
      <c r="E43" s="238"/>
      <c r="F43" s="239"/>
      <c r="G43" s="240">
        <f t="shared" si="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227"/>
      <c r="C44" s="257"/>
      <c r="D44" s="253"/>
      <c r="E44" s="219"/>
      <c r="F44" s="220"/>
      <c r="G44" s="221">
        <f t="shared" si="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246"/>
      <c r="C45" s="153"/>
      <c r="D45" s="237"/>
      <c r="E45" s="238"/>
      <c r="F45" s="239"/>
      <c r="G45" s="240">
        <f t="shared" si="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227"/>
      <c r="C46" s="257"/>
      <c r="D46" s="253"/>
      <c r="E46" s="219"/>
      <c r="F46" s="220"/>
      <c r="G46" s="221">
        <f t="shared" si="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246"/>
      <c r="C47" s="153"/>
      <c r="D47" s="237"/>
      <c r="E47" s="238"/>
      <c r="F47" s="239"/>
      <c r="G47" s="240">
        <f t="shared" si="0"/>
        <v>0</v>
      </c>
      <c r="H47" s="241">
        <f t="shared" si="1"/>
        <v>0</v>
      </c>
      <c r="I47" s="242"/>
      <c r="J47" s="243">
        <f t="shared" si="2"/>
        <v>0</v>
      </c>
      <c r="K47" s="240">
        <f t="shared" si="3"/>
        <v>0</v>
      </c>
      <c r="L47" s="240">
        <f t="shared" si="4"/>
        <v>0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0</v>
      </c>
      <c r="T47" s="248">
        <f t="shared" si="7"/>
        <v>0</v>
      </c>
      <c r="U47" s="249">
        <f t="shared" si="8"/>
        <v>0</v>
      </c>
      <c r="V47" s="249">
        <f t="shared" si="9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227"/>
      <c r="C48" s="257"/>
      <c r="D48" s="253"/>
      <c r="E48" s="219"/>
      <c r="F48" s="220"/>
      <c r="G48" s="221">
        <f t="shared" si="0"/>
        <v>0</v>
      </c>
      <c r="H48" s="222">
        <f t="shared" si="1"/>
        <v>0</v>
      </c>
      <c r="I48" s="242"/>
      <c r="J48" s="224">
        <f t="shared" si="2"/>
        <v>0</v>
      </c>
      <c r="K48" s="221">
        <f t="shared" si="3"/>
        <v>0</v>
      </c>
      <c r="L48" s="221">
        <f t="shared" si="4"/>
        <v>0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0</v>
      </c>
      <c r="T48" s="229">
        <f t="shared" si="7"/>
        <v>0</v>
      </c>
      <c r="U48" s="230">
        <f t="shared" si="8"/>
        <v>0</v>
      </c>
      <c r="V48" s="230">
        <f t="shared" si="9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246"/>
      <c r="C49" s="153"/>
      <c r="D49" s="237"/>
      <c r="E49" s="238"/>
      <c r="F49" s="239"/>
      <c r="G49" s="240">
        <f t="shared" si="0"/>
        <v>0</v>
      </c>
      <c r="H49" s="241">
        <f t="shared" si="1"/>
        <v>0</v>
      </c>
      <c r="I49" s="242"/>
      <c r="J49" s="243">
        <f t="shared" si="2"/>
        <v>0</v>
      </c>
      <c r="K49" s="240">
        <f t="shared" si="3"/>
        <v>0</v>
      </c>
      <c r="L49" s="240">
        <f t="shared" si="4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0</v>
      </c>
      <c r="T49" s="248">
        <f t="shared" si="7"/>
        <v>0</v>
      </c>
      <c r="U49" s="249">
        <f t="shared" si="8"/>
        <v>0</v>
      </c>
      <c r="V49" s="249">
        <f t="shared" si="9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227"/>
      <c r="C50" s="257"/>
      <c r="D50" s="253"/>
      <c r="E50" s="219"/>
      <c r="F50" s="220"/>
      <c r="G50" s="221">
        <f t="shared" si="0"/>
        <v>0</v>
      </c>
      <c r="H50" s="222">
        <f t="shared" si="1"/>
        <v>0</v>
      </c>
      <c r="I50" s="242"/>
      <c r="J50" s="224">
        <f t="shared" si="2"/>
        <v>0</v>
      </c>
      <c r="K50" s="221">
        <f t="shared" si="3"/>
        <v>0</v>
      </c>
      <c r="L50" s="221">
        <f t="shared" si="4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0</v>
      </c>
      <c r="T50" s="229">
        <f t="shared" si="7"/>
        <v>0</v>
      </c>
      <c r="U50" s="230">
        <f t="shared" si="8"/>
        <v>0</v>
      </c>
      <c r="V50" s="230">
        <f t="shared" si="9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246"/>
      <c r="C51" s="153"/>
      <c r="D51" s="237"/>
      <c r="E51" s="238"/>
      <c r="F51" s="239"/>
      <c r="G51" s="240">
        <f t="shared" si="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14</v>
      </c>
      <c r="F61" s="265">
        <f>SUM(F18:F60)</f>
        <v>7122.73</v>
      </c>
      <c r="G61" s="266">
        <f>SUM(G18:G60)</f>
        <v>5016.01</v>
      </c>
      <c r="H61" s="267">
        <f>SUM(H18:H60)</f>
        <v>15094.130000000001</v>
      </c>
      <c r="I61" s="268"/>
      <c r="J61" s="269">
        <f>SUM(J18:J60)</f>
        <v>14</v>
      </c>
      <c r="K61" s="266">
        <f>SUM(K18:K60)</f>
        <v>2897.9599999999996</v>
      </c>
      <c r="L61" s="267">
        <f>SUM(L18:L60)</f>
        <v>6883.66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2897.9599999999996</v>
      </c>
      <c r="T61" s="267">
        <f>SUM(T18:T60)</f>
        <v>6883.66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19" priority="3" stopIfTrue="1">
      <formula>$U$9&gt;100%</formula>
    </cfRule>
    <cfRule type="expression" dxfId="218" priority="4">
      <formula>$U$9&lt;50%</formula>
    </cfRule>
  </conditionalFormatting>
  <conditionalFormatting sqref="V9:V10">
    <cfRule type="expression" dxfId="217" priority="1">
      <formula>$V$9&lt;50%</formula>
    </cfRule>
    <cfRule type="expression" dxfId="216" priority="2">
      <formula>$V$9&gt;50%</formula>
    </cfRule>
  </conditionalFormatting>
  <dataValidations count="5">
    <dataValidation type="list" allowBlank="1" showInputMessage="1" showErrorMessage="1" sqref="F17 K17 Q17 Q14" xr:uid="{547082D3-B88D-4479-9BC0-CB23043C1E87}">
      <formula1>$Y$11:$Y$12</formula1>
    </dataValidation>
    <dataValidation type="list" allowBlank="1" showInputMessage="1" showErrorMessage="1" sqref="H13" xr:uid="{4F815038-A29A-44A2-8338-6B4075C7DC45}">
      <formula1>$Y$13:$Y$14</formula1>
    </dataValidation>
    <dataValidation type="list" allowBlank="1" showInputMessage="1" showErrorMessage="1" sqref="I13" xr:uid="{425EA730-5CD4-4D25-BB9A-07D0CD542343}">
      <formula1>$K$9:$K$9</formula1>
    </dataValidation>
    <dataValidation type="list" showInputMessage="1" showErrorMessage="1" sqref="D18:D60" xr:uid="{38B8B1AF-33C5-4A73-A84F-930BE17647E0}">
      <formula1>$Z$18:$Z$29</formula1>
    </dataValidation>
    <dataValidation type="list" allowBlank="1" showInputMessage="1" showErrorMessage="1" sqref="M18:M60" xr:uid="{DC30E9C8-5681-4D79-A5B8-312197605A20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ED849-9A43-4889-B0DE-3176A95E9E61}">
  <sheetPr>
    <pageSetUpPr fitToPage="1"/>
  </sheetPr>
  <dimension ref="A1:AB63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523" t="s">
        <v>2</v>
      </c>
      <c r="I1" s="524"/>
      <c r="J1" s="524"/>
      <c r="K1" s="525"/>
      <c r="L1" s="528" t="s">
        <v>3</v>
      </c>
      <c r="M1" s="529"/>
      <c r="N1" s="529"/>
      <c r="O1" s="529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59">
        <v>55221</v>
      </c>
      <c r="G2" s="549"/>
      <c r="H2" s="546" t="s">
        <v>7</v>
      </c>
      <c r="I2" s="550"/>
      <c r="J2" s="547"/>
      <c r="K2" s="148"/>
      <c r="L2" s="551" t="s">
        <v>8</v>
      </c>
      <c r="M2" s="552"/>
      <c r="N2" s="553"/>
      <c r="O2" s="149"/>
      <c r="P2" s="554">
        <f>H61</f>
        <v>15094.130000000001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532" t="s">
        <v>13</v>
      </c>
      <c r="I3" s="536"/>
      <c r="J3" s="533"/>
      <c r="K3" s="154"/>
      <c r="L3" s="537" t="s">
        <v>14</v>
      </c>
      <c r="M3" s="538"/>
      <c r="N3" s="539"/>
      <c r="O3" s="149"/>
      <c r="P3" s="540">
        <f>L61</f>
        <v>6883.66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534" t="s">
        <v>137</v>
      </c>
      <c r="G4" s="535"/>
      <c r="H4" s="532" t="s">
        <v>19</v>
      </c>
      <c r="I4" s="536"/>
      <c r="J4" s="533"/>
      <c r="K4" s="154"/>
      <c r="L4" s="537" t="s">
        <v>20</v>
      </c>
      <c r="M4" s="538"/>
      <c r="N4" s="539"/>
      <c r="O4" s="149"/>
      <c r="P4" s="540">
        <f>P2-P3</f>
        <v>8210.4700000000012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534" t="s">
        <v>148</v>
      </c>
      <c r="G5" s="535"/>
      <c r="H5" s="532" t="s">
        <v>25</v>
      </c>
      <c r="I5" s="536"/>
      <c r="J5" s="533"/>
      <c r="K5" s="154"/>
      <c r="L5" s="558" t="s">
        <v>26</v>
      </c>
      <c r="M5" s="559"/>
      <c r="N5" s="560"/>
      <c r="O5" s="149"/>
      <c r="P5" s="561">
        <f>IFERROR((P2-P3)/P2,"")</f>
        <v>0.54395119162217365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64" t="s">
        <v>168</v>
      </c>
      <c r="G6" s="535"/>
      <c r="H6" s="532" t="s">
        <v>31</v>
      </c>
      <c r="I6" s="536"/>
      <c r="J6" s="533"/>
      <c r="K6" s="154"/>
      <c r="L6" s="574" t="s">
        <v>32</v>
      </c>
      <c r="M6" s="575"/>
      <c r="N6" s="576"/>
      <c r="O6" s="149"/>
      <c r="P6" s="577">
        <f>T61</f>
        <v>6883.66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663" t="s">
        <v>169</v>
      </c>
      <c r="G7" s="535"/>
      <c r="H7" s="532" t="s">
        <v>36</v>
      </c>
      <c r="I7" s="536"/>
      <c r="J7" s="533"/>
      <c r="K7" s="154"/>
      <c r="L7" s="564" t="s">
        <v>37</v>
      </c>
      <c r="M7" s="565"/>
      <c r="N7" s="56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532" t="s">
        <v>40</v>
      </c>
      <c r="I8" s="536"/>
      <c r="J8" s="533"/>
      <c r="K8" s="154"/>
      <c r="L8" s="564" t="s">
        <v>41</v>
      </c>
      <c r="M8" s="565"/>
      <c r="N8" s="56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407</v>
      </c>
      <c r="G9" s="535"/>
      <c r="H9" s="171"/>
      <c r="I9" s="172"/>
      <c r="J9" s="172"/>
      <c r="K9" s="173"/>
      <c r="L9" s="564" t="s">
        <v>47</v>
      </c>
      <c r="M9" s="565"/>
      <c r="N9" s="56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6883.66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542" t="s">
        <v>48</v>
      </c>
      <c r="M10" s="579"/>
      <c r="N10" s="543"/>
      <c r="O10" s="149"/>
      <c r="P10" s="580">
        <f>E61</f>
        <v>14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650" t="s">
        <v>50</v>
      </c>
      <c r="K11" s="651"/>
      <c r="L11" s="651"/>
      <c r="M11" s="651"/>
      <c r="N11" s="652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653"/>
      <c r="K12" s="654"/>
      <c r="L12" s="654"/>
      <c r="M12" s="654"/>
      <c r="N12" s="655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656"/>
      <c r="K13" s="657"/>
      <c r="L13" s="657"/>
      <c r="M13" s="657"/>
      <c r="N13" s="658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601" t="s">
        <v>59</v>
      </c>
      <c r="K14" s="602"/>
      <c r="L14" s="605" t="s">
        <v>60</v>
      </c>
      <c r="M14" s="606"/>
      <c r="N14" s="60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603"/>
      <c r="K15" s="604"/>
      <c r="L15" s="608"/>
      <c r="M15" s="609"/>
      <c r="N15" s="61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631" t="s">
        <v>69</v>
      </c>
      <c r="K16" s="201" t="s">
        <v>72</v>
      </c>
      <c r="L16" s="202" t="s">
        <v>73</v>
      </c>
      <c r="M16" s="633" t="s">
        <v>74</v>
      </c>
      <c r="N16" s="633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3"/>
      <c r="C17" s="625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632"/>
      <c r="K17" s="614" t="s">
        <v>52</v>
      </c>
      <c r="L17" s="615"/>
      <c r="M17" s="634"/>
      <c r="N17" s="634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 s="216" t="s">
        <v>151</v>
      </c>
      <c r="C18" s="217" t="s">
        <v>141</v>
      </c>
      <c r="D18" s="218"/>
      <c r="E18" s="219">
        <v>1</v>
      </c>
      <c r="F18" s="220">
        <v>68.569999999999993</v>
      </c>
      <c r="G18" s="221">
        <f t="shared" ref="G18:G60" si="0">ROUND(IF($F$17="USD $", F18*$E$15,F18*$D$15),2)</f>
        <v>48.29</v>
      </c>
      <c r="H18" s="222">
        <f t="shared" ref="H18:H60" si="1">ROUND(IF($H$17=$G$17,E18*G18,E18*F18),2)</f>
        <v>68.569999999999993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26.06</v>
      </c>
      <c r="L18" s="221">
        <f t="shared" ref="L18:L60" si="4">ROUND((J18*K18),2)</f>
        <v>26.06</v>
      </c>
      <c r="M18" s="220" t="s">
        <v>84</v>
      </c>
      <c r="N18" s="225">
        <v>0.62</v>
      </c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26.06</v>
      </c>
      <c r="T18" s="229">
        <f t="shared" ref="T18:T60" si="7">ROUND(L18-R18,2)</f>
        <v>26.06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246" t="s">
        <v>152</v>
      </c>
      <c r="C19" s="153" t="s">
        <v>153</v>
      </c>
      <c r="D19" s="237"/>
      <c r="E19" s="238">
        <v>1</v>
      </c>
      <c r="F19" s="239">
        <v>102.33</v>
      </c>
      <c r="G19" s="240">
        <f t="shared" si="0"/>
        <v>72.06</v>
      </c>
      <c r="H19" s="241">
        <f t="shared" si="1"/>
        <v>102.33</v>
      </c>
      <c r="I19" s="242"/>
      <c r="J19" s="243">
        <f t="shared" si="2"/>
        <v>1</v>
      </c>
      <c r="K19" s="240">
        <f t="shared" si="3"/>
        <v>38.89</v>
      </c>
      <c r="L19" s="240">
        <f t="shared" si="4"/>
        <v>38.89</v>
      </c>
      <c r="M19" s="244" t="s">
        <v>84</v>
      </c>
      <c r="N19" s="245">
        <v>0.62</v>
      </c>
      <c r="O19" s="226"/>
      <c r="P19" s="246"/>
      <c r="Q19" s="239"/>
      <c r="R19" s="247">
        <f t="shared" si="5"/>
        <v>0</v>
      </c>
      <c r="S19" s="248">
        <f t="shared" si="6"/>
        <v>38.89</v>
      </c>
      <c r="T19" s="248">
        <f t="shared" si="7"/>
        <v>38.89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260" t="s">
        <v>154</v>
      </c>
      <c r="C20" s="257" t="s">
        <v>155</v>
      </c>
      <c r="D20" s="253"/>
      <c r="E20" s="219">
        <v>1</v>
      </c>
      <c r="F20" s="220">
        <v>50.28</v>
      </c>
      <c r="G20" s="221">
        <f t="shared" si="0"/>
        <v>35.409999999999997</v>
      </c>
      <c r="H20" s="222">
        <f t="shared" si="1"/>
        <v>50.28</v>
      </c>
      <c r="I20" s="242"/>
      <c r="J20" s="224">
        <f t="shared" si="2"/>
        <v>1</v>
      </c>
      <c r="K20" s="221">
        <f t="shared" si="3"/>
        <v>19.11</v>
      </c>
      <c r="L20" s="221">
        <f t="shared" si="4"/>
        <v>19.11</v>
      </c>
      <c r="M20" s="220" t="s">
        <v>84</v>
      </c>
      <c r="N20" s="254">
        <v>0.62</v>
      </c>
      <c r="O20" s="226"/>
      <c r="P20" s="255"/>
      <c r="Q20" s="228"/>
      <c r="R20" s="229">
        <f t="shared" si="5"/>
        <v>0</v>
      </c>
      <c r="S20" s="229">
        <f t="shared" si="6"/>
        <v>19.11</v>
      </c>
      <c r="T20" s="229">
        <f t="shared" si="7"/>
        <v>19.11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235" t="s">
        <v>156</v>
      </c>
      <c r="C21" s="236" t="s">
        <v>157</v>
      </c>
      <c r="D21" s="237"/>
      <c r="E21" s="238">
        <v>1</v>
      </c>
      <c r="F21" s="239">
        <v>112.39</v>
      </c>
      <c r="G21" s="240">
        <f t="shared" si="0"/>
        <v>79.150000000000006</v>
      </c>
      <c r="H21" s="241">
        <f t="shared" si="1"/>
        <v>112.39</v>
      </c>
      <c r="I21" s="242"/>
      <c r="J21" s="243">
        <f t="shared" si="2"/>
        <v>1</v>
      </c>
      <c r="K21" s="240">
        <f t="shared" si="3"/>
        <v>42.71</v>
      </c>
      <c r="L21" s="240">
        <f t="shared" si="4"/>
        <v>42.71</v>
      </c>
      <c r="M21" s="244" t="s">
        <v>84</v>
      </c>
      <c r="N21" s="245">
        <v>0.62</v>
      </c>
      <c r="O21" s="226"/>
      <c r="P21" s="246"/>
      <c r="Q21" s="239"/>
      <c r="R21" s="247">
        <f t="shared" si="5"/>
        <v>0</v>
      </c>
      <c r="S21" s="248">
        <f t="shared" si="6"/>
        <v>42.71</v>
      </c>
      <c r="T21" s="248">
        <f t="shared" si="7"/>
        <v>42.71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251" t="s">
        <v>158</v>
      </c>
      <c r="C22" s="252" t="s">
        <v>83</v>
      </c>
      <c r="D22" s="253"/>
      <c r="E22" s="219">
        <v>1</v>
      </c>
      <c r="F22" s="220">
        <v>118.01</v>
      </c>
      <c r="G22" s="221">
        <f t="shared" si="0"/>
        <v>83.11</v>
      </c>
      <c r="H22" s="222">
        <f t="shared" si="1"/>
        <v>118.01</v>
      </c>
      <c r="I22" s="242"/>
      <c r="J22" s="224">
        <f t="shared" si="2"/>
        <v>1</v>
      </c>
      <c r="K22" s="221">
        <f t="shared" si="3"/>
        <v>44.84</v>
      </c>
      <c r="L22" s="221">
        <f t="shared" si="4"/>
        <v>44.84</v>
      </c>
      <c r="M22" s="220" t="s">
        <v>84</v>
      </c>
      <c r="N22" s="254">
        <v>0.62</v>
      </c>
      <c r="O22" s="226"/>
      <c r="P22" s="255"/>
      <c r="Q22" s="228"/>
      <c r="R22" s="229">
        <f t="shared" si="5"/>
        <v>0</v>
      </c>
      <c r="S22" s="229">
        <f t="shared" si="6"/>
        <v>44.84</v>
      </c>
      <c r="T22" s="229">
        <f t="shared" si="7"/>
        <v>44.84</v>
      </c>
      <c r="U22" s="230">
        <f t="shared" si="8"/>
        <v>0</v>
      </c>
      <c r="V22" s="230">
        <f t="shared" si="9"/>
        <v>1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246" t="s">
        <v>159</v>
      </c>
      <c r="C23" s="153" t="s">
        <v>160</v>
      </c>
      <c r="D23" s="237"/>
      <c r="E23" s="238">
        <v>1</v>
      </c>
      <c r="F23" s="239">
        <v>35.869999999999997</v>
      </c>
      <c r="G23" s="240">
        <f t="shared" si="0"/>
        <v>25.26</v>
      </c>
      <c r="H23" s="241">
        <f t="shared" si="1"/>
        <v>35.869999999999997</v>
      </c>
      <c r="I23" s="242"/>
      <c r="J23" s="243">
        <f t="shared" si="2"/>
        <v>1</v>
      </c>
      <c r="K23" s="240">
        <f t="shared" si="3"/>
        <v>13.63</v>
      </c>
      <c r="L23" s="240">
        <f t="shared" si="4"/>
        <v>13.63</v>
      </c>
      <c r="M23" s="244" t="s">
        <v>84</v>
      </c>
      <c r="N23" s="245">
        <v>0.62</v>
      </c>
      <c r="O23" s="226"/>
      <c r="P23" s="246"/>
      <c r="Q23" s="239"/>
      <c r="R23" s="247">
        <f t="shared" si="5"/>
        <v>0</v>
      </c>
      <c r="S23" s="248">
        <f t="shared" si="6"/>
        <v>13.63</v>
      </c>
      <c r="T23" s="248">
        <f t="shared" si="7"/>
        <v>13.63</v>
      </c>
      <c r="U23" s="249">
        <f t="shared" si="8"/>
        <v>0</v>
      </c>
      <c r="V23" s="249">
        <f t="shared" si="9"/>
        <v>1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256" t="s">
        <v>161</v>
      </c>
      <c r="C24" s="153" t="s">
        <v>133</v>
      </c>
      <c r="D24" s="253"/>
      <c r="E24" s="219">
        <v>1</v>
      </c>
      <c r="F24" s="220">
        <v>5041</v>
      </c>
      <c r="G24" s="221">
        <f t="shared" si="0"/>
        <v>3550</v>
      </c>
      <c r="H24" s="222">
        <f t="shared" si="1"/>
        <v>5041</v>
      </c>
      <c r="I24" s="242"/>
      <c r="J24" s="224">
        <f t="shared" si="2"/>
        <v>1</v>
      </c>
      <c r="K24" s="221">
        <f t="shared" si="3"/>
        <v>1915.58</v>
      </c>
      <c r="L24" s="221">
        <f t="shared" si="4"/>
        <v>1915.58</v>
      </c>
      <c r="M24" s="220" t="s">
        <v>84</v>
      </c>
      <c r="N24" s="254">
        <v>0.62</v>
      </c>
      <c r="O24" s="226"/>
      <c r="P24" s="255"/>
      <c r="Q24" s="228"/>
      <c r="R24" s="229">
        <f t="shared" si="5"/>
        <v>0</v>
      </c>
      <c r="S24" s="229">
        <f t="shared" si="6"/>
        <v>1915.58</v>
      </c>
      <c r="T24" s="229">
        <f t="shared" si="7"/>
        <v>1915.58</v>
      </c>
      <c r="U24" s="230">
        <f t="shared" si="8"/>
        <v>0</v>
      </c>
      <c r="V24" s="230">
        <f t="shared" si="9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 s="246"/>
      <c r="C25" s="257" t="s">
        <v>134</v>
      </c>
      <c r="D25" s="237"/>
      <c r="E25" s="238">
        <v>1</v>
      </c>
      <c r="F25" s="239"/>
      <c r="G25" s="240">
        <f t="shared" si="0"/>
        <v>0</v>
      </c>
      <c r="H25" s="241">
        <f t="shared" si="1"/>
        <v>0</v>
      </c>
      <c r="I25" s="242"/>
      <c r="J25" s="243">
        <f t="shared" si="2"/>
        <v>1</v>
      </c>
      <c r="K25" s="240">
        <f t="shared" si="3"/>
        <v>0</v>
      </c>
      <c r="L25" s="240">
        <f t="shared" si="4"/>
        <v>0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0</v>
      </c>
      <c r="T25" s="248">
        <f t="shared" si="7"/>
        <v>0</v>
      </c>
      <c r="U25" s="249">
        <f t="shared" si="8"/>
        <v>0</v>
      </c>
      <c r="V25" s="249">
        <f t="shared" si="9"/>
        <v>0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 s="258" t="s">
        <v>162</v>
      </c>
      <c r="C26" s="153" t="s">
        <v>163</v>
      </c>
      <c r="D26" s="253"/>
      <c r="E26" s="219">
        <v>6</v>
      </c>
      <c r="F26" s="220">
        <v>1594.28</v>
      </c>
      <c r="G26" s="221">
        <f t="shared" si="0"/>
        <v>1122.73</v>
      </c>
      <c r="H26" s="222">
        <f t="shared" si="1"/>
        <v>9565.68</v>
      </c>
      <c r="I26" s="242"/>
      <c r="J26" s="224">
        <f t="shared" si="2"/>
        <v>6</v>
      </c>
      <c r="K26" s="221">
        <f t="shared" si="3"/>
        <v>797.14</v>
      </c>
      <c r="L26" s="221">
        <f t="shared" si="4"/>
        <v>4782.84</v>
      </c>
      <c r="M26" s="220" t="s">
        <v>84</v>
      </c>
      <c r="N26" s="254">
        <v>0.5</v>
      </c>
      <c r="O26" s="226"/>
      <c r="P26" s="255"/>
      <c r="Q26" s="228"/>
      <c r="R26" s="229">
        <f t="shared" si="5"/>
        <v>0</v>
      </c>
      <c r="S26" s="229">
        <f t="shared" si="6"/>
        <v>797.14</v>
      </c>
      <c r="T26" s="229">
        <f t="shared" si="7"/>
        <v>4782.84</v>
      </c>
      <c r="U26" s="230">
        <f t="shared" si="8"/>
        <v>0</v>
      </c>
      <c r="V26" s="230">
        <f t="shared" si="9"/>
        <v>1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246"/>
      <c r="C27" s="153"/>
      <c r="D27" s="237"/>
      <c r="E27" s="238"/>
      <c r="F27" s="239"/>
      <c r="G27" s="240">
        <f t="shared" si="0"/>
        <v>0</v>
      </c>
      <c r="H27" s="241">
        <f t="shared" si="1"/>
        <v>0</v>
      </c>
      <c r="I27" s="242"/>
      <c r="J27" s="243">
        <f t="shared" si="2"/>
        <v>0</v>
      </c>
      <c r="K27" s="240">
        <f t="shared" si="3"/>
        <v>0</v>
      </c>
      <c r="L27" s="240">
        <f t="shared" si="4"/>
        <v>0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0</v>
      </c>
      <c r="T27" s="248">
        <f t="shared" si="7"/>
        <v>0</v>
      </c>
      <c r="U27" s="249">
        <f t="shared" si="8"/>
        <v>0</v>
      </c>
      <c r="V27" s="249">
        <f t="shared" si="9"/>
        <v>0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260"/>
      <c r="C28" s="257"/>
      <c r="D28" s="253"/>
      <c r="E28" s="219"/>
      <c r="F28" s="220"/>
      <c r="G28" s="221">
        <f t="shared" si="0"/>
        <v>0</v>
      </c>
      <c r="H28" s="222">
        <f t="shared" si="1"/>
        <v>0</v>
      </c>
      <c r="I28" s="242"/>
      <c r="J28" s="224">
        <f t="shared" si="2"/>
        <v>0</v>
      </c>
      <c r="K28" s="221">
        <f t="shared" si="3"/>
        <v>0</v>
      </c>
      <c r="L28" s="221">
        <f t="shared" si="4"/>
        <v>0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0</v>
      </c>
      <c r="T28" s="229">
        <f t="shared" si="7"/>
        <v>0</v>
      </c>
      <c r="U28" s="230">
        <f t="shared" si="8"/>
        <v>0</v>
      </c>
      <c r="V28" s="230">
        <f t="shared" si="9"/>
        <v>0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246"/>
      <c r="C29" s="153"/>
      <c r="D29" s="237"/>
      <c r="E29" s="238"/>
      <c r="F29" s="239"/>
      <c r="G29" s="240">
        <f t="shared" si="0"/>
        <v>0</v>
      </c>
      <c r="H29" s="241">
        <f t="shared" si="1"/>
        <v>0</v>
      </c>
      <c r="I29" s="242"/>
      <c r="J29" s="243">
        <f t="shared" si="2"/>
        <v>0</v>
      </c>
      <c r="K29" s="240">
        <f t="shared" si="3"/>
        <v>0</v>
      </c>
      <c r="L29" s="240">
        <f t="shared" si="4"/>
        <v>0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0</v>
      </c>
      <c r="T29" s="248">
        <f t="shared" si="7"/>
        <v>0</v>
      </c>
      <c r="U29" s="249">
        <f t="shared" si="8"/>
        <v>0</v>
      </c>
      <c r="V29" s="249">
        <f t="shared" si="9"/>
        <v>0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227"/>
      <c r="C30" s="257"/>
      <c r="D30" s="253"/>
      <c r="E30" s="219"/>
      <c r="F30" s="220"/>
      <c r="G30" s="221">
        <f t="shared" si="0"/>
        <v>0</v>
      </c>
      <c r="H30" s="222">
        <f t="shared" si="1"/>
        <v>0</v>
      </c>
      <c r="I30" s="242"/>
      <c r="J30" s="224">
        <f t="shared" si="2"/>
        <v>0</v>
      </c>
      <c r="K30" s="221">
        <f t="shared" si="3"/>
        <v>0</v>
      </c>
      <c r="L30" s="221">
        <f t="shared" si="4"/>
        <v>0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0</v>
      </c>
      <c r="T30" s="229">
        <f t="shared" si="7"/>
        <v>0</v>
      </c>
      <c r="U30" s="230">
        <f t="shared" si="8"/>
        <v>0</v>
      </c>
      <c r="V30" s="230">
        <f t="shared" si="9"/>
        <v>0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246"/>
      <c r="C31" s="153"/>
      <c r="D31" s="237"/>
      <c r="E31" s="238"/>
      <c r="F31" s="239"/>
      <c r="G31" s="240">
        <f t="shared" si="0"/>
        <v>0</v>
      </c>
      <c r="H31" s="241">
        <f t="shared" si="1"/>
        <v>0</v>
      </c>
      <c r="I31" s="242"/>
      <c r="J31" s="243">
        <f t="shared" si="2"/>
        <v>0</v>
      </c>
      <c r="K31" s="240">
        <f t="shared" si="3"/>
        <v>0</v>
      </c>
      <c r="L31" s="240">
        <f t="shared" si="4"/>
        <v>0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0</v>
      </c>
      <c r="T31" s="248">
        <f t="shared" si="7"/>
        <v>0</v>
      </c>
      <c r="U31" s="249">
        <f t="shared" si="8"/>
        <v>0</v>
      </c>
      <c r="V31" s="249">
        <f t="shared" si="9"/>
        <v>0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227"/>
      <c r="C32" s="257"/>
      <c r="D32" s="253"/>
      <c r="E32" s="219"/>
      <c r="F32" s="220"/>
      <c r="G32" s="221">
        <f t="shared" si="0"/>
        <v>0</v>
      </c>
      <c r="H32" s="222">
        <f t="shared" si="1"/>
        <v>0</v>
      </c>
      <c r="I32" s="242"/>
      <c r="J32" s="224">
        <f t="shared" si="2"/>
        <v>0</v>
      </c>
      <c r="K32" s="221">
        <f t="shared" si="3"/>
        <v>0</v>
      </c>
      <c r="L32" s="221">
        <f t="shared" si="4"/>
        <v>0</v>
      </c>
      <c r="M32" s="220" t="s">
        <v>84</v>
      </c>
      <c r="N32" s="254">
        <v>0.5</v>
      </c>
      <c r="O32" s="226"/>
      <c r="P32" s="255"/>
      <c r="Q32" s="228"/>
      <c r="R32" s="229">
        <f t="shared" si="5"/>
        <v>0</v>
      </c>
      <c r="S32" s="229">
        <f t="shared" si="6"/>
        <v>0</v>
      </c>
      <c r="T32" s="229">
        <f t="shared" si="7"/>
        <v>0</v>
      </c>
      <c r="U32" s="230">
        <f t="shared" si="8"/>
        <v>0</v>
      </c>
      <c r="V32" s="230">
        <f t="shared" si="9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246"/>
      <c r="C33" s="153"/>
      <c r="D33" s="237"/>
      <c r="E33" s="238"/>
      <c r="F33" s="239"/>
      <c r="G33" s="240">
        <f t="shared" si="0"/>
        <v>0</v>
      </c>
      <c r="H33" s="241">
        <f t="shared" si="1"/>
        <v>0</v>
      </c>
      <c r="I33" s="242"/>
      <c r="J33" s="243">
        <f t="shared" si="2"/>
        <v>0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227"/>
      <c r="C34" s="257"/>
      <c r="D34" s="253"/>
      <c r="E34" s="219"/>
      <c r="F34" s="220"/>
      <c r="G34" s="221">
        <f t="shared" si="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>
        <v>0.5</v>
      </c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246"/>
      <c r="C35" s="153"/>
      <c r="D35" s="237"/>
      <c r="E35" s="238"/>
      <c r="F35" s="239"/>
      <c r="G35" s="240">
        <f t="shared" si="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>
        <v>0.5</v>
      </c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227"/>
      <c r="C36" s="257"/>
      <c r="D36" s="253"/>
      <c r="E36" s="219"/>
      <c r="F36" s="220"/>
      <c r="G36" s="221">
        <f t="shared" si="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246"/>
      <c r="C37" s="153"/>
      <c r="D37" s="237"/>
      <c r="E37" s="238"/>
      <c r="F37" s="239"/>
      <c r="G37" s="240">
        <f t="shared" si="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227"/>
      <c r="C38" s="257"/>
      <c r="D38" s="253"/>
      <c r="E38" s="219"/>
      <c r="F38" s="220"/>
      <c r="G38" s="221">
        <f t="shared" si="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246"/>
      <c r="C39" s="153"/>
      <c r="D39" s="237"/>
      <c r="E39" s="238"/>
      <c r="F39" s="239"/>
      <c r="G39" s="240">
        <f t="shared" si="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227"/>
      <c r="C40" s="257"/>
      <c r="D40" s="253"/>
      <c r="E40" s="219"/>
      <c r="F40" s="220"/>
      <c r="G40" s="221">
        <f t="shared" si="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246"/>
      <c r="C41" s="153"/>
      <c r="D41" s="237"/>
      <c r="E41" s="238"/>
      <c r="F41" s="239"/>
      <c r="G41" s="240">
        <f t="shared" si="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227"/>
      <c r="C42" s="257"/>
      <c r="D42" s="253"/>
      <c r="E42" s="219"/>
      <c r="F42" s="220"/>
      <c r="G42" s="221">
        <f t="shared" si="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246"/>
      <c r="C43" s="153"/>
      <c r="D43" s="237"/>
      <c r="E43" s="238"/>
      <c r="F43" s="239"/>
      <c r="G43" s="240">
        <f t="shared" si="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227"/>
      <c r="C44" s="257"/>
      <c r="D44" s="253"/>
      <c r="E44" s="219"/>
      <c r="F44" s="220"/>
      <c r="G44" s="221">
        <f t="shared" si="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246"/>
      <c r="C45" s="153"/>
      <c r="D45" s="237"/>
      <c r="E45" s="238"/>
      <c r="F45" s="239"/>
      <c r="G45" s="240">
        <f t="shared" si="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227"/>
      <c r="C46" s="257"/>
      <c r="D46" s="253"/>
      <c r="E46" s="219"/>
      <c r="F46" s="220"/>
      <c r="G46" s="221">
        <f t="shared" si="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246"/>
      <c r="C47" s="153"/>
      <c r="D47" s="237"/>
      <c r="E47" s="238"/>
      <c r="F47" s="239"/>
      <c r="G47" s="240">
        <f t="shared" si="0"/>
        <v>0</v>
      </c>
      <c r="H47" s="241">
        <f t="shared" si="1"/>
        <v>0</v>
      </c>
      <c r="I47" s="242"/>
      <c r="J47" s="243">
        <f t="shared" si="2"/>
        <v>0</v>
      </c>
      <c r="K47" s="240">
        <f t="shared" si="3"/>
        <v>0</v>
      </c>
      <c r="L47" s="240">
        <f t="shared" si="4"/>
        <v>0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0</v>
      </c>
      <c r="T47" s="248">
        <f t="shared" si="7"/>
        <v>0</v>
      </c>
      <c r="U47" s="249">
        <f t="shared" si="8"/>
        <v>0</v>
      </c>
      <c r="V47" s="249">
        <f t="shared" si="9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227"/>
      <c r="C48" s="257"/>
      <c r="D48" s="253"/>
      <c r="E48" s="219"/>
      <c r="F48" s="220"/>
      <c r="G48" s="221">
        <f t="shared" si="0"/>
        <v>0</v>
      </c>
      <c r="H48" s="222">
        <f t="shared" si="1"/>
        <v>0</v>
      </c>
      <c r="I48" s="242"/>
      <c r="J48" s="224">
        <f t="shared" si="2"/>
        <v>0</v>
      </c>
      <c r="K48" s="221">
        <f t="shared" si="3"/>
        <v>0</v>
      </c>
      <c r="L48" s="221">
        <f t="shared" si="4"/>
        <v>0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0</v>
      </c>
      <c r="T48" s="229">
        <f t="shared" si="7"/>
        <v>0</v>
      </c>
      <c r="U48" s="230">
        <f t="shared" si="8"/>
        <v>0</v>
      </c>
      <c r="V48" s="230">
        <f t="shared" si="9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246"/>
      <c r="C49" s="153"/>
      <c r="D49" s="237"/>
      <c r="E49" s="238"/>
      <c r="F49" s="239"/>
      <c r="G49" s="240">
        <f t="shared" si="0"/>
        <v>0</v>
      </c>
      <c r="H49" s="241">
        <f t="shared" si="1"/>
        <v>0</v>
      </c>
      <c r="I49" s="242"/>
      <c r="J49" s="243">
        <f t="shared" si="2"/>
        <v>0</v>
      </c>
      <c r="K49" s="240">
        <f t="shared" si="3"/>
        <v>0</v>
      </c>
      <c r="L49" s="240">
        <f t="shared" si="4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0</v>
      </c>
      <c r="T49" s="248">
        <f t="shared" si="7"/>
        <v>0</v>
      </c>
      <c r="U49" s="249">
        <f t="shared" si="8"/>
        <v>0</v>
      </c>
      <c r="V49" s="249">
        <f t="shared" si="9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227"/>
      <c r="C50" s="257"/>
      <c r="D50" s="253"/>
      <c r="E50" s="219"/>
      <c r="F50" s="220"/>
      <c r="G50" s="221">
        <f t="shared" si="0"/>
        <v>0</v>
      </c>
      <c r="H50" s="222">
        <f t="shared" si="1"/>
        <v>0</v>
      </c>
      <c r="I50" s="242"/>
      <c r="J50" s="224">
        <f t="shared" si="2"/>
        <v>0</v>
      </c>
      <c r="K50" s="221">
        <f t="shared" si="3"/>
        <v>0</v>
      </c>
      <c r="L50" s="221">
        <f t="shared" si="4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0</v>
      </c>
      <c r="T50" s="229">
        <f t="shared" si="7"/>
        <v>0</v>
      </c>
      <c r="U50" s="230">
        <f t="shared" si="8"/>
        <v>0</v>
      </c>
      <c r="V50" s="230">
        <f t="shared" si="9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246"/>
      <c r="C51" s="153"/>
      <c r="D51" s="237"/>
      <c r="E51" s="238"/>
      <c r="F51" s="239"/>
      <c r="G51" s="240">
        <f t="shared" si="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14</v>
      </c>
      <c r="F61" s="265">
        <f>SUM(F18:F60)</f>
        <v>7122.73</v>
      </c>
      <c r="G61" s="266">
        <f>SUM(G18:G60)</f>
        <v>5016.01</v>
      </c>
      <c r="H61" s="267">
        <f>SUM(H18:H60)</f>
        <v>15094.130000000001</v>
      </c>
      <c r="I61" s="268"/>
      <c r="J61" s="269">
        <f>SUM(J18:J60)</f>
        <v>14</v>
      </c>
      <c r="K61" s="266">
        <f>SUM(K18:K60)</f>
        <v>2897.9599999999996</v>
      </c>
      <c r="L61" s="267">
        <f>SUM(L18:L60)</f>
        <v>6883.66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2897.9599999999996</v>
      </c>
      <c r="T61" s="267">
        <f>SUM(T18:T60)</f>
        <v>6883.66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15" priority="3" stopIfTrue="1">
      <formula>$U$9&gt;100%</formula>
    </cfRule>
    <cfRule type="expression" dxfId="214" priority="4">
      <formula>$U$9&lt;50%</formula>
    </cfRule>
  </conditionalFormatting>
  <conditionalFormatting sqref="V9:V10">
    <cfRule type="expression" dxfId="213" priority="1">
      <formula>$V$9&lt;50%</formula>
    </cfRule>
    <cfRule type="expression" dxfId="212" priority="2">
      <formula>$V$9&gt;50%</formula>
    </cfRule>
  </conditionalFormatting>
  <dataValidations count="5">
    <dataValidation type="list" allowBlank="1" showInputMessage="1" showErrorMessage="1" sqref="F17 K17 Q17 Q14" xr:uid="{9DB5F00A-F5A3-4263-A90C-0ECD43D61B30}">
      <formula1>$Y$11:$Y$12</formula1>
    </dataValidation>
    <dataValidation type="list" allowBlank="1" showInputMessage="1" showErrorMessage="1" sqref="H13" xr:uid="{3804D42C-313A-4981-9CAF-71C05298AABE}">
      <formula1>$Y$13:$Y$14</formula1>
    </dataValidation>
    <dataValidation type="list" allowBlank="1" showInputMessage="1" showErrorMessage="1" sqref="I13" xr:uid="{7007C841-6327-4168-A56A-36EB35FA5171}">
      <formula1>$K$9:$K$9</formula1>
    </dataValidation>
    <dataValidation type="list" showInputMessage="1" showErrorMessage="1" sqref="D18:D60" xr:uid="{D0425948-F75F-4F4A-BD42-19F3287B9CFE}">
      <formula1>$Z$18:$Z$29</formula1>
    </dataValidation>
    <dataValidation type="list" allowBlank="1" showInputMessage="1" showErrorMessage="1" sqref="M18:M60" xr:uid="{269B9416-3559-4966-AB11-6B389DE4D40D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B6777-52E3-450A-81D1-1E42100BFCE7}">
  <sheetPr>
    <pageSetUpPr fitToPage="1"/>
  </sheetPr>
  <dimension ref="A1:AB63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523" t="s">
        <v>2</v>
      </c>
      <c r="I1" s="524"/>
      <c r="J1" s="524"/>
      <c r="K1" s="525"/>
      <c r="L1" s="528" t="s">
        <v>3</v>
      </c>
      <c r="M1" s="529"/>
      <c r="N1" s="529"/>
      <c r="O1" s="529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59">
        <v>55222</v>
      </c>
      <c r="G2" s="549"/>
      <c r="H2" s="546" t="s">
        <v>7</v>
      </c>
      <c r="I2" s="550"/>
      <c r="J2" s="547"/>
      <c r="K2" s="148"/>
      <c r="L2" s="551" t="s">
        <v>8</v>
      </c>
      <c r="M2" s="552"/>
      <c r="N2" s="553"/>
      <c r="O2" s="149"/>
      <c r="P2" s="554">
        <f>H61</f>
        <v>15094.130000000001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532" t="s">
        <v>13</v>
      </c>
      <c r="I3" s="536"/>
      <c r="J3" s="533"/>
      <c r="K3" s="154"/>
      <c r="L3" s="537" t="s">
        <v>14</v>
      </c>
      <c r="M3" s="538"/>
      <c r="N3" s="539"/>
      <c r="O3" s="149"/>
      <c r="P3" s="540">
        <f>L61</f>
        <v>6883.66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534" t="s">
        <v>137</v>
      </c>
      <c r="G4" s="535"/>
      <c r="H4" s="532" t="s">
        <v>19</v>
      </c>
      <c r="I4" s="536"/>
      <c r="J4" s="533"/>
      <c r="K4" s="154"/>
      <c r="L4" s="537" t="s">
        <v>20</v>
      </c>
      <c r="M4" s="538"/>
      <c r="N4" s="539"/>
      <c r="O4" s="149"/>
      <c r="P4" s="540">
        <f>P2-P3</f>
        <v>8210.4700000000012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534" t="s">
        <v>148</v>
      </c>
      <c r="G5" s="535"/>
      <c r="H5" s="532" t="s">
        <v>25</v>
      </c>
      <c r="I5" s="536"/>
      <c r="J5" s="533"/>
      <c r="K5" s="154"/>
      <c r="L5" s="558" t="s">
        <v>26</v>
      </c>
      <c r="M5" s="559"/>
      <c r="N5" s="560"/>
      <c r="O5" s="149"/>
      <c r="P5" s="561">
        <f>IFERROR((P2-P3)/P2,"")</f>
        <v>0.54395119162217365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60" t="s">
        <v>170</v>
      </c>
      <c r="G6" s="535"/>
      <c r="H6" s="532" t="s">
        <v>31</v>
      </c>
      <c r="I6" s="536"/>
      <c r="J6" s="533"/>
      <c r="K6" s="154"/>
      <c r="L6" s="574" t="s">
        <v>32</v>
      </c>
      <c r="M6" s="575"/>
      <c r="N6" s="576"/>
      <c r="O6" s="149"/>
      <c r="P6" s="577">
        <f>T61</f>
        <v>6883.66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663" t="s">
        <v>171</v>
      </c>
      <c r="G7" s="535"/>
      <c r="H7" s="532" t="s">
        <v>36</v>
      </c>
      <c r="I7" s="536"/>
      <c r="J7" s="533"/>
      <c r="K7" s="154"/>
      <c r="L7" s="564" t="s">
        <v>37</v>
      </c>
      <c r="M7" s="565"/>
      <c r="N7" s="56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532" t="s">
        <v>40</v>
      </c>
      <c r="I8" s="536"/>
      <c r="J8" s="533"/>
      <c r="K8" s="154"/>
      <c r="L8" s="564" t="s">
        <v>41</v>
      </c>
      <c r="M8" s="565"/>
      <c r="N8" s="56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407</v>
      </c>
      <c r="G9" s="535"/>
      <c r="H9" s="171"/>
      <c r="I9" s="172"/>
      <c r="J9" s="172"/>
      <c r="K9" s="173"/>
      <c r="L9" s="564" t="s">
        <v>47</v>
      </c>
      <c r="M9" s="565"/>
      <c r="N9" s="56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6883.66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542" t="s">
        <v>48</v>
      </c>
      <c r="M10" s="579"/>
      <c r="N10" s="543"/>
      <c r="O10" s="149"/>
      <c r="P10" s="580">
        <f>E61</f>
        <v>14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650" t="s">
        <v>50</v>
      </c>
      <c r="K11" s="651"/>
      <c r="L11" s="651"/>
      <c r="M11" s="651"/>
      <c r="N11" s="652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653"/>
      <c r="K12" s="654"/>
      <c r="L12" s="654"/>
      <c r="M12" s="654"/>
      <c r="N12" s="655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656"/>
      <c r="K13" s="657"/>
      <c r="L13" s="657"/>
      <c r="M13" s="657"/>
      <c r="N13" s="658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601" t="s">
        <v>59</v>
      </c>
      <c r="K14" s="602"/>
      <c r="L14" s="605" t="s">
        <v>60</v>
      </c>
      <c r="M14" s="606"/>
      <c r="N14" s="60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603"/>
      <c r="K15" s="604"/>
      <c r="L15" s="608"/>
      <c r="M15" s="609"/>
      <c r="N15" s="61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631" t="s">
        <v>69</v>
      </c>
      <c r="K16" s="201" t="s">
        <v>72</v>
      </c>
      <c r="L16" s="202" t="s">
        <v>73</v>
      </c>
      <c r="M16" s="633" t="s">
        <v>74</v>
      </c>
      <c r="N16" s="633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3"/>
      <c r="C17" s="625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632"/>
      <c r="K17" s="614" t="s">
        <v>52</v>
      </c>
      <c r="L17" s="615"/>
      <c r="M17" s="634"/>
      <c r="N17" s="634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 s="216" t="s">
        <v>151</v>
      </c>
      <c r="C18" s="217" t="s">
        <v>141</v>
      </c>
      <c r="D18" s="218"/>
      <c r="E18" s="219">
        <v>1</v>
      </c>
      <c r="F18" s="220">
        <v>68.569999999999993</v>
      </c>
      <c r="G18" s="221">
        <f t="shared" ref="G18:G60" si="0">ROUND(IF($F$17="USD $", F18*$E$15,F18*$D$15),2)</f>
        <v>48.29</v>
      </c>
      <c r="H18" s="222">
        <f t="shared" ref="H18:H60" si="1">ROUND(IF($H$17=$G$17,E18*G18,E18*F18),2)</f>
        <v>68.569999999999993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26.06</v>
      </c>
      <c r="L18" s="221">
        <f t="shared" ref="L18:L60" si="4">ROUND((J18*K18),2)</f>
        <v>26.06</v>
      </c>
      <c r="M18" s="220" t="s">
        <v>84</v>
      </c>
      <c r="N18" s="225">
        <v>0.62</v>
      </c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26.06</v>
      </c>
      <c r="T18" s="229">
        <f t="shared" ref="T18:T60" si="7">ROUND(L18-R18,2)</f>
        <v>26.06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246" t="s">
        <v>152</v>
      </c>
      <c r="C19" s="153" t="s">
        <v>153</v>
      </c>
      <c r="D19" s="237"/>
      <c r="E19" s="238">
        <v>1</v>
      </c>
      <c r="F19" s="239">
        <v>102.33</v>
      </c>
      <c r="G19" s="240">
        <f t="shared" si="0"/>
        <v>72.06</v>
      </c>
      <c r="H19" s="241">
        <f t="shared" si="1"/>
        <v>102.33</v>
      </c>
      <c r="I19" s="242"/>
      <c r="J19" s="243">
        <f t="shared" si="2"/>
        <v>1</v>
      </c>
      <c r="K19" s="240">
        <f t="shared" si="3"/>
        <v>38.89</v>
      </c>
      <c r="L19" s="240">
        <f t="shared" si="4"/>
        <v>38.89</v>
      </c>
      <c r="M19" s="244" t="s">
        <v>84</v>
      </c>
      <c r="N19" s="245">
        <v>0.62</v>
      </c>
      <c r="O19" s="226"/>
      <c r="P19" s="246"/>
      <c r="Q19" s="239"/>
      <c r="R19" s="247">
        <f t="shared" si="5"/>
        <v>0</v>
      </c>
      <c r="S19" s="248">
        <f t="shared" si="6"/>
        <v>38.89</v>
      </c>
      <c r="T19" s="248">
        <f t="shared" si="7"/>
        <v>38.89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260" t="s">
        <v>154</v>
      </c>
      <c r="C20" s="257" t="s">
        <v>155</v>
      </c>
      <c r="D20" s="253"/>
      <c r="E20" s="219">
        <v>1</v>
      </c>
      <c r="F20" s="220">
        <v>50.28</v>
      </c>
      <c r="G20" s="221">
        <f t="shared" si="0"/>
        <v>35.409999999999997</v>
      </c>
      <c r="H20" s="222">
        <f t="shared" si="1"/>
        <v>50.28</v>
      </c>
      <c r="I20" s="242"/>
      <c r="J20" s="224">
        <f t="shared" si="2"/>
        <v>1</v>
      </c>
      <c r="K20" s="221">
        <f t="shared" si="3"/>
        <v>19.11</v>
      </c>
      <c r="L20" s="221">
        <f t="shared" si="4"/>
        <v>19.11</v>
      </c>
      <c r="M20" s="220" t="s">
        <v>84</v>
      </c>
      <c r="N20" s="254">
        <v>0.62</v>
      </c>
      <c r="O20" s="226"/>
      <c r="P20" s="255"/>
      <c r="Q20" s="228"/>
      <c r="R20" s="229">
        <f t="shared" si="5"/>
        <v>0</v>
      </c>
      <c r="S20" s="229">
        <f t="shared" si="6"/>
        <v>19.11</v>
      </c>
      <c r="T20" s="229">
        <f t="shared" si="7"/>
        <v>19.11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235" t="s">
        <v>156</v>
      </c>
      <c r="C21" s="236" t="s">
        <v>157</v>
      </c>
      <c r="D21" s="237"/>
      <c r="E21" s="238">
        <v>1</v>
      </c>
      <c r="F21" s="239">
        <v>112.39</v>
      </c>
      <c r="G21" s="240">
        <f t="shared" si="0"/>
        <v>79.150000000000006</v>
      </c>
      <c r="H21" s="241">
        <f t="shared" si="1"/>
        <v>112.39</v>
      </c>
      <c r="I21" s="242"/>
      <c r="J21" s="243">
        <f t="shared" si="2"/>
        <v>1</v>
      </c>
      <c r="K21" s="240">
        <f t="shared" si="3"/>
        <v>42.71</v>
      </c>
      <c r="L21" s="240">
        <f t="shared" si="4"/>
        <v>42.71</v>
      </c>
      <c r="M21" s="244" t="s">
        <v>84</v>
      </c>
      <c r="N21" s="245">
        <v>0.62</v>
      </c>
      <c r="O21" s="226"/>
      <c r="P21" s="246"/>
      <c r="Q21" s="239"/>
      <c r="R21" s="247">
        <f t="shared" si="5"/>
        <v>0</v>
      </c>
      <c r="S21" s="248">
        <f t="shared" si="6"/>
        <v>42.71</v>
      </c>
      <c r="T21" s="248">
        <f t="shared" si="7"/>
        <v>42.71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251" t="s">
        <v>158</v>
      </c>
      <c r="C22" s="252" t="s">
        <v>83</v>
      </c>
      <c r="D22" s="253"/>
      <c r="E22" s="219">
        <v>1</v>
      </c>
      <c r="F22" s="220">
        <v>118.01</v>
      </c>
      <c r="G22" s="221">
        <f t="shared" si="0"/>
        <v>83.11</v>
      </c>
      <c r="H22" s="222">
        <f t="shared" si="1"/>
        <v>118.01</v>
      </c>
      <c r="I22" s="242"/>
      <c r="J22" s="224">
        <f t="shared" si="2"/>
        <v>1</v>
      </c>
      <c r="K22" s="221">
        <f t="shared" si="3"/>
        <v>44.84</v>
      </c>
      <c r="L22" s="221">
        <f t="shared" si="4"/>
        <v>44.84</v>
      </c>
      <c r="M22" s="220" t="s">
        <v>84</v>
      </c>
      <c r="N22" s="254">
        <v>0.62</v>
      </c>
      <c r="O22" s="226"/>
      <c r="P22" s="255"/>
      <c r="Q22" s="228"/>
      <c r="R22" s="229">
        <f t="shared" si="5"/>
        <v>0</v>
      </c>
      <c r="S22" s="229">
        <f t="shared" si="6"/>
        <v>44.84</v>
      </c>
      <c r="T22" s="229">
        <f t="shared" si="7"/>
        <v>44.84</v>
      </c>
      <c r="U22" s="230">
        <f t="shared" si="8"/>
        <v>0</v>
      </c>
      <c r="V22" s="230">
        <f t="shared" si="9"/>
        <v>1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246" t="s">
        <v>159</v>
      </c>
      <c r="C23" s="153" t="s">
        <v>160</v>
      </c>
      <c r="D23" s="237"/>
      <c r="E23" s="238">
        <v>1</v>
      </c>
      <c r="F23" s="239">
        <v>35.869999999999997</v>
      </c>
      <c r="G23" s="240">
        <f t="shared" si="0"/>
        <v>25.26</v>
      </c>
      <c r="H23" s="241">
        <f t="shared" si="1"/>
        <v>35.869999999999997</v>
      </c>
      <c r="I23" s="242"/>
      <c r="J23" s="243">
        <f t="shared" si="2"/>
        <v>1</v>
      </c>
      <c r="K23" s="240">
        <f t="shared" si="3"/>
        <v>13.63</v>
      </c>
      <c r="L23" s="240">
        <f t="shared" si="4"/>
        <v>13.63</v>
      </c>
      <c r="M23" s="244" t="s">
        <v>84</v>
      </c>
      <c r="N23" s="245">
        <v>0.62</v>
      </c>
      <c r="O23" s="226"/>
      <c r="P23" s="246"/>
      <c r="Q23" s="239"/>
      <c r="R23" s="247">
        <f t="shared" si="5"/>
        <v>0</v>
      </c>
      <c r="S23" s="248">
        <f t="shared" si="6"/>
        <v>13.63</v>
      </c>
      <c r="T23" s="248">
        <f t="shared" si="7"/>
        <v>13.63</v>
      </c>
      <c r="U23" s="249">
        <f t="shared" si="8"/>
        <v>0</v>
      </c>
      <c r="V23" s="249">
        <f t="shared" si="9"/>
        <v>1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256" t="s">
        <v>161</v>
      </c>
      <c r="C24" s="153" t="s">
        <v>133</v>
      </c>
      <c r="D24" s="253"/>
      <c r="E24" s="219">
        <v>1</v>
      </c>
      <c r="F24" s="220">
        <v>5041</v>
      </c>
      <c r="G24" s="221">
        <f t="shared" si="0"/>
        <v>3550</v>
      </c>
      <c r="H24" s="222">
        <f t="shared" si="1"/>
        <v>5041</v>
      </c>
      <c r="I24" s="242"/>
      <c r="J24" s="224">
        <f t="shared" si="2"/>
        <v>1</v>
      </c>
      <c r="K24" s="221">
        <f t="shared" si="3"/>
        <v>1915.58</v>
      </c>
      <c r="L24" s="221">
        <f t="shared" si="4"/>
        <v>1915.58</v>
      </c>
      <c r="M24" s="220" t="s">
        <v>84</v>
      </c>
      <c r="N24" s="254">
        <v>0.62</v>
      </c>
      <c r="O24" s="226"/>
      <c r="P24" s="255"/>
      <c r="Q24" s="228"/>
      <c r="R24" s="229">
        <f t="shared" si="5"/>
        <v>0</v>
      </c>
      <c r="S24" s="229">
        <f t="shared" si="6"/>
        <v>1915.58</v>
      </c>
      <c r="T24" s="229">
        <f t="shared" si="7"/>
        <v>1915.58</v>
      </c>
      <c r="U24" s="230">
        <f t="shared" si="8"/>
        <v>0</v>
      </c>
      <c r="V24" s="230">
        <f t="shared" si="9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 s="246"/>
      <c r="C25" s="257" t="s">
        <v>134</v>
      </c>
      <c r="D25" s="237"/>
      <c r="E25" s="238">
        <v>1</v>
      </c>
      <c r="F25" s="239"/>
      <c r="G25" s="240">
        <f t="shared" si="0"/>
        <v>0</v>
      </c>
      <c r="H25" s="241">
        <f t="shared" si="1"/>
        <v>0</v>
      </c>
      <c r="I25" s="242"/>
      <c r="J25" s="243">
        <f t="shared" si="2"/>
        <v>1</v>
      </c>
      <c r="K25" s="240">
        <f t="shared" si="3"/>
        <v>0</v>
      </c>
      <c r="L25" s="240">
        <f t="shared" si="4"/>
        <v>0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0</v>
      </c>
      <c r="T25" s="248">
        <f t="shared" si="7"/>
        <v>0</v>
      </c>
      <c r="U25" s="249">
        <f t="shared" si="8"/>
        <v>0</v>
      </c>
      <c r="V25" s="249">
        <f t="shared" si="9"/>
        <v>0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 s="258" t="s">
        <v>162</v>
      </c>
      <c r="C26" s="153" t="s">
        <v>163</v>
      </c>
      <c r="D26" s="253"/>
      <c r="E26" s="219">
        <v>6</v>
      </c>
      <c r="F26" s="220">
        <v>1594.28</v>
      </c>
      <c r="G26" s="221">
        <f t="shared" si="0"/>
        <v>1122.73</v>
      </c>
      <c r="H26" s="222">
        <f t="shared" si="1"/>
        <v>9565.68</v>
      </c>
      <c r="I26" s="242"/>
      <c r="J26" s="224">
        <f t="shared" si="2"/>
        <v>6</v>
      </c>
      <c r="K26" s="221">
        <f t="shared" si="3"/>
        <v>797.14</v>
      </c>
      <c r="L26" s="221">
        <f t="shared" si="4"/>
        <v>4782.84</v>
      </c>
      <c r="M26" s="220" t="s">
        <v>84</v>
      </c>
      <c r="N26" s="254">
        <v>0.5</v>
      </c>
      <c r="O26" s="226"/>
      <c r="P26" s="255"/>
      <c r="Q26" s="228"/>
      <c r="R26" s="229">
        <f t="shared" si="5"/>
        <v>0</v>
      </c>
      <c r="S26" s="229">
        <f t="shared" si="6"/>
        <v>797.14</v>
      </c>
      <c r="T26" s="229">
        <f t="shared" si="7"/>
        <v>4782.84</v>
      </c>
      <c r="U26" s="230">
        <f t="shared" si="8"/>
        <v>0</v>
      </c>
      <c r="V26" s="230">
        <f t="shared" si="9"/>
        <v>1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246"/>
      <c r="C27" s="153"/>
      <c r="D27" s="237"/>
      <c r="E27" s="238"/>
      <c r="F27" s="239"/>
      <c r="G27" s="240">
        <f t="shared" si="0"/>
        <v>0</v>
      </c>
      <c r="H27" s="241">
        <f t="shared" si="1"/>
        <v>0</v>
      </c>
      <c r="I27" s="242"/>
      <c r="J27" s="243">
        <f t="shared" si="2"/>
        <v>0</v>
      </c>
      <c r="K27" s="240">
        <f t="shared" si="3"/>
        <v>0</v>
      </c>
      <c r="L27" s="240">
        <f t="shared" si="4"/>
        <v>0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0</v>
      </c>
      <c r="T27" s="248">
        <f t="shared" si="7"/>
        <v>0</v>
      </c>
      <c r="U27" s="249">
        <f t="shared" si="8"/>
        <v>0</v>
      </c>
      <c r="V27" s="249">
        <f t="shared" si="9"/>
        <v>0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260"/>
      <c r="C28" s="257"/>
      <c r="D28" s="253"/>
      <c r="E28" s="219"/>
      <c r="F28" s="220"/>
      <c r="G28" s="221">
        <f t="shared" si="0"/>
        <v>0</v>
      </c>
      <c r="H28" s="222">
        <f t="shared" si="1"/>
        <v>0</v>
      </c>
      <c r="I28" s="242"/>
      <c r="J28" s="224">
        <f t="shared" si="2"/>
        <v>0</v>
      </c>
      <c r="K28" s="221">
        <f t="shared" si="3"/>
        <v>0</v>
      </c>
      <c r="L28" s="221">
        <f t="shared" si="4"/>
        <v>0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0</v>
      </c>
      <c r="T28" s="229">
        <f t="shared" si="7"/>
        <v>0</v>
      </c>
      <c r="U28" s="230">
        <f t="shared" si="8"/>
        <v>0</v>
      </c>
      <c r="V28" s="230">
        <f t="shared" si="9"/>
        <v>0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246"/>
      <c r="C29" s="153"/>
      <c r="D29" s="237"/>
      <c r="E29" s="238"/>
      <c r="F29" s="239"/>
      <c r="G29" s="240">
        <f t="shared" si="0"/>
        <v>0</v>
      </c>
      <c r="H29" s="241">
        <f t="shared" si="1"/>
        <v>0</v>
      </c>
      <c r="I29" s="242"/>
      <c r="J29" s="243">
        <f t="shared" si="2"/>
        <v>0</v>
      </c>
      <c r="K29" s="240">
        <f t="shared" si="3"/>
        <v>0</v>
      </c>
      <c r="L29" s="240">
        <f t="shared" si="4"/>
        <v>0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0</v>
      </c>
      <c r="T29" s="248">
        <f t="shared" si="7"/>
        <v>0</v>
      </c>
      <c r="U29" s="249">
        <f t="shared" si="8"/>
        <v>0</v>
      </c>
      <c r="V29" s="249">
        <f t="shared" si="9"/>
        <v>0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227"/>
      <c r="C30" s="257"/>
      <c r="D30" s="253"/>
      <c r="E30" s="219"/>
      <c r="F30" s="220"/>
      <c r="G30" s="221">
        <f t="shared" si="0"/>
        <v>0</v>
      </c>
      <c r="H30" s="222">
        <f t="shared" si="1"/>
        <v>0</v>
      </c>
      <c r="I30" s="242"/>
      <c r="J30" s="224">
        <f t="shared" si="2"/>
        <v>0</v>
      </c>
      <c r="K30" s="221">
        <f t="shared" si="3"/>
        <v>0</v>
      </c>
      <c r="L30" s="221">
        <f t="shared" si="4"/>
        <v>0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0</v>
      </c>
      <c r="T30" s="229">
        <f t="shared" si="7"/>
        <v>0</v>
      </c>
      <c r="U30" s="230">
        <f t="shared" si="8"/>
        <v>0</v>
      </c>
      <c r="V30" s="230">
        <f t="shared" si="9"/>
        <v>0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246"/>
      <c r="C31" s="153"/>
      <c r="D31" s="237"/>
      <c r="E31" s="238"/>
      <c r="F31" s="239"/>
      <c r="G31" s="240">
        <f t="shared" si="0"/>
        <v>0</v>
      </c>
      <c r="H31" s="241">
        <f t="shared" si="1"/>
        <v>0</v>
      </c>
      <c r="I31" s="242"/>
      <c r="J31" s="243">
        <f t="shared" si="2"/>
        <v>0</v>
      </c>
      <c r="K31" s="240">
        <f t="shared" si="3"/>
        <v>0</v>
      </c>
      <c r="L31" s="240">
        <f t="shared" si="4"/>
        <v>0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0</v>
      </c>
      <c r="T31" s="248">
        <f t="shared" si="7"/>
        <v>0</v>
      </c>
      <c r="U31" s="249">
        <f t="shared" si="8"/>
        <v>0</v>
      </c>
      <c r="V31" s="249">
        <f t="shared" si="9"/>
        <v>0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227"/>
      <c r="C32" s="257"/>
      <c r="D32" s="253"/>
      <c r="E32" s="219"/>
      <c r="F32" s="220"/>
      <c r="G32" s="221">
        <f t="shared" si="0"/>
        <v>0</v>
      </c>
      <c r="H32" s="222">
        <f t="shared" si="1"/>
        <v>0</v>
      </c>
      <c r="I32" s="242"/>
      <c r="J32" s="224">
        <f t="shared" si="2"/>
        <v>0</v>
      </c>
      <c r="K32" s="221">
        <f t="shared" si="3"/>
        <v>0</v>
      </c>
      <c r="L32" s="221">
        <f t="shared" si="4"/>
        <v>0</v>
      </c>
      <c r="M32" s="220" t="s">
        <v>84</v>
      </c>
      <c r="N32" s="254">
        <v>0.5</v>
      </c>
      <c r="O32" s="226"/>
      <c r="P32" s="255"/>
      <c r="Q32" s="228"/>
      <c r="R32" s="229">
        <f t="shared" si="5"/>
        <v>0</v>
      </c>
      <c r="S32" s="229">
        <f t="shared" si="6"/>
        <v>0</v>
      </c>
      <c r="T32" s="229">
        <f t="shared" si="7"/>
        <v>0</v>
      </c>
      <c r="U32" s="230">
        <f t="shared" si="8"/>
        <v>0</v>
      </c>
      <c r="V32" s="230">
        <f t="shared" si="9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246"/>
      <c r="C33" s="153"/>
      <c r="D33" s="237"/>
      <c r="E33" s="238"/>
      <c r="F33" s="239"/>
      <c r="G33" s="240">
        <f t="shared" si="0"/>
        <v>0</v>
      </c>
      <c r="H33" s="241">
        <f t="shared" si="1"/>
        <v>0</v>
      </c>
      <c r="I33" s="242"/>
      <c r="J33" s="243">
        <f t="shared" si="2"/>
        <v>0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227"/>
      <c r="C34" s="257"/>
      <c r="D34" s="253"/>
      <c r="E34" s="219"/>
      <c r="F34" s="220"/>
      <c r="G34" s="221">
        <f t="shared" si="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>
        <v>0.5</v>
      </c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246"/>
      <c r="C35" s="153"/>
      <c r="D35" s="237"/>
      <c r="E35" s="238"/>
      <c r="F35" s="239"/>
      <c r="G35" s="240">
        <f t="shared" si="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>
        <v>0.5</v>
      </c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227"/>
      <c r="C36" s="257"/>
      <c r="D36" s="253"/>
      <c r="E36" s="219"/>
      <c r="F36" s="220"/>
      <c r="G36" s="221">
        <f t="shared" si="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246"/>
      <c r="C37" s="153"/>
      <c r="D37" s="237"/>
      <c r="E37" s="238"/>
      <c r="F37" s="239"/>
      <c r="G37" s="240">
        <f t="shared" si="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227"/>
      <c r="C38" s="257"/>
      <c r="D38" s="253"/>
      <c r="E38" s="219"/>
      <c r="F38" s="220"/>
      <c r="G38" s="221">
        <f t="shared" si="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246"/>
      <c r="C39" s="153"/>
      <c r="D39" s="237"/>
      <c r="E39" s="238"/>
      <c r="F39" s="239"/>
      <c r="G39" s="240">
        <f t="shared" si="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227"/>
      <c r="C40" s="257"/>
      <c r="D40" s="253"/>
      <c r="E40" s="219"/>
      <c r="F40" s="220"/>
      <c r="G40" s="221">
        <f t="shared" si="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246"/>
      <c r="C41" s="153"/>
      <c r="D41" s="237"/>
      <c r="E41" s="238"/>
      <c r="F41" s="239"/>
      <c r="G41" s="240">
        <f t="shared" si="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227"/>
      <c r="C42" s="257"/>
      <c r="D42" s="253"/>
      <c r="E42" s="219"/>
      <c r="F42" s="220"/>
      <c r="G42" s="221">
        <f t="shared" si="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246"/>
      <c r="C43" s="153"/>
      <c r="D43" s="237"/>
      <c r="E43" s="238"/>
      <c r="F43" s="239"/>
      <c r="G43" s="240">
        <f t="shared" si="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227"/>
      <c r="C44" s="257"/>
      <c r="D44" s="253"/>
      <c r="E44" s="219"/>
      <c r="F44" s="220"/>
      <c r="G44" s="221">
        <f t="shared" si="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246"/>
      <c r="C45" s="153"/>
      <c r="D45" s="237"/>
      <c r="E45" s="238"/>
      <c r="F45" s="239"/>
      <c r="G45" s="240">
        <f t="shared" si="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227"/>
      <c r="C46" s="257"/>
      <c r="D46" s="253"/>
      <c r="E46" s="219"/>
      <c r="F46" s="220"/>
      <c r="G46" s="221">
        <f t="shared" si="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246"/>
      <c r="C47" s="153"/>
      <c r="D47" s="237"/>
      <c r="E47" s="238"/>
      <c r="F47" s="239"/>
      <c r="G47" s="240">
        <f t="shared" si="0"/>
        <v>0</v>
      </c>
      <c r="H47" s="241">
        <f t="shared" si="1"/>
        <v>0</v>
      </c>
      <c r="I47" s="242"/>
      <c r="J47" s="243">
        <f t="shared" si="2"/>
        <v>0</v>
      </c>
      <c r="K47" s="240">
        <f t="shared" si="3"/>
        <v>0</v>
      </c>
      <c r="L47" s="240">
        <f t="shared" si="4"/>
        <v>0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0</v>
      </c>
      <c r="T47" s="248">
        <f t="shared" si="7"/>
        <v>0</v>
      </c>
      <c r="U47" s="249">
        <f t="shared" si="8"/>
        <v>0</v>
      </c>
      <c r="V47" s="249">
        <f t="shared" si="9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227"/>
      <c r="C48" s="257"/>
      <c r="D48" s="253"/>
      <c r="E48" s="219"/>
      <c r="F48" s="220"/>
      <c r="G48" s="221">
        <f t="shared" si="0"/>
        <v>0</v>
      </c>
      <c r="H48" s="222">
        <f t="shared" si="1"/>
        <v>0</v>
      </c>
      <c r="I48" s="242"/>
      <c r="J48" s="224">
        <f t="shared" si="2"/>
        <v>0</v>
      </c>
      <c r="K48" s="221">
        <f t="shared" si="3"/>
        <v>0</v>
      </c>
      <c r="L48" s="221">
        <f t="shared" si="4"/>
        <v>0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0</v>
      </c>
      <c r="T48" s="229">
        <f t="shared" si="7"/>
        <v>0</v>
      </c>
      <c r="U48" s="230">
        <f t="shared" si="8"/>
        <v>0</v>
      </c>
      <c r="V48" s="230">
        <f t="shared" si="9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246"/>
      <c r="C49" s="153"/>
      <c r="D49" s="237"/>
      <c r="E49" s="238"/>
      <c r="F49" s="239"/>
      <c r="G49" s="240">
        <f t="shared" si="0"/>
        <v>0</v>
      </c>
      <c r="H49" s="241">
        <f t="shared" si="1"/>
        <v>0</v>
      </c>
      <c r="I49" s="242"/>
      <c r="J49" s="243">
        <f t="shared" si="2"/>
        <v>0</v>
      </c>
      <c r="K49" s="240">
        <f t="shared" si="3"/>
        <v>0</v>
      </c>
      <c r="L49" s="240">
        <f t="shared" si="4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0</v>
      </c>
      <c r="T49" s="248">
        <f t="shared" si="7"/>
        <v>0</v>
      </c>
      <c r="U49" s="249">
        <f t="shared" si="8"/>
        <v>0</v>
      </c>
      <c r="V49" s="249">
        <f t="shared" si="9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227"/>
      <c r="C50" s="257"/>
      <c r="D50" s="253"/>
      <c r="E50" s="219"/>
      <c r="F50" s="220"/>
      <c r="G50" s="221">
        <f t="shared" si="0"/>
        <v>0</v>
      </c>
      <c r="H50" s="222">
        <f t="shared" si="1"/>
        <v>0</v>
      </c>
      <c r="I50" s="242"/>
      <c r="J50" s="224">
        <f t="shared" si="2"/>
        <v>0</v>
      </c>
      <c r="K50" s="221">
        <f t="shared" si="3"/>
        <v>0</v>
      </c>
      <c r="L50" s="221">
        <f t="shared" si="4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0</v>
      </c>
      <c r="T50" s="229">
        <f t="shared" si="7"/>
        <v>0</v>
      </c>
      <c r="U50" s="230">
        <f t="shared" si="8"/>
        <v>0</v>
      </c>
      <c r="V50" s="230">
        <f t="shared" si="9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246"/>
      <c r="C51" s="153"/>
      <c r="D51" s="237"/>
      <c r="E51" s="238"/>
      <c r="F51" s="239"/>
      <c r="G51" s="240">
        <f t="shared" si="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14</v>
      </c>
      <c r="F61" s="265">
        <f>SUM(F18:F60)</f>
        <v>7122.73</v>
      </c>
      <c r="G61" s="266">
        <f>SUM(G18:G60)</f>
        <v>5016.01</v>
      </c>
      <c r="H61" s="267">
        <f>SUM(H18:H60)</f>
        <v>15094.130000000001</v>
      </c>
      <c r="I61" s="268"/>
      <c r="J61" s="269">
        <f>SUM(J18:J60)</f>
        <v>14</v>
      </c>
      <c r="K61" s="266">
        <f>SUM(K18:K60)</f>
        <v>2897.9599999999996</v>
      </c>
      <c r="L61" s="267">
        <f>SUM(L18:L60)</f>
        <v>6883.66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2897.9599999999996</v>
      </c>
      <c r="T61" s="267">
        <f>SUM(T18:T60)</f>
        <v>6883.66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11" priority="3" stopIfTrue="1">
      <formula>$U$9&gt;100%</formula>
    </cfRule>
    <cfRule type="expression" dxfId="210" priority="4">
      <formula>$U$9&lt;50%</formula>
    </cfRule>
  </conditionalFormatting>
  <conditionalFormatting sqref="V9:V10">
    <cfRule type="expression" dxfId="209" priority="1">
      <formula>$V$9&lt;50%</formula>
    </cfRule>
    <cfRule type="expression" dxfId="208" priority="2">
      <formula>$V$9&gt;50%</formula>
    </cfRule>
  </conditionalFormatting>
  <dataValidations count="5">
    <dataValidation type="list" allowBlank="1" showInputMessage="1" showErrorMessage="1" sqref="M18:M60" xr:uid="{C4B10B0A-61F0-4903-8347-49388B95A0CD}">
      <formula1>$Y$31:$Y$32</formula1>
    </dataValidation>
    <dataValidation type="list" showInputMessage="1" showErrorMessage="1" sqref="D18:D60" xr:uid="{7264A113-2F6E-4A69-9789-A034ADAB87CE}">
      <formula1>$Z$18:$Z$29</formula1>
    </dataValidation>
    <dataValidation type="list" allowBlank="1" showInputMessage="1" showErrorMessage="1" sqref="I13" xr:uid="{7CA8E54E-C15F-4A6E-8772-29ED2888CA78}">
      <formula1>$K$9:$K$9</formula1>
    </dataValidation>
    <dataValidation type="list" allowBlank="1" showInputMessage="1" showErrorMessage="1" sqref="H13" xr:uid="{EE5133C2-8C39-487D-9376-78C495167EA2}">
      <formula1>$Y$13:$Y$14</formula1>
    </dataValidation>
    <dataValidation type="list" allowBlank="1" showInputMessage="1" showErrorMessage="1" sqref="F17 K17 Q17 Q14" xr:uid="{3F91822C-5F6E-4553-A159-FEBB64DDABC8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A5C5D-595A-408C-A8F7-B0754F76910E}">
  <sheetPr>
    <pageSetUpPr fitToPage="1"/>
  </sheetPr>
  <dimension ref="A1:AB63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523" t="s">
        <v>2</v>
      </c>
      <c r="I1" s="524"/>
      <c r="J1" s="524"/>
      <c r="K1" s="525"/>
      <c r="L1" s="528" t="s">
        <v>3</v>
      </c>
      <c r="M1" s="529"/>
      <c r="N1" s="529"/>
      <c r="O1" s="529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59">
        <v>55223</v>
      </c>
      <c r="G2" s="549"/>
      <c r="H2" s="546" t="s">
        <v>7</v>
      </c>
      <c r="I2" s="550"/>
      <c r="J2" s="547"/>
      <c r="K2" s="148"/>
      <c r="L2" s="551" t="s">
        <v>8</v>
      </c>
      <c r="M2" s="552"/>
      <c r="N2" s="553"/>
      <c r="O2" s="149"/>
      <c r="P2" s="554">
        <f>H61</f>
        <v>15094.130000000001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532" t="s">
        <v>13</v>
      </c>
      <c r="I3" s="536"/>
      <c r="J3" s="533"/>
      <c r="K3" s="154"/>
      <c r="L3" s="537" t="s">
        <v>14</v>
      </c>
      <c r="M3" s="538"/>
      <c r="N3" s="539"/>
      <c r="O3" s="149"/>
      <c r="P3" s="540">
        <f>L61</f>
        <v>6883.66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534" t="s">
        <v>137</v>
      </c>
      <c r="G4" s="535"/>
      <c r="H4" s="532" t="s">
        <v>19</v>
      </c>
      <c r="I4" s="536"/>
      <c r="J4" s="533"/>
      <c r="K4" s="154"/>
      <c r="L4" s="537" t="s">
        <v>20</v>
      </c>
      <c r="M4" s="538"/>
      <c r="N4" s="539"/>
      <c r="O4" s="149"/>
      <c r="P4" s="540">
        <f>P2-P3</f>
        <v>8210.4700000000012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534" t="s">
        <v>148</v>
      </c>
      <c r="G5" s="535"/>
      <c r="H5" s="532" t="s">
        <v>25</v>
      </c>
      <c r="I5" s="536"/>
      <c r="J5" s="533"/>
      <c r="K5" s="154"/>
      <c r="L5" s="558" t="s">
        <v>26</v>
      </c>
      <c r="M5" s="559"/>
      <c r="N5" s="560"/>
      <c r="O5" s="149"/>
      <c r="P5" s="561">
        <f>IFERROR((P2-P3)/P2,"")</f>
        <v>0.54395119162217365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60" t="s">
        <v>172</v>
      </c>
      <c r="G6" s="535"/>
      <c r="H6" s="532" t="s">
        <v>31</v>
      </c>
      <c r="I6" s="536"/>
      <c r="J6" s="533"/>
      <c r="K6" s="154"/>
      <c r="L6" s="574" t="s">
        <v>32</v>
      </c>
      <c r="M6" s="575"/>
      <c r="N6" s="576"/>
      <c r="O6" s="149"/>
      <c r="P6" s="577">
        <f>T61</f>
        <v>6883.66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663" t="s">
        <v>173</v>
      </c>
      <c r="G7" s="535"/>
      <c r="H7" s="532" t="s">
        <v>36</v>
      </c>
      <c r="I7" s="536"/>
      <c r="J7" s="533"/>
      <c r="K7" s="154"/>
      <c r="L7" s="564" t="s">
        <v>37</v>
      </c>
      <c r="M7" s="565"/>
      <c r="N7" s="56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532" t="s">
        <v>40</v>
      </c>
      <c r="I8" s="536"/>
      <c r="J8" s="533"/>
      <c r="K8" s="154"/>
      <c r="L8" s="564" t="s">
        <v>41</v>
      </c>
      <c r="M8" s="565"/>
      <c r="N8" s="56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407</v>
      </c>
      <c r="G9" s="535"/>
      <c r="H9" s="171"/>
      <c r="I9" s="172"/>
      <c r="J9" s="172"/>
      <c r="K9" s="173"/>
      <c r="L9" s="564" t="s">
        <v>47</v>
      </c>
      <c r="M9" s="565"/>
      <c r="N9" s="56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6883.66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542" t="s">
        <v>48</v>
      </c>
      <c r="M10" s="579"/>
      <c r="N10" s="543"/>
      <c r="O10" s="149"/>
      <c r="P10" s="580">
        <f>E61</f>
        <v>14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650" t="s">
        <v>50</v>
      </c>
      <c r="K11" s="651"/>
      <c r="L11" s="651"/>
      <c r="M11" s="651"/>
      <c r="N11" s="652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653"/>
      <c r="K12" s="654"/>
      <c r="L12" s="654"/>
      <c r="M12" s="654"/>
      <c r="N12" s="655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656"/>
      <c r="K13" s="657"/>
      <c r="L13" s="657"/>
      <c r="M13" s="657"/>
      <c r="N13" s="658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601" t="s">
        <v>59</v>
      </c>
      <c r="K14" s="602"/>
      <c r="L14" s="605" t="s">
        <v>60</v>
      </c>
      <c r="M14" s="606"/>
      <c r="N14" s="60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603"/>
      <c r="K15" s="604"/>
      <c r="L15" s="608"/>
      <c r="M15" s="609"/>
      <c r="N15" s="61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631" t="s">
        <v>69</v>
      </c>
      <c r="K16" s="201" t="s">
        <v>72</v>
      </c>
      <c r="L16" s="202" t="s">
        <v>73</v>
      </c>
      <c r="M16" s="633" t="s">
        <v>74</v>
      </c>
      <c r="N16" s="633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3"/>
      <c r="C17" s="625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632"/>
      <c r="K17" s="614" t="s">
        <v>52</v>
      </c>
      <c r="L17" s="615"/>
      <c r="M17" s="634"/>
      <c r="N17" s="634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 s="216" t="s">
        <v>151</v>
      </c>
      <c r="C18" s="217" t="s">
        <v>141</v>
      </c>
      <c r="D18" s="218"/>
      <c r="E18" s="219">
        <v>1</v>
      </c>
      <c r="F18" s="220">
        <v>68.569999999999993</v>
      </c>
      <c r="G18" s="221">
        <f t="shared" ref="G18:G60" si="0">ROUND(IF($F$17="USD $", F18*$E$15,F18*$D$15),2)</f>
        <v>48.29</v>
      </c>
      <c r="H18" s="222">
        <f t="shared" ref="H18:H60" si="1">ROUND(IF($H$17=$G$17,E18*G18,E18*F18),2)</f>
        <v>68.569999999999993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26.06</v>
      </c>
      <c r="L18" s="221">
        <f t="shared" ref="L18:L60" si="4">ROUND((J18*K18),2)</f>
        <v>26.06</v>
      </c>
      <c r="M18" s="220" t="s">
        <v>84</v>
      </c>
      <c r="N18" s="225">
        <v>0.62</v>
      </c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26.06</v>
      </c>
      <c r="T18" s="229">
        <f t="shared" ref="T18:T60" si="7">ROUND(L18-R18,2)</f>
        <v>26.06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246" t="s">
        <v>152</v>
      </c>
      <c r="C19" s="153" t="s">
        <v>153</v>
      </c>
      <c r="D19" s="237"/>
      <c r="E19" s="238">
        <v>1</v>
      </c>
      <c r="F19" s="239">
        <v>102.33</v>
      </c>
      <c r="G19" s="240">
        <f t="shared" si="0"/>
        <v>72.06</v>
      </c>
      <c r="H19" s="241">
        <f t="shared" si="1"/>
        <v>102.33</v>
      </c>
      <c r="I19" s="242"/>
      <c r="J19" s="243">
        <f t="shared" si="2"/>
        <v>1</v>
      </c>
      <c r="K19" s="240">
        <f t="shared" si="3"/>
        <v>38.89</v>
      </c>
      <c r="L19" s="240">
        <f t="shared" si="4"/>
        <v>38.89</v>
      </c>
      <c r="M19" s="244" t="s">
        <v>84</v>
      </c>
      <c r="N19" s="245">
        <v>0.62</v>
      </c>
      <c r="O19" s="226"/>
      <c r="P19" s="246"/>
      <c r="Q19" s="239"/>
      <c r="R19" s="247">
        <f t="shared" si="5"/>
        <v>0</v>
      </c>
      <c r="S19" s="248">
        <f t="shared" si="6"/>
        <v>38.89</v>
      </c>
      <c r="T19" s="248">
        <f t="shared" si="7"/>
        <v>38.89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260" t="s">
        <v>154</v>
      </c>
      <c r="C20" s="257" t="s">
        <v>155</v>
      </c>
      <c r="D20" s="253"/>
      <c r="E20" s="219">
        <v>1</v>
      </c>
      <c r="F20" s="220">
        <v>50.28</v>
      </c>
      <c r="G20" s="221">
        <f t="shared" si="0"/>
        <v>35.409999999999997</v>
      </c>
      <c r="H20" s="222">
        <f t="shared" si="1"/>
        <v>50.28</v>
      </c>
      <c r="I20" s="242"/>
      <c r="J20" s="224">
        <f t="shared" si="2"/>
        <v>1</v>
      </c>
      <c r="K20" s="221">
        <f t="shared" si="3"/>
        <v>19.11</v>
      </c>
      <c r="L20" s="221">
        <f t="shared" si="4"/>
        <v>19.11</v>
      </c>
      <c r="M20" s="220" t="s">
        <v>84</v>
      </c>
      <c r="N20" s="254">
        <v>0.62</v>
      </c>
      <c r="O20" s="226"/>
      <c r="P20" s="255"/>
      <c r="Q20" s="228"/>
      <c r="R20" s="229">
        <f t="shared" si="5"/>
        <v>0</v>
      </c>
      <c r="S20" s="229">
        <f t="shared" si="6"/>
        <v>19.11</v>
      </c>
      <c r="T20" s="229">
        <f t="shared" si="7"/>
        <v>19.11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235" t="s">
        <v>156</v>
      </c>
      <c r="C21" s="236" t="s">
        <v>157</v>
      </c>
      <c r="D21" s="237"/>
      <c r="E21" s="238">
        <v>1</v>
      </c>
      <c r="F21" s="239">
        <v>112.39</v>
      </c>
      <c r="G21" s="240">
        <f t="shared" si="0"/>
        <v>79.150000000000006</v>
      </c>
      <c r="H21" s="241">
        <f t="shared" si="1"/>
        <v>112.39</v>
      </c>
      <c r="I21" s="242"/>
      <c r="J21" s="243">
        <f t="shared" si="2"/>
        <v>1</v>
      </c>
      <c r="K21" s="240">
        <f t="shared" si="3"/>
        <v>42.71</v>
      </c>
      <c r="L21" s="240">
        <f t="shared" si="4"/>
        <v>42.71</v>
      </c>
      <c r="M21" s="244" t="s">
        <v>84</v>
      </c>
      <c r="N21" s="245">
        <v>0.62</v>
      </c>
      <c r="O21" s="226"/>
      <c r="P21" s="246"/>
      <c r="Q21" s="239"/>
      <c r="R21" s="247">
        <f t="shared" si="5"/>
        <v>0</v>
      </c>
      <c r="S21" s="248">
        <f t="shared" si="6"/>
        <v>42.71</v>
      </c>
      <c r="T21" s="248">
        <f t="shared" si="7"/>
        <v>42.71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251" t="s">
        <v>158</v>
      </c>
      <c r="C22" s="252" t="s">
        <v>83</v>
      </c>
      <c r="D22" s="253"/>
      <c r="E22" s="219">
        <v>1</v>
      </c>
      <c r="F22" s="220">
        <v>118.01</v>
      </c>
      <c r="G22" s="221">
        <f t="shared" si="0"/>
        <v>83.11</v>
      </c>
      <c r="H22" s="222">
        <f t="shared" si="1"/>
        <v>118.01</v>
      </c>
      <c r="I22" s="242"/>
      <c r="J22" s="224">
        <f t="shared" si="2"/>
        <v>1</v>
      </c>
      <c r="K22" s="221">
        <f t="shared" si="3"/>
        <v>44.84</v>
      </c>
      <c r="L22" s="221">
        <f t="shared" si="4"/>
        <v>44.84</v>
      </c>
      <c r="M22" s="220" t="s">
        <v>84</v>
      </c>
      <c r="N22" s="254">
        <v>0.62</v>
      </c>
      <c r="O22" s="226"/>
      <c r="P22" s="255"/>
      <c r="Q22" s="228"/>
      <c r="R22" s="229">
        <f t="shared" si="5"/>
        <v>0</v>
      </c>
      <c r="S22" s="229">
        <f t="shared" si="6"/>
        <v>44.84</v>
      </c>
      <c r="T22" s="229">
        <f t="shared" si="7"/>
        <v>44.84</v>
      </c>
      <c r="U22" s="230">
        <f t="shared" si="8"/>
        <v>0</v>
      </c>
      <c r="V22" s="230">
        <f t="shared" si="9"/>
        <v>1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246" t="s">
        <v>159</v>
      </c>
      <c r="C23" s="153" t="s">
        <v>160</v>
      </c>
      <c r="D23" s="237"/>
      <c r="E23" s="238">
        <v>1</v>
      </c>
      <c r="F23" s="239">
        <v>35.869999999999997</v>
      </c>
      <c r="G23" s="240">
        <f t="shared" si="0"/>
        <v>25.26</v>
      </c>
      <c r="H23" s="241">
        <f t="shared" si="1"/>
        <v>35.869999999999997</v>
      </c>
      <c r="I23" s="242"/>
      <c r="J23" s="243">
        <f t="shared" si="2"/>
        <v>1</v>
      </c>
      <c r="K23" s="240">
        <f t="shared" si="3"/>
        <v>13.63</v>
      </c>
      <c r="L23" s="240">
        <f t="shared" si="4"/>
        <v>13.63</v>
      </c>
      <c r="M23" s="244" t="s">
        <v>84</v>
      </c>
      <c r="N23" s="245">
        <v>0.62</v>
      </c>
      <c r="O23" s="226"/>
      <c r="P23" s="246"/>
      <c r="Q23" s="239"/>
      <c r="R23" s="247">
        <f t="shared" si="5"/>
        <v>0</v>
      </c>
      <c r="S23" s="248">
        <f t="shared" si="6"/>
        <v>13.63</v>
      </c>
      <c r="T23" s="248">
        <f t="shared" si="7"/>
        <v>13.63</v>
      </c>
      <c r="U23" s="249">
        <f t="shared" si="8"/>
        <v>0</v>
      </c>
      <c r="V23" s="249">
        <f t="shared" si="9"/>
        <v>1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256" t="s">
        <v>161</v>
      </c>
      <c r="C24" s="153" t="s">
        <v>133</v>
      </c>
      <c r="D24" s="253"/>
      <c r="E24" s="219">
        <v>1</v>
      </c>
      <c r="F24" s="220">
        <v>5041</v>
      </c>
      <c r="G24" s="221">
        <f t="shared" si="0"/>
        <v>3550</v>
      </c>
      <c r="H24" s="222">
        <f t="shared" si="1"/>
        <v>5041</v>
      </c>
      <c r="I24" s="242"/>
      <c r="J24" s="224">
        <f t="shared" si="2"/>
        <v>1</v>
      </c>
      <c r="K24" s="221">
        <f t="shared" si="3"/>
        <v>1915.58</v>
      </c>
      <c r="L24" s="221">
        <f t="shared" si="4"/>
        <v>1915.58</v>
      </c>
      <c r="M24" s="220" t="s">
        <v>84</v>
      </c>
      <c r="N24" s="254">
        <v>0.62</v>
      </c>
      <c r="O24" s="226"/>
      <c r="P24" s="255"/>
      <c r="Q24" s="228"/>
      <c r="R24" s="229">
        <f t="shared" si="5"/>
        <v>0</v>
      </c>
      <c r="S24" s="229">
        <f t="shared" si="6"/>
        <v>1915.58</v>
      </c>
      <c r="T24" s="229">
        <f t="shared" si="7"/>
        <v>1915.58</v>
      </c>
      <c r="U24" s="230">
        <f t="shared" si="8"/>
        <v>0</v>
      </c>
      <c r="V24" s="230">
        <f t="shared" si="9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 s="246"/>
      <c r="C25" s="257" t="s">
        <v>134</v>
      </c>
      <c r="D25" s="237"/>
      <c r="E25" s="238">
        <v>1</v>
      </c>
      <c r="F25" s="239"/>
      <c r="G25" s="240">
        <f t="shared" si="0"/>
        <v>0</v>
      </c>
      <c r="H25" s="241">
        <f t="shared" si="1"/>
        <v>0</v>
      </c>
      <c r="I25" s="242"/>
      <c r="J25" s="243">
        <f t="shared" si="2"/>
        <v>1</v>
      </c>
      <c r="K25" s="240">
        <f t="shared" si="3"/>
        <v>0</v>
      </c>
      <c r="L25" s="240">
        <f t="shared" si="4"/>
        <v>0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0</v>
      </c>
      <c r="T25" s="248">
        <f t="shared" si="7"/>
        <v>0</v>
      </c>
      <c r="U25" s="249">
        <f t="shared" si="8"/>
        <v>0</v>
      </c>
      <c r="V25" s="249">
        <f t="shared" si="9"/>
        <v>0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 s="258" t="s">
        <v>162</v>
      </c>
      <c r="C26" s="153" t="s">
        <v>163</v>
      </c>
      <c r="D26" s="253"/>
      <c r="E26" s="219">
        <v>6</v>
      </c>
      <c r="F26" s="220">
        <v>1594.28</v>
      </c>
      <c r="G26" s="221">
        <f t="shared" si="0"/>
        <v>1122.73</v>
      </c>
      <c r="H26" s="222">
        <f t="shared" si="1"/>
        <v>9565.68</v>
      </c>
      <c r="I26" s="242"/>
      <c r="J26" s="224">
        <f t="shared" si="2"/>
        <v>6</v>
      </c>
      <c r="K26" s="221">
        <f t="shared" si="3"/>
        <v>797.14</v>
      </c>
      <c r="L26" s="221">
        <f t="shared" si="4"/>
        <v>4782.84</v>
      </c>
      <c r="M26" s="220" t="s">
        <v>84</v>
      </c>
      <c r="N26" s="254">
        <v>0.5</v>
      </c>
      <c r="O26" s="226"/>
      <c r="P26" s="255"/>
      <c r="Q26" s="228"/>
      <c r="R26" s="229">
        <f t="shared" si="5"/>
        <v>0</v>
      </c>
      <c r="S26" s="229">
        <f t="shared" si="6"/>
        <v>797.14</v>
      </c>
      <c r="T26" s="229">
        <f t="shared" si="7"/>
        <v>4782.84</v>
      </c>
      <c r="U26" s="230">
        <f t="shared" si="8"/>
        <v>0</v>
      </c>
      <c r="V26" s="230">
        <f t="shared" si="9"/>
        <v>1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246"/>
      <c r="C27" s="153"/>
      <c r="D27" s="237"/>
      <c r="E27" s="238"/>
      <c r="F27" s="239"/>
      <c r="G27" s="240">
        <f t="shared" si="0"/>
        <v>0</v>
      </c>
      <c r="H27" s="241">
        <f t="shared" si="1"/>
        <v>0</v>
      </c>
      <c r="I27" s="242"/>
      <c r="J27" s="243">
        <f t="shared" si="2"/>
        <v>0</v>
      </c>
      <c r="K27" s="240">
        <f t="shared" si="3"/>
        <v>0</v>
      </c>
      <c r="L27" s="240">
        <f t="shared" si="4"/>
        <v>0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0</v>
      </c>
      <c r="T27" s="248">
        <f t="shared" si="7"/>
        <v>0</v>
      </c>
      <c r="U27" s="249">
        <f t="shared" si="8"/>
        <v>0</v>
      </c>
      <c r="V27" s="249">
        <f t="shared" si="9"/>
        <v>0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260"/>
      <c r="C28" s="257"/>
      <c r="D28" s="253"/>
      <c r="E28" s="219"/>
      <c r="F28" s="220"/>
      <c r="G28" s="221">
        <f t="shared" si="0"/>
        <v>0</v>
      </c>
      <c r="H28" s="222">
        <f t="shared" si="1"/>
        <v>0</v>
      </c>
      <c r="I28" s="242"/>
      <c r="J28" s="224">
        <f t="shared" si="2"/>
        <v>0</v>
      </c>
      <c r="K28" s="221">
        <f t="shared" si="3"/>
        <v>0</v>
      </c>
      <c r="L28" s="221">
        <f t="shared" si="4"/>
        <v>0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0</v>
      </c>
      <c r="T28" s="229">
        <f t="shared" si="7"/>
        <v>0</v>
      </c>
      <c r="U28" s="230">
        <f t="shared" si="8"/>
        <v>0</v>
      </c>
      <c r="V28" s="230">
        <f t="shared" si="9"/>
        <v>0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246"/>
      <c r="C29" s="153"/>
      <c r="D29" s="237"/>
      <c r="E29" s="238"/>
      <c r="F29" s="239"/>
      <c r="G29" s="240">
        <f t="shared" si="0"/>
        <v>0</v>
      </c>
      <c r="H29" s="241">
        <f t="shared" si="1"/>
        <v>0</v>
      </c>
      <c r="I29" s="242"/>
      <c r="J29" s="243">
        <f t="shared" si="2"/>
        <v>0</v>
      </c>
      <c r="K29" s="240">
        <f t="shared" si="3"/>
        <v>0</v>
      </c>
      <c r="L29" s="240">
        <f t="shared" si="4"/>
        <v>0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0</v>
      </c>
      <c r="T29" s="248">
        <f t="shared" si="7"/>
        <v>0</v>
      </c>
      <c r="U29" s="249">
        <f t="shared" si="8"/>
        <v>0</v>
      </c>
      <c r="V29" s="249">
        <f t="shared" si="9"/>
        <v>0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227"/>
      <c r="C30" s="257"/>
      <c r="D30" s="253"/>
      <c r="E30" s="219"/>
      <c r="F30" s="220"/>
      <c r="G30" s="221">
        <f t="shared" si="0"/>
        <v>0</v>
      </c>
      <c r="H30" s="222">
        <f t="shared" si="1"/>
        <v>0</v>
      </c>
      <c r="I30" s="242"/>
      <c r="J30" s="224">
        <f t="shared" si="2"/>
        <v>0</v>
      </c>
      <c r="K30" s="221">
        <f t="shared" si="3"/>
        <v>0</v>
      </c>
      <c r="L30" s="221">
        <f t="shared" si="4"/>
        <v>0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0</v>
      </c>
      <c r="T30" s="229">
        <f t="shared" si="7"/>
        <v>0</v>
      </c>
      <c r="U30" s="230">
        <f t="shared" si="8"/>
        <v>0</v>
      </c>
      <c r="V30" s="230">
        <f t="shared" si="9"/>
        <v>0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246"/>
      <c r="C31" s="153"/>
      <c r="D31" s="237"/>
      <c r="E31" s="238"/>
      <c r="F31" s="239"/>
      <c r="G31" s="240">
        <f t="shared" si="0"/>
        <v>0</v>
      </c>
      <c r="H31" s="241">
        <f t="shared" si="1"/>
        <v>0</v>
      </c>
      <c r="I31" s="242"/>
      <c r="J31" s="243">
        <f t="shared" si="2"/>
        <v>0</v>
      </c>
      <c r="K31" s="240">
        <f t="shared" si="3"/>
        <v>0</v>
      </c>
      <c r="L31" s="240">
        <f t="shared" si="4"/>
        <v>0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0</v>
      </c>
      <c r="T31" s="248">
        <f t="shared" si="7"/>
        <v>0</v>
      </c>
      <c r="U31" s="249">
        <f t="shared" si="8"/>
        <v>0</v>
      </c>
      <c r="V31" s="249">
        <f t="shared" si="9"/>
        <v>0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227"/>
      <c r="C32" s="257"/>
      <c r="D32" s="253"/>
      <c r="E32" s="219"/>
      <c r="F32" s="220"/>
      <c r="G32" s="221">
        <f t="shared" si="0"/>
        <v>0</v>
      </c>
      <c r="H32" s="222">
        <f t="shared" si="1"/>
        <v>0</v>
      </c>
      <c r="I32" s="242"/>
      <c r="J32" s="224">
        <f t="shared" si="2"/>
        <v>0</v>
      </c>
      <c r="K32" s="221">
        <f t="shared" si="3"/>
        <v>0</v>
      </c>
      <c r="L32" s="221">
        <f t="shared" si="4"/>
        <v>0</v>
      </c>
      <c r="M32" s="220" t="s">
        <v>84</v>
      </c>
      <c r="N32" s="254">
        <v>0.5</v>
      </c>
      <c r="O32" s="226"/>
      <c r="P32" s="255"/>
      <c r="Q32" s="228"/>
      <c r="R32" s="229">
        <f t="shared" si="5"/>
        <v>0</v>
      </c>
      <c r="S32" s="229">
        <f t="shared" si="6"/>
        <v>0</v>
      </c>
      <c r="T32" s="229">
        <f t="shared" si="7"/>
        <v>0</v>
      </c>
      <c r="U32" s="230">
        <f t="shared" si="8"/>
        <v>0</v>
      </c>
      <c r="V32" s="230">
        <f t="shared" si="9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246"/>
      <c r="C33" s="153"/>
      <c r="D33" s="237"/>
      <c r="E33" s="238"/>
      <c r="F33" s="239"/>
      <c r="G33" s="240">
        <f t="shared" si="0"/>
        <v>0</v>
      </c>
      <c r="H33" s="241">
        <f t="shared" si="1"/>
        <v>0</v>
      </c>
      <c r="I33" s="242"/>
      <c r="J33" s="243">
        <f t="shared" si="2"/>
        <v>0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227"/>
      <c r="C34" s="257"/>
      <c r="D34" s="253"/>
      <c r="E34" s="219"/>
      <c r="F34" s="220"/>
      <c r="G34" s="221">
        <f t="shared" si="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>
        <v>0.5</v>
      </c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246"/>
      <c r="C35" s="153"/>
      <c r="D35" s="237"/>
      <c r="E35" s="238"/>
      <c r="F35" s="239"/>
      <c r="G35" s="240">
        <f t="shared" si="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>
        <v>0.5</v>
      </c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227"/>
      <c r="C36" s="257"/>
      <c r="D36" s="253"/>
      <c r="E36" s="219"/>
      <c r="F36" s="220"/>
      <c r="G36" s="221">
        <f t="shared" si="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246"/>
      <c r="C37" s="153"/>
      <c r="D37" s="237"/>
      <c r="E37" s="238"/>
      <c r="F37" s="239"/>
      <c r="G37" s="240">
        <f t="shared" si="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227"/>
      <c r="C38" s="257"/>
      <c r="D38" s="253"/>
      <c r="E38" s="219"/>
      <c r="F38" s="220"/>
      <c r="G38" s="221">
        <f t="shared" si="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246"/>
      <c r="C39" s="153"/>
      <c r="D39" s="237"/>
      <c r="E39" s="238"/>
      <c r="F39" s="239"/>
      <c r="G39" s="240">
        <f t="shared" si="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227"/>
      <c r="C40" s="257"/>
      <c r="D40" s="253"/>
      <c r="E40" s="219"/>
      <c r="F40" s="220"/>
      <c r="G40" s="221">
        <f t="shared" si="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246"/>
      <c r="C41" s="153"/>
      <c r="D41" s="237"/>
      <c r="E41" s="238"/>
      <c r="F41" s="239"/>
      <c r="G41" s="240">
        <f t="shared" si="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227"/>
      <c r="C42" s="257"/>
      <c r="D42" s="253"/>
      <c r="E42" s="219"/>
      <c r="F42" s="220"/>
      <c r="G42" s="221">
        <f t="shared" si="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246"/>
      <c r="C43" s="153"/>
      <c r="D43" s="237"/>
      <c r="E43" s="238"/>
      <c r="F43" s="239"/>
      <c r="G43" s="240">
        <f t="shared" si="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227"/>
      <c r="C44" s="257"/>
      <c r="D44" s="253"/>
      <c r="E44" s="219"/>
      <c r="F44" s="220"/>
      <c r="G44" s="221">
        <f t="shared" si="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246"/>
      <c r="C45" s="153"/>
      <c r="D45" s="237"/>
      <c r="E45" s="238"/>
      <c r="F45" s="239"/>
      <c r="G45" s="240">
        <f t="shared" si="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227"/>
      <c r="C46" s="257"/>
      <c r="D46" s="253"/>
      <c r="E46" s="219"/>
      <c r="F46" s="220"/>
      <c r="G46" s="221">
        <f t="shared" si="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246"/>
      <c r="C47" s="153"/>
      <c r="D47" s="237"/>
      <c r="E47" s="238"/>
      <c r="F47" s="239"/>
      <c r="G47" s="240">
        <f t="shared" si="0"/>
        <v>0</v>
      </c>
      <c r="H47" s="241">
        <f t="shared" si="1"/>
        <v>0</v>
      </c>
      <c r="I47" s="242"/>
      <c r="J47" s="243">
        <f t="shared" si="2"/>
        <v>0</v>
      </c>
      <c r="K47" s="240">
        <f t="shared" si="3"/>
        <v>0</v>
      </c>
      <c r="L47" s="240">
        <f t="shared" si="4"/>
        <v>0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0</v>
      </c>
      <c r="T47" s="248">
        <f t="shared" si="7"/>
        <v>0</v>
      </c>
      <c r="U47" s="249">
        <f t="shared" si="8"/>
        <v>0</v>
      </c>
      <c r="V47" s="249">
        <f t="shared" si="9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227"/>
      <c r="C48" s="257"/>
      <c r="D48" s="253"/>
      <c r="E48" s="219"/>
      <c r="F48" s="220"/>
      <c r="G48" s="221">
        <f t="shared" si="0"/>
        <v>0</v>
      </c>
      <c r="H48" s="222">
        <f t="shared" si="1"/>
        <v>0</v>
      </c>
      <c r="I48" s="242"/>
      <c r="J48" s="224">
        <f t="shared" si="2"/>
        <v>0</v>
      </c>
      <c r="K48" s="221">
        <f t="shared" si="3"/>
        <v>0</v>
      </c>
      <c r="L48" s="221">
        <f t="shared" si="4"/>
        <v>0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0</v>
      </c>
      <c r="T48" s="229">
        <f t="shared" si="7"/>
        <v>0</v>
      </c>
      <c r="U48" s="230">
        <f t="shared" si="8"/>
        <v>0</v>
      </c>
      <c r="V48" s="230">
        <f t="shared" si="9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246"/>
      <c r="C49" s="153"/>
      <c r="D49" s="237"/>
      <c r="E49" s="238"/>
      <c r="F49" s="239"/>
      <c r="G49" s="240">
        <f t="shared" si="0"/>
        <v>0</v>
      </c>
      <c r="H49" s="241">
        <f t="shared" si="1"/>
        <v>0</v>
      </c>
      <c r="I49" s="242"/>
      <c r="J49" s="243">
        <f t="shared" si="2"/>
        <v>0</v>
      </c>
      <c r="K49" s="240">
        <f t="shared" si="3"/>
        <v>0</v>
      </c>
      <c r="L49" s="240">
        <f t="shared" si="4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0</v>
      </c>
      <c r="T49" s="248">
        <f t="shared" si="7"/>
        <v>0</v>
      </c>
      <c r="U49" s="249">
        <f t="shared" si="8"/>
        <v>0</v>
      </c>
      <c r="V49" s="249">
        <f t="shared" si="9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227"/>
      <c r="C50" s="257"/>
      <c r="D50" s="253"/>
      <c r="E50" s="219"/>
      <c r="F50" s="220"/>
      <c r="G50" s="221">
        <f t="shared" si="0"/>
        <v>0</v>
      </c>
      <c r="H50" s="222">
        <f t="shared" si="1"/>
        <v>0</v>
      </c>
      <c r="I50" s="242"/>
      <c r="J50" s="224">
        <f t="shared" si="2"/>
        <v>0</v>
      </c>
      <c r="K50" s="221">
        <f t="shared" si="3"/>
        <v>0</v>
      </c>
      <c r="L50" s="221">
        <f t="shared" si="4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0</v>
      </c>
      <c r="T50" s="229">
        <f t="shared" si="7"/>
        <v>0</v>
      </c>
      <c r="U50" s="230">
        <f t="shared" si="8"/>
        <v>0</v>
      </c>
      <c r="V50" s="230">
        <f t="shared" si="9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246"/>
      <c r="C51" s="153"/>
      <c r="D51" s="237"/>
      <c r="E51" s="238"/>
      <c r="F51" s="239"/>
      <c r="G51" s="240">
        <f t="shared" si="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14</v>
      </c>
      <c r="F61" s="265">
        <f>SUM(F18:F60)</f>
        <v>7122.73</v>
      </c>
      <c r="G61" s="266">
        <f>SUM(G18:G60)</f>
        <v>5016.01</v>
      </c>
      <c r="H61" s="267">
        <f>SUM(H18:H60)</f>
        <v>15094.130000000001</v>
      </c>
      <c r="I61" s="268"/>
      <c r="J61" s="269">
        <f>SUM(J18:J60)</f>
        <v>14</v>
      </c>
      <c r="K61" s="266">
        <f>SUM(K18:K60)</f>
        <v>2897.9599999999996</v>
      </c>
      <c r="L61" s="267">
        <f>SUM(L18:L60)</f>
        <v>6883.66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2897.9599999999996</v>
      </c>
      <c r="T61" s="267">
        <f>SUM(T18:T60)</f>
        <v>6883.66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07" priority="3" stopIfTrue="1">
      <formula>$U$9&gt;100%</formula>
    </cfRule>
    <cfRule type="expression" dxfId="206" priority="4">
      <formula>$U$9&lt;50%</formula>
    </cfRule>
  </conditionalFormatting>
  <conditionalFormatting sqref="V9:V10">
    <cfRule type="expression" dxfId="205" priority="1">
      <formula>$V$9&lt;50%</formula>
    </cfRule>
    <cfRule type="expression" dxfId="204" priority="2">
      <formula>$V$9&gt;50%</formula>
    </cfRule>
  </conditionalFormatting>
  <dataValidations count="5">
    <dataValidation type="list" allowBlank="1" showInputMessage="1" showErrorMessage="1" sqref="F17 K17 Q17 Q14" xr:uid="{008EAFD3-B544-4D89-9D84-38C7BB8011B4}">
      <formula1>$Y$11:$Y$12</formula1>
    </dataValidation>
    <dataValidation type="list" allowBlank="1" showInputMessage="1" showErrorMessage="1" sqref="H13" xr:uid="{D8FC2B11-B9B0-45DE-B064-77A8E64B9677}">
      <formula1>$Y$13:$Y$14</formula1>
    </dataValidation>
    <dataValidation type="list" allowBlank="1" showInputMessage="1" showErrorMessage="1" sqref="I13" xr:uid="{737A74B1-7B8F-4E69-9886-1AB79DE22337}">
      <formula1>$K$9:$K$9</formula1>
    </dataValidation>
    <dataValidation type="list" showInputMessage="1" showErrorMessage="1" sqref="D18:D60" xr:uid="{5CD864EE-F19C-4EC7-8DC5-07F02FE353A0}">
      <formula1>$Z$18:$Z$29</formula1>
    </dataValidation>
    <dataValidation type="list" allowBlank="1" showInputMessage="1" showErrorMessage="1" sqref="M18:M60" xr:uid="{F104930D-7073-40E6-AA06-7ACB563A9CAD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380F8-10CA-4604-9D7C-DE59A8F18A4F}">
  <sheetPr>
    <pageSetUpPr fitToPage="1"/>
  </sheetPr>
  <dimension ref="A1:AB63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523" t="s">
        <v>2</v>
      </c>
      <c r="I1" s="524"/>
      <c r="J1" s="524"/>
      <c r="K1" s="525"/>
      <c r="L1" s="528" t="s">
        <v>3</v>
      </c>
      <c r="M1" s="529"/>
      <c r="N1" s="529"/>
      <c r="O1" s="529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59">
        <v>55224</v>
      </c>
      <c r="G2" s="549"/>
      <c r="H2" s="546" t="s">
        <v>7</v>
      </c>
      <c r="I2" s="550"/>
      <c r="J2" s="547"/>
      <c r="K2" s="148"/>
      <c r="L2" s="551" t="s">
        <v>8</v>
      </c>
      <c r="M2" s="552"/>
      <c r="N2" s="553"/>
      <c r="O2" s="149"/>
      <c r="P2" s="554">
        <f>H61</f>
        <v>15094.130000000001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532" t="s">
        <v>13</v>
      </c>
      <c r="I3" s="536"/>
      <c r="J3" s="533"/>
      <c r="K3" s="154"/>
      <c r="L3" s="537" t="s">
        <v>14</v>
      </c>
      <c r="M3" s="538"/>
      <c r="N3" s="539"/>
      <c r="O3" s="149"/>
      <c r="P3" s="540">
        <f>L61</f>
        <v>6883.66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534" t="s">
        <v>137</v>
      </c>
      <c r="G4" s="535"/>
      <c r="H4" s="532" t="s">
        <v>19</v>
      </c>
      <c r="I4" s="536"/>
      <c r="J4" s="533"/>
      <c r="K4" s="154"/>
      <c r="L4" s="537" t="s">
        <v>20</v>
      </c>
      <c r="M4" s="538"/>
      <c r="N4" s="539"/>
      <c r="O4" s="149"/>
      <c r="P4" s="540">
        <f>P2-P3</f>
        <v>8210.4700000000012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534" t="s">
        <v>148</v>
      </c>
      <c r="G5" s="535"/>
      <c r="H5" s="532" t="s">
        <v>25</v>
      </c>
      <c r="I5" s="536"/>
      <c r="J5" s="533"/>
      <c r="K5" s="154"/>
      <c r="L5" s="558" t="s">
        <v>26</v>
      </c>
      <c r="M5" s="559"/>
      <c r="N5" s="560"/>
      <c r="O5" s="149"/>
      <c r="P5" s="561">
        <f>IFERROR((P2-P3)/P2,"")</f>
        <v>0.54395119162217365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60" t="s">
        <v>174</v>
      </c>
      <c r="G6" s="535"/>
      <c r="H6" s="532" t="s">
        <v>31</v>
      </c>
      <c r="I6" s="536"/>
      <c r="J6" s="533"/>
      <c r="K6" s="154"/>
      <c r="L6" s="574" t="s">
        <v>32</v>
      </c>
      <c r="M6" s="575"/>
      <c r="N6" s="576"/>
      <c r="O6" s="149"/>
      <c r="P6" s="577">
        <f>T61</f>
        <v>6883.66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663" t="s">
        <v>175</v>
      </c>
      <c r="G7" s="535"/>
      <c r="H7" s="532" t="s">
        <v>36</v>
      </c>
      <c r="I7" s="536"/>
      <c r="J7" s="533"/>
      <c r="K7" s="154"/>
      <c r="L7" s="564" t="s">
        <v>37</v>
      </c>
      <c r="M7" s="565"/>
      <c r="N7" s="56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532" t="s">
        <v>40</v>
      </c>
      <c r="I8" s="536"/>
      <c r="J8" s="533"/>
      <c r="K8" s="154"/>
      <c r="L8" s="564" t="s">
        <v>41</v>
      </c>
      <c r="M8" s="565"/>
      <c r="N8" s="56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407</v>
      </c>
      <c r="G9" s="535"/>
      <c r="H9" s="171"/>
      <c r="I9" s="172"/>
      <c r="J9" s="172"/>
      <c r="K9" s="173"/>
      <c r="L9" s="564" t="s">
        <v>47</v>
      </c>
      <c r="M9" s="565"/>
      <c r="N9" s="56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6883.66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542" t="s">
        <v>48</v>
      </c>
      <c r="M10" s="579"/>
      <c r="N10" s="543"/>
      <c r="O10" s="149"/>
      <c r="P10" s="580">
        <f>E61</f>
        <v>14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650" t="s">
        <v>50</v>
      </c>
      <c r="K11" s="651"/>
      <c r="L11" s="651"/>
      <c r="M11" s="651"/>
      <c r="N11" s="652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653"/>
      <c r="K12" s="654"/>
      <c r="L12" s="654"/>
      <c r="M12" s="654"/>
      <c r="N12" s="655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656"/>
      <c r="K13" s="657"/>
      <c r="L13" s="657"/>
      <c r="M13" s="657"/>
      <c r="N13" s="658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601" t="s">
        <v>59</v>
      </c>
      <c r="K14" s="602"/>
      <c r="L14" s="605" t="s">
        <v>60</v>
      </c>
      <c r="M14" s="606"/>
      <c r="N14" s="60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603"/>
      <c r="K15" s="604"/>
      <c r="L15" s="608"/>
      <c r="M15" s="609"/>
      <c r="N15" s="61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631" t="s">
        <v>69</v>
      </c>
      <c r="K16" s="201" t="s">
        <v>72</v>
      </c>
      <c r="L16" s="202" t="s">
        <v>73</v>
      </c>
      <c r="M16" s="633" t="s">
        <v>74</v>
      </c>
      <c r="N16" s="633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3"/>
      <c r="C17" s="625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632"/>
      <c r="K17" s="614" t="s">
        <v>52</v>
      </c>
      <c r="L17" s="615"/>
      <c r="M17" s="634"/>
      <c r="N17" s="634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 s="216" t="s">
        <v>151</v>
      </c>
      <c r="C18" s="217" t="s">
        <v>141</v>
      </c>
      <c r="D18" s="218"/>
      <c r="E18" s="219">
        <v>1</v>
      </c>
      <c r="F18" s="220">
        <v>68.569999999999993</v>
      </c>
      <c r="G18" s="221">
        <f t="shared" ref="G18:G60" si="0">ROUND(IF($F$17="USD $", F18*$E$15,F18*$D$15),2)</f>
        <v>48.29</v>
      </c>
      <c r="H18" s="222">
        <f t="shared" ref="H18:H60" si="1">ROUND(IF($H$17=$G$17,E18*G18,E18*F18),2)</f>
        <v>68.569999999999993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26.06</v>
      </c>
      <c r="L18" s="221">
        <f t="shared" ref="L18:L60" si="4">ROUND((J18*K18),2)</f>
        <v>26.06</v>
      </c>
      <c r="M18" s="220" t="s">
        <v>84</v>
      </c>
      <c r="N18" s="225">
        <v>0.62</v>
      </c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26.06</v>
      </c>
      <c r="T18" s="229">
        <f t="shared" ref="T18:T60" si="7">ROUND(L18-R18,2)</f>
        <v>26.06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246" t="s">
        <v>152</v>
      </c>
      <c r="C19" s="153" t="s">
        <v>153</v>
      </c>
      <c r="D19" s="237"/>
      <c r="E19" s="238">
        <v>1</v>
      </c>
      <c r="F19" s="239">
        <v>102.33</v>
      </c>
      <c r="G19" s="240">
        <f t="shared" si="0"/>
        <v>72.06</v>
      </c>
      <c r="H19" s="241">
        <f t="shared" si="1"/>
        <v>102.33</v>
      </c>
      <c r="I19" s="242"/>
      <c r="J19" s="243">
        <f t="shared" si="2"/>
        <v>1</v>
      </c>
      <c r="K19" s="240">
        <f t="shared" si="3"/>
        <v>38.89</v>
      </c>
      <c r="L19" s="240">
        <f t="shared" si="4"/>
        <v>38.89</v>
      </c>
      <c r="M19" s="244" t="s">
        <v>84</v>
      </c>
      <c r="N19" s="245">
        <v>0.62</v>
      </c>
      <c r="O19" s="226"/>
      <c r="P19" s="246"/>
      <c r="Q19" s="239"/>
      <c r="R19" s="247">
        <f t="shared" si="5"/>
        <v>0</v>
      </c>
      <c r="S19" s="248">
        <f t="shared" si="6"/>
        <v>38.89</v>
      </c>
      <c r="T19" s="248">
        <f t="shared" si="7"/>
        <v>38.89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260" t="s">
        <v>154</v>
      </c>
      <c r="C20" s="257" t="s">
        <v>155</v>
      </c>
      <c r="D20" s="253"/>
      <c r="E20" s="219">
        <v>1</v>
      </c>
      <c r="F20" s="220">
        <v>50.28</v>
      </c>
      <c r="G20" s="221">
        <f t="shared" si="0"/>
        <v>35.409999999999997</v>
      </c>
      <c r="H20" s="222">
        <f t="shared" si="1"/>
        <v>50.28</v>
      </c>
      <c r="I20" s="242"/>
      <c r="J20" s="224">
        <f t="shared" si="2"/>
        <v>1</v>
      </c>
      <c r="K20" s="221">
        <f t="shared" si="3"/>
        <v>19.11</v>
      </c>
      <c r="L20" s="221">
        <f t="shared" si="4"/>
        <v>19.11</v>
      </c>
      <c r="M20" s="220" t="s">
        <v>84</v>
      </c>
      <c r="N20" s="254">
        <v>0.62</v>
      </c>
      <c r="O20" s="226"/>
      <c r="P20" s="255"/>
      <c r="Q20" s="228"/>
      <c r="R20" s="229">
        <f t="shared" si="5"/>
        <v>0</v>
      </c>
      <c r="S20" s="229">
        <f t="shared" si="6"/>
        <v>19.11</v>
      </c>
      <c r="T20" s="229">
        <f t="shared" si="7"/>
        <v>19.11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235" t="s">
        <v>156</v>
      </c>
      <c r="C21" s="236" t="s">
        <v>157</v>
      </c>
      <c r="D21" s="237"/>
      <c r="E21" s="238">
        <v>1</v>
      </c>
      <c r="F21" s="239">
        <v>112.39</v>
      </c>
      <c r="G21" s="240">
        <f t="shared" si="0"/>
        <v>79.150000000000006</v>
      </c>
      <c r="H21" s="241">
        <f t="shared" si="1"/>
        <v>112.39</v>
      </c>
      <c r="I21" s="242"/>
      <c r="J21" s="243">
        <f t="shared" si="2"/>
        <v>1</v>
      </c>
      <c r="K21" s="240">
        <f t="shared" si="3"/>
        <v>42.71</v>
      </c>
      <c r="L21" s="240">
        <f t="shared" si="4"/>
        <v>42.71</v>
      </c>
      <c r="M21" s="244" t="s">
        <v>84</v>
      </c>
      <c r="N21" s="245">
        <v>0.62</v>
      </c>
      <c r="O21" s="226"/>
      <c r="P21" s="246"/>
      <c r="Q21" s="239"/>
      <c r="R21" s="247">
        <f t="shared" si="5"/>
        <v>0</v>
      </c>
      <c r="S21" s="248">
        <f t="shared" si="6"/>
        <v>42.71</v>
      </c>
      <c r="T21" s="248">
        <f t="shared" si="7"/>
        <v>42.71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251" t="s">
        <v>158</v>
      </c>
      <c r="C22" s="252" t="s">
        <v>83</v>
      </c>
      <c r="D22" s="253"/>
      <c r="E22" s="219">
        <v>1</v>
      </c>
      <c r="F22" s="220">
        <v>118.01</v>
      </c>
      <c r="G22" s="221">
        <f t="shared" si="0"/>
        <v>83.11</v>
      </c>
      <c r="H22" s="222">
        <f t="shared" si="1"/>
        <v>118.01</v>
      </c>
      <c r="I22" s="242"/>
      <c r="J22" s="224">
        <f t="shared" si="2"/>
        <v>1</v>
      </c>
      <c r="K22" s="221">
        <f t="shared" si="3"/>
        <v>44.84</v>
      </c>
      <c r="L22" s="221">
        <f t="shared" si="4"/>
        <v>44.84</v>
      </c>
      <c r="M22" s="220" t="s">
        <v>84</v>
      </c>
      <c r="N22" s="254">
        <v>0.62</v>
      </c>
      <c r="O22" s="226"/>
      <c r="P22" s="255"/>
      <c r="Q22" s="228"/>
      <c r="R22" s="229">
        <f t="shared" si="5"/>
        <v>0</v>
      </c>
      <c r="S22" s="229">
        <f t="shared" si="6"/>
        <v>44.84</v>
      </c>
      <c r="T22" s="229">
        <f t="shared" si="7"/>
        <v>44.84</v>
      </c>
      <c r="U22" s="230">
        <f t="shared" si="8"/>
        <v>0</v>
      </c>
      <c r="V22" s="230">
        <f t="shared" si="9"/>
        <v>1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246" t="s">
        <v>159</v>
      </c>
      <c r="C23" s="153" t="s">
        <v>160</v>
      </c>
      <c r="D23" s="237"/>
      <c r="E23" s="238">
        <v>1</v>
      </c>
      <c r="F23" s="239">
        <v>35.869999999999997</v>
      </c>
      <c r="G23" s="240">
        <f t="shared" si="0"/>
        <v>25.26</v>
      </c>
      <c r="H23" s="241">
        <f t="shared" si="1"/>
        <v>35.869999999999997</v>
      </c>
      <c r="I23" s="242"/>
      <c r="J23" s="243">
        <f t="shared" si="2"/>
        <v>1</v>
      </c>
      <c r="K23" s="240">
        <f t="shared" si="3"/>
        <v>13.63</v>
      </c>
      <c r="L23" s="240">
        <f t="shared" si="4"/>
        <v>13.63</v>
      </c>
      <c r="M23" s="244" t="s">
        <v>84</v>
      </c>
      <c r="N23" s="245">
        <v>0.62</v>
      </c>
      <c r="O23" s="226"/>
      <c r="P23" s="246"/>
      <c r="Q23" s="239"/>
      <c r="R23" s="247">
        <f t="shared" si="5"/>
        <v>0</v>
      </c>
      <c r="S23" s="248">
        <f t="shared" si="6"/>
        <v>13.63</v>
      </c>
      <c r="T23" s="248">
        <f t="shared" si="7"/>
        <v>13.63</v>
      </c>
      <c r="U23" s="249">
        <f t="shared" si="8"/>
        <v>0</v>
      </c>
      <c r="V23" s="249">
        <f t="shared" si="9"/>
        <v>1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256" t="s">
        <v>161</v>
      </c>
      <c r="C24" s="153" t="s">
        <v>133</v>
      </c>
      <c r="D24" s="253"/>
      <c r="E24" s="219">
        <v>1</v>
      </c>
      <c r="F24" s="220">
        <v>5041</v>
      </c>
      <c r="G24" s="221">
        <f t="shared" si="0"/>
        <v>3550</v>
      </c>
      <c r="H24" s="222">
        <f t="shared" si="1"/>
        <v>5041</v>
      </c>
      <c r="I24" s="242"/>
      <c r="J24" s="224">
        <f t="shared" si="2"/>
        <v>1</v>
      </c>
      <c r="K24" s="221">
        <f t="shared" si="3"/>
        <v>1915.58</v>
      </c>
      <c r="L24" s="221">
        <f t="shared" si="4"/>
        <v>1915.58</v>
      </c>
      <c r="M24" s="220" t="s">
        <v>84</v>
      </c>
      <c r="N24" s="254">
        <v>0.62</v>
      </c>
      <c r="O24" s="226"/>
      <c r="P24" s="255"/>
      <c r="Q24" s="228"/>
      <c r="R24" s="229">
        <f t="shared" si="5"/>
        <v>0</v>
      </c>
      <c r="S24" s="229">
        <f t="shared" si="6"/>
        <v>1915.58</v>
      </c>
      <c r="T24" s="229">
        <f t="shared" si="7"/>
        <v>1915.58</v>
      </c>
      <c r="U24" s="230">
        <f t="shared" si="8"/>
        <v>0</v>
      </c>
      <c r="V24" s="230">
        <f t="shared" si="9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 s="246"/>
      <c r="C25" s="257" t="s">
        <v>134</v>
      </c>
      <c r="D25" s="237"/>
      <c r="E25" s="238">
        <v>1</v>
      </c>
      <c r="F25" s="239"/>
      <c r="G25" s="240">
        <f t="shared" si="0"/>
        <v>0</v>
      </c>
      <c r="H25" s="241">
        <f t="shared" si="1"/>
        <v>0</v>
      </c>
      <c r="I25" s="242"/>
      <c r="J25" s="243">
        <f t="shared" si="2"/>
        <v>1</v>
      </c>
      <c r="K25" s="240">
        <f t="shared" si="3"/>
        <v>0</v>
      </c>
      <c r="L25" s="240">
        <f t="shared" si="4"/>
        <v>0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0</v>
      </c>
      <c r="T25" s="248">
        <f t="shared" si="7"/>
        <v>0</v>
      </c>
      <c r="U25" s="249">
        <f t="shared" si="8"/>
        <v>0</v>
      </c>
      <c r="V25" s="249">
        <f t="shared" si="9"/>
        <v>0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 s="258" t="s">
        <v>162</v>
      </c>
      <c r="C26" s="153" t="s">
        <v>163</v>
      </c>
      <c r="D26" s="253"/>
      <c r="E26" s="219">
        <v>6</v>
      </c>
      <c r="F26" s="220">
        <v>1594.28</v>
      </c>
      <c r="G26" s="221">
        <f t="shared" si="0"/>
        <v>1122.73</v>
      </c>
      <c r="H26" s="222">
        <f t="shared" si="1"/>
        <v>9565.68</v>
      </c>
      <c r="I26" s="242"/>
      <c r="J26" s="224">
        <f t="shared" si="2"/>
        <v>6</v>
      </c>
      <c r="K26" s="221">
        <f t="shared" si="3"/>
        <v>797.14</v>
      </c>
      <c r="L26" s="221">
        <f t="shared" si="4"/>
        <v>4782.84</v>
      </c>
      <c r="M26" s="220" t="s">
        <v>84</v>
      </c>
      <c r="N26" s="254">
        <v>0.5</v>
      </c>
      <c r="O26" s="226"/>
      <c r="P26" s="255"/>
      <c r="Q26" s="228"/>
      <c r="R26" s="229">
        <f t="shared" si="5"/>
        <v>0</v>
      </c>
      <c r="S26" s="229">
        <f t="shared" si="6"/>
        <v>797.14</v>
      </c>
      <c r="T26" s="229">
        <f t="shared" si="7"/>
        <v>4782.84</v>
      </c>
      <c r="U26" s="230">
        <f t="shared" si="8"/>
        <v>0</v>
      </c>
      <c r="V26" s="230">
        <f t="shared" si="9"/>
        <v>1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246"/>
      <c r="C27" s="153"/>
      <c r="D27" s="237"/>
      <c r="E27" s="238"/>
      <c r="F27" s="239"/>
      <c r="G27" s="240">
        <f t="shared" si="0"/>
        <v>0</v>
      </c>
      <c r="H27" s="241">
        <f t="shared" si="1"/>
        <v>0</v>
      </c>
      <c r="I27" s="242"/>
      <c r="J27" s="243">
        <f t="shared" si="2"/>
        <v>0</v>
      </c>
      <c r="K27" s="240">
        <f t="shared" si="3"/>
        <v>0</v>
      </c>
      <c r="L27" s="240">
        <f t="shared" si="4"/>
        <v>0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0</v>
      </c>
      <c r="T27" s="248">
        <f t="shared" si="7"/>
        <v>0</v>
      </c>
      <c r="U27" s="249">
        <f t="shared" si="8"/>
        <v>0</v>
      </c>
      <c r="V27" s="249">
        <f t="shared" si="9"/>
        <v>0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260"/>
      <c r="C28" s="257"/>
      <c r="D28" s="253"/>
      <c r="E28" s="219"/>
      <c r="F28" s="220"/>
      <c r="G28" s="221">
        <f t="shared" si="0"/>
        <v>0</v>
      </c>
      <c r="H28" s="222">
        <f t="shared" si="1"/>
        <v>0</v>
      </c>
      <c r="I28" s="242"/>
      <c r="J28" s="224">
        <f t="shared" si="2"/>
        <v>0</v>
      </c>
      <c r="K28" s="221">
        <f t="shared" si="3"/>
        <v>0</v>
      </c>
      <c r="L28" s="221">
        <f t="shared" si="4"/>
        <v>0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0</v>
      </c>
      <c r="T28" s="229">
        <f t="shared" si="7"/>
        <v>0</v>
      </c>
      <c r="U28" s="230">
        <f t="shared" si="8"/>
        <v>0</v>
      </c>
      <c r="V28" s="230">
        <f t="shared" si="9"/>
        <v>0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246"/>
      <c r="C29" s="153"/>
      <c r="D29" s="237"/>
      <c r="E29" s="238"/>
      <c r="F29" s="239"/>
      <c r="G29" s="240">
        <f t="shared" si="0"/>
        <v>0</v>
      </c>
      <c r="H29" s="241">
        <f t="shared" si="1"/>
        <v>0</v>
      </c>
      <c r="I29" s="242"/>
      <c r="J29" s="243">
        <f t="shared" si="2"/>
        <v>0</v>
      </c>
      <c r="K29" s="240">
        <f t="shared" si="3"/>
        <v>0</v>
      </c>
      <c r="L29" s="240">
        <f t="shared" si="4"/>
        <v>0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0</v>
      </c>
      <c r="T29" s="248">
        <f t="shared" si="7"/>
        <v>0</v>
      </c>
      <c r="U29" s="249">
        <f t="shared" si="8"/>
        <v>0</v>
      </c>
      <c r="V29" s="249">
        <f t="shared" si="9"/>
        <v>0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227"/>
      <c r="C30" s="257"/>
      <c r="D30" s="253"/>
      <c r="E30" s="219"/>
      <c r="F30" s="220"/>
      <c r="G30" s="221">
        <f t="shared" si="0"/>
        <v>0</v>
      </c>
      <c r="H30" s="222">
        <f t="shared" si="1"/>
        <v>0</v>
      </c>
      <c r="I30" s="242"/>
      <c r="J30" s="224">
        <f t="shared" si="2"/>
        <v>0</v>
      </c>
      <c r="K30" s="221">
        <f t="shared" si="3"/>
        <v>0</v>
      </c>
      <c r="L30" s="221">
        <f t="shared" si="4"/>
        <v>0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0</v>
      </c>
      <c r="T30" s="229">
        <f t="shared" si="7"/>
        <v>0</v>
      </c>
      <c r="U30" s="230">
        <f t="shared" si="8"/>
        <v>0</v>
      </c>
      <c r="V30" s="230">
        <f t="shared" si="9"/>
        <v>0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246"/>
      <c r="C31" s="153"/>
      <c r="D31" s="237"/>
      <c r="E31" s="238"/>
      <c r="F31" s="239"/>
      <c r="G31" s="240">
        <f t="shared" si="0"/>
        <v>0</v>
      </c>
      <c r="H31" s="241">
        <f t="shared" si="1"/>
        <v>0</v>
      </c>
      <c r="I31" s="242"/>
      <c r="J31" s="243">
        <f t="shared" si="2"/>
        <v>0</v>
      </c>
      <c r="K31" s="240">
        <f t="shared" si="3"/>
        <v>0</v>
      </c>
      <c r="L31" s="240">
        <f t="shared" si="4"/>
        <v>0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0</v>
      </c>
      <c r="T31" s="248">
        <f t="shared" si="7"/>
        <v>0</v>
      </c>
      <c r="U31" s="249">
        <f t="shared" si="8"/>
        <v>0</v>
      </c>
      <c r="V31" s="249">
        <f t="shared" si="9"/>
        <v>0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227"/>
      <c r="C32" s="257"/>
      <c r="D32" s="253"/>
      <c r="E32" s="219"/>
      <c r="F32" s="220"/>
      <c r="G32" s="221">
        <f t="shared" si="0"/>
        <v>0</v>
      </c>
      <c r="H32" s="222">
        <f t="shared" si="1"/>
        <v>0</v>
      </c>
      <c r="I32" s="242"/>
      <c r="J32" s="224">
        <f t="shared" si="2"/>
        <v>0</v>
      </c>
      <c r="K32" s="221">
        <f t="shared" si="3"/>
        <v>0</v>
      </c>
      <c r="L32" s="221">
        <f t="shared" si="4"/>
        <v>0</v>
      </c>
      <c r="M32" s="220" t="s">
        <v>84</v>
      </c>
      <c r="N32" s="254">
        <v>0.5</v>
      </c>
      <c r="O32" s="226"/>
      <c r="P32" s="255"/>
      <c r="Q32" s="228"/>
      <c r="R32" s="229">
        <f t="shared" si="5"/>
        <v>0</v>
      </c>
      <c r="S32" s="229">
        <f t="shared" si="6"/>
        <v>0</v>
      </c>
      <c r="T32" s="229">
        <f t="shared" si="7"/>
        <v>0</v>
      </c>
      <c r="U32" s="230">
        <f t="shared" si="8"/>
        <v>0</v>
      </c>
      <c r="V32" s="230">
        <f t="shared" si="9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246"/>
      <c r="C33" s="153"/>
      <c r="D33" s="237"/>
      <c r="E33" s="238"/>
      <c r="F33" s="239"/>
      <c r="G33" s="240">
        <f t="shared" si="0"/>
        <v>0</v>
      </c>
      <c r="H33" s="241">
        <f t="shared" si="1"/>
        <v>0</v>
      </c>
      <c r="I33" s="242"/>
      <c r="J33" s="243">
        <f t="shared" si="2"/>
        <v>0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227"/>
      <c r="C34" s="257"/>
      <c r="D34" s="253"/>
      <c r="E34" s="219"/>
      <c r="F34" s="220"/>
      <c r="G34" s="221">
        <f t="shared" si="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>
        <v>0.5</v>
      </c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246"/>
      <c r="C35" s="153"/>
      <c r="D35" s="237"/>
      <c r="E35" s="238"/>
      <c r="F35" s="239"/>
      <c r="G35" s="240">
        <f t="shared" si="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>
        <v>0.5</v>
      </c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227"/>
      <c r="C36" s="257"/>
      <c r="D36" s="253"/>
      <c r="E36" s="219"/>
      <c r="F36" s="220"/>
      <c r="G36" s="221">
        <f t="shared" si="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246"/>
      <c r="C37" s="153"/>
      <c r="D37" s="237"/>
      <c r="E37" s="238"/>
      <c r="F37" s="239"/>
      <c r="G37" s="240">
        <f t="shared" si="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227"/>
      <c r="C38" s="257"/>
      <c r="D38" s="253"/>
      <c r="E38" s="219"/>
      <c r="F38" s="220"/>
      <c r="G38" s="221">
        <f t="shared" si="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246"/>
      <c r="C39" s="153"/>
      <c r="D39" s="237"/>
      <c r="E39" s="238"/>
      <c r="F39" s="239"/>
      <c r="G39" s="240">
        <f t="shared" si="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227"/>
      <c r="C40" s="257"/>
      <c r="D40" s="253"/>
      <c r="E40" s="219"/>
      <c r="F40" s="220"/>
      <c r="G40" s="221">
        <f t="shared" si="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246"/>
      <c r="C41" s="153"/>
      <c r="D41" s="237"/>
      <c r="E41" s="238"/>
      <c r="F41" s="239"/>
      <c r="G41" s="240">
        <f t="shared" si="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227"/>
      <c r="C42" s="257"/>
      <c r="D42" s="253"/>
      <c r="E42" s="219"/>
      <c r="F42" s="220"/>
      <c r="G42" s="221">
        <f t="shared" si="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246"/>
      <c r="C43" s="153"/>
      <c r="D43" s="237"/>
      <c r="E43" s="238"/>
      <c r="F43" s="239"/>
      <c r="G43" s="240">
        <f t="shared" si="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227"/>
      <c r="C44" s="257"/>
      <c r="D44" s="253"/>
      <c r="E44" s="219"/>
      <c r="F44" s="220"/>
      <c r="G44" s="221">
        <f t="shared" si="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246"/>
      <c r="C45" s="153"/>
      <c r="D45" s="237"/>
      <c r="E45" s="238"/>
      <c r="F45" s="239"/>
      <c r="G45" s="240">
        <f t="shared" si="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227"/>
      <c r="C46" s="257"/>
      <c r="D46" s="253"/>
      <c r="E46" s="219"/>
      <c r="F46" s="220"/>
      <c r="G46" s="221">
        <f t="shared" si="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246"/>
      <c r="C47" s="153"/>
      <c r="D47" s="237"/>
      <c r="E47" s="238"/>
      <c r="F47" s="239"/>
      <c r="G47" s="240">
        <f t="shared" si="0"/>
        <v>0</v>
      </c>
      <c r="H47" s="241">
        <f t="shared" si="1"/>
        <v>0</v>
      </c>
      <c r="I47" s="242"/>
      <c r="J47" s="243">
        <f t="shared" si="2"/>
        <v>0</v>
      </c>
      <c r="K47" s="240">
        <f t="shared" si="3"/>
        <v>0</v>
      </c>
      <c r="L47" s="240">
        <f t="shared" si="4"/>
        <v>0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0</v>
      </c>
      <c r="T47" s="248">
        <f t="shared" si="7"/>
        <v>0</v>
      </c>
      <c r="U47" s="249">
        <f t="shared" si="8"/>
        <v>0</v>
      </c>
      <c r="V47" s="249">
        <f t="shared" si="9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227"/>
      <c r="C48" s="257"/>
      <c r="D48" s="253"/>
      <c r="E48" s="219"/>
      <c r="F48" s="220"/>
      <c r="G48" s="221">
        <f t="shared" si="0"/>
        <v>0</v>
      </c>
      <c r="H48" s="222">
        <f t="shared" si="1"/>
        <v>0</v>
      </c>
      <c r="I48" s="242"/>
      <c r="J48" s="224">
        <f t="shared" si="2"/>
        <v>0</v>
      </c>
      <c r="K48" s="221">
        <f t="shared" si="3"/>
        <v>0</v>
      </c>
      <c r="L48" s="221">
        <f t="shared" si="4"/>
        <v>0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0</v>
      </c>
      <c r="T48" s="229">
        <f t="shared" si="7"/>
        <v>0</v>
      </c>
      <c r="U48" s="230">
        <f t="shared" si="8"/>
        <v>0</v>
      </c>
      <c r="V48" s="230">
        <f t="shared" si="9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246"/>
      <c r="C49" s="153"/>
      <c r="D49" s="237"/>
      <c r="E49" s="238"/>
      <c r="F49" s="239"/>
      <c r="G49" s="240">
        <f t="shared" si="0"/>
        <v>0</v>
      </c>
      <c r="H49" s="241">
        <f t="shared" si="1"/>
        <v>0</v>
      </c>
      <c r="I49" s="242"/>
      <c r="J49" s="243">
        <f t="shared" si="2"/>
        <v>0</v>
      </c>
      <c r="K49" s="240">
        <f t="shared" si="3"/>
        <v>0</v>
      </c>
      <c r="L49" s="240">
        <f t="shared" si="4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0</v>
      </c>
      <c r="T49" s="248">
        <f t="shared" si="7"/>
        <v>0</v>
      </c>
      <c r="U49" s="249">
        <f t="shared" si="8"/>
        <v>0</v>
      </c>
      <c r="V49" s="249">
        <f t="shared" si="9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227"/>
      <c r="C50" s="257"/>
      <c r="D50" s="253"/>
      <c r="E50" s="219"/>
      <c r="F50" s="220"/>
      <c r="G50" s="221">
        <f t="shared" si="0"/>
        <v>0</v>
      </c>
      <c r="H50" s="222">
        <f t="shared" si="1"/>
        <v>0</v>
      </c>
      <c r="I50" s="242"/>
      <c r="J50" s="224">
        <f t="shared" si="2"/>
        <v>0</v>
      </c>
      <c r="K50" s="221">
        <f t="shared" si="3"/>
        <v>0</v>
      </c>
      <c r="L50" s="221">
        <f t="shared" si="4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0</v>
      </c>
      <c r="T50" s="229">
        <f t="shared" si="7"/>
        <v>0</v>
      </c>
      <c r="U50" s="230">
        <f t="shared" si="8"/>
        <v>0</v>
      </c>
      <c r="V50" s="230">
        <f t="shared" si="9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246"/>
      <c r="C51" s="153"/>
      <c r="D51" s="237"/>
      <c r="E51" s="238"/>
      <c r="F51" s="239"/>
      <c r="G51" s="240">
        <f t="shared" si="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14</v>
      </c>
      <c r="F61" s="265">
        <f>SUM(F18:F60)</f>
        <v>7122.73</v>
      </c>
      <c r="G61" s="266">
        <f>SUM(G18:G60)</f>
        <v>5016.01</v>
      </c>
      <c r="H61" s="267">
        <f>SUM(H18:H60)</f>
        <v>15094.130000000001</v>
      </c>
      <c r="I61" s="268"/>
      <c r="J61" s="269">
        <f>SUM(J18:J60)</f>
        <v>14</v>
      </c>
      <c r="K61" s="266">
        <f>SUM(K18:K60)</f>
        <v>2897.9599999999996</v>
      </c>
      <c r="L61" s="267">
        <f>SUM(L18:L60)</f>
        <v>6883.66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2897.9599999999996</v>
      </c>
      <c r="T61" s="267">
        <f>SUM(T18:T60)</f>
        <v>6883.66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03" priority="3" stopIfTrue="1">
      <formula>$U$9&gt;100%</formula>
    </cfRule>
    <cfRule type="expression" dxfId="202" priority="4">
      <formula>$U$9&lt;50%</formula>
    </cfRule>
  </conditionalFormatting>
  <conditionalFormatting sqref="V9:V10">
    <cfRule type="expression" dxfId="201" priority="1">
      <formula>$V$9&lt;50%</formula>
    </cfRule>
    <cfRule type="expression" dxfId="200" priority="2">
      <formula>$V$9&gt;50%</formula>
    </cfRule>
  </conditionalFormatting>
  <dataValidations count="5">
    <dataValidation type="list" allowBlank="1" showInputMessage="1" showErrorMessage="1" sqref="M18:M60" xr:uid="{0CDD64A5-898C-429E-BBCF-33FA6DB0E730}">
      <formula1>$Y$31:$Y$32</formula1>
    </dataValidation>
    <dataValidation type="list" showInputMessage="1" showErrorMessage="1" sqref="D18:D60" xr:uid="{3846111D-56F7-4712-9CFF-AB1DB58369AA}">
      <formula1>$Z$18:$Z$29</formula1>
    </dataValidation>
    <dataValidation type="list" allowBlank="1" showInputMessage="1" showErrorMessage="1" sqref="I13" xr:uid="{BBB172C0-042A-4C99-B250-E3211C609C89}">
      <formula1>$K$9:$K$9</formula1>
    </dataValidation>
    <dataValidation type="list" allowBlank="1" showInputMessage="1" showErrorMessage="1" sqref="H13" xr:uid="{AD4DEFFA-F1EB-4DEE-827D-F0F1F325DAEC}">
      <formula1>$Y$13:$Y$14</formula1>
    </dataValidation>
    <dataValidation type="list" allowBlank="1" showInputMessage="1" showErrorMessage="1" sqref="F17 K17 Q17 Q14" xr:uid="{25DF79D3-B557-4652-9EAF-5BF0A19EA076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9F1EA-8CFB-4AFD-AB26-4CD91052F3A1}">
  <sheetPr>
    <pageSetUpPr fitToPage="1"/>
  </sheetPr>
  <dimension ref="A1:AB63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523" t="s">
        <v>2</v>
      </c>
      <c r="I1" s="524"/>
      <c r="J1" s="524"/>
      <c r="K1" s="525"/>
      <c r="L1" s="528" t="s">
        <v>3</v>
      </c>
      <c r="M1" s="529"/>
      <c r="N1" s="529"/>
      <c r="O1" s="529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59">
        <v>486001</v>
      </c>
      <c r="G2" s="549"/>
      <c r="H2" s="546" t="s">
        <v>7</v>
      </c>
      <c r="I2" s="550"/>
      <c r="J2" s="547"/>
      <c r="K2" s="148"/>
      <c r="L2" s="551" t="s">
        <v>8</v>
      </c>
      <c r="M2" s="552"/>
      <c r="N2" s="553"/>
      <c r="O2" s="149"/>
      <c r="P2" s="554">
        <f>H61</f>
        <v>63794.709999999992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532" t="s">
        <v>13</v>
      </c>
      <c r="I3" s="536"/>
      <c r="J3" s="533"/>
      <c r="K3" s="154"/>
      <c r="L3" s="537" t="s">
        <v>14</v>
      </c>
      <c r="M3" s="538"/>
      <c r="N3" s="539"/>
      <c r="O3" s="149"/>
      <c r="P3" s="540">
        <f>L61</f>
        <v>53888.060000000005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665" t="s">
        <v>176</v>
      </c>
      <c r="G4" s="666"/>
      <c r="H4" s="532" t="s">
        <v>19</v>
      </c>
      <c r="I4" s="536"/>
      <c r="J4" s="533"/>
      <c r="K4" s="154"/>
      <c r="L4" s="537" t="s">
        <v>20</v>
      </c>
      <c r="M4" s="538"/>
      <c r="N4" s="539"/>
      <c r="O4" s="149"/>
      <c r="P4" s="540">
        <f>P2-P3</f>
        <v>9906.6499999999869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665" t="s">
        <v>177</v>
      </c>
      <c r="G5" s="666"/>
      <c r="H5" s="532" t="s">
        <v>25</v>
      </c>
      <c r="I5" s="536"/>
      <c r="J5" s="533"/>
      <c r="K5" s="154"/>
      <c r="L5" s="558" t="s">
        <v>26</v>
      </c>
      <c r="M5" s="559"/>
      <c r="N5" s="560"/>
      <c r="O5" s="149"/>
      <c r="P5" s="561">
        <f>IFERROR((P2-P3)/P2,"")</f>
        <v>0.15528952165469501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67" t="s">
        <v>406</v>
      </c>
      <c r="G6" s="666"/>
      <c r="H6" s="532" t="s">
        <v>31</v>
      </c>
      <c r="I6" s="536"/>
      <c r="J6" s="533"/>
      <c r="K6" s="154"/>
      <c r="L6" s="574" t="s">
        <v>32</v>
      </c>
      <c r="M6" s="575"/>
      <c r="N6" s="576"/>
      <c r="O6" s="149"/>
      <c r="P6" s="577">
        <f>T61</f>
        <v>53888.060000000005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563"/>
      <c r="G7" s="535"/>
      <c r="H7" s="532" t="s">
        <v>36</v>
      </c>
      <c r="I7" s="536"/>
      <c r="J7" s="533"/>
      <c r="K7" s="154"/>
      <c r="L7" s="564" t="s">
        <v>37</v>
      </c>
      <c r="M7" s="565"/>
      <c r="N7" s="56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532" t="s">
        <v>40</v>
      </c>
      <c r="I8" s="536"/>
      <c r="J8" s="533"/>
      <c r="K8" s="154"/>
      <c r="L8" s="564" t="s">
        <v>41</v>
      </c>
      <c r="M8" s="565"/>
      <c r="N8" s="56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401</v>
      </c>
      <c r="G9" s="535"/>
      <c r="H9" s="171"/>
      <c r="I9" s="172"/>
      <c r="J9" s="172"/>
      <c r="K9" s="173"/>
      <c r="L9" s="564" t="s">
        <v>47</v>
      </c>
      <c r="M9" s="565"/>
      <c r="N9" s="56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53888.060000000005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542" t="s">
        <v>48</v>
      </c>
      <c r="M10" s="579"/>
      <c r="N10" s="543"/>
      <c r="O10" s="149"/>
      <c r="P10" s="580">
        <f>E61</f>
        <v>40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650" t="s">
        <v>50</v>
      </c>
      <c r="K11" s="651"/>
      <c r="L11" s="651"/>
      <c r="M11" s="651"/>
      <c r="N11" s="652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653"/>
      <c r="K12" s="654"/>
      <c r="L12" s="654"/>
      <c r="M12" s="654"/>
      <c r="N12" s="655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656"/>
      <c r="K13" s="657"/>
      <c r="L13" s="657"/>
      <c r="M13" s="657"/>
      <c r="N13" s="658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601" t="s">
        <v>59</v>
      </c>
      <c r="K14" s="602"/>
      <c r="L14" s="605" t="s">
        <v>60</v>
      </c>
      <c r="M14" s="606"/>
      <c r="N14" s="60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603"/>
      <c r="K15" s="604"/>
      <c r="L15" s="608"/>
      <c r="M15" s="609"/>
      <c r="N15" s="61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631" t="s">
        <v>69</v>
      </c>
      <c r="K16" s="201" t="s">
        <v>72</v>
      </c>
      <c r="L16" s="202" t="s">
        <v>73</v>
      </c>
      <c r="M16" s="633" t="s">
        <v>74</v>
      </c>
      <c r="N16" s="633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3"/>
      <c r="C17" s="625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632"/>
      <c r="K17" s="614" t="s">
        <v>52</v>
      </c>
      <c r="L17" s="615"/>
      <c r="M17" s="634"/>
      <c r="N17" s="634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 s="276">
        <v>5710640</v>
      </c>
      <c r="C18" s="277" t="s">
        <v>83</v>
      </c>
      <c r="D18" s="278">
        <v>375</v>
      </c>
      <c r="E18" s="279">
        <v>1</v>
      </c>
      <c r="F18" s="220">
        <v>78.66</v>
      </c>
      <c r="G18" s="221">
        <f t="shared" ref="G18:G60" si="0">ROUND(IF($F$17="USD $", F18*$E$15,F18*$D$15),2)</f>
        <v>55.39</v>
      </c>
      <c r="H18" s="222">
        <f t="shared" ref="H18:H60" si="1">ROUND(IF($H$17=$G$17,E18*G18,E18*F18),2)</f>
        <v>78.66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29.89</v>
      </c>
      <c r="L18" s="221">
        <f t="shared" ref="L18:L60" si="4">ROUND((J18*K18),2)</f>
        <v>29.89</v>
      </c>
      <c r="M18" s="220" t="s">
        <v>84</v>
      </c>
      <c r="N18" s="225">
        <v>0.62</v>
      </c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29.89</v>
      </c>
      <c r="T18" s="229">
        <f t="shared" ref="T18:T60" si="7">ROUND(L18-R18,2)</f>
        <v>29.89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280">
        <v>5825010</v>
      </c>
      <c r="C19" s="281" t="s">
        <v>178</v>
      </c>
      <c r="D19" s="282">
        <v>500</v>
      </c>
      <c r="E19" s="283">
        <v>1</v>
      </c>
      <c r="F19" s="239">
        <v>76.349999999999994</v>
      </c>
      <c r="G19" s="240">
        <f t="shared" si="0"/>
        <v>53.77</v>
      </c>
      <c r="H19" s="241">
        <f t="shared" si="1"/>
        <v>76.349999999999994</v>
      </c>
      <c r="I19" s="242"/>
      <c r="J19" s="243">
        <f t="shared" si="2"/>
        <v>1</v>
      </c>
      <c r="K19" s="240">
        <f t="shared" si="3"/>
        <v>29.01</v>
      </c>
      <c r="L19" s="240">
        <f t="shared" si="4"/>
        <v>29.01</v>
      </c>
      <c r="M19" s="244" t="s">
        <v>84</v>
      </c>
      <c r="N19" s="245">
        <v>0.62</v>
      </c>
      <c r="O19" s="226"/>
      <c r="P19" s="246"/>
      <c r="Q19" s="239"/>
      <c r="R19" s="247">
        <f t="shared" si="5"/>
        <v>0</v>
      </c>
      <c r="S19" s="248">
        <f t="shared" si="6"/>
        <v>29.01</v>
      </c>
      <c r="T19" s="248">
        <f t="shared" si="7"/>
        <v>29.01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276">
        <v>5716779</v>
      </c>
      <c r="C20" s="284" t="s">
        <v>179</v>
      </c>
      <c r="D20" s="286">
        <v>500</v>
      </c>
      <c r="E20" s="279">
        <v>1</v>
      </c>
      <c r="F20" s="220">
        <v>67.33</v>
      </c>
      <c r="G20" s="221">
        <f t="shared" si="0"/>
        <v>47.42</v>
      </c>
      <c r="H20" s="222">
        <f t="shared" si="1"/>
        <v>67.33</v>
      </c>
      <c r="I20" s="242"/>
      <c r="J20" s="224">
        <f t="shared" si="2"/>
        <v>1</v>
      </c>
      <c r="K20" s="221">
        <f t="shared" si="3"/>
        <v>25.59</v>
      </c>
      <c r="L20" s="221">
        <f t="shared" si="4"/>
        <v>25.59</v>
      </c>
      <c r="M20" s="220" t="s">
        <v>84</v>
      </c>
      <c r="N20" s="254">
        <v>0.62</v>
      </c>
      <c r="O20" s="226"/>
      <c r="P20" s="255"/>
      <c r="Q20" s="228"/>
      <c r="R20" s="229">
        <f t="shared" si="5"/>
        <v>0</v>
      </c>
      <c r="S20" s="229">
        <f t="shared" si="6"/>
        <v>25.59</v>
      </c>
      <c r="T20" s="229">
        <f t="shared" si="7"/>
        <v>25.59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280">
        <v>7993014</v>
      </c>
      <c r="C21" s="281" t="s">
        <v>180</v>
      </c>
      <c r="D21" s="282">
        <v>500</v>
      </c>
      <c r="E21" s="283">
        <v>1</v>
      </c>
      <c r="F21" s="239">
        <v>74.47</v>
      </c>
      <c r="G21" s="240">
        <f t="shared" si="0"/>
        <v>52.44</v>
      </c>
      <c r="H21" s="241">
        <f t="shared" si="1"/>
        <v>74.47</v>
      </c>
      <c r="I21" s="242"/>
      <c r="J21" s="243">
        <f t="shared" si="2"/>
        <v>1</v>
      </c>
      <c r="K21" s="240">
        <f t="shared" si="3"/>
        <v>28.3</v>
      </c>
      <c r="L21" s="240">
        <f t="shared" si="4"/>
        <v>28.3</v>
      </c>
      <c r="M21" s="244" t="s">
        <v>84</v>
      </c>
      <c r="N21" s="245">
        <v>0.62</v>
      </c>
      <c r="O21" s="226"/>
      <c r="P21" s="246"/>
      <c r="Q21" s="239"/>
      <c r="R21" s="247">
        <f t="shared" si="5"/>
        <v>0</v>
      </c>
      <c r="S21" s="248">
        <f t="shared" si="6"/>
        <v>28.3</v>
      </c>
      <c r="T21" s="248">
        <f t="shared" si="7"/>
        <v>28.3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276">
        <v>5821147</v>
      </c>
      <c r="C22" s="284" t="s">
        <v>181</v>
      </c>
      <c r="D22" s="286">
        <v>500</v>
      </c>
      <c r="E22" s="279">
        <v>1</v>
      </c>
      <c r="F22" s="220">
        <v>57</v>
      </c>
      <c r="G22" s="221">
        <f t="shared" si="0"/>
        <v>40.14</v>
      </c>
      <c r="H22" s="222">
        <f t="shared" si="1"/>
        <v>57</v>
      </c>
      <c r="I22" s="242"/>
      <c r="J22" s="224">
        <f t="shared" si="2"/>
        <v>1</v>
      </c>
      <c r="K22" s="221">
        <f t="shared" si="3"/>
        <v>21.66</v>
      </c>
      <c r="L22" s="221">
        <f t="shared" si="4"/>
        <v>21.66</v>
      </c>
      <c r="M22" s="220" t="s">
        <v>84</v>
      </c>
      <c r="N22" s="254">
        <v>0.62</v>
      </c>
      <c r="O22" s="226"/>
      <c r="P22" s="255"/>
      <c r="Q22" s="228"/>
      <c r="R22" s="229">
        <f t="shared" si="5"/>
        <v>0</v>
      </c>
      <c r="S22" s="229">
        <f t="shared" si="6"/>
        <v>21.66</v>
      </c>
      <c r="T22" s="229">
        <f t="shared" si="7"/>
        <v>21.66</v>
      </c>
      <c r="U22" s="230">
        <f t="shared" si="8"/>
        <v>0</v>
      </c>
      <c r="V22" s="230">
        <f t="shared" si="9"/>
        <v>1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280">
        <v>5821148</v>
      </c>
      <c r="C23" s="281" t="s">
        <v>182</v>
      </c>
      <c r="D23" s="282">
        <v>1000</v>
      </c>
      <c r="E23" s="283">
        <v>1</v>
      </c>
      <c r="F23" s="239">
        <v>231.1</v>
      </c>
      <c r="G23" s="240">
        <f t="shared" si="0"/>
        <v>162.75</v>
      </c>
      <c r="H23" s="241">
        <f t="shared" si="1"/>
        <v>231.1</v>
      </c>
      <c r="I23" s="242"/>
      <c r="J23" s="243">
        <f t="shared" si="2"/>
        <v>1</v>
      </c>
      <c r="K23" s="240">
        <f t="shared" si="3"/>
        <v>87.82</v>
      </c>
      <c r="L23" s="240">
        <f t="shared" si="4"/>
        <v>87.82</v>
      </c>
      <c r="M23" s="244" t="s">
        <v>84</v>
      </c>
      <c r="N23" s="245">
        <v>0.62</v>
      </c>
      <c r="O23" s="226"/>
      <c r="P23" s="246"/>
      <c r="Q23" s="239"/>
      <c r="R23" s="247">
        <f t="shared" si="5"/>
        <v>0</v>
      </c>
      <c r="S23" s="248">
        <f t="shared" si="6"/>
        <v>87.82</v>
      </c>
      <c r="T23" s="248">
        <f t="shared" si="7"/>
        <v>87.82</v>
      </c>
      <c r="U23" s="249">
        <f t="shared" si="8"/>
        <v>0</v>
      </c>
      <c r="V23" s="249">
        <f t="shared" si="9"/>
        <v>1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276">
        <v>5570176</v>
      </c>
      <c r="C24" s="284" t="s">
        <v>183</v>
      </c>
      <c r="D24" s="285" t="s">
        <v>101</v>
      </c>
      <c r="E24" s="279">
        <v>1</v>
      </c>
      <c r="F24" s="288">
        <v>3692</v>
      </c>
      <c r="G24" s="221">
        <f t="shared" si="0"/>
        <v>2600</v>
      </c>
      <c r="H24" s="222">
        <f t="shared" si="1"/>
        <v>3692</v>
      </c>
      <c r="I24" s="242"/>
      <c r="J24" s="224">
        <f t="shared" si="2"/>
        <v>1</v>
      </c>
      <c r="K24" s="221">
        <f t="shared" si="3"/>
        <v>1402.96</v>
      </c>
      <c r="L24" s="221">
        <f t="shared" si="4"/>
        <v>1402.96</v>
      </c>
      <c r="M24" s="220" t="s">
        <v>84</v>
      </c>
      <c r="N24" s="254">
        <v>0.62</v>
      </c>
      <c r="O24" s="226"/>
      <c r="P24" s="255"/>
      <c r="Q24" s="228"/>
      <c r="R24" s="229">
        <f t="shared" si="5"/>
        <v>0</v>
      </c>
      <c r="S24" s="229">
        <f t="shared" si="6"/>
        <v>1402.96</v>
      </c>
      <c r="T24" s="229">
        <f t="shared" si="7"/>
        <v>1402.96</v>
      </c>
      <c r="U24" s="230">
        <f t="shared" si="8"/>
        <v>0</v>
      </c>
      <c r="V24" s="230">
        <f t="shared" si="9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 s="280">
        <v>5753229</v>
      </c>
      <c r="C25" s="281" t="s">
        <v>184</v>
      </c>
      <c r="D25" s="287" t="s">
        <v>101</v>
      </c>
      <c r="E25" s="283">
        <v>2</v>
      </c>
      <c r="F25" s="239">
        <v>623.03</v>
      </c>
      <c r="G25" s="240">
        <f t="shared" si="0"/>
        <v>438.75</v>
      </c>
      <c r="H25" s="241">
        <f t="shared" si="1"/>
        <v>1246.06</v>
      </c>
      <c r="I25" s="242"/>
      <c r="J25" s="243">
        <f t="shared" si="2"/>
        <v>2</v>
      </c>
      <c r="K25" s="240">
        <f t="shared" si="3"/>
        <v>623.03</v>
      </c>
      <c r="L25" s="240">
        <f t="shared" si="4"/>
        <v>1246.06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623.03</v>
      </c>
      <c r="T25" s="248">
        <f t="shared" si="7"/>
        <v>1246.06</v>
      </c>
      <c r="U25" s="249">
        <f t="shared" si="8"/>
        <v>0</v>
      </c>
      <c r="V25" s="249">
        <f t="shared" si="9"/>
        <v>1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 s="276">
        <v>5717025</v>
      </c>
      <c r="C26" s="284" t="s">
        <v>185</v>
      </c>
      <c r="D26" s="285">
        <v>6000</v>
      </c>
      <c r="E26" s="279">
        <v>1</v>
      </c>
      <c r="F26" s="288">
        <v>4756.29</v>
      </c>
      <c r="G26" s="221">
        <f t="shared" si="0"/>
        <v>3349.5</v>
      </c>
      <c r="H26" s="222">
        <f t="shared" si="1"/>
        <v>4756.29</v>
      </c>
      <c r="I26" s="242"/>
      <c r="J26" s="224">
        <f t="shared" si="2"/>
        <v>1</v>
      </c>
      <c r="K26" s="221">
        <f t="shared" si="3"/>
        <v>2378.15</v>
      </c>
      <c r="L26" s="221">
        <f t="shared" si="4"/>
        <v>2378.15</v>
      </c>
      <c r="M26" s="220" t="s">
        <v>84</v>
      </c>
      <c r="N26" s="254">
        <v>0.5</v>
      </c>
      <c r="O26" s="226"/>
      <c r="P26" s="255"/>
      <c r="Q26" s="228"/>
      <c r="R26" s="229">
        <f t="shared" si="5"/>
        <v>0</v>
      </c>
      <c r="S26" s="229">
        <f t="shared" si="6"/>
        <v>2378.15</v>
      </c>
      <c r="T26" s="229">
        <f t="shared" si="7"/>
        <v>2378.15</v>
      </c>
      <c r="U26" s="230">
        <f t="shared" si="8"/>
        <v>0</v>
      </c>
      <c r="V26" s="230">
        <f t="shared" si="9"/>
        <v>1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280">
        <v>5716654</v>
      </c>
      <c r="C27" s="281" t="s">
        <v>186</v>
      </c>
      <c r="D27" s="282">
        <v>6000</v>
      </c>
      <c r="E27" s="283">
        <v>4</v>
      </c>
      <c r="F27" s="239">
        <v>2854.11</v>
      </c>
      <c r="G27" s="240">
        <f t="shared" si="0"/>
        <v>2009.94</v>
      </c>
      <c r="H27" s="241">
        <f t="shared" si="1"/>
        <v>11416.44</v>
      </c>
      <c r="I27" s="242"/>
      <c r="J27" s="243">
        <f t="shared" si="2"/>
        <v>4</v>
      </c>
      <c r="K27" s="240">
        <f t="shared" si="3"/>
        <v>2854.11</v>
      </c>
      <c r="L27" s="240">
        <f t="shared" si="4"/>
        <v>11416.44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2854.11</v>
      </c>
      <c r="T27" s="248">
        <f t="shared" si="7"/>
        <v>11416.44</v>
      </c>
      <c r="U27" s="249">
        <f t="shared" si="8"/>
        <v>0</v>
      </c>
      <c r="V27" s="249">
        <f t="shared" si="9"/>
        <v>1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276">
        <v>5717590</v>
      </c>
      <c r="C28" s="284" t="s">
        <v>187</v>
      </c>
      <c r="D28" s="285" t="s">
        <v>101</v>
      </c>
      <c r="E28" s="279">
        <v>1</v>
      </c>
      <c r="F28" s="288">
        <v>7668</v>
      </c>
      <c r="G28" s="221">
        <f t="shared" si="0"/>
        <v>5400</v>
      </c>
      <c r="H28" s="222">
        <f t="shared" si="1"/>
        <v>7668</v>
      </c>
      <c r="I28" s="242"/>
      <c r="J28" s="224">
        <f t="shared" si="2"/>
        <v>1</v>
      </c>
      <c r="K28" s="221">
        <f t="shared" si="3"/>
        <v>7668</v>
      </c>
      <c r="L28" s="221">
        <f t="shared" si="4"/>
        <v>7668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7668</v>
      </c>
      <c r="T28" s="229">
        <f t="shared" si="7"/>
        <v>7668</v>
      </c>
      <c r="U28" s="230">
        <f t="shared" si="8"/>
        <v>0</v>
      </c>
      <c r="V28" s="230">
        <f t="shared" si="9"/>
        <v>1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280">
        <v>5718087</v>
      </c>
      <c r="C29" s="281" t="s">
        <v>188</v>
      </c>
      <c r="D29" s="287" t="s">
        <v>101</v>
      </c>
      <c r="E29" s="283">
        <v>1</v>
      </c>
      <c r="F29" s="289">
        <v>4800</v>
      </c>
      <c r="G29" s="240">
        <f t="shared" si="0"/>
        <v>3380.28</v>
      </c>
      <c r="H29" s="241">
        <f t="shared" si="1"/>
        <v>4800</v>
      </c>
      <c r="I29" s="242"/>
      <c r="J29" s="243">
        <f t="shared" si="2"/>
        <v>1</v>
      </c>
      <c r="K29" s="240">
        <f t="shared" si="3"/>
        <v>4800</v>
      </c>
      <c r="L29" s="240">
        <f t="shared" si="4"/>
        <v>4800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4800</v>
      </c>
      <c r="T29" s="248">
        <f t="shared" si="7"/>
        <v>4800</v>
      </c>
      <c r="U29" s="249">
        <f t="shared" si="8"/>
        <v>0</v>
      </c>
      <c r="V29" s="249">
        <f t="shared" si="9"/>
        <v>1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276">
        <v>5717587</v>
      </c>
      <c r="C30" s="284" t="s">
        <v>189</v>
      </c>
      <c r="D30" s="285" t="s">
        <v>101</v>
      </c>
      <c r="E30" s="279">
        <v>1</v>
      </c>
      <c r="F30" s="288">
        <v>2652.09</v>
      </c>
      <c r="G30" s="221">
        <f t="shared" si="0"/>
        <v>1867.67</v>
      </c>
      <c r="H30" s="222">
        <f t="shared" si="1"/>
        <v>2652.09</v>
      </c>
      <c r="I30" s="242"/>
      <c r="J30" s="224">
        <f t="shared" si="2"/>
        <v>1</v>
      </c>
      <c r="K30" s="221">
        <f t="shared" si="3"/>
        <v>2652.09</v>
      </c>
      <c r="L30" s="221">
        <f t="shared" si="4"/>
        <v>2652.09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2652.09</v>
      </c>
      <c r="T30" s="229">
        <f t="shared" si="7"/>
        <v>2652.09</v>
      </c>
      <c r="U30" s="230">
        <f t="shared" si="8"/>
        <v>0</v>
      </c>
      <c r="V30" s="230">
        <f t="shared" si="9"/>
        <v>1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280">
        <v>6704138</v>
      </c>
      <c r="C31" s="281" t="s">
        <v>190</v>
      </c>
      <c r="D31" s="282">
        <v>4000</v>
      </c>
      <c r="E31" s="283">
        <v>2</v>
      </c>
      <c r="F31" s="239">
        <v>949.89</v>
      </c>
      <c r="G31" s="240">
        <f t="shared" si="0"/>
        <v>668.94</v>
      </c>
      <c r="H31" s="241">
        <f t="shared" si="1"/>
        <v>1899.78</v>
      </c>
      <c r="I31" s="242"/>
      <c r="J31" s="243">
        <f t="shared" si="2"/>
        <v>2</v>
      </c>
      <c r="K31" s="240">
        <f t="shared" si="3"/>
        <v>949.89</v>
      </c>
      <c r="L31" s="240">
        <f t="shared" si="4"/>
        <v>1899.78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949.89</v>
      </c>
      <c r="T31" s="248">
        <f t="shared" si="7"/>
        <v>1899.78</v>
      </c>
      <c r="U31" s="249">
        <f t="shared" si="8"/>
        <v>0</v>
      </c>
      <c r="V31" s="249">
        <f t="shared" si="9"/>
        <v>1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276"/>
      <c r="C32" s="284"/>
      <c r="D32" s="285"/>
      <c r="E32" s="279"/>
      <c r="F32" s="220"/>
      <c r="G32" s="221">
        <f t="shared" si="0"/>
        <v>0</v>
      </c>
      <c r="H32" s="222">
        <f t="shared" si="1"/>
        <v>0</v>
      </c>
      <c r="I32" s="242"/>
      <c r="J32" s="224">
        <f t="shared" si="2"/>
        <v>0</v>
      </c>
      <c r="K32" s="221">
        <f t="shared" si="3"/>
        <v>0</v>
      </c>
      <c r="L32" s="221">
        <f t="shared" si="4"/>
        <v>0</v>
      </c>
      <c r="M32" s="220" t="s">
        <v>84</v>
      </c>
      <c r="N32" s="254">
        <v>0.5</v>
      </c>
      <c r="O32" s="226"/>
      <c r="P32" s="255"/>
      <c r="Q32" s="228"/>
      <c r="R32" s="229">
        <f t="shared" si="5"/>
        <v>0</v>
      </c>
      <c r="S32" s="229">
        <f t="shared" si="6"/>
        <v>0</v>
      </c>
      <c r="T32" s="229">
        <f t="shared" si="7"/>
        <v>0</v>
      </c>
      <c r="U32" s="230">
        <f t="shared" si="8"/>
        <v>0</v>
      </c>
      <c r="V32" s="230">
        <f t="shared" si="9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280"/>
      <c r="C33" s="281"/>
      <c r="D33" s="282"/>
      <c r="E33" s="283"/>
      <c r="F33" s="239"/>
      <c r="G33" s="240">
        <f t="shared" si="0"/>
        <v>0</v>
      </c>
      <c r="H33" s="241">
        <f t="shared" si="1"/>
        <v>0</v>
      </c>
      <c r="I33" s="242"/>
      <c r="J33" s="243">
        <f t="shared" si="2"/>
        <v>0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276"/>
      <c r="C34" s="284"/>
      <c r="D34" s="285"/>
      <c r="E34" s="279"/>
      <c r="F34" s="220"/>
      <c r="G34" s="221">
        <f t="shared" si="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>
        <v>0.5</v>
      </c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280"/>
      <c r="C35" s="281"/>
      <c r="D35" s="287"/>
      <c r="E35" s="283"/>
      <c r="F35" s="239"/>
      <c r="G35" s="240">
        <f t="shared" si="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>
        <v>0.5</v>
      </c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276"/>
      <c r="C36" s="284"/>
      <c r="D36" s="285"/>
      <c r="E36" s="279"/>
      <c r="F36" s="220"/>
      <c r="G36" s="221">
        <f t="shared" si="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280"/>
      <c r="C37" s="281"/>
      <c r="D37" s="287"/>
      <c r="E37" s="283"/>
      <c r="F37" s="239"/>
      <c r="G37" s="240">
        <f t="shared" si="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276"/>
      <c r="C38" s="284"/>
      <c r="D38" s="285"/>
      <c r="E38" s="279"/>
      <c r="F38" s="220"/>
      <c r="G38" s="221">
        <f t="shared" si="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280"/>
      <c r="C39" s="281"/>
      <c r="D39" s="287"/>
      <c r="E39" s="283"/>
      <c r="F39" s="239"/>
      <c r="G39" s="240">
        <f t="shared" si="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276"/>
      <c r="C40" s="284"/>
      <c r="D40" s="285"/>
      <c r="E40" s="279"/>
      <c r="F40" s="220"/>
      <c r="G40" s="221">
        <f t="shared" si="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280"/>
      <c r="C41" s="281"/>
      <c r="D41" s="287"/>
      <c r="E41" s="283"/>
      <c r="F41" s="239"/>
      <c r="G41" s="240">
        <f t="shared" si="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276"/>
      <c r="C42" s="284"/>
      <c r="D42" s="285"/>
      <c r="E42" s="279"/>
      <c r="F42" s="220"/>
      <c r="G42" s="221">
        <f t="shared" si="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280"/>
      <c r="C43" s="281"/>
      <c r="D43" s="287"/>
      <c r="E43" s="283"/>
      <c r="F43" s="239"/>
      <c r="G43" s="240">
        <f t="shared" si="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276"/>
      <c r="C44" s="284"/>
      <c r="D44" s="285"/>
      <c r="E44" s="279"/>
      <c r="F44" s="220"/>
      <c r="G44" s="221">
        <f t="shared" si="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280"/>
      <c r="C45" s="281"/>
      <c r="D45" s="287"/>
      <c r="E45" s="283"/>
      <c r="F45" s="239"/>
      <c r="G45" s="240">
        <f t="shared" si="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276">
        <v>5716942</v>
      </c>
      <c r="C46" s="284" t="s">
        <v>191</v>
      </c>
      <c r="D46" s="285" t="s">
        <v>101</v>
      </c>
      <c r="E46" s="279">
        <v>4</v>
      </c>
      <c r="F46" s="220">
        <v>295.93</v>
      </c>
      <c r="G46" s="221">
        <f t="shared" si="0"/>
        <v>208.4</v>
      </c>
      <c r="H46" s="222">
        <f t="shared" si="1"/>
        <v>1183.72</v>
      </c>
      <c r="I46" s="242"/>
      <c r="J46" s="224">
        <f t="shared" si="2"/>
        <v>4</v>
      </c>
      <c r="K46" s="221">
        <f t="shared" si="3"/>
        <v>295.93</v>
      </c>
      <c r="L46" s="221">
        <f t="shared" si="4"/>
        <v>1183.72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295.93</v>
      </c>
      <c r="T46" s="229">
        <f t="shared" si="7"/>
        <v>1183.72</v>
      </c>
      <c r="U46" s="230">
        <f t="shared" si="8"/>
        <v>0</v>
      </c>
      <c r="V46" s="230">
        <f t="shared" si="9"/>
        <v>1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280">
        <v>5716943</v>
      </c>
      <c r="C47" s="281" t="s">
        <v>192</v>
      </c>
      <c r="D47" s="287" t="s">
        <v>101</v>
      </c>
      <c r="E47" s="283">
        <v>4</v>
      </c>
      <c r="F47" s="239">
        <v>3465.63</v>
      </c>
      <c r="G47" s="240">
        <f t="shared" si="0"/>
        <v>2440.58</v>
      </c>
      <c r="H47" s="241">
        <f t="shared" si="1"/>
        <v>13862.52</v>
      </c>
      <c r="I47" s="242"/>
      <c r="J47" s="243">
        <f t="shared" si="2"/>
        <v>4</v>
      </c>
      <c r="K47" s="240">
        <f t="shared" si="3"/>
        <v>3465.63</v>
      </c>
      <c r="L47" s="240">
        <f t="shared" si="4"/>
        <v>13862.52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3465.63</v>
      </c>
      <c r="T47" s="248">
        <f t="shared" si="7"/>
        <v>13862.52</v>
      </c>
      <c r="U47" s="249">
        <f t="shared" si="8"/>
        <v>0</v>
      </c>
      <c r="V47" s="249">
        <f t="shared" si="9"/>
        <v>1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276">
        <v>5716944</v>
      </c>
      <c r="C48" s="284" t="s">
        <v>193</v>
      </c>
      <c r="D48" s="285" t="s">
        <v>101</v>
      </c>
      <c r="E48" s="279">
        <v>8</v>
      </c>
      <c r="F48" s="220">
        <v>34.9</v>
      </c>
      <c r="G48" s="221">
        <f t="shared" si="0"/>
        <v>24.58</v>
      </c>
      <c r="H48" s="222">
        <f t="shared" si="1"/>
        <v>279.2</v>
      </c>
      <c r="I48" s="242"/>
      <c r="J48" s="224">
        <f t="shared" si="2"/>
        <v>8</v>
      </c>
      <c r="K48" s="221">
        <f t="shared" si="3"/>
        <v>34.9</v>
      </c>
      <c r="L48" s="221">
        <f t="shared" si="4"/>
        <v>279.2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34.9</v>
      </c>
      <c r="T48" s="229">
        <f t="shared" si="7"/>
        <v>279.2</v>
      </c>
      <c r="U48" s="230">
        <f t="shared" si="8"/>
        <v>0</v>
      </c>
      <c r="V48" s="230">
        <f t="shared" si="9"/>
        <v>1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280">
        <v>5716654</v>
      </c>
      <c r="C49" s="281" t="s">
        <v>194</v>
      </c>
      <c r="D49" s="287" t="s">
        <v>101</v>
      </c>
      <c r="E49" s="283">
        <v>4</v>
      </c>
      <c r="F49" s="239">
        <v>1347.89</v>
      </c>
      <c r="G49" s="240">
        <f t="shared" si="0"/>
        <v>949.22</v>
      </c>
      <c r="H49" s="241">
        <f t="shared" si="1"/>
        <v>5391.56</v>
      </c>
      <c r="I49" s="242"/>
      <c r="J49" s="243">
        <f t="shared" si="2"/>
        <v>4</v>
      </c>
      <c r="K49" s="240">
        <f t="shared" si="3"/>
        <v>673.95</v>
      </c>
      <c r="L49" s="240">
        <f t="shared" si="4"/>
        <v>2695.8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673.95</v>
      </c>
      <c r="T49" s="248">
        <f t="shared" si="7"/>
        <v>2695.8</v>
      </c>
      <c r="U49" s="249">
        <f t="shared" si="8"/>
        <v>0</v>
      </c>
      <c r="V49" s="249">
        <f t="shared" si="9"/>
        <v>1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276">
        <v>5716240</v>
      </c>
      <c r="C50" s="284" t="s">
        <v>195</v>
      </c>
      <c r="D50" s="285" t="s">
        <v>101</v>
      </c>
      <c r="E50" s="279">
        <v>1</v>
      </c>
      <c r="F50" s="220">
        <v>4362.1400000000003</v>
      </c>
      <c r="G50" s="221">
        <f t="shared" si="0"/>
        <v>3071.93</v>
      </c>
      <c r="H50" s="222">
        <f t="shared" si="1"/>
        <v>4362.1400000000003</v>
      </c>
      <c r="I50" s="242"/>
      <c r="J50" s="224">
        <f t="shared" si="2"/>
        <v>1</v>
      </c>
      <c r="K50" s="221">
        <f t="shared" si="3"/>
        <v>2181.0700000000002</v>
      </c>
      <c r="L50" s="221">
        <f t="shared" si="4"/>
        <v>2181.0700000000002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2181.0700000000002</v>
      </c>
      <c r="T50" s="229">
        <f t="shared" si="7"/>
        <v>2181.0700000000002</v>
      </c>
      <c r="U50" s="230">
        <f t="shared" si="8"/>
        <v>0</v>
      </c>
      <c r="V50" s="230">
        <f t="shared" si="9"/>
        <v>1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276"/>
      <c r="C51" s="281"/>
      <c r="D51" s="282"/>
      <c r="E51" s="283"/>
      <c r="F51" s="239"/>
      <c r="G51" s="240">
        <f t="shared" si="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40</v>
      </c>
      <c r="F61" s="265">
        <f>SUM(F18:F60)</f>
        <v>38086.810000000005</v>
      </c>
      <c r="G61" s="266">
        <f>SUM(G18:G60)</f>
        <v>26821.700000000004</v>
      </c>
      <c r="H61" s="267">
        <f>SUM(H18:H60)</f>
        <v>63794.709999999992</v>
      </c>
      <c r="I61" s="268"/>
      <c r="J61" s="269">
        <f>SUM(J18:J60)</f>
        <v>40</v>
      </c>
      <c r="K61" s="266">
        <f>SUM(K18:K60)</f>
        <v>30201.980000000003</v>
      </c>
      <c r="L61" s="267">
        <f>SUM(L18:L60)</f>
        <v>53888.060000000005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30201.980000000003</v>
      </c>
      <c r="T61" s="267">
        <f>SUM(T18:T60)</f>
        <v>53888.060000000005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99" priority="3" stopIfTrue="1">
      <formula>$U$9&gt;100%</formula>
    </cfRule>
    <cfRule type="expression" dxfId="198" priority="4">
      <formula>$U$9&lt;50%</formula>
    </cfRule>
  </conditionalFormatting>
  <conditionalFormatting sqref="V9:V10">
    <cfRule type="expression" dxfId="197" priority="1">
      <formula>$V$9&lt;50%</formula>
    </cfRule>
    <cfRule type="expression" dxfId="196" priority="2">
      <formula>$V$9&gt;50%</formula>
    </cfRule>
  </conditionalFormatting>
  <dataValidations count="5">
    <dataValidation type="list" allowBlank="1" showInputMessage="1" showErrorMessage="1" sqref="M18:M60" xr:uid="{A62B6FA3-C915-4A0F-8190-58FBE5F7EC85}">
      <formula1>$Y$31:$Y$32</formula1>
    </dataValidation>
    <dataValidation type="list" showInputMessage="1" showErrorMessage="1" sqref="D52:D60" xr:uid="{57643813-2F31-4AEA-936F-06584FAC4B8A}">
      <formula1>$Z$18:$Z$29</formula1>
    </dataValidation>
    <dataValidation type="list" allowBlank="1" showInputMessage="1" showErrorMessage="1" sqref="I13" xr:uid="{45C5579D-8780-4776-A027-255E58D5C4A5}">
      <formula1>$K$9:$K$9</formula1>
    </dataValidation>
    <dataValidation type="list" allowBlank="1" showInputMessage="1" showErrorMessage="1" sqref="H13" xr:uid="{04AAB0CD-FC0D-4372-9E9B-CBD79F467313}">
      <formula1>$Y$13:$Y$14</formula1>
    </dataValidation>
    <dataValidation type="list" allowBlank="1" showInputMessage="1" showErrorMessage="1" sqref="F17 K17 Q17 Q14" xr:uid="{1B3F737B-686A-46DF-8372-095D2CA1ED82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1D188-00C0-452B-BF4F-B786B542AF03}">
  <sheetPr>
    <pageSetUpPr fitToPage="1"/>
  </sheetPr>
  <dimension ref="A1:AB63"/>
  <sheetViews>
    <sheetView zoomScale="85" zoomScaleNormal="85" workbookViewId="0">
      <selection activeCell="F7" sqref="F7:G7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523" t="s">
        <v>2</v>
      </c>
      <c r="I1" s="524"/>
      <c r="J1" s="524"/>
      <c r="K1" s="525"/>
      <c r="L1" s="528" t="s">
        <v>3</v>
      </c>
      <c r="M1" s="529"/>
      <c r="N1" s="529"/>
      <c r="O1" s="529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59">
        <v>486011</v>
      </c>
      <c r="G2" s="549"/>
      <c r="H2" s="546" t="s">
        <v>7</v>
      </c>
      <c r="I2" s="550"/>
      <c r="J2" s="547"/>
      <c r="K2" s="148"/>
      <c r="L2" s="551" t="s">
        <v>8</v>
      </c>
      <c r="M2" s="552"/>
      <c r="N2" s="553"/>
      <c r="O2" s="149"/>
      <c r="P2" s="554">
        <f>H61</f>
        <v>38715.569999999992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532" t="s">
        <v>13</v>
      </c>
      <c r="I3" s="536"/>
      <c r="J3" s="533"/>
      <c r="K3" s="154"/>
      <c r="L3" s="537" t="s">
        <v>14</v>
      </c>
      <c r="M3" s="538"/>
      <c r="N3" s="539"/>
      <c r="O3" s="149"/>
      <c r="P3" s="540">
        <f>L61</f>
        <v>33685.75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665" t="s">
        <v>176</v>
      </c>
      <c r="G4" s="666"/>
      <c r="H4" s="532" t="s">
        <v>19</v>
      </c>
      <c r="I4" s="536"/>
      <c r="J4" s="533"/>
      <c r="K4" s="154"/>
      <c r="L4" s="537" t="s">
        <v>20</v>
      </c>
      <c r="M4" s="538"/>
      <c r="N4" s="539"/>
      <c r="O4" s="149"/>
      <c r="P4" s="540">
        <f>P2-P3</f>
        <v>5029.8199999999924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665" t="s">
        <v>196</v>
      </c>
      <c r="G5" s="666"/>
      <c r="H5" s="532" t="s">
        <v>25</v>
      </c>
      <c r="I5" s="536"/>
      <c r="J5" s="533"/>
      <c r="K5" s="154"/>
      <c r="L5" s="558" t="s">
        <v>26</v>
      </c>
      <c r="M5" s="559"/>
      <c r="N5" s="560"/>
      <c r="O5" s="149"/>
      <c r="P5" s="561">
        <f>IFERROR((P2-P3)/P2,"")</f>
        <v>0.12991724001480523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68" t="s">
        <v>405</v>
      </c>
      <c r="G6" s="666"/>
      <c r="H6" s="532" t="s">
        <v>31</v>
      </c>
      <c r="I6" s="536"/>
      <c r="J6" s="533"/>
      <c r="K6" s="154"/>
      <c r="L6" s="574" t="s">
        <v>32</v>
      </c>
      <c r="M6" s="575"/>
      <c r="N6" s="576"/>
      <c r="O6" s="149"/>
      <c r="P6" s="577">
        <f>T61</f>
        <v>33685.75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563"/>
      <c r="G7" s="535"/>
      <c r="H7" s="532" t="s">
        <v>36</v>
      </c>
      <c r="I7" s="536"/>
      <c r="J7" s="533"/>
      <c r="K7" s="154"/>
      <c r="L7" s="564" t="s">
        <v>37</v>
      </c>
      <c r="M7" s="565"/>
      <c r="N7" s="56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532" t="s">
        <v>40</v>
      </c>
      <c r="I8" s="536"/>
      <c r="J8" s="533"/>
      <c r="K8" s="154"/>
      <c r="L8" s="564" t="s">
        <v>41</v>
      </c>
      <c r="M8" s="565"/>
      <c r="N8" s="56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400</v>
      </c>
      <c r="G9" s="535"/>
      <c r="H9" s="171"/>
      <c r="I9" s="172"/>
      <c r="J9" s="172"/>
      <c r="K9" s="173"/>
      <c r="L9" s="564" t="s">
        <v>47</v>
      </c>
      <c r="M9" s="565"/>
      <c r="N9" s="56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33685.75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542" t="s">
        <v>48</v>
      </c>
      <c r="M10" s="579"/>
      <c r="N10" s="543"/>
      <c r="O10" s="149"/>
      <c r="P10" s="580">
        <f>E61</f>
        <v>19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650" t="s">
        <v>50</v>
      </c>
      <c r="K11" s="651"/>
      <c r="L11" s="651"/>
      <c r="M11" s="651"/>
      <c r="N11" s="652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653"/>
      <c r="K12" s="654"/>
      <c r="L12" s="654"/>
      <c r="M12" s="654"/>
      <c r="N12" s="655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656"/>
      <c r="K13" s="657"/>
      <c r="L13" s="657"/>
      <c r="M13" s="657"/>
      <c r="N13" s="658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601" t="s">
        <v>59</v>
      </c>
      <c r="K14" s="602"/>
      <c r="L14" s="605" t="s">
        <v>60</v>
      </c>
      <c r="M14" s="606"/>
      <c r="N14" s="60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603"/>
      <c r="K15" s="604"/>
      <c r="L15" s="608"/>
      <c r="M15" s="609"/>
      <c r="N15" s="61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631" t="s">
        <v>69</v>
      </c>
      <c r="K16" s="201" t="s">
        <v>72</v>
      </c>
      <c r="L16" s="202" t="s">
        <v>73</v>
      </c>
      <c r="M16" s="633" t="s">
        <v>74</v>
      </c>
      <c r="N16" s="633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3"/>
      <c r="C17" s="625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632"/>
      <c r="K17" s="614" t="s">
        <v>52</v>
      </c>
      <c r="L17" s="615"/>
      <c r="M17" s="634"/>
      <c r="N17" s="634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 s="276">
        <v>5710640</v>
      </c>
      <c r="C18" s="277" t="s">
        <v>83</v>
      </c>
      <c r="D18" s="278">
        <v>375</v>
      </c>
      <c r="E18" s="279">
        <v>1</v>
      </c>
      <c r="F18" s="220">
        <v>78.66</v>
      </c>
      <c r="G18" s="221">
        <f t="shared" ref="G18:G60" si="0">ROUND(IF($F$17="USD $", F18*$E$15,F18*$D$15),2)</f>
        <v>55.39</v>
      </c>
      <c r="H18" s="222">
        <f t="shared" ref="H18:H60" si="1">ROUND(IF($H$17=$G$17,E18*G18,E18*F18),2)</f>
        <v>78.66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29.89</v>
      </c>
      <c r="L18" s="221">
        <f t="shared" ref="L18:L60" si="4">ROUND((J18*K18),2)</f>
        <v>29.89</v>
      </c>
      <c r="M18" s="220" t="s">
        <v>84</v>
      </c>
      <c r="N18" s="225">
        <v>0.62</v>
      </c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29.89</v>
      </c>
      <c r="T18" s="229">
        <f t="shared" ref="T18:T60" si="7">ROUND(L18-R18,2)</f>
        <v>29.89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280">
        <v>5825010</v>
      </c>
      <c r="C19" s="281" t="s">
        <v>178</v>
      </c>
      <c r="D19" s="282">
        <v>500</v>
      </c>
      <c r="E19" s="283">
        <v>1</v>
      </c>
      <c r="F19" s="239">
        <v>76.349999999999994</v>
      </c>
      <c r="G19" s="240">
        <f t="shared" si="0"/>
        <v>53.77</v>
      </c>
      <c r="H19" s="241">
        <f t="shared" si="1"/>
        <v>76.349999999999994</v>
      </c>
      <c r="I19" s="242"/>
      <c r="J19" s="243">
        <f t="shared" si="2"/>
        <v>1</v>
      </c>
      <c r="K19" s="240">
        <f t="shared" si="3"/>
        <v>29.01</v>
      </c>
      <c r="L19" s="240">
        <f t="shared" si="4"/>
        <v>29.01</v>
      </c>
      <c r="M19" s="244" t="s">
        <v>84</v>
      </c>
      <c r="N19" s="245">
        <v>0.62</v>
      </c>
      <c r="O19" s="226"/>
      <c r="P19" s="246"/>
      <c r="Q19" s="239"/>
      <c r="R19" s="247">
        <f t="shared" si="5"/>
        <v>0</v>
      </c>
      <c r="S19" s="248">
        <f t="shared" si="6"/>
        <v>29.01</v>
      </c>
      <c r="T19" s="248">
        <f t="shared" si="7"/>
        <v>29.01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276">
        <v>5716779</v>
      </c>
      <c r="C20" s="284" t="s">
        <v>179</v>
      </c>
      <c r="D20" s="286">
        <v>500</v>
      </c>
      <c r="E20" s="279">
        <v>1</v>
      </c>
      <c r="F20" s="220">
        <v>67.33</v>
      </c>
      <c r="G20" s="221">
        <f t="shared" si="0"/>
        <v>47.42</v>
      </c>
      <c r="H20" s="222">
        <f t="shared" si="1"/>
        <v>67.33</v>
      </c>
      <c r="I20" s="242"/>
      <c r="J20" s="224">
        <f t="shared" si="2"/>
        <v>1</v>
      </c>
      <c r="K20" s="221">
        <f t="shared" si="3"/>
        <v>25.59</v>
      </c>
      <c r="L20" s="221">
        <f t="shared" si="4"/>
        <v>25.59</v>
      </c>
      <c r="M20" s="220" t="s">
        <v>84</v>
      </c>
      <c r="N20" s="254">
        <v>0.62</v>
      </c>
      <c r="O20" s="226"/>
      <c r="P20" s="255"/>
      <c r="Q20" s="228"/>
      <c r="R20" s="229">
        <f t="shared" si="5"/>
        <v>0</v>
      </c>
      <c r="S20" s="229">
        <f t="shared" si="6"/>
        <v>25.59</v>
      </c>
      <c r="T20" s="229">
        <f t="shared" si="7"/>
        <v>25.59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280">
        <v>7993014</v>
      </c>
      <c r="C21" s="281" t="s">
        <v>180</v>
      </c>
      <c r="D21" s="282">
        <v>500</v>
      </c>
      <c r="E21" s="283">
        <v>1</v>
      </c>
      <c r="F21" s="239">
        <v>74.47</v>
      </c>
      <c r="G21" s="240">
        <f t="shared" si="0"/>
        <v>52.44</v>
      </c>
      <c r="H21" s="241">
        <f t="shared" si="1"/>
        <v>74.47</v>
      </c>
      <c r="I21" s="242"/>
      <c r="J21" s="243">
        <f t="shared" si="2"/>
        <v>1</v>
      </c>
      <c r="K21" s="240">
        <f t="shared" si="3"/>
        <v>28.3</v>
      </c>
      <c r="L21" s="240">
        <f t="shared" si="4"/>
        <v>28.3</v>
      </c>
      <c r="M21" s="244" t="s">
        <v>84</v>
      </c>
      <c r="N21" s="245">
        <v>0.62</v>
      </c>
      <c r="O21" s="226"/>
      <c r="P21" s="246"/>
      <c r="Q21" s="239"/>
      <c r="R21" s="247">
        <f t="shared" si="5"/>
        <v>0</v>
      </c>
      <c r="S21" s="248">
        <f t="shared" si="6"/>
        <v>28.3</v>
      </c>
      <c r="T21" s="248">
        <f t="shared" si="7"/>
        <v>28.3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276">
        <v>5821147</v>
      </c>
      <c r="C22" s="284" t="s">
        <v>181</v>
      </c>
      <c r="D22" s="286">
        <v>500</v>
      </c>
      <c r="E22" s="279">
        <v>1</v>
      </c>
      <c r="F22" s="220">
        <v>57</v>
      </c>
      <c r="G22" s="221">
        <f t="shared" si="0"/>
        <v>40.14</v>
      </c>
      <c r="H22" s="222">
        <f t="shared" si="1"/>
        <v>57</v>
      </c>
      <c r="I22" s="242"/>
      <c r="J22" s="224">
        <f t="shared" si="2"/>
        <v>1</v>
      </c>
      <c r="K22" s="221">
        <f t="shared" si="3"/>
        <v>21.66</v>
      </c>
      <c r="L22" s="221">
        <f t="shared" si="4"/>
        <v>21.66</v>
      </c>
      <c r="M22" s="220" t="s">
        <v>84</v>
      </c>
      <c r="N22" s="254">
        <v>0.62</v>
      </c>
      <c r="O22" s="226"/>
      <c r="P22" s="255"/>
      <c r="Q22" s="228"/>
      <c r="R22" s="229">
        <f t="shared" si="5"/>
        <v>0</v>
      </c>
      <c r="S22" s="229">
        <f t="shared" si="6"/>
        <v>21.66</v>
      </c>
      <c r="T22" s="229">
        <f t="shared" si="7"/>
        <v>21.66</v>
      </c>
      <c r="U22" s="230">
        <f t="shared" si="8"/>
        <v>0</v>
      </c>
      <c r="V22" s="230">
        <f t="shared" si="9"/>
        <v>1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280">
        <v>5821148</v>
      </c>
      <c r="C23" s="281" t="s">
        <v>182</v>
      </c>
      <c r="D23" s="282">
        <v>1000</v>
      </c>
      <c r="E23" s="283">
        <v>1</v>
      </c>
      <c r="F23" s="239">
        <v>231.1</v>
      </c>
      <c r="G23" s="240">
        <f t="shared" si="0"/>
        <v>162.75</v>
      </c>
      <c r="H23" s="241">
        <f t="shared" si="1"/>
        <v>231.1</v>
      </c>
      <c r="I23" s="242"/>
      <c r="J23" s="243">
        <f t="shared" si="2"/>
        <v>1</v>
      </c>
      <c r="K23" s="240">
        <f t="shared" si="3"/>
        <v>87.82</v>
      </c>
      <c r="L23" s="240">
        <f t="shared" si="4"/>
        <v>87.82</v>
      </c>
      <c r="M23" s="244" t="s">
        <v>84</v>
      </c>
      <c r="N23" s="245">
        <v>0.62</v>
      </c>
      <c r="O23" s="226"/>
      <c r="P23" s="246"/>
      <c r="Q23" s="239"/>
      <c r="R23" s="247">
        <f t="shared" si="5"/>
        <v>0</v>
      </c>
      <c r="S23" s="248">
        <f t="shared" si="6"/>
        <v>87.82</v>
      </c>
      <c r="T23" s="248">
        <f t="shared" si="7"/>
        <v>87.82</v>
      </c>
      <c r="U23" s="249">
        <f t="shared" si="8"/>
        <v>0</v>
      </c>
      <c r="V23" s="249">
        <f t="shared" si="9"/>
        <v>1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276">
        <v>5570176</v>
      </c>
      <c r="C24" s="284" t="s">
        <v>197</v>
      </c>
      <c r="D24" s="285" t="s">
        <v>101</v>
      </c>
      <c r="E24" s="279">
        <v>1</v>
      </c>
      <c r="F24" s="220">
        <v>3692</v>
      </c>
      <c r="G24" s="221">
        <f t="shared" si="0"/>
        <v>2600</v>
      </c>
      <c r="H24" s="222">
        <f t="shared" si="1"/>
        <v>3692</v>
      </c>
      <c r="I24" s="242"/>
      <c r="J24" s="224">
        <f t="shared" si="2"/>
        <v>1</v>
      </c>
      <c r="K24" s="221">
        <f t="shared" si="3"/>
        <v>1402.96</v>
      </c>
      <c r="L24" s="221">
        <f t="shared" si="4"/>
        <v>1402.96</v>
      </c>
      <c r="M24" s="220" t="s">
        <v>84</v>
      </c>
      <c r="N24" s="254">
        <v>0.62</v>
      </c>
      <c r="O24" s="226"/>
      <c r="P24" s="255"/>
      <c r="Q24" s="228"/>
      <c r="R24" s="229">
        <f t="shared" si="5"/>
        <v>0</v>
      </c>
      <c r="S24" s="229">
        <f t="shared" si="6"/>
        <v>1402.96</v>
      </c>
      <c r="T24" s="229">
        <f t="shared" si="7"/>
        <v>1402.96</v>
      </c>
      <c r="U24" s="230">
        <f t="shared" si="8"/>
        <v>0</v>
      </c>
      <c r="V24" s="230">
        <f t="shared" si="9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 s="280">
        <v>5753229</v>
      </c>
      <c r="C25" s="281" t="s">
        <v>184</v>
      </c>
      <c r="D25" s="287" t="s">
        <v>101</v>
      </c>
      <c r="E25" s="283">
        <v>2</v>
      </c>
      <c r="F25" s="239">
        <v>623.03</v>
      </c>
      <c r="G25" s="240">
        <f t="shared" si="0"/>
        <v>438.75</v>
      </c>
      <c r="H25" s="241">
        <f t="shared" si="1"/>
        <v>1246.06</v>
      </c>
      <c r="I25" s="242"/>
      <c r="J25" s="243">
        <f t="shared" si="2"/>
        <v>2</v>
      </c>
      <c r="K25" s="240">
        <f t="shared" si="3"/>
        <v>623.03</v>
      </c>
      <c r="L25" s="240">
        <f t="shared" si="4"/>
        <v>1246.06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623.03</v>
      </c>
      <c r="T25" s="248">
        <f t="shared" si="7"/>
        <v>1246.06</v>
      </c>
      <c r="U25" s="249">
        <f t="shared" si="8"/>
        <v>0</v>
      </c>
      <c r="V25" s="249">
        <f t="shared" si="9"/>
        <v>1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 s="276">
        <v>5717025</v>
      </c>
      <c r="C26" s="284" t="s">
        <v>185</v>
      </c>
      <c r="D26" s="285">
        <v>6000</v>
      </c>
      <c r="E26" s="279">
        <v>1</v>
      </c>
      <c r="F26" s="220">
        <v>4756.29</v>
      </c>
      <c r="G26" s="221">
        <f t="shared" si="0"/>
        <v>3349.5</v>
      </c>
      <c r="H26" s="222">
        <f t="shared" si="1"/>
        <v>4756.29</v>
      </c>
      <c r="I26" s="242"/>
      <c r="J26" s="224">
        <f t="shared" si="2"/>
        <v>1</v>
      </c>
      <c r="K26" s="221">
        <f t="shared" si="3"/>
        <v>2378.15</v>
      </c>
      <c r="L26" s="221">
        <f t="shared" si="4"/>
        <v>2378.15</v>
      </c>
      <c r="M26" s="220" t="s">
        <v>84</v>
      </c>
      <c r="N26" s="254">
        <v>0.5</v>
      </c>
      <c r="O26" s="226"/>
      <c r="P26" s="255"/>
      <c r="Q26" s="228"/>
      <c r="R26" s="229">
        <f t="shared" si="5"/>
        <v>0</v>
      </c>
      <c r="S26" s="229">
        <f t="shared" si="6"/>
        <v>2378.15</v>
      </c>
      <c r="T26" s="229">
        <f t="shared" si="7"/>
        <v>2378.15</v>
      </c>
      <c r="U26" s="230">
        <f t="shared" si="8"/>
        <v>0</v>
      </c>
      <c r="V26" s="230">
        <f t="shared" si="9"/>
        <v>1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280">
        <v>5716654</v>
      </c>
      <c r="C27" s="281" t="s">
        <v>186</v>
      </c>
      <c r="D27" s="282">
        <v>6000</v>
      </c>
      <c r="E27" s="283">
        <v>4</v>
      </c>
      <c r="F27" s="239">
        <v>2854.11</v>
      </c>
      <c r="G27" s="240">
        <f t="shared" si="0"/>
        <v>2009.94</v>
      </c>
      <c r="H27" s="241">
        <f t="shared" si="1"/>
        <v>11416.44</v>
      </c>
      <c r="I27" s="242"/>
      <c r="J27" s="243">
        <f t="shared" si="2"/>
        <v>4</v>
      </c>
      <c r="K27" s="240">
        <f t="shared" si="3"/>
        <v>2854.11</v>
      </c>
      <c r="L27" s="240">
        <f t="shared" si="4"/>
        <v>11416.44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2854.11</v>
      </c>
      <c r="T27" s="248">
        <f t="shared" si="7"/>
        <v>11416.44</v>
      </c>
      <c r="U27" s="249">
        <f t="shared" si="8"/>
        <v>0</v>
      </c>
      <c r="V27" s="249">
        <f t="shared" si="9"/>
        <v>1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276">
        <v>5717590</v>
      </c>
      <c r="C28" s="284" t="s">
        <v>112</v>
      </c>
      <c r="D28" s="285" t="s">
        <v>101</v>
      </c>
      <c r="E28" s="279">
        <v>1</v>
      </c>
      <c r="F28" s="220">
        <v>7668</v>
      </c>
      <c r="G28" s="221">
        <f t="shared" si="0"/>
        <v>5400</v>
      </c>
      <c r="H28" s="222">
        <f t="shared" si="1"/>
        <v>7668</v>
      </c>
      <c r="I28" s="242"/>
      <c r="J28" s="224">
        <f t="shared" si="2"/>
        <v>1</v>
      </c>
      <c r="K28" s="221">
        <f t="shared" si="3"/>
        <v>7668</v>
      </c>
      <c r="L28" s="221">
        <f t="shared" si="4"/>
        <v>7668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7668</v>
      </c>
      <c r="T28" s="229">
        <f t="shared" si="7"/>
        <v>7668</v>
      </c>
      <c r="U28" s="230">
        <f t="shared" si="8"/>
        <v>0</v>
      </c>
      <c r="V28" s="230">
        <f t="shared" si="9"/>
        <v>1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280">
        <v>5718087</v>
      </c>
      <c r="C29" s="281" t="s">
        <v>188</v>
      </c>
      <c r="D29" s="287" t="s">
        <v>101</v>
      </c>
      <c r="E29" s="283">
        <v>1</v>
      </c>
      <c r="F29" s="228">
        <v>4800</v>
      </c>
      <c r="G29" s="240">
        <f t="shared" si="0"/>
        <v>3380.28</v>
      </c>
      <c r="H29" s="241">
        <f t="shared" si="1"/>
        <v>4800</v>
      </c>
      <c r="I29" s="242"/>
      <c r="J29" s="243">
        <f t="shared" si="2"/>
        <v>1</v>
      </c>
      <c r="K29" s="240">
        <f t="shared" si="3"/>
        <v>4800</v>
      </c>
      <c r="L29" s="240">
        <f t="shared" si="4"/>
        <v>4800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4800</v>
      </c>
      <c r="T29" s="248">
        <f t="shared" si="7"/>
        <v>4800</v>
      </c>
      <c r="U29" s="249">
        <f t="shared" si="8"/>
        <v>0</v>
      </c>
      <c r="V29" s="249">
        <f t="shared" si="9"/>
        <v>1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276">
        <v>5717587</v>
      </c>
      <c r="C30" s="284" t="s">
        <v>189</v>
      </c>
      <c r="D30" s="285" t="s">
        <v>101</v>
      </c>
      <c r="E30" s="279">
        <v>1</v>
      </c>
      <c r="F30" s="220">
        <v>2652.09</v>
      </c>
      <c r="G30" s="221">
        <f t="shared" si="0"/>
        <v>1867.67</v>
      </c>
      <c r="H30" s="222">
        <f t="shared" si="1"/>
        <v>2652.09</v>
      </c>
      <c r="I30" s="242"/>
      <c r="J30" s="224">
        <f t="shared" si="2"/>
        <v>1</v>
      </c>
      <c r="K30" s="221">
        <f t="shared" si="3"/>
        <v>2652.09</v>
      </c>
      <c r="L30" s="221">
        <f t="shared" si="4"/>
        <v>2652.09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2652.09</v>
      </c>
      <c r="T30" s="229">
        <f t="shared" si="7"/>
        <v>2652.09</v>
      </c>
      <c r="U30" s="230">
        <f t="shared" si="8"/>
        <v>0</v>
      </c>
      <c r="V30" s="230">
        <f t="shared" si="9"/>
        <v>1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280">
        <v>6704138</v>
      </c>
      <c r="C31" s="281" t="s">
        <v>190</v>
      </c>
      <c r="D31" s="282">
        <v>4000</v>
      </c>
      <c r="E31" s="283">
        <v>2</v>
      </c>
      <c r="F31" s="239">
        <v>949.89</v>
      </c>
      <c r="G31" s="240">
        <f t="shared" si="0"/>
        <v>668.94</v>
      </c>
      <c r="H31" s="241">
        <f t="shared" si="1"/>
        <v>1899.78</v>
      </c>
      <c r="I31" s="242"/>
      <c r="J31" s="243">
        <f t="shared" si="2"/>
        <v>2</v>
      </c>
      <c r="K31" s="240">
        <f t="shared" si="3"/>
        <v>949.89</v>
      </c>
      <c r="L31" s="240">
        <f t="shared" si="4"/>
        <v>1899.78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949.89</v>
      </c>
      <c r="T31" s="248">
        <f t="shared" si="7"/>
        <v>1899.78</v>
      </c>
      <c r="U31" s="249">
        <f t="shared" si="8"/>
        <v>0</v>
      </c>
      <c r="V31" s="249">
        <f t="shared" si="9"/>
        <v>1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276"/>
      <c r="C32" s="284"/>
      <c r="D32" s="285"/>
      <c r="E32" s="279"/>
      <c r="F32" s="220"/>
      <c r="G32" s="221">
        <f t="shared" si="0"/>
        <v>0</v>
      </c>
      <c r="H32" s="222">
        <f t="shared" si="1"/>
        <v>0</v>
      </c>
      <c r="I32" s="242"/>
      <c r="J32" s="224">
        <f t="shared" si="2"/>
        <v>0</v>
      </c>
      <c r="K32" s="221">
        <f t="shared" si="3"/>
        <v>0</v>
      </c>
      <c r="L32" s="221">
        <f t="shared" si="4"/>
        <v>0</v>
      </c>
      <c r="M32" s="220" t="s">
        <v>84</v>
      </c>
      <c r="N32" s="254">
        <v>0.5</v>
      </c>
      <c r="O32" s="226"/>
      <c r="P32" s="255"/>
      <c r="Q32" s="228"/>
      <c r="R32" s="229">
        <f t="shared" si="5"/>
        <v>0</v>
      </c>
      <c r="S32" s="229">
        <f t="shared" si="6"/>
        <v>0</v>
      </c>
      <c r="T32" s="229">
        <f t="shared" si="7"/>
        <v>0</v>
      </c>
      <c r="U32" s="230">
        <f t="shared" si="8"/>
        <v>0</v>
      </c>
      <c r="V32" s="230">
        <f t="shared" si="9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280"/>
      <c r="C33" s="281"/>
      <c r="D33" s="282"/>
      <c r="E33" s="283"/>
      <c r="F33" s="239"/>
      <c r="G33" s="240">
        <f t="shared" si="0"/>
        <v>0</v>
      </c>
      <c r="H33" s="241">
        <f t="shared" si="1"/>
        <v>0</v>
      </c>
      <c r="I33" s="242"/>
      <c r="J33" s="243">
        <f t="shared" si="2"/>
        <v>0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276"/>
      <c r="C34" s="284"/>
      <c r="D34" s="285"/>
      <c r="E34" s="279"/>
      <c r="F34" s="220"/>
      <c r="G34" s="221">
        <f t="shared" si="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>
        <v>0.5</v>
      </c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280"/>
      <c r="C35" s="281"/>
      <c r="D35" s="282"/>
      <c r="E35" s="283"/>
      <c r="F35" s="239"/>
      <c r="G35" s="240">
        <f t="shared" si="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>
        <v>0.5</v>
      </c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276"/>
      <c r="C36" s="284"/>
      <c r="D36" s="285"/>
      <c r="E36" s="279"/>
      <c r="F36" s="220"/>
      <c r="G36" s="221">
        <f t="shared" si="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280"/>
      <c r="C37" s="281"/>
      <c r="D37" s="282"/>
      <c r="E37" s="283"/>
      <c r="F37" s="239"/>
      <c r="G37" s="240">
        <f t="shared" si="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276"/>
      <c r="C38" s="284"/>
      <c r="D38" s="285"/>
      <c r="E38" s="279"/>
      <c r="F38" s="220"/>
      <c r="G38" s="221">
        <f t="shared" si="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280"/>
      <c r="C39" s="281"/>
      <c r="D39" s="282"/>
      <c r="E39" s="283"/>
      <c r="F39" s="239"/>
      <c r="G39" s="240">
        <f t="shared" si="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276"/>
      <c r="C40" s="284"/>
      <c r="D40" s="285"/>
      <c r="E40" s="279"/>
      <c r="F40" s="220"/>
      <c r="G40" s="221">
        <f t="shared" si="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280"/>
      <c r="C41" s="281"/>
      <c r="D41" s="282"/>
      <c r="E41" s="283"/>
      <c r="F41" s="239"/>
      <c r="G41" s="240">
        <f t="shared" si="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276"/>
      <c r="C42" s="284"/>
      <c r="D42" s="285"/>
      <c r="E42" s="279"/>
      <c r="F42" s="220"/>
      <c r="G42" s="221">
        <f t="shared" si="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280"/>
      <c r="C43" s="281"/>
      <c r="D43" s="282"/>
      <c r="E43" s="283"/>
      <c r="F43" s="239"/>
      <c r="G43" s="240">
        <f t="shared" si="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276"/>
      <c r="C44" s="284"/>
      <c r="D44" s="285"/>
      <c r="E44" s="279"/>
      <c r="F44" s="220"/>
      <c r="G44" s="221">
        <f t="shared" si="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280"/>
      <c r="C45" s="281"/>
      <c r="D45" s="282"/>
      <c r="E45" s="283"/>
      <c r="F45" s="239"/>
      <c r="G45" s="240">
        <f t="shared" si="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276"/>
      <c r="C46" s="284"/>
      <c r="D46" s="285"/>
      <c r="E46" s="279"/>
      <c r="F46" s="220"/>
      <c r="G46" s="221">
        <f t="shared" si="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280"/>
      <c r="C47" s="281"/>
      <c r="D47" s="282"/>
      <c r="E47" s="283"/>
      <c r="F47" s="239"/>
      <c r="G47" s="240">
        <f t="shared" si="0"/>
        <v>0</v>
      </c>
      <c r="H47" s="241">
        <f t="shared" si="1"/>
        <v>0</v>
      </c>
      <c r="I47" s="242"/>
      <c r="J47" s="243">
        <f t="shared" si="2"/>
        <v>0</v>
      </c>
      <c r="K47" s="240">
        <f t="shared" si="3"/>
        <v>0</v>
      </c>
      <c r="L47" s="240">
        <f t="shared" si="4"/>
        <v>0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0</v>
      </c>
      <c r="T47" s="248">
        <f t="shared" si="7"/>
        <v>0</v>
      </c>
      <c r="U47" s="249">
        <f t="shared" si="8"/>
        <v>0</v>
      </c>
      <c r="V47" s="249">
        <f t="shared" si="9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276"/>
      <c r="C48" s="284"/>
      <c r="D48" s="285"/>
      <c r="E48" s="279"/>
      <c r="F48" s="220"/>
      <c r="G48" s="221">
        <f t="shared" si="0"/>
        <v>0</v>
      </c>
      <c r="H48" s="222">
        <f t="shared" si="1"/>
        <v>0</v>
      </c>
      <c r="I48" s="242"/>
      <c r="J48" s="224">
        <f t="shared" si="2"/>
        <v>0</v>
      </c>
      <c r="K48" s="221">
        <f t="shared" si="3"/>
        <v>0</v>
      </c>
      <c r="L48" s="221">
        <f t="shared" si="4"/>
        <v>0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0</v>
      </c>
      <c r="T48" s="229">
        <f t="shared" si="7"/>
        <v>0</v>
      </c>
      <c r="U48" s="230">
        <f t="shared" si="8"/>
        <v>0</v>
      </c>
      <c r="V48" s="230">
        <f t="shared" si="9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280"/>
      <c r="C49" s="281"/>
      <c r="D49" s="282"/>
      <c r="E49" s="283"/>
      <c r="F49" s="239"/>
      <c r="G49" s="240">
        <f t="shared" si="0"/>
        <v>0</v>
      </c>
      <c r="H49" s="241">
        <f t="shared" si="1"/>
        <v>0</v>
      </c>
      <c r="I49" s="242"/>
      <c r="J49" s="243">
        <f t="shared" si="2"/>
        <v>0</v>
      </c>
      <c r="K49" s="240">
        <f t="shared" si="3"/>
        <v>0</v>
      </c>
      <c r="L49" s="240">
        <f t="shared" si="4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0</v>
      </c>
      <c r="T49" s="248">
        <f t="shared" si="7"/>
        <v>0</v>
      </c>
      <c r="U49" s="249">
        <f t="shared" si="8"/>
        <v>0</v>
      </c>
      <c r="V49" s="249">
        <f t="shared" si="9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276"/>
      <c r="C50" s="284"/>
      <c r="D50" s="285"/>
      <c r="E50" s="279"/>
      <c r="F50" s="220"/>
      <c r="G50" s="221">
        <f t="shared" si="0"/>
        <v>0</v>
      </c>
      <c r="H50" s="222">
        <f t="shared" si="1"/>
        <v>0</v>
      </c>
      <c r="I50" s="242"/>
      <c r="J50" s="224">
        <f t="shared" si="2"/>
        <v>0</v>
      </c>
      <c r="K50" s="221">
        <f t="shared" si="3"/>
        <v>0</v>
      </c>
      <c r="L50" s="221">
        <f t="shared" si="4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0</v>
      </c>
      <c r="T50" s="229">
        <f t="shared" si="7"/>
        <v>0</v>
      </c>
      <c r="U50" s="230">
        <f t="shared" si="8"/>
        <v>0</v>
      </c>
      <c r="V50" s="230">
        <f t="shared" si="9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280"/>
      <c r="C51" s="281"/>
      <c r="D51" s="282"/>
      <c r="E51" s="283"/>
      <c r="F51" s="239"/>
      <c r="G51" s="240">
        <f t="shared" si="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19</v>
      </c>
      <c r="F61" s="265">
        <f>SUM(F18:F60)</f>
        <v>28580.32</v>
      </c>
      <c r="G61" s="266">
        <f>SUM(G18:G60)</f>
        <v>20126.990000000002</v>
      </c>
      <c r="H61" s="267">
        <f>SUM(H18:H60)</f>
        <v>38715.569999999992</v>
      </c>
      <c r="I61" s="268"/>
      <c r="J61" s="269">
        <f>SUM(J18:J60)</f>
        <v>19</v>
      </c>
      <c r="K61" s="266">
        <f>SUM(K18:K60)</f>
        <v>23550.5</v>
      </c>
      <c r="L61" s="267">
        <f>SUM(L18:L60)</f>
        <v>33685.75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23550.5</v>
      </c>
      <c r="T61" s="267">
        <f>SUM(T18:T60)</f>
        <v>33685.75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95" priority="3" stopIfTrue="1">
      <formula>$U$9&gt;100%</formula>
    </cfRule>
    <cfRule type="expression" dxfId="194" priority="4">
      <formula>$U$9&lt;50%</formula>
    </cfRule>
  </conditionalFormatting>
  <conditionalFormatting sqref="V9:V10">
    <cfRule type="expression" dxfId="193" priority="1">
      <formula>$V$9&lt;50%</formula>
    </cfRule>
    <cfRule type="expression" dxfId="192" priority="2">
      <formula>$V$9&gt;50%</formula>
    </cfRule>
  </conditionalFormatting>
  <dataValidations count="5">
    <dataValidation type="list" allowBlank="1" showInputMessage="1" showErrorMessage="1" sqref="F17 K17 Q17 Q14" xr:uid="{744035A0-E8D2-4AC1-9FA1-FDC264BE3C13}">
      <formula1>$Y$11:$Y$12</formula1>
    </dataValidation>
    <dataValidation type="list" allowBlank="1" showInputMessage="1" showErrorMessage="1" sqref="H13" xr:uid="{F7599FA7-0E1A-423C-BBAC-BDBB0401999C}">
      <formula1>$Y$13:$Y$14</formula1>
    </dataValidation>
    <dataValidation type="list" allowBlank="1" showInputMessage="1" showErrorMessage="1" sqref="I13" xr:uid="{9ABA784E-6621-420D-A078-84A0547DD982}">
      <formula1>$K$9:$K$9</formula1>
    </dataValidation>
    <dataValidation type="list" showInputMessage="1" showErrorMessage="1" sqref="D52:D60" xr:uid="{2899A70F-5A41-44B3-AB6D-5681BEFE56E0}">
      <formula1>$Z$18:$Z$29</formula1>
    </dataValidation>
    <dataValidation type="list" allowBlank="1" showInputMessage="1" showErrorMessage="1" sqref="M18:M60" xr:uid="{B87BBCCA-70EC-4C90-8955-32DC01F67766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F890C-8445-4032-95AA-579826A08EE8}">
  <sheetPr>
    <pageSetUpPr fitToPage="1"/>
  </sheetPr>
  <dimension ref="A1:AB63"/>
  <sheetViews>
    <sheetView zoomScale="85" zoomScaleNormal="85" workbookViewId="0">
      <selection activeCell="F6" sqref="F6:G6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523" t="s">
        <v>2</v>
      </c>
      <c r="I1" s="524"/>
      <c r="J1" s="524"/>
      <c r="K1" s="525"/>
      <c r="L1" s="528" t="s">
        <v>3</v>
      </c>
      <c r="M1" s="529"/>
      <c r="N1" s="529"/>
      <c r="O1" s="529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59">
        <v>486049</v>
      </c>
      <c r="G2" s="549"/>
      <c r="H2" s="546" t="s">
        <v>7</v>
      </c>
      <c r="I2" s="550"/>
      <c r="J2" s="547"/>
      <c r="K2" s="148"/>
      <c r="L2" s="551" t="s">
        <v>8</v>
      </c>
      <c r="M2" s="552"/>
      <c r="N2" s="553"/>
      <c r="O2" s="149"/>
      <c r="P2" s="554">
        <f>H61</f>
        <v>38715.569999999992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532" t="s">
        <v>13</v>
      </c>
      <c r="I3" s="536"/>
      <c r="J3" s="533"/>
      <c r="K3" s="154"/>
      <c r="L3" s="537" t="s">
        <v>14</v>
      </c>
      <c r="M3" s="538"/>
      <c r="N3" s="539"/>
      <c r="O3" s="149"/>
      <c r="P3" s="540">
        <f>L61</f>
        <v>33685.75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665" t="s">
        <v>176</v>
      </c>
      <c r="G4" s="666"/>
      <c r="H4" s="532" t="s">
        <v>19</v>
      </c>
      <c r="I4" s="536"/>
      <c r="J4" s="533"/>
      <c r="K4" s="154"/>
      <c r="L4" s="537" t="s">
        <v>20</v>
      </c>
      <c r="M4" s="538"/>
      <c r="N4" s="539"/>
      <c r="O4" s="149"/>
      <c r="P4" s="540">
        <f>P2-P3</f>
        <v>5029.8199999999924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665" t="s">
        <v>198</v>
      </c>
      <c r="G5" s="666"/>
      <c r="H5" s="532" t="s">
        <v>25</v>
      </c>
      <c r="I5" s="536"/>
      <c r="J5" s="533"/>
      <c r="K5" s="154"/>
      <c r="L5" s="558" t="s">
        <v>26</v>
      </c>
      <c r="M5" s="559"/>
      <c r="N5" s="560"/>
      <c r="O5" s="149"/>
      <c r="P5" s="561">
        <f>IFERROR((P2-P3)/P2,"")</f>
        <v>0.12991724001480523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69" t="s">
        <v>404</v>
      </c>
      <c r="G6" s="666"/>
      <c r="H6" s="532" t="s">
        <v>31</v>
      </c>
      <c r="I6" s="536"/>
      <c r="J6" s="533"/>
      <c r="K6" s="154"/>
      <c r="L6" s="574" t="s">
        <v>32</v>
      </c>
      <c r="M6" s="575"/>
      <c r="N6" s="576"/>
      <c r="O6" s="149"/>
      <c r="P6" s="577">
        <f>T61</f>
        <v>33685.75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563"/>
      <c r="G7" s="535"/>
      <c r="H7" s="532" t="s">
        <v>36</v>
      </c>
      <c r="I7" s="536"/>
      <c r="J7" s="533"/>
      <c r="K7" s="154"/>
      <c r="L7" s="564" t="s">
        <v>37</v>
      </c>
      <c r="M7" s="565"/>
      <c r="N7" s="56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532" t="s">
        <v>40</v>
      </c>
      <c r="I8" s="536"/>
      <c r="J8" s="533"/>
      <c r="K8" s="154"/>
      <c r="L8" s="564" t="s">
        <v>41</v>
      </c>
      <c r="M8" s="565"/>
      <c r="N8" s="56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401</v>
      </c>
      <c r="G9" s="535"/>
      <c r="H9" s="171"/>
      <c r="I9" s="172"/>
      <c r="J9" s="172"/>
      <c r="K9" s="173"/>
      <c r="L9" s="564" t="s">
        <v>47</v>
      </c>
      <c r="M9" s="565"/>
      <c r="N9" s="56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33685.75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542" t="s">
        <v>48</v>
      </c>
      <c r="M10" s="579"/>
      <c r="N10" s="543"/>
      <c r="O10" s="149"/>
      <c r="P10" s="580">
        <f>E61</f>
        <v>19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650" t="s">
        <v>50</v>
      </c>
      <c r="K11" s="651"/>
      <c r="L11" s="651"/>
      <c r="M11" s="651"/>
      <c r="N11" s="652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653"/>
      <c r="K12" s="654"/>
      <c r="L12" s="654"/>
      <c r="M12" s="654"/>
      <c r="N12" s="655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656"/>
      <c r="K13" s="657"/>
      <c r="L13" s="657"/>
      <c r="M13" s="657"/>
      <c r="N13" s="658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601" t="s">
        <v>59</v>
      </c>
      <c r="K14" s="602"/>
      <c r="L14" s="605" t="s">
        <v>60</v>
      </c>
      <c r="M14" s="606"/>
      <c r="N14" s="60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603"/>
      <c r="K15" s="604"/>
      <c r="L15" s="608"/>
      <c r="M15" s="609"/>
      <c r="N15" s="61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631" t="s">
        <v>69</v>
      </c>
      <c r="K16" s="201" t="s">
        <v>72</v>
      </c>
      <c r="L16" s="202" t="s">
        <v>73</v>
      </c>
      <c r="M16" s="633" t="s">
        <v>74</v>
      </c>
      <c r="N16" s="633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3"/>
      <c r="C17" s="625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632"/>
      <c r="K17" s="614" t="s">
        <v>52</v>
      </c>
      <c r="L17" s="615"/>
      <c r="M17" s="634"/>
      <c r="N17" s="634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 s="276">
        <v>5710640</v>
      </c>
      <c r="C18" s="277" t="s">
        <v>83</v>
      </c>
      <c r="D18" s="278">
        <v>375</v>
      </c>
      <c r="E18" s="279">
        <v>1</v>
      </c>
      <c r="F18" s="220">
        <v>78.66</v>
      </c>
      <c r="G18" s="221">
        <f t="shared" ref="G18:G60" si="0">ROUND(IF($F$17="USD $", F18*$E$15,F18*$D$15),2)</f>
        <v>55.39</v>
      </c>
      <c r="H18" s="222">
        <f t="shared" ref="H18:H60" si="1">ROUND(IF($H$17=$G$17,E18*G18,E18*F18),2)</f>
        <v>78.66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29.89</v>
      </c>
      <c r="L18" s="221">
        <f t="shared" ref="L18:L60" si="4">ROUND((J18*K18),2)</f>
        <v>29.89</v>
      </c>
      <c r="M18" s="220" t="s">
        <v>84</v>
      </c>
      <c r="N18" s="225">
        <v>0.62</v>
      </c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29.89</v>
      </c>
      <c r="T18" s="229">
        <f t="shared" ref="T18:T60" si="7">ROUND(L18-R18,2)</f>
        <v>29.89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280">
        <v>5825010</v>
      </c>
      <c r="C19" s="281" t="s">
        <v>178</v>
      </c>
      <c r="D19" s="282">
        <v>500</v>
      </c>
      <c r="E19" s="283">
        <v>1</v>
      </c>
      <c r="F19" s="239">
        <v>76.349999999999994</v>
      </c>
      <c r="G19" s="240">
        <f t="shared" si="0"/>
        <v>53.77</v>
      </c>
      <c r="H19" s="241">
        <f t="shared" si="1"/>
        <v>76.349999999999994</v>
      </c>
      <c r="I19" s="242"/>
      <c r="J19" s="243">
        <f t="shared" si="2"/>
        <v>1</v>
      </c>
      <c r="K19" s="240">
        <f t="shared" si="3"/>
        <v>29.01</v>
      </c>
      <c r="L19" s="240">
        <f t="shared" si="4"/>
        <v>29.01</v>
      </c>
      <c r="M19" s="244" t="s">
        <v>84</v>
      </c>
      <c r="N19" s="245">
        <v>0.62</v>
      </c>
      <c r="O19" s="226"/>
      <c r="P19" s="246"/>
      <c r="Q19" s="239"/>
      <c r="R19" s="247">
        <f t="shared" si="5"/>
        <v>0</v>
      </c>
      <c r="S19" s="248">
        <f t="shared" si="6"/>
        <v>29.01</v>
      </c>
      <c r="T19" s="248">
        <f t="shared" si="7"/>
        <v>29.01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276">
        <v>5716779</v>
      </c>
      <c r="C20" s="284" t="s">
        <v>179</v>
      </c>
      <c r="D20" s="286">
        <v>500</v>
      </c>
      <c r="E20" s="279">
        <v>1</v>
      </c>
      <c r="F20" s="220">
        <v>67.33</v>
      </c>
      <c r="G20" s="221">
        <f t="shared" si="0"/>
        <v>47.42</v>
      </c>
      <c r="H20" s="222">
        <f t="shared" si="1"/>
        <v>67.33</v>
      </c>
      <c r="I20" s="242"/>
      <c r="J20" s="224">
        <f t="shared" si="2"/>
        <v>1</v>
      </c>
      <c r="K20" s="221">
        <f t="shared" si="3"/>
        <v>25.59</v>
      </c>
      <c r="L20" s="221">
        <f t="shared" si="4"/>
        <v>25.59</v>
      </c>
      <c r="M20" s="220" t="s">
        <v>84</v>
      </c>
      <c r="N20" s="254">
        <v>0.62</v>
      </c>
      <c r="O20" s="226"/>
      <c r="P20" s="255"/>
      <c r="Q20" s="228"/>
      <c r="R20" s="229">
        <f t="shared" si="5"/>
        <v>0</v>
      </c>
      <c r="S20" s="229">
        <f t="shared" si="6"/>
        <v>25.59</v>
      </c>
      <c r="T20" s="229">
        <f t="shared" si="7"/>
        <v>25.59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280">
        <v>7993014</v>
      </c>
      <c r="C21" s="281" t="s">
        <v>180</v>
      </c>
      <c r="D21" s="282">
        <v>500</v>
      </c>
      <c r="E21" s="283">
        <v>1</v>
      </c>
      <c r="F21" s="239">
        <v>74.47</v>
      </c>
      <c r="G21" s="240">
        <f t="shared" si="0"/>
        <v>52.44</v>
      </c>
      <c r="H21" s="241">
        <f t="shared" si="1"/>
        <v>74.47</v>
      </c>
      <c r="I21" s="242"/>
      <c r="J21" s="243">
        <f t="shared" si="2"/>
        <v>1</v>
      </c>
      <c r="K21" s="240">
        <f t="shared" si="3"/>
        <v>28.3</v>
      </c>
      <c r="L21" s="240">
        <f t="shared" si="4"/>
        <v>28.3</v>
      </c>
      <c r="M21" s="244" t="s">
        <v>84</v>
      </c>
      <c r="N21" s="245">
        <v>0.62</v>
      </c>
      <c r="O21" s="226"/>
      <c r="P21" s="246"/>
      <c r="Q21" s="239"/>
      <c r="R21" s="247">
        <f t="shared" si="5"/>
        <v>0</v>
      </c>
      <c r="S21" s="248">
        <f t="shared" si="6"/>
        <v>28.3</v>
      </c>
      <c r="T21" s="248">
        <f t="shared" si="7"/>
        <v>28.3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276">
        <v>5821147</v>
      </c>
      <c r="C22" s="284" t="s">
        <v>181</v>
      </c>
      <c r="D22" s="286">
        <v>500</v>
      </c>
      <c r="E22" s="279">
        <v>1</v>
      </c>
      <c r="F22" s="220">
        <v>57</v>
      </c>
      <c r="G22" s="221">
        <f t="shared" si="0"/>
        <v>40.14</v>
      </c>
      <c r="H22" s="222">
        <f t="shared" si="1"/>
        <v>57</v>
      </c>
      <c r="I22" s="242"/>
      <c r="J22" s="224">
        <f t="shared" si="2"/>
        <v>1</v>
      </c>
      <c r="K22" s="221">
        <f t="shared" si="3"/>
        <v>21.66</v>
      </c>
      <c r="L22" s="221">
        <f t="shared" si="4"/>
        <v>21.66</v>
      </c>
      <c r="M22" s="220" t="s">
        <v>84</v>
      </c>
      <c r="N22" s="254">
        <v>0.62</v>
      </c>
      <c r="O22" s="226"/>
      <c r="P22" s="255"/>
      <c r="Q22" s="228"/>
      <c r="R22" s="229">
        <f t="shared" si="5"/>
        <v>0</v>
      </c>
      <c r="S22" s="229">
        <f t="shared" si="6"/>
        <v>21.66</v>
      </c>
      <c r="T22" s="229">
        <f t="shared" si="7"/>
        <v>21.66</v>
      </c>
      <c r="U22" s="230">
        <f t="shared" si="8"/>
        <v>0</v>
      </c>
      <c r="V22" s="230">
        <f t="shared" si="9"/>
        <v>1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280">
        <v>5821148</v>
      </c>
      <c r="C23" s="281" t="s">
        <v>182</v>
      </c>
      <c r="D23" s="282">
        <v>1000</v>
      </c>
      <c r="E23" s="283">
        <v>1</v>
      </c>
      <c r="F23" s="239">
        <v>231.1</v>
      </c>
      <c r="G23" s="240">
        <f t="shared" si="0"/>
        <v>162.75</v>
      </c>
      <c r="H23" s="241">
        <f t="shared" si="1"/>
        <v>231.1</v>
      </c>
      <c r="I23" s="242"/>
      <c r="J23" s="243">
        <f t="shared" si="2"/>
        <v>1</v>
      </c>
      <c r="K23" s="240">
        <f t="shared" si="3"/>
        <v>87.82</v>
      </c>
      <c r="L23" s="240">
        <f t="shared" si="4"/>
        <v>87.82</v>
      </c>
      <c r="M23" s="244" t="s">
        <v>84</v>
      </c>
      <c r="N23" s="245">
        <v>0.62</v>
      </c>
      <c r="O23" s="226"/>
      <c r="P23" s="246"/>
      <c r="Q23" s="239"/>
      <c r="R23" s="247">
        <f t="shared" si="5"/>
        <v>0</v>
      </c>
      <c r="S23" s="248">
        <f t="shared" si="6"/>
        <v>87.82</v>
      </c>
      <c r="T23" s="248">
        <f t="shared" si="7"/>
        <v>87.82</v>
      </c>
      <c r="U23" s="249">
        <f t="shared" si="8"/>
        <v>0</v>
      </c>
      <c r="V23" s="249">
        <f t="shared" si="9"/>
        <v>1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276">
        <v>5570176</v>
      </c>
      <c r="C24" s="284" t="s">
        <v>197</v>
      </c>
      <c r="D24" s="285" t="s">
        <v>101</v>
      </c>
      <c r="E24" s="279">
        <v>1</v>
      </c>
      <c r="F24" s="220">
        <v>3692</v>
      </c>
      <c r="G24" s="221">
        <f t="shared" si="0"/>
        <v>2600</v>
      </c>
      <c r="H24" s="222">
        <f t="shared" si="1"/>
        <v>3692</v>
      </c>
      <c r="I24" s="242"/>
      <c r="J24" s="224">
        <f t="shared" si="2"/>
        <v>1</v>
      </c>
      <c r="K24" s="221">
        <f t="shared" si="3"/>
        <v>1402.96</v>
      </c>
      <c r="L24" s="221">
        <f t="shared" si="4"/>
        <v>1402.96</v>
      </c>
      <c r="M24" s="220" t="s">
        <v>84</v>
      </c>
      <c r="N24" s="254">
        <v>0.62</v>
      </c>
      <c r="O24" s="226"/>
      <c r="P24" s="255"/>
      <c r="Q24" s="228"/>
      <c r="R24" s="229">
        <f t="shared" si="5"/>
        <v>0</v>
      </c>
      <c r="S24" s="229">
        <f t="shared" si="6"/>
        <v>1402.96</v>
      </c>
      <c r="T24" s="229">
        <f t="shared" si="7"/>
        <v>1402.96</v>
      </c>
      <c r="U24" s="230">
        <f t="shared" si="8"/>
        <v>0</v>
      </c>
      <c r="V24" s="230">
        <f t="shared" si="9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 s="280">
        <v>5753229</v>
      </c>
      <c r="C25" s="281" t="s">
        <v>184</v>
      </c>
      <c r="D25" s="287" t="s">
        <v>101</v>
      </c>
      <c r="E25" s="283">
        <v>2</v>
      </c>
      <c r="F25" s="239">
        <v>623.03</v>
      </c>
      <c r="G25" s="240">
        <f t="shared" si="0"/>
        <v>438.75</v>
      </c>
      <c r="H25" s="241">
        <f t="shared" si="1"/>
        <v>1246.06</v>
      </c>
      <c r="I25" s="242"/>
      <c r="J25" s="243">
        <f t="shared" si="2"/>
        <v>2</v>
      </c>
      <c r="K25" s="240">
        <f t="shared" si="3"/>
        <v>623.03</v>
      </c>
      <c r="L25" s="240">
        <f t="shared" si="4"/>
        <v>1246.06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623.03</v>
      </c>
      <c r="T25" s="248">
        <f t="shared" si="7"/>
        <v>1246.06</v>
      </c>
      <c r="U25" s="249">
        <f t="shared" si="8"/>
        <v>0</v>
      </c>
      <c r="V25" s="249">
        <f t="shared" si="9"/>
        <v>1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 s="276">
        <v>5717025</v>
      </c>
      <c r="C26" s="284" t="s">
        <v>185</v>
      </c>
      <c r="D26" s="285">
        <v>6000</v>
      </c>
      <c r="E26" s="279">
        <v>1</v>
      </c>
      <c r="F26" s="220">
        <v>4756.29</v>
      </c>
      <c r="G26" s="221">
        <f t="shared" si="0"/>
        <v>3349.5</v>
      </c>
      <c r="H26" s="222">
        <f t="shared" si="1"/>
        <v>4756.29</v>
      </c>
      <c r="I26" s="242"/>
      <c r="J26" s="224">
        <f t="shared" si="2"/>
        <v>1</v>
      </c>
      <c r="K26" s="221">
        <f t="shared" si="3"/>
        <v>2378.15</v>
      </c>
      <c r="L26" s="221">
        <f t="shared" si="4"/>
        <v>2378.15</v>
      </c>
      <c r="M26" s="220" t="s">
        <v>84</v>
      </c>
      <c r="N26" s="254">
        <v>0.5</v>
      </c>
      <c r="O26" s="226"/>
      <c r="P26" s="255"/>
      <c r="Q26" s="228"/>
      <c r="R26" s="229">
        <f t="shared" si="5"/>
        <v>0</v>
      </c>
      <c r="S26" s="229">
        <f t="shared" si="6"/>
        <v>2378.15</v>
      </c>
      <c r="T26" s="229">
        <f t="shared" si="7"/>
        <v>2378.15</v>
      </c>
      <c r="U26" s="230">
        <f t="shared" si="8"/>
        <v>0</v>
      </c>
      <c r="V26" s="230">
        <f t="shared" si="9"/>
        <v>1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280">
        <v>5716654</v>
      </c>
      <c r="C27" s="281" t="s">
        <v>186</v>
      </c>
      <c r="D27" s="282">
        <v>6000</v>
      </c>
      <c r="E27" s="283">
        <v>4</v>
      </c>
      <c r="F27" s="239">
        <v>2854.11</v>
      </c>
      <c r="G27" s="240">
        <f t="shared" si="0"/>
        <v>2009.94</v>
      </c>
      <c r="H27" s="241">
        <f t="shared" si="1"/>
        <v>11416.44</v>
      </c>
      <c r="I27" s="242"/>
      <c r="J27" s="243">
        <f t="shared" si="2"/>
        <v>4</v>
      </c>
      <c r="K27" s="240">
        <f t="shared" si="3"/>
        <v>2854.11</v>
      </c>
      <c r="L27" s="240">
        <f t="shared" si="4"/>
        <v>11416.44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2854.11</v>
      </c>
      <c r="T27" s="248">
        <f t="shared" si="7"/>
        <v>11416.44</v>
      </c>
      <c r="U27" s="249">
        <f t="shared" si="8"/>
        <v>0</v>
      </c>
      <c r="V27" s="249">
        <f t="shared" si="9"/>
        <v>1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276">
        <v>5717590</v>
      </c>
      <c r="C28" s="284" t="s">
        <v>112</v>
      </c>
      <c r="D28" s="285" t="s">
        <v>101</v>
      </c>
      <c r="E28" s="279">
        <v>1</v>
      </c>
      <c r="F28" s="220">
        <v>7668</v>
      </c>
      <c r="G28" s="221">
        <f t="shared" si="0"/>
        <v>5400</v>
      </c>
      <c r="H28" s="222">
        <f t="shared" si="1"/>
        <v>7668</v>
      </c>
      <c r="I28" s="242"/>
      <c r="J28" s="224">
        <f t="shared" si="2"/>
        <v>1</v>
      </c>
      <c r="K28" s="221">
        <f t="shared" si="3"/>
        <v>7668</v>
      </c>
      <c r="L28" s="221">
        <f t="shared" si="4"/>
        <v>7668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7668</v>
      </c>
      <c r="T28" s="229">
        <f t="shared" si="7"/>
        <v>7668</v>
      </c>
      <c r="U28" s="230">
        <f t="shared" si="8"/>
        <v>0</v>
      </c>
      <c r="V28" s="230">
        <f t="shared" si="9"/>
        <v>1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280">
        <v>5718087</v>
      </c>
      <c r="C29" s="281" t="s">
        <v>188</v>
      </c>
      <c r="D29" s="287" t="s">
        <v>101</v>
      </c>
      <c r="E29" s="283">
        <v>1</v>
      </c>
      <c r="F29" s="228">
        <v>4800</v>
      </c>
      <c r="G29" s="240">
        <f t="shared" si="0"/>
        <v>3380.28</v>
      </c>
      <c r="H29" s="241">
        <f t="shared" si="1"/>
        <v>4800</v>
      </c>
      <c r="I29" s="242"/>
      <c r="J29" s="243">
        <f t="shared" si="2"/>
        <v>1</v>
      </c>
      <c r="K29" s="240">
        <f t="shared" si="3"/>
        <v>4800</v>
      </c>
      <c r="L29" s="240">
        <f t="shared" si="4"/>
        <v>4800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4800</v>
      </c>
      <c r="T29" s="248">
        <f t="shared" si="7"/>
        <v>4800</v>
      </c>
      <c r="U29" s="249">
        <f t="shared" si="8"/>
        <v>0</v>
      </c>
      <c r="V29" s="249">
        <f t="shared" si="9"/>
        <v>1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276">
        <v>5717587</v>
      </c>
      <c r="C30" s="284" t="s">
        <v>189</v>
      </c>
      <c r="D30" s="285" t="s">
        <v>101</v>
      </c>
      <c r="E30" s="279">
        <v>1</v>
      </c>
      <c r="F30" s="220">
        <v>2652.09</v>
      </c>
      <c r="G30" s="221">
        <f t="shared" si="0"/>
        <v>1867.67</v>
      </c>
      <c r="H30" s="222">
        <f t="shared" si="1"/>
        <v>2652.09</v>
      </c>
      <c r="I30" s="242"/>
      <c r="J30" s="224">
        <f t="shared" si="2"/>
        <v>1</v>
      </c>
      <c r="K30" s="221">
        <f t="shared" si="3"/>
        <v>2652.09</v>
      </c>
      <c r="L30" s="221">
        <f t="shared" si="4"/>
        <v>2652.09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2652.09</v>
      </c>
      <c r="T30" s="229">
        <f t="shared" si="7"/>
        <v>2652.09</v>
      </c>
      <c r="U30" s="230">
        <f t="shared" si="8"/>
        <v>0</v>
      </c>
      <c r="V30" s="230">
        <f t="shared" si="9"/>
        <v>1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280">
        <v>6704138</v>
      </c>
      <c r="C31" s="281" t="s">
        <v>190</v>
      </c>
      <c r="D31" s="282">
        <v>4000</v>
      </c>
      <c r="E31" s="283">
        <v>2</v>
      </c>
      <c r="F31" s="239">
        <v>949.89</v>
      </c>
      <c r="G31" s="240">
        <f t="shared" si="0"/>
        <v>668.94</v>
      </c>
      <c r="H31" s="241">
        <f t="shared" si="1"/>
        <v>1899.78</v>
      </c>
      <c r="I31" s="242"/>
      <c r="J31" s="243">
        <f t="shared" si="2"/>
        <v>2</v>
      </c>
      <c r="K31" s="240">
        <f t="shared" si="3"/>
        <v>949.89</v>
      </c>
      <c r="L31" s="240">
        <f t="shared" si="4"/>
        <v>1899.78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949.89</v>
      </c>
      <c r="T31" s="248">
        <f t="shared" si="7"/>
        <v>1899.78</v>
      </c>
      <c r="U31" s="249">
        <f t="shared" si="8"/>
        <v>0</v>
      </c>
      <c r="V31" s="249">
        <f t="shared" si="9"/>
        <v>1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276"/>
      <c r="C32" s="284"/>
      <c r="D32" s="285"/>
      <c r="E32" s="279"/>
      <c r="F32" s="220"/>
      <c r="G32" s="221">
        <f t="shared" si="0"/>
        <v>0</v>
      </c>
      <c r="H32" s="222">
        <f t="shared" si="1"/>
        <v>0</v>
      </c>
      <c r="I32" s="242"/>
      <c r="J32" s="224">
        <f t="shared" si="2"/>
        <v>0</v>
      </c>
      <c r="K32" s="221">
        <f t="shared" si="3"/>
        <v>0</v>
      </c>
      <c r="L32" s="221">
        <f t="shared" si="4"/>
        <v>0</v>
      </c>
      <c r="M32" s="220" t="s">
        <v>84</v>
      </c>
      <c r="N32" s="254">
        <v>0.5</v>
      </c>
      <c r="O32" s="226"/>
      <c r="P32" s="255"/>
      <c r="Q32" s="228"/>
      <c r="R32" s="229">
        <f t="shared" si="5"/>
        <v>0</v>
      </c>
      <c r="S32" s="229">
        <f t="shared" si="6"/>
        <v>0</v>
      </c>
      <c r="T32" s="229">
        <f t="shared" si="7"/>
        <v>0</v>
      </c>
      <c r="U32" s="230">
        <f t="shared" si="8"/>
        <v>0</v>
      </c>
      <c r="V32" s="230">
        <f t="shared" si="9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280"/>
      <c r="C33" s="281"/>
      <c r="D33" s="282"/>
      <c r="E33" s="283"/>
      <c r="F33" s="239"/>
      <c r="G33" s="240">
        <f t="shared" si="0"/>
        <v>0</v>
      </c>
      <c r="H33" s="241">
        <f t="shared" si="1"/>
        <v>0</v>
      </c>
      <c r="I33" s="242"/>
      <c r="J33" s="243">
        <f t="shared" si="2"/>
        <v>0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276"/>
      <c r="C34" s="284"/>
      <c r="D34" s="285"/>
      <c r="E34" s="279"/>
      <c r="F34" s="220"/>
      <c r="G34" s="221">
        <f t="shared" si="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>
        <v>0.5</v>
      </c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280"/>
      <c r="C35" s="281"/>
      <c r="D35" s="282"/>
      <c r="E35" s="283"/>
      <c r="F35" s="239"/>
      <c r="G35" s="240">
        <f t="shared" si="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>
        <v>0.5</v>
      </c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276"/>
      <c r="C36" s="284"/>
      <c r="D36" s="285"/>
      <c r="E36" s="279"/>
      <c r="F36" s="220"/>
      <c r="G36" s="221">
        <f t="shared" si="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280"/>
      <c r="C37" s="281"/>
      <c r="D37" s="282"/>
      <c r="E37" s="283"/>
      <c r="F37" s="239"/>
      <c r="G37" s="240">
        <f t="shared" si="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276"/>
      <c r="C38" s="284"/>
      <c r="D38" s="285"/>
      <c r="E38" s="279"/>
      <c r="F38" s="220"/>
      <c r="G38" s="221">
        <f t="shared" si="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280"/>
      <c r="C39" s="281"/>
      <c r="D39" s="282"/>
      <c r="E39" s="283"/>
      <c r="F39" s="239"/>
      <c r="G39" s="240">
        <f t="shared" si="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276"/>
      <c r="C40" s="284"/>
      <c r="D40" s="285"/>
      <c r="E40" s="279"/>
      <c r="F40" s="220"/>
      <c r="G40" s="221">
        <f t="shared" si="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280"/>
      <c r="C41" s="281"/>
      <c r="D41" s="282"/>
      <c r="E41" s="283"/>
      <c r="F41" s="239"/>
      <c r="G41" s="240">
        <f t="shared" si="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276"/>
      <c r="C42" s="284"/>
      <c r="D42" s="285"/>
      <c r="E42" s="279"/>
      <c r="F42" s="220"/>
      <c r="G42" s="221">
        <f t="shared" si="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280"/>
      <c r="C43" s="281"/>
      <c r="D43" s="282"/>
      <c r="E43" s="283"/>
      <c r="F43" s="239"/>
      <c r="G43" s="240">
        <f t="shared" si="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276"/>
      <c r="C44" s="284"/>
      <c r="D44" s="285"/>
      <c r="E44" s="279"/>
      <c r="F44" s="220"/>
      <c r="G44" s="221">
        <f t="shared" si="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280"/>
      <c r="C45" s="281"/>
      <c r="D45" s="282"/>
      <c r="E45" s="283"/>
      <c r="F45" s="239"/>
      <c r="G45" s="240">
        <f t="shared" si="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276"/>
      <c r="C46" s="284"/>
      <c r="D46" s="285"/>
      <c r="E46" s="279"/>
      <c r="F46" s="220"/>
      <c r="G46" s="221">
        <f t="shared" si="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280"/>
      <c r="C47" s="281"/>
      <c r="D47" s="282"/>
      <c r="E47" s="283"/>
      <c r="F47" s="239"/>
      <c r="G47" s="240">
        <f t="shared" si="0"/>
        <v>0</v>
      </c>
      <c r="H47" s="241">
        <f t="shared" si="1"/>
        <v>0</v>
      </c>
      <c r="I47" s="242"/>
      <c r="J47" s="243">
        <f t="shared" si="2"/>
        <v>0</v>
      </c>
      <c r="K47" s="240">
        <f t="shared" si="3"/>
        <v>0</v>
      </c>
      <c r="L47" s="240">
        <f t="shared" si="4"/>
        <v>0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0</v>
      </c>
      <c r="T47" s="248">
        <f t="shared" si="7"/>
        <v>0</v>
      </c>
      <c r="U47" s="249">
        <f t="shared" si="8"/>
        <v>0</v>
      </c>
      <c r="V47" s="249">
        <f t="shared" si="9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276"/>
      <c r="C48" s="284"/>
      <c r="D48" s="285"/>
      <c r="E48" s="279"/>
      <c r="F48" s="220"/>
      <c r="G48" s="221">
        <f t="shared" si="0"/>
        <v>0</v>
      </c>
      <c r="H48" s="222">
        <f t="shared" si="1"/>
        <v>0</v>
      </c>
      <c r="I48" s="242"/>
      <c r="J48" s="224">
        <f t="shared" si="2"/>
        <v>0</v>
      </c>
      <c r="K48" s="221">
        <f t="shared" si="3"/>
        <v>0</v>
      </c>
      <c r="L48" s="221">
        <f t="shared" si="4"/>
        <v>0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0</v>
      </c>
      <c r="T48" s="229">
        <f t="shared" si="7"/>
        <v>0</v>
      </c>
      <c r="U48" s="230">
        <f t="shared" si="8"/>
        <v>0</v>
      </c>
      <c r="V48" s="230">
        <f t="shared" si="9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280"/>
      <c r="C49" s="281"/>
      <c r="D49" s="282"/>
      <c r="E49" s="283"/>
      <c r="F49" s="239"/>
      <c r="G49" s="240">
        <f t="shared" si="0"/>
        <v>0</v>
      </c>
      <c r="H49" s="241">
        <f t="shared" si="1"/>
        <v>0</v>
      </c>
      <c r="I49" s="242"/>
      <c r="J49" s="243">
        <f t="shared" si="2"/>
        <v>0</v>
      </c>
      <c r="K49" s="240">
        <f t="shared" si="3"/>
        <v>0</v>
      </c>
      <c r="L49" s="240">
        <f t="shared" si="4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0</v>
      </c>
      <c r="T49" s="248">
        <f t="shared" si="7"/>
        <v>0</v>
      </c>
      <c r="U49" s="249">
        <f t="shared" si="8"/>
        <v>0</v>
      </c>
      <c r="V49" s="249">
        <f t="shared" si="9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276"/>
      <c r="C50" s="284"/>
      <c r="D50" s="285"/>
      <c r="E50" s="279"/>
      <c r="F50" s="220"/>
      <c r="G50" s="221">
        <f t="shared" si="0"/>
        <v>0</v>
      </c>
      <c r="H50" s="222">
        <f t="shared" si="1"/>
        <v>0</v>
      </c>
      <c r="I50" s="242"/>
      <c r="J50" s="224">
        <f t="shared" si="2"/>
        <v>0</v>
      </c>
      <c r="K50" s="221">
        <f t="shared" si="3"/>
        <v>0</v>
      </c>
      <c r="L50" s="221">
        <f t="shared" si="4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0</v>
      </c>
      <c r="T50" s="229">
        <f t="shared" si="7"/>
        <v>0</v>
      </c>
      <c r="U50" s="230">
        <f t="shared" si="8"/>
        <v>0</v>
      </c>
      <c r="V50" s="230">
        <f t="shared" si="9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280"/>
      <c r="C51" s="281"/>
      <c r="D51" s="282"/>
      <c r="E51" s="283"/>
      <c r="F51" s="239"/>
      <c r="G51" s="240">
        <f t="shared" si="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19</v>
      </c>
      <c r="F61" s="265">
        <f>SUM(F18:F60)</f>
        <v>28580.32</v>
      </c>
      <c r="G61" s="266">
        <f>SUM(G18:G60)</f>
        <v>20126.990000000002</v>
      </c>
      <c r="H61" s="267">
        <f>SUM(H18:H60)</f>
        <v>38715.569999999992</v>
      </c>
      <c r="I61" s="268"/>
      <c r="J61" s="269">
        <f>SUM(J18:J60)</f>
        <v>19</v>
      </c>
      <c r="K61" s="266">
        <f>SUM(K18:K60)</f>
        <v>23550.5</v>
      </c>
      <c r="L61" s="267">
        <f>SUM(L18:L60)</f>
        <v>33685.75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23550.5</v>
      </c>
      <c r="T61" s="267">
        <f>SUM(T18:T60)</f>
        <v>33685.75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91" priority="3" stopIfTrue="1">
      <formula>$U$9&gt;100%</formula>
    </cfRule>
    <cfRule type="expression" dxfId="190" priority="4">
      <formula>$U$9&lt;50%</formula>
    </cfRule>
  </conditionalFormatting>
  <conditionalFormatting sqref="V9:V10">
    <cfRule type="expression" dxfId="189" priority="1">
      <formula>$V$9&lt;50%</formula>
    </cfRule>
    <cfRule type="expression" dxfId="188" priority="2">
      <formula>$V$9&gt;50%</formula>
    </cfRule>
  </conditionalFormatting>
  <dataValidations count="5">
    <dataValidation type="list" allowBlank="1" showInputMessage="1" showErrorMessage="1" sqref="M18:M60" xr:uid="{2ED81CE7-4D4B-4323-9986-370281DA7F1D}">
      <formula1>$Y$31:$Y$32</formula1>
    </dataValidation>
    <dataValidation type="list" showInputMessage="1" showErrorMessage="1" sqref="D52:D60" xr:uid="{71A0A6A3-0B9A-40BD-A6D2-98163385A524}">
      <formula1>$Z$18:$Z$29</formula1>
    </dataValidation>
    <dataValidation type="list" allowBlank="1" showInputMessage="1" showErrorMessage="1" sqref="I13" xr:uid="{1AF76DFE-9A71-4AFE-8A4E-86EBC49E431A}">
      <formula1>$K$9:$K$9</formula1>
    </dataValidation>
    <dataValidation type="list" allowBlank="1" showInputMessage="1" showErrorMessage="1" sqref="H13" xr:uid="{2065B3AC-BC08-45F1-89F7-0BC65570CAA1}">
      <formula1>$Y$13:$Y$14</formula1>
    </dataValidation>
    <dataValidation type="list" allowBlank="1" showInputMessage="1" showErrorMessage="1" sqref="F17 K17 Q17 Q14" xr:uid="{7F1E7EB3-2F07-4F27-9A1A-7B4881D87054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02E93-ECC9-4CFE-9B20-DC2BDC565F9D}">
  <sheetPr>
    <pageSetUpPr fitToPage="1"/>
  </sheetPr>
  <dimension ref="A1:AB63"/>
  <sheetViews>
    <sheetView zoomScale="85" zoomScaleNormal="85" workbookViewId="0">
      <selection activeCell="F6" sqref="F6:G6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523" t="s">
        <v>2</v>
      </c>
      <c r="I1" s="524"/>
      <c r="J1" s="524"/>
      <c r="K1" s="525"/>
      <c r="L1" s="528" t="s">
        <v>3</v>
      </c>
      <c r="M1" s="529"/>
      <c r="N1" s="529"/>
      <c r="O1" s="529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59">
        <v>486051</v>
      </c>
      <c r="G2" s="549"/>
      <c r="H2" s="546" t="s">
        <v>7</v>
      </c>
      <c r="I2" s="550"/>
      <c r="J2" s="547"/>
      <c r="K2" s="148"/>
      <c r="L2" s="551" t="s">
        <v>8</v>
      </c>
      <c r="M2" s="552"/>
      <c r="N2" s="553"/>
      <c r="O2" s="149"/>
      <c r="P2" s="554">
        <f>H61</f>
        <v>38715.569999999992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532" t="s">
        <v>13</v>
      </c>
      <c r="I3" s="536"/>
      <c r="J3" s="533"/>
      <c r="K3" s="154"/>
      <c r="L3" s="537" t="s">
        <v>14</v>
      </c>
      <c r="M3" s="538"/>
      <c r="N3" s="539"/>
      <c r="O3" s="149"/>
      <c r="P3" s="540">
        <f>L61</f>
        <v>33685.75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665" t="s">
        <v>176</v>
      </c>
      <c r="G4" s="666"/>
      <c r="H4" s="532" t="s">
        <v>19</v>
      </c>
      <c r="I4" s="536"/>
      <c r="J4" s="533"/>
      <c r="K4" s="154"/>
      <c r="L4" s="537" t="s">
        <v>20</v>
      </c>
      <c r="M4" s="538"/>
      <c r="N4" s="539"/>
      <c r="O4" s="149"/>
      <c r="P4" s="540">
        <f>P2-P3</f>
        <v>5029.8199999999924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665" t="s">
        <v>198</v>
      </c>
      <c r="G5" s="666"/>
      <c r="H5" s="532" t="s">
        <v>25</v>
      </c>
      <c r="I5" s="536"/>
      <c r="J5" s="533"/>
      <c r="K5" s="154"/>
      <c r="L5" s="558" t="s">
        <v>26</v>
      </c>
      <c r="M5" s="559"/>
      <c r="N5" s="560"/>
      <c r="O5" s="149"/>
      <c r="P5" s="561">
        <f>IFERROR((P2-P3)/P2,"")</f>
        <v>0.12991724001480523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69" t="s">
        <v>402</v>
      </c>
      <c r="G6" s="666"/>
      <c r="H6" s="532" t="s">
        <v>31</v>
      </c>
      <c r="I6" s="536"/>
      <c r="J6" s="533"/>
      <c r="K6" s="154"/>
      <c r="L6" s="574" t="s">
        <v>32</v>
      </c>
      <c r="M6" s="575"/>
      <c r="N6" s="576"/>
      <c r="O6" s="149"/>
      <c r="P6" s="577">
        <f>T61</f>
        <v>33685.75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563"/>
      <c r="G7" s="535"/>
      <c r="H7" s="532" t="s">
        <v>36</v>
      </c>
      <c r="I7" s="536"/>
      <c r="J7" s="533"/>
      <c r="K7" s="154"/>
      <c r="L7" s="564" t="s">
        <v>37</v>
      </c>
      <c r="M7" s="565"/>
      <c r="N7" s="56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532" t="s">
        <v>40</v>
      </c>
      <c r="I8" s="536"/>
      <c r="J8" s="533"/>
      <c r="K8" s="154"/>
      <c r="L8" s="564" t="s">
        <v>41</v>
      </c>
      <c r="M8" s="565"/>
      <c r="N8" s="56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401</v>
      </c>
      <c r="G9" s="535"/>
      <c r="H9" s="171"/>
      <c r="I9" s="172"/>
      <c r="J9" s="172"/>
      <c r="K9" s="173"/>
      <c r="L9" s="564" t="s">
        <v>47</v>
      </c>
      <c r="M9" s="565"/>
      <c r="N9" s="56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33685.75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542" t="s">
        <v>48</v>
      </c>
      <c r="M10" s="579"/>
      <c r="N10" s="543"/>
      <c r="O10" s="149"/>
      <c r="P10" s="580">
        <f>E61</f>
        <v>19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650" t="s">
        <v>50</v>
      </c>
      <c r="K11" s="651"/>
      <c r="L11" s="651"/>
      <c r="M11" s="651"/>
      <c r="N11" s="652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653"/>
      <c r="K12" s="654"/>
      <c r="L12" s="654"/>
      <c r="M12" s="654"/>
      <c r="N12" s="655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656"/>
      <c r="K13" s="657"/>
      <c r="L13" s="657"/>
      <c r="M13" s="657"/>
      <c r="N13" s="658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601" t="s">
        <v>59</v>
      </c>
      <c r="K14" s="602"/>
      <c r="L14" s="605" t="s">
        <v>60</v>
      </c>
      <c r="M14" s="606"/>
      <c r="N14" s="60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603"/>
      <c r="K15" s="604"/>
      <c r="L15" s="608"/>
      <c r="M15" s="609"/>
      <c r="N15" s="61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631" t="s">
        <v>69</v>
      </c>
      <c r="K16" s="201" t="s">
        <v>72</v>
      </c>
      <c r="L16" s="202" t="s">
        <v>73</v>
      </c>
      <c r="M16" s="633" t="s">
        <v>74</v>
      </c>
      <c r="N16" s="633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3"/>
      <c r="C17" s="625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632"/>
      <c r="K17" s="614" t="s">
        <v>52</v>
      </c>
      <c r="L17" s="615"/>
      <c r="M17" s="634"/>
      <c r="N17" s="634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 s="276">
        <v>5710640</v>
      </c>
      <c r="C18" s="277" t="s">
        <v>83</v>
      </c>
      <c r="D18" s="278">
        <v>375</v>
      </c>
      <c r="E18" s="279">
        <v>1</v>
      </c>
      <c r="F18" s="220">
        <v>78.66</v>
      </c>
      <c r="G18" s="221">
        <f t="shared" ref="G18:G60" si="0">ROUND(IF($F$17="USD $", F18*$E$15,F18*$D$15),2)</f>
        <v>55.39</v>
      </c>
      <c r="H18" s="222">
        <f t="shared" ref="H18:H60" si="1">ROUND(IF($H$17=$G$17,E18*G18,E18*F18),2)</f>
        <v>78.66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29.89</v>
      </c>
      <c r="L18" s="221">
        <f t="shared" ref="L18:L60" si="4">ROUND((J18*K18),2)</f>
        <v>29.89</v>
      </c>
      <c r="M18" s="220" t="s">
        <v>84</v>
      </c>
      <c r="N18" s="225">
        <v>0.62</v>
      </c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29.89</v>
      </c>
      <c r="T18" s="229">
        <f t="shared" ref="T18:T60" si="7">ROUND(L18-R18,2)</f>
        <v>29.89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280">
        <v>5825010</v>
      </c>
      <c r="C19" s="281" t="s">
        <v>178</v>
      </c>
      <c r="D19" s="282">
        <v>500</v>
      </c>
      <c r="E19" s="283">
        <v>1</v>
      </c>
      <c r="F19" s="239">
        <v>76.349999999999994</v>
      </c>
      <c r="G19" s="240">
        <f t="shared" si="0"/>
        <v>53.77</v>
      </c>
      <c r="H19" s="241">
        <f t="shared" si="1"/>
        <v>76.349999999999994</v>
      </c>
      <c r="I19" s="242"/>
      <c r="J19" s="243">
        <f t="shared" si="2"/>
        <v>1</v>
      </c>
      <c r="K19" s="240">
        <f t="shared" si="3"/>
        <v>29.01</v>
      </c>
      <c r="L19" s="240">
        <f t="shared" si="4"/>
        <v>29.01</v>
      </c>
      <c r="M19" s="244" t="s">
        <v>84</v>
      </c>
      <c r="N19" s="245">
        <v>0.62</v>
      </c>
      <c r="O19" s="226"/>
      <c r="P19" s="246"/>
      <c r="Q19" s="239"/>
      <c r="R19" s="247">
        <f t="shared" si="5"/>
        <v>0</v>
      </c>
      <c r="S19" s="248">
        <f t="shared" si="6"/>
        <v>29.01</v>
      </c>
      <c r="T19" s="248">
        <f t="shared" si="7"/>
        <v>29.01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276">
        <v>5716779</v>
      </c>
      <c r="C20" s="284" t="s">
        <v>179</v>
      </c>
      <c r="D20" s="286">
        <v>500</v>
      </c>
      <c r="E20" s="279">
        <v>1</v>
      </c>
      <c r="F20" s="220">
        <v>67.33</v>
      </c>
      <c r="G20" s="221">
        <f t="shared" si="0"/>
        <v>47.42</v>
      </c>
      <c r="H20" s="222">
        <f t="shared" si="1"/>
        <v>67.33</v>
      </c>
      <c r="I20" s="242"/>
      <c r="J20" s="224">
        <f t="shared" si="2"/>
        <v>1</v>
      </c>
      <c r="K20" s="221">
        <f t="shared" si="3"/>
        <v>25.59</v>
      </c>
      <c r="L20" s="221">
        <f t="shared" si="4"/>
        <v>25.59</v>
      </c>
      <c r="M20" s="220" t="s">
        <v>84</v>
      </c>
      <c r="N20" s="254">
        <v>0.62</v>
      </c>
      <c r="O20" s="226"/>
      <c r="P20" s="255"/>
      <c r="Q20" s="228"/>
      <c r="R20" s="229">
        <f t="shared" si="5"/>
        <v>0</v>
      </c>
      <c r="S20" s="229">
        <f t="shared" si="6"/>
        <v>25.59</v>
      </c>
      <c r="T20" s="229">
        <f t="shared" si="7"/>
        <v>25.59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280">
        <v>7993014</v>
      </c>
      <c r="C21" s="281" t="s">
        <v>180</v>
      </c>
      <c r="D21" s="282">
        <v>500</v>
      </c>
      <c r="E21" s="283">
        <v>1</v>
      </c>
      <c r="F21" s="239">
        <v>74.47</v>
      </c>
      <c r="G21" s="240">
        <f t="shared" si="0"/>
        <v>52.44</v>
      </c>
      <c r="H21" s="241">
        <f t="shared" si="1"/>
        <v>74.47</v>
      </c>
      <c r="I21" s="242"/>
      <c r="J21" s="243">
        <f t="shared" si="2"/>
        <v>1</v>
      </c>
      <c r="K21" s="240">
        <f t="shared" si="3"/>
        <v>28.3</v>
      </c>
      <c r="L21" s="240">
        <f t="shared" si="4"/>
        <v>28.3</v>
      </c>
      <c r="M21" s="244" t="s">
        <v>84</v>
      </c>
      <c r="N21" s="245">
        <v>0.62</v>
      </c>
      <c r="O21" s="226"/>
      <c r="P21" s="246"/>
      <c r="Q21" s="239"/>
      <c r="R21" s="247">
        <f t="shared" si="5"/>
        <v>0</v>
      </c>
      <c r="S21" s="248">
        <f t="shared" si="6"/>
        <v>28.3</v>
      </c>
      <c r="T21" s="248">
        <f t="shared" si="7"/>
        <v>28.3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276">
        <v>5821147</v>
      </c>
      <c r="C22" s="284" t="s">
        <v>181</v>
      </c>
      <c r="D22" s="286">
        <v>500</v>
      </c>
      <c r="E22" s="279">
        <v>1</v>
      </c>
      <c r="F22" s="220">
        <v>57</v>
      </c>
      <c r="G22" s="221">
        <f t="shared" si="0"/>
        <v>40.14</v>
      </c>
      <c r="H22" s="222">
        <f t="shared" si="1"/>
        <v>57</v>
      </c>
      <c r="I22" s="242"/>
      <c r="J22" s="224">
        <f t="shared" si="2"/>
        <v>1</v>
      </c>
      <c r="K22" s="221">
        <f t="shared" si="3"/>
        <v>21.66</v>
      </c>
      <c r="L22" s="221">
        <f t="shared" si="4"/>
        <v>21.66</v>
      </c>
      <c r="M22" s="220" t="s">
        <v>84</v>
      </c>
      <c r="N22" s="254">
        <v>0.62</v>
      </c>
      <c r="O22" s="226"/>
      <c r="P22" s="255"/>
      <c r="Q22" s="228"/>
      <c r="R22" s="229">
        <f t="shared" si="5"/>
        <v>0</v>
      </c>
      <c r="S22" s="229">
        <f t="shared" si="6"/>
        <v>21.66</v>
      </c>
      <c r="T22" s="229">
        <f t="shared" si="7"/>
        <v>21.66</v>
      </c>
      <c r="U22" s="230">
        <f t="shared" si="8"/>
        <v>0</v>
      </c>
      <c r="V22" s="230">
        <f t="shared" si="9"/>
        <v>1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280">
        <v>5821148</v>
      </c>
      <c r="C23" s="281" t="s">
        <v>182</v>
      </c>
      <c r="D23" s="282">
        <v>1000</v>
      </c>
      <c r="E23" s="283">
        <v>1</v>
      </c>
      <c r="F23" s="239">
        <v>231.1</v>
      </c>
      <c r="G23" s="240">
        <f t="shared" si="0"/>
        <v>162.75</v>
      </c>
      <c r="H23" s="241">
        <f t="shared" si="1"/>
        <v>231.1</v>
      </c>
      <c r="I23" s="242"/>
      <c r="J23" s="243">
        <f t="shared" si="2"/>
        <v>1</v>
      </c>
      <c r="K23" s="240">
        <f t="shared" si="3"/>
        <v>87.82</v>
      </c>
      <c r="L23" s="240">
        <f t="shared" si="4"/>
        <v>87.82</v>
      </c>
      <c r="M23" s="244" t="s">
        <v>84</v>
      </c>
      <c r="N23" s="245">
        <v>0.62</v>
      </c>
      <c r="O23" s="226"/>
      <c r="P23" s="246"/>
      <c r="Q23" s="239"/>
      <c r="R23" s="247">
        <f t="shared" si="5"/>
        <v>0</v>
      </c>
      <c r="S23" s="248">
        <f t="shared" si="6"/>
        <v>87.82</v>
      </c>
      <c r="T23" s="248">
        <f t="shared" si="7"/>
        <v>87.82</v>
      </c>
      <c r="U23" s="249">
        <f t="shared" si="8"/>
        <v>0</v>
      </c>
      <c r="V23" s="249">
        <f t="shared" si="9"/>
        <v>1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276">
        <v>5570176</v>
      </c>
      <c r="C24" s="284" t="s">
        <v>197</v>
      </c>
      <c r="D24" s="285" t="s">
        <v>101</v>
      </c>
      <c r="E24" s="279">
        <v>1</v>
      </c>
      <c r="F24" s="220">
        <v>3692</v>
      </c>
      <c r="G24" s="221">
        <f t="shared" si="0"/>
        <v>2600</v>
      </c>
      <c r="H24" s="222">
        <f t="shared" si="1"/>
        <v>3692</v>
      </c>
      <c r="I24" s="242"/>
      <c r="J24" s="224">
        <f t="shared" si="2"/>
        <v>1</v>
      </c>
      <c r="K24" s="221">
        <f t="shared" si="3"/>
        <v>1402.96</v>
      </c>
      <c r="L24" s="221">
        <f t="shared" si="4"/>
        <v>1402.96</v>
      </c>
      <c r="M24" s="220" t="s">
        <v>84</v>
      </c>
      <c r="N24" s="254">
        <v>0.62</v>
      </c>
      <c r="O24" s="226"/>
      <c r="P24" s="255"/>
      <c r="Q24" s="228"/>
      <c r="R24" s="229">
        <f t="shared" si="5"/>
        <v>0</v>
      </c>
      <c r="S24" s="229">
        <f t="shared" si="6"/>
        <v>1402.96</v>
      </c>
      <c r="T24" s="229">
        <f t="shared" si="7"/>
        <v>1402.96</v>
      </c>
      <c r="U24" s="230">
        <f t="shared" si="8"/>
        <v>0</v>
      </c>
      <c r="V24" s="230">
        <f t="shared" si="9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 s="280">
        <v>5753229</v>
      </c>
      <c r="C25" s="281" t="s">
        <v>184</v>
      </c>
      <c r="D25" s="287" t="s">
        <v>101</v>
      </c>
      <c r="E25" s="283">
        <v>2</v>
      </c>
      <c r="F25" s="239">
        <v>623.03</v>
      </c>
      <c r="G25" s="240">
        <f t="shared" si="0"/>
        <v>438.75</v>
      </c>
      <c r="H25" s="241">
        <f t="shared" si="1"/>
        <v>1246.06</v>
      </c>
      <c r="I25" s="242"/>
      <c r="J25" s="243">
        <f t="shared" si="2"/>
        <v>2</v>
      </c>
      <c r="K25" s="240">
        <f t="shared" si="3"/>
        <v>623.03</v>
      </c>
      <c r="L25" s="240">
        <f t="shared" si="4"/>
        <v>1246.06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623.03</v>
      </c>
      <c r="T25" s="248">
        <f t="shared" si="7"/>
        <v>1246.06</v>
      </c>
      <c r="U25" s="249">
        <f t="shared" si="8"/>
        <v>0</v>
      </c>
      <c r="V25" s="249">
        <f t="shared" si="9"/>
        <v>1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 s="276">
        <v>5717025</v>
      </c>
      <c r="C26" s="284" t="s">
        <v>185</v>
      </c>
      <c r="D26" s="285">
        <v>6000</v>
      </c>
      <c r="E26" s="279">
        <v>1</v>
      </c>
      <c r="F26" s="220">
        <v>4756.29</v>
      </c>
      <c r="G26" s="221">
        <f t="shared" si="0"/>
        <v>3349.5</v>
      </c>
      <c r="H26" s="222">
        <f t="shared" si="1"/>
        <v>4756.29</v>
      </c>
      <c r="I26" s="242"/>
      <c r="J26" s="224">
        <f t="shared" si="2"/>
        <v>1</v>
      </c>
      <c r="K26" s="221">
        <f t="shared" si="3"/>
        <v>2378.15</v>
      </c>
      <c r="L26" s="221">
        <f t="shared" si="4"/>
        <v>2378.15</v>
      </c>
      <c r="M26" s="220" t="s">
        <v>84</v>
      </c>
      <c r="N26" s="254">
        <v>0.5</v>
      </c>
      <c r="O26" s="226"/>
      <c r="P26" s="255"/>
      <c r="Q26" s="228"/>
      <c r="R26" s="229">
        <f t="shared" si="5"/>
        <v>0</v>
      </c>
      <c r="S26" s="229">
        <f t="shared" si="6"/>
        <v>2378.15</v>
      </c>
      <c r="T26" s="229">
        <f t="shared" si="7"/>
        <v>2378.15</v>
      </c>
      <c r="U26" s="230">
        <f t="shared" si="8"/>
        <v>0</v>
      </c>
      <c r="V26" s="230">
        <f t="shared" si="9"/>
        <v>1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280">
        <v>5716654</v>
      </c>
      <c r="C27" s="281" t="s">
        <v>186</v>
      </c>
      <c r="D27" s="282">
        <v>6000</v>
      </c>
      <c r="E27" s="283">
        <v>4</v>
      </c>
      <c r="F27" s="239">
        <v>2854.11</v>
      </c>
      <c r="G27" s="240">
        <f t="shared" si="0"/>
        <v>2009.94</v>
      </c>
      <c r="H27" s="241">
        <f t="shared" si="1"/>
        <v>11416.44</v>
      </c>
      <c r="I27" s="242"/>
      <c r="J27" s="243">
        <f t="shared" si="2"/>
        <v>4</v>
      </c>
      <c r="K27" s="240">
        <f t="shared" si="3"/>
        <v>2854.11</v>
      </c>
      <c r="L27" s="240">
        <f t="shared" si="4"/>
        <v>11416.44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2854.11</v>
      </c>
      <c r="T27" s="248">
        <f t="shared" si="7"/>
        <v>11416.44</v>
      </c>
      <c r="U27" s="249">
        <f t="shared" si="8"/>
        <v>0</v>
      </c>
      <c r="V27" s="249">
        <f t="shared" si="9"/>
        <v>1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276">
        <v>5717590</v>
      </c>
      <c r="C28" s="284" t="s">
        <v>112</v>
      </c>
      <c r="D28" s="285" t="s">
        <v>101</v>
      </c>
      <c r="E28" s="279">
        <v>1</v>
      </c>
      <c r="F28" s="220">
        <v>7668</v>
      </c>
      <c r="G28" s="221">
        <f t="shared" si="0"/>
        <v>5400</v>
      </c>
      <c r="H28" s="222">
        <f t="shared" si="1"/>
        <v>7668</v>
      </c>
      <c r="I28" s="242"/>
      <c r="J28" s="224">
        <f t="shared" si="2"/>
        <v>1</v>
      </c>
      <c r="K28" s="221">
        <f t="shared" si="3"/>
        <v>7668</v>
      </c>
      <c r="L28" s="221">
        <f t="shared" si="4"/>
        <v>7668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7668</v>
      </c>
      <c r="T28" s="229">
        <f t="shared" si="7"/>
        <v>7668</v>
      </c>
      <c r="U28" s="230">
        <f t="shared" si="8"/>
        <v>0</v>
      </c>
      <c r="V28" s="230">
        <f t="shared" si="9"/>
        <v>1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280">
        <v>5718087</v>
      </c>
      <c r="C29" s="281" t="s">
        <v>188</v>
      </c>
      <c r="D29" s="287" t="s">
        <v>101</v>
      </c>
      <c r="E29" s="283">
        <v>1</v>
      </c>
      <c r="F29" s="228">
        <v>4800</v>
      </c>
      <c r="G29" s="240">
        <f t="shared" si="0"/>
        <v>3380.28</v>
      </c>
      <c r="H29" s="241">
        <f t="shared" si="1"/>
        <v>4800</v>
      </c>
      <c r="I29" s="242"/>
      <c r="J29" s="243">
        <f t="shared" si="2"/>
        <v>1</v>
      </c>
      <c r="K29" s="240">
        <f t="shared" si="3"/>
        <v>4800</v>
      </c>
      <c r="L29" s="240">
        <f t="shared" si="4"/>
        <v>4800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4800</v>
      </c>
      <c r="T29" s="248">
        <f t="shared" si="7"/>
        <v>4800</v>
      </c>
      <c r="U29" s="249">
        <f t="shared" si="8"/>
        <v>0</v>
      </c>
      <c r="V29" s="249">
        <f t="shared" si="9"/>
        <v>1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276">
        <v>5717587</v>
      </c>
      <c r="C30" s="284" t="s">
        <v>189</v>
      </c>
      <c r="D30" s="285" t="s">
        <v>101</v>
      </c>
      <c r="E30" s="279">
        <v>1</v>
      </c>
      <c r="F30" s="220">
        <v>2652.09</v>
      </c>
      <c r="G30" s="221">
        <f t="shared" si="0"/>
        <v>1867.67</v>
      </c>
      <c r="H30" s="222">
        <f t="shared" si="1"/>
        <v>2652.09</v>
      </c>
      <c r="I30" s="242"/>
      <c r="J30" s="224">
        <f t="shared" si="2"/>
        <v>1</v>
      </c>
      <c r="K30" s="221">
        <f t="shared" si="3"/>
        <v>2652.09</v>
      </c>
      <c r="L30" s="221">
        <f t="shared" si="4"/>
        <v>2652.09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2652.09</v>
      </c>
      <c r="T30" s="229">
        <f t="shared" si="7"/>
        <v>2652.09</v>
      </c>
      <c r="U30" s="230">
        <f t="shared" si="8"/>
        <v>0</v>
      </c>
      <c r="V30" s="230">
        <f t="shared" si="9"/>
        <v>1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280">
        <v>6704138</v>
      </c>
      <c r="C31" s="281" t="s">
        <v>190</v>
      </c>
      <c r="D31" s="282">
        <v>4000</v>
      </c>
      <c r="E31" s="283">
        <v>2</v>
      </c>
      <c r="F31" s="239">
        <v>949.89</v>
      </c>
      <c r="G31" s="240">
        <f t="shared" si="0"/>
        <v>668.94</v>
      </c>
      <c r="H31" s="241">
        <f t="shared" si="1"/>
        <v>1899.78</v>
      </c>
      <c r="I31" s="242"/>
      <c r="J31" s="243">
        <f t="shared" si="2"/>
        <v>2</v>
      </c>
      <c r="K31" s="240">
        <f t="shared" si="3"/>
        <v>949.89</v>
      </c>
      <c r="L31" s="240">
        <f t="shared" si="4"/>
        <v>1899.78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949.89</v>
      </c>
      <c r="T31" s="248">
        <f t="shared" si="7"/>
        <v>1899.78</v>
      </c>
      <c r="U31" s="249">
        <f t="shared" si="8"/>
        <v>0</v>
      </c>
      <c r="V31" s="249">
        <f t="shared" si="9"/>
        <v>1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276"/>
      <c r="C32" s="284"/>
      <c r="D32" s="285"/>
      <c r="E32" s="279"/>
      <c r="F32" s="220"/>
      <c r="G32" s="221">
        <f t="shared" si="0"/>
        <v>0</v>
      </c>
      <c r="H32" s="222">
        <f t="shared" si="1"/>
        <v>0</v>
      </c>
      <c r="I32" s="242"/>
      <c r="J32" s="224">
        <f t="shared" si="2"/>
        <v>0</v>
      </c>
      <c r="K32" s="221">
        <f t="shared" si="3"/>
        <v>0</v>
      </c>
      <c r="L32" s="221">
        <f t="shared" si="4"/>
        <v>0</v>
      </c>
      <c r="M32" s="220" t="s">
        <v>84</v>
      </c>
      <c r="N32" s="254">
        <v>0.5</v>
      </c>
      <c r="O32" s="226"/>
      <c r="P32" s="255"/>
      <c r="Q32" s="228"/>
      <c r="R32" s="229">
        <f t="shared" si="5"/>
        <v>0</v>
      </c>
      <c r="S32" s="229">
        <f t="shared" si="6"/>
        <v>0</v>
      </c>
      <c r="T32" s="229">
        <f t="shared" si="7"/>
        <v>0</v>
      </c>
      <c r="U32" s="230">
        <f t="shared" si="8"/>
        <v>0</v>
      </c>
      <c r="V32" s="230">
        <f t="shared" si="9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280"/>
      <c r="C33" s="281"/>
      <c r="D33" s="282"/>
      <c r="E33" s="283"/>
      <c r="F33" s="239"/>
      <c r="G33" s="240">
        <f t="shared" si="0"/>
        <v>0</v>
      </c>
      <c r="H33" s="241">
        <f t="shared" si="1"/>
        <v>0</v>
      </c>
      <c r="I33" s="242"/>
      <c r="J33" s="243">
        <f t="shared" si="2"/>
        <v>0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276"/>
      <c r="C34" s="284"/>
      <c r="D34" s="285"/>
      <c r="E34" s="279"/>
      <c r="F34" s="220"/>
      <c r="G34" s="221">
        <f t="shared" si="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>
        <v>0.5</v>
      </c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280"/>
      <c r="C35" s="281"/>
      <c r="D35" s="282"/>
      <c r="E35" s="283"/>
      <c r="F35" s="239"/>
      <c r="G35" s="240">
        <f t="shared" si="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>
        <v>0.5</v>
      </c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276"/>
      <c r="C36" s="284"/>
      <c r="D36" s="285"/>
      <c r="E36" s="279"/>
      <c r="F36" s="220"/>
      <c r="G36" s="221">
        <f t="shared" si="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280"/>
      <c r="C37" s="281"/>
      <c r="D37" s="282"/>
      <c r="E37" s="283"/>
      <c r="F37" s="239"/>
      <c r="G37" s="240">
        <f t="shared" si="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276"/>
      <c r="C38" s="284"/>
      <c r="D38" s="285"/>
      <c r="E38" s="279"/>
      <c r="F38" s="220"/>
      <c r="G38" s="221">
        <f t="shared" si="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280"/>
      <c r="C39" s="281"/>
      <c r="D39" s="282"/>
      <c r="E39" s="283"/>
      <c r="F39" s="239"/>
      <c r="G39" s="240">
        <f t="shared" si="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276"/>
      <c r="C40" s="284"/>
      <c r="D40" s="285"/>
      <c r="E40" s="279"/>
      <c r="F40" s="220"/>
      <c r="G40" s="221">
        <f t="shared" si="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280"/>
      <c r="C41" s="281"/>
      <c r="D41" s="282"/>
      <c r="E41" s="283"/>
      <c r="F41" s="239"/>
      <c r="G41" s="240">
        <f t="shared" si="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276"/>
      <c r="C42" s="284"/>
      <c r="D42" s="285"/>
      <c r="E42" s="279"/>
      <c r="F42" s="220"/>
      <c r="G42" s="221">
        <f t="shared" si="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280"/>
      <c r="C43" s="281"/>
      <c r="D43" s="282"/>
      <c r="E43" s="283"/>
      <c r="F43" s="239"/>
      <c r="G43" s="240">
        <f t="shared" si="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276"/>
      <c r="C44" s="284"/>
      <c r="D44" s="285"/>
      <c r="E44" s="279"/>
      <c r="F44" s="220"/>
      <c r="G44" s="221">
        <f t="shared" si="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280"/>
      <c r="C45" s="281"/>
      <c r="D45" s="282"/>
      <c r="E45" s="283"/>
      <c r="F45" s="239"/>
      <c r="G45" s="240">
        <f t="shared" si="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276"/>
      <c r="C46" s="284"/>
      <c r="D46" s="285"/>
      <c r="E46" s="279"/>
      <c r="F46" s="220"/>
      <c r="G46" s="221">
        <f t="shared" si="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280"/>
      <c r="C47" s="281"/>
      <c r="D47" s="282"/>
      <c r="E47" s="283"/>
      <c r="F47" s="239"/>
      <c r="G47" s="240">
        <f t="shared" si="0"/>
        <v>0</v>
      </c>
      <c r="H47" s="241">
        <f t="shared" si="1"/>
        <v>0</v>
      </c>
      <c r="I47" s="242"/>
      <c r="J47" s="243">
        <f t="shared" si="2"/>
        <v>0</v>
      </c>
      <c r="K47" s="240">
        <f t="shared" si="3"/>
        <v>0</v>
      </c>
      <c r="L47" s="240">
        <f t="shared" si="4"/>
        <v>0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0</v>
      </c>
      <c r="T47" s="248">
        <f t="shared" si="7"/>
        <v>0</v>
      </c>
      <c r="U47" s="249">
        <f t="shared" si="8"/>
        <v>0</v>
      </c>
      <c r="V47" s="249">
        <f t="shared" si="9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276"/>
      <c r="C48" s="284"/>
      <c r="D48" s="285"/>
      <c r="E48" s="279"/>
      <c r="F48" s="220"/>
      <c r="G48" s="221">
        <f t="shared" si="0"/>
        <v>0</v>
      </c>
      <c r="H48" s="222">
        <f t="shared" si="1"/>
        <v>0</v>
      </c>
      <c r="I48" s="242"/>
      <c r="J48" s="224">
        <f t="shared" si="2"/>
        <v>0</v>
      </c>
      <c r="K48" s="221">
        <f t="shared" si="3"/>
        <v>0</v>
      </c>
      <c r="L48" s="221">
        <f t="shared" si="4"/>
        <v>0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0</v>
      </c>
      <c r="T48" s="229">
        <f t="shared" si="7"/>
        <v>0</v>
      </c>
      <c r="U48" s="230">
        <f t="shared" si="8"/>
        <v>0</v>
      </c>
      <c r="V48" s="230">
        <f t="shared" si="9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280"/>
      <c r="C49" s="281"/>
      <c r="D49" s="282"/>
      <c r="E49" s="283"/>
      <c r="F49" s="239"/>
      <c r="G49" s="240">
        <f t="shared" si="0"/>
        <v>0</v>
      </c>
      <c r="H49" s="241">
        <f t="shared" si="1"/>
        <v>0</v>
      </c>
      <c r="I49" s="242"/>
      <c r="J49" s="243">
        <f t="shared" si="2"/>
        <v>0</v>
      </c>
      <c r="K49" s="240">
        <f t="shared" si="3"/>
        <v>0</v>
      </c>
      <c r="L49" s="240">
        <f t="shared" si="4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0</v>
      </c>
      <c r="T49" s="248">
        <f t="shared" si="7"/>
        <v>0</v>
      </c>
      <c r="U49" s="249">
        <f t="shared" si="8"/>
        <v>0</v>
      </c>
      <c r="V49" s="249">
        <f t="shared" si="9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276"/>
      <c r="C50" s="284"/>
      <c r="D50" s="285"/>
      <c r="E50" s="279"/>
      <c r="F50" s="220"/>
      <c r="G50" s="221">
        <f t="shared" si="0"/>
        <v>0</v>
      </c>
      <c r="H50" s="222">
        <f t="shared" si="1"/>
        <v>0</v>
      </c>
      <c r="I50" s="242"/>
      <c r="J50" s="224">
        <f t="shared" si="2"/>
        <v>0</v>
      </c>
      <c r="K50" s="221">
        <f t="shared" si="3"/>
        <v>0</v>
      </c>
      <c r="L50" s="221">
        <f t="shared" si="4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0</v>
      </c>
      <c r="T50" s="229">
        <f t="shared" si="7"/>
        <v>0</v>
      </c>
      <c r="U50" s="230">
        <f t="shared" si="8"/>
        <v>0</v>
      </c>
      <c r="V50" s="230">
        <f t="shared" si="9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280"/>
      <c r="C51" s="281"/>
      <c r="D51" s="282"/>
      <c r="E51" s="283"/>
      <c r="F51" s="239"/>
      <c r="G51" s="240">
        <f t="shared" si="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19</v>
      </c>
      <c r="F61" s="265">
        <f>SUM(F18:F60)</f>
        <v>28580.32</v>
      </c>
      <c r="G61" s="266">
        <f>SUM(G18:G60)</f>
        <v>20126.990000000002</v>
      </c>
      <c r="H61" s="267">
        <f>SUM(H18:H60)</f>
        <v>38715.569999999992</v>
      </c>
      <c r="I61" s="268"/>
      <c r="J61" s="269">
        <f>SUM(J18:J60)</f>
        <v>19</v>
      </c>
      <c r="K61" s="266">
        <f>SUM(K18:K60)</f>
        <v>23550.5</v>
      </c>
      <c r="L61" s="267">
        <f>SUM(L18:L60)</f>
        <v>33685.75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23550.5</v>
      </c>
      <c r="T61" s="267">
        <f>SUM(T18:T60)</f>
        <v>33685.75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87" priority="3" stopIfTrue="1">
      <formula>$U$9&gt;100%</formula>
    </cfRule>
    <cfRule type="expression" dxfId="186" priority="4">
      <formula>$U$9&lt;50%</formula>
    </cfRule>
  </conditionalFormatting>
  <conditionalFormatting sqref="V9:V10">
    <cfRule type="expression" dxfId="185" priority="1">
      <formula>$V$9&lt;50%</formula>
    </cfRule>
    <cfRule type="expression" dxfId="184" priority="2">
      <formula>$V$9&gt;50%</formula>
    </cfRule>
  </conditionalFormatting>
  <dataValidations count="5">
    <dataValidation type="list" allowBlank="1" showInputMessage="1" showErrorMessage="1" sqref="F17 K17 Q17 Q14" xr:uid="{C006E754-E45E-4878-8E2C-D04A168C9931}">
      <formula1>$Y$11:$Y$12</formula1>
    </dataValidation>
    <dataValidation type="list" allowBlank="1" showInputMessage="1" showErrorMessage="1" sqref="H13" xr:uid="{484CF18F-9EA4-4177-A48D-CE2510A8EBBC}">
      <formula1>$Y$13:$Y$14</formula1>
    </dataValidation>
    <dataValidation type="list" allowBlank="1" showInputMessage="1" showErrorMessage="1" sqref="I13" xr:uid="{D86BFDC4-2925-46E1-BE63-945D7E3C49C5}">
      <formula1>$K$9:$K$9</formula1>
    </dataValidation>
    <dataValidation type="list" showInputMessage="1" showErrorMessage="1" sqref="D52:D60" xr:uid="{9E181296-0CDE-4BBA-9F14-C25FD0AFCA9D}">
      <formula1>$Z$18:$Z$29</formula1>
    </dataValidation>
    <dataValidation type="list" allowBlank="1" showInputMessage="1" showErrorMessage="1" sqref="M18:M60" xr:uid="{ABB00D28-F553-42AD-AAEE-AA707DD641C9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5381E-A9FD-40A8-BD2F-02F6E27D2ACF}">
  <sheetPr>
    <pageSetUpPr fitToPage="1"/>
  </sheetPr>
  <dimension ref="A1:AB63"/>
  <sheetViews>
    <sheetView zoomScale="85" zoomScaleNormal="85" workbookViewId="0">
      <selection activeCell="F6" sqref="F6:G6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523" t="s">
        <v>2</v>
      </c>
      <c r="I1" s="524"/>
      <c r="J1" s="524"/>
      <c r="K1" s="525"/>
      <c r="L1" s="528" t="s">
        <v>3</v>
      </c>
      <c r="M1" s="529"/>
      <c r="N1" s="529"/>
      <c r="O1" s="529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59">
        <v>486052</v>
      </c>
      <c r="G2" s="549"/>
      <c r="H2" s="546" t="s">
        <v>7</v>
      </c>
      <c r="I2" s="550"/>
      <c r="J2" s="547"/>
      <c r="K2" s="148"/>
      <c r="L2" s="551" t="s">
        <v>8</v>
      </c>
      <c r="M2" s="552"/>
      <c r="N2" s="553"/>
      <c r="O2" s="149"/>
      <c r="P2" s="554">
        <f>H61</f>
        <v>38715.569999999992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532" t="s">
        <v>13</v>
      </c>
      <c r="I3" s="536"/>
      <c r="J3" s="533"/>
      <c r="K3" s="154"/>
      <c r="L3" s="537" t="s">
        <v>14</v>
      </c>
      <c r="M3" s="538"/>
      <c r="N3" s="539"/>
      <c r="O3" s="149"/>
      <c r="P3" s="540">
        <f>L61</f>
        <v>33685.75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665" t="s">
        <v>176</v>
      </c>
      <c r="G4" s="666"/>
      <c r="H4" s="532" t="s">
        <v>19</v>
      </c>
      <c r="I4" s="536"/>
      <c r="J4" s="533"/>
      <c r="K4" s="154"/>
      <c r="L4" s="537" t="s">
        <v>20</v>
      </c>
      <c r="M4" s="538"/>
      <c r="N4" s="539"/>
      <c r="O4" s="149"/>
      <c r="P4" s="540">
        <f>P2-P3</f>
        <v>5029.8199999999924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665" t="s">
        <v>198</v>
      </c>
      <c r="G5" s="666"/>
      <c r="H5" s="532" t="s">
        <v>25</v>
      </c>
      <c r="I5" s="536"/>
      <c r="J5" s="533"/>
      <c r="K5" s="154"/>
      <c r="L5" s="558" t="s">
        <v>26</v>
      </c>
      <c r="M5" s="559"/>
      <c r="N5" s="560"/>
      <c r="O5" s="149"/>
      <c r="P5" s="561">
        <f>IFERROR((P2-P3)/P2,"")</f>
        <v>0.12991724001480523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69" t="s">
        <v>403</v>
      </c>
      <c r="G6" s="666"/>
      <c r="H6" s="532" t="s">
        <v>31</v>
      </c>
      <c r="I6" s="536"/>
      <c r="J6" s="533"/>
      <c r="K6" s="154"/>
      <c r="L6" s="574" t="s">
        <v>32</v>
      </c>
      <c r="M6" s="575"/>
      <c r="N6" s="576"/>
      <c r="O6" s="149"/>
      <c r="P6" s="577">
        <f>T61</f>
        <v>33685.75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563"/>
      <c r="G7" s="535"/>
      <c r="H7" s="532" t="s">
        <v>36</v>
      </c>
      <c r="I7" s="536"/>
      <c r="J7" s="533"/>
      <c r="K7" s="154"/>
      <c r="L7" s="564" t="s">
        <v>37</v>
      </c>
      <c r="M7" s="565"/>
      <c r="N7" s="56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532" t="s">
        <v>40</v>
      </c>
      <c r="I8" s="536"/>
      <c r="J8" s="533"/>
      <c r="K8" s="154"/>
      <c r="L8" s="564" t="s">
        <v>41</v>
      </c>
      <c r="M8" s="565"/>
      <c r="N8" s="56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401</v>
      </c>
      <c r="G9" s="535"/>
      <c r="H9" s="171"/>
      <c r="I9" s="172"/>
      <c r="J9" s="172"/>
      <c r="K9" s="173"/>
      <c r="L9" s="564" t="s">
        <v>47</v>
      </c>
      <c r="M9" s="565"/>
      <c r="N9" s="56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33685.75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542" t="s">
        <v>48</v>
      </c>
      <c r="M10" s="579"/>
      <c r="N10" s="543"/>
      <c r="O10" s="149"/>
      <c r="P10" s="580">
        <f>E61</f>
        <v>19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650" t="s">
        <v>50</v>
      </c>
      <c r="K11" s="651"/>
      <c r="L11" s="651"/>
      <c r="M11" s="651"/>
      <c r="N11" s="652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653"/>
      <c r="K12" s="654"/>
      <c r="L12" s="654"/>
      <c r="M12" s="654"/>
      <c r="N12" s="655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656"/>
      <c r="K13" s="657"/>
      <c r="L13" s="657"/>
      <c r="M13" s="657"/>
      <c r="N13" s="658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601" t="s">
        <v>59</v>
      </c>
      <c r="K14" s="602"/>
      <c r="L14" s="605" t="s">
        <v>60</v>
      </c>
      <c r="M14" s="606"/>
      <c r="N14" s="60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603"/>
      <c r="K15" s="604"/>
      <c r="L15" s="608"/>
      <c r="M15" s="609"/>
      <c r="N15" s="61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631" t="s">
        <v>69</v>
      </c>
      <c r="K16" s="201" t="s">
        <v>72</v>
      </c>
      <c r="L16" s="202" t="s">
        <v>73</v>
      </c>
      <c r="M16" s="633" t="s">
        <v>74</v>
      </c>
      <c r="N16" s="633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3"/>
      <c r="C17" s="625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632"/>
      <c r="K17" s="614" t="s">
        <v>52</v>
      </c>
      <c r="L17" s="615"/>
      <c r="M17" s="634"/>
      <c r="N17" s="634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 s="276">
        <v>5710640</v>
      </c>
      <c r="C18" s="277" t="s">
        <v>83</v>
      </c>
      <c r="D18" s="278">
        <v>375</v>
      </c>
      <c r="E18" s="279">
        <v>1</v>
      </c>
      <c r="F18" s="220">
        <v>78.66</v>
      </c>
      <c r="G18" s="221">
        <f t="shared" ref="G18:G60" si="0">ROUND(IF($F$17="USD $", F18*$E$15,F18*$D$15),2)</f>
        <v>55.39</v>
      </c>
      <c r="H18" s="222">
        <f t="shared" ref="H18:H60" si="1">ROUND(IF($H$17=$G$17,E18*G18,E18*F18),2)</f>
        <v>78.66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29.89</v>
      </c>
      <c r="L18" s="221">
        <f t="shared" ref="L18:L60" si="4">ROUND((J18*K18),2)</f>
        <v>29.89</v>
      </c>
      <c r="M18" s="220" t="s">
        <v>84</v>
      </c>
      <c r="N18" s="225">
        <v>0.62</v>
      </c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29.89</v>
      </c>
      <c r="T18" s="229">
        <f t="shared" ref="T18:T60" si="7">ROUND(L18-R18,2)</f>
        <v>29.89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280">
        <v>5825010</v>
      </c>
      <c r="C19" s="281" t="s">
        <v>178</v>
      </c>
      <c r="D19" s="282">
        <v>500</v>
      </c>
      <c r="E19" s="283">
        <v>1</v>
      </c>
      <c r="F19" s="239">
        <v>76.349999999999994</v>
      </c>
      <c r="G19" s="240">
        <f t="shared" si="0"/>
        <v>53.77</v>
      </c>
      <c r="H19" s="241">
        <f t="shared" si="1"/>
        <v>76.349999999999994</v>
      </c>
      <c r="I19" s="242"/>
      <c r="J19" s="243">
        <f t="shared" si="2"/>
        <v>1</v>
      </c>
      <c r="K19" s="240">
        <f t="shared" si="3"/>
        <v>29.01</v>
      </c>
      <c r="L19" s="240">
        <f t="shared" si="4"/>
        <v>29.01</v>
      </c>
      <c r="M19" s="244" t="s">
        <v>84</v>
      </c>
      <c r="N19" s="245">
        <v>0.62</v>
      </c>
      <c r="O19" s="226"/>
      <c r="P19" s="246"/>
      <c r="Q19" s="239"/>
      <c r="R19" s="247">
        <f t="shared" si="5"/>
        <v>0</v>
      </c>
      <c r="S19" s="248">
        <f t="shared" si="6"/>
        <v>29.01</v>
      </c>
      <c r="T19" s="248">
        <f t="shared" si="7"/>
        <v>29.01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276">
        <v>5716779</v>
      </c>
      <c r="C20" s="284" t="s">
        <v>179</v>
      </c>
      <c r="D20" s="286">
        <v>500</v>
      </c>
      <c r="E20" s="279">
        <v>1</v>
      </c>
      <c r="F20" s="220">
        <v>67.33</v>
      </c>
      <c r="G20" s="221">
        <f t="shared" si="0"/>
        <v>47.42</v>
      </c>
      <c r="H20" s="222">
        <f t="shared" si="1"/>
        <v>67.33</v>
      </c>
      <c r="I20" s="242"/>
      <c r="J20" s="224">
        <f t="shared" si="2"/>
        <v>1</v>
      </c>
      <c r="K20" s="221">
        <f t="shared" si="3"/>
        <v>25.59</v>
      </c>
      <c r="L20" s="221">
        <f t="shared" si="4"/>
        <v>25.59</v>
      </c>
      <c r="M20" s="220" t="s">
        <v>84</v>
      </c>
      <c r="N20" s="254">
        <v>0.62</v>
      </c>
      <c r="O20" s="226"/>
      <c r="P20" s="255"/>
      <c r="Q20" s="228"/>
      <c r="R20" s="229">
        <f t="shared" si="5"/>
        <v>0</v>
      </c>
      <c r="S20" s="229">
        <f t="shared" si="6"/>
        <v>25.59</v>
      </c>
      <c r="T20" s="229">
        <f t="shared" si="7"/>
        <v>25.59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280">
        <v>7993014</v>
      </c>
      <c r="C21" s="281" t="s">
        <v>180</v>
      </c>
      <c r="D21" s="282">
        <v>500</v>
      </c>
      <c r="E21" s="283">
        <v>1</v>
      </c>
      <c r="F21" s="239">
        <v>74.47</v>
      </c>
      <c r="G21" s="240">
        <f t="shared" si="0"/>
        <v>52.44</v>
      </c>
      <c r="H21" s="241">
        <f t="shared" si="1"/>
        <v>74.47</v>
      </c>
      <c r="I21" s="242"/>
      <c r="J21" s="243">
        <f t="shared" si="2"/>
        <v>1</v>
      </c>
      <c r="K21" s="240">
        <f t="shared" si="3"/>
        <v>28.3</v>
      </c>
      <c r="L21" s="240">
        <f t="shared" si="4"/>
        <v>28.3</v>
      </c>
      <c r="M21" s="244" t="s">
        <v>84</v>
      </c>
      <c r="N21" s="245">
        <v>0.62</v>
      </c>
      <c r="O21" s="226"/>
      <c r="P21" s="246"/>
      <c r="Q21" s="239"/>
      <c r="R21" s="247">
        <f t="shared" si="5"/>
        <v>0</v>
      </c>
      <c r="S21" s="248">
        <f t="shared" si="6"/>
        <v>28.3</v>
      </c>
      <c r="T21" s="248">
        <f t="shared" si="7"/>
        <v>28.3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276">
        <v>5821147</v>
      </c>
      <c r="C22" s="284" t="s">
        <v>181</v>
      </c>
      <c r="D22" s="286">
        <v>500</v>
      </c>
      <c r="E22" s="279">
        <v>1</v>
      </c>
      <c r="F22" s="220">
        <v>57</v>
      </c>
      <c r="G22" s="221">
        <f t="shared" si="0"/>
        <v>40.14</v>
      </c>
      <c r="H22" s="222">
        <f t="shared" si="1"/>
        <v>57</v>
      </c>
      <c r="I22" s="242"/>
      <c r="J22" s="224">
        <f t="shared" si="2"/>
        <v>1</v>
      </c>
      <c r="K22" s="221">
        <f t="shared" si="3"/>
        <v>21.66</v>
      </c>
      <c r="L22" s="221">
        <f t="shared" si="4"/>
        <v>21.66</v>
      </c>
      <c r="M22" s="220" t="s">
        <v>84</v>
      </c>
      <c r="N22" s="254">
        <v>0.62</v>
      </c>
      <c r="O22" s="226"/>
      <c r="P22" s="255"/>
      <c r="Q22" s="228"/>
      <c r="R22" s="229">
        <f t="shared" si="5"/>
        <v>0</v>
      </c>
      <c r="S22" s="229">
        <f t="shared" si="6"/>
        <v>21.66</v>
      </c>
      <c r="T22" s="229">
        <f t="shared" si="7"/>
        <v>21.66</v>
      </c>
      <c r="U22" s="230">
        <f t="shared" si="8"/>
        <v>0</v>
      </c>
      <c r="V22" s="230">
        <f t="shared" si="9"/>
        <v>1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280">
        <v>5821148</v>
      </c>
      <c r="C23" s="281" t="s">
        <v>182</v>
      </c>
      <c r="D23" s="282">
        <v>1000</v>
      </c>
      <c r="E23" s="283">
        <v>1</v>
      </c>
      <c r="F23" s="239">
        <v>231.1</v>
      </c>
      <c r="G23" s="240">
        <f t="shared" si="0"/>
        <v>162.75</v>
      </c>
      <c r="H23" s="241">
        <f t="shared" si="1"/>
        <v>231.1</v>
      </c>
      <c r="I23" s="242"/>
      <c r="J23" s="243">
        <f t="shared" si="2"/>
        <v>1</v>
      </c>
      <c r="K23" s="240">
        <f t="shared" si="3"/>
        <v>87.82</v>
      </c>
      <c r="L23" s="240">
        <f t="shared" si="4"/>
        <v>87.82</v>
      </c>
      <c r="M23" s="244" t="s">
        <v>84</v>
      </c>
      <c r="N23" s="245">
        <v>0.62</v>
      </c>
      <c r="O23" s="226"/>
      <c r="P23" s="246"/>
      <c r="Q23" s="239"/>
      <c r="R23" s="247">
        <f t="shared" si="5"/>
        <v>0</v>
      </c>
      <c r="S23" s="248">
        <f t="shared" si="6"/>
        <v>87.82</v>
      </c>
      <c r="T23" s="248">
        <f t="shared" si="7"/>
        <v>87.82</v>
      </c>
      <c r="U23" s="249">
        <f t="shared" si="8"/>
        <v>0</v>
      </c>
      <c r="V23" s="249">
        <f t="shared" si="9"/>
        <v>1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276">
        <v>5570176</v>
      </c>
      <c r="C24" s="284" t="s">
        <v>197</v>
      </c>
      <c r="D24" s="285" t="s">
        <v>101</v>
      </c>
      <c r="E24" s="279">
        <v>1</v>
      </c>
      <c r="F24" s="220">
        <v>3692</v>
      </c>
      <c r="G24" s="221">
        <f t="shared" si="0"/>
        <v>2600</v>
      </c>
      <c r="H24" s="222">
        <f t="shared" si="1"/>
        <v>3692</v>
      </c>
      <c r="I24" s="242"/>
      <c r="J24" s="224">
        <f t="shared" si="2"/>
        <v>1</v>
      </c>
      <c r="K24" s="221">
        <f t="shared" si="3"/>
        <v>1402.96</v>
      </c>
      <c r="L24" s="221">
        <f t="shared" si="4"/>
        <v>1402.96</v>
      </c>
      <c r="M24" s="220" t="s">
        <v>84</v>
      </c>
      <c r="N24" s="254">
        <v>0.62</v>
      </c>
      <c r="O24" s="226"/>
      <c r="P24" s="255"/>
      <c r="Q24" s="228"/>
      <c r="R24" s="229">
        <f t="shared" si="5"/>
        <v>0</v>
      </c>
      <c r="S24" s="229">
        <f t="shared" si="6"/>
        <v>1402.96</v>
      </c>
      <c r="T24" s="229">
        <f t="shared" si="7"/>
        <v>1402.96</v>
      </c>
      <c r="U24" s="230">
        <f t="shared" si="8"/>
        <v>0</v>
      </c>
      <c r="V24" s="230">
        <f t="shared" si="9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 s="280">
        <v>5753229</v>
      </c>
      <c r="C25" s="281" t="s">
        <v>184</v>
      </c>
      <c r="D25" s="287" t="s">
        <v>101</v>
      </c>
      <c r="E25" s="283">
        <v>2</v>
      </c>
      <c r="F25" s="239">
        <v>623.03</v>
      </c>
      <c r="G25" s="240">
        <f t="shared" si="0"/>
        <v>438.75</v>
      </c>
      <c r="H25" s="241">
        <f t="shared" si="1"/>
        <v>1246.06</v>
      </c>
      <c r="I25" s="242"/>
      <c r="J25" s="243">
        <f t="shared" si="2"/>
        <v>2</v>
      </c>
      <c r="K25" s="240">
        <f t="shared" si="3"/>
        <v>623.03</v>
      </c>
      <c r="L25" s="240">
        <f t="shared" si="4"/>
        <v>1246.06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623.03</v>
      </c>
      <c r="T25" s="248">
        <f t="shared" si="7"/>
        <v>1246.06</v>
      </c>
      <c r="U25" s="249">
        <f t="shared" si="8"/>
        <v>0</v>
      </c>
      <c r="V25" s="249">
        <f t="shared" si="9"/>
        <v>1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 s="276">
        <v>5717025</v>
      </c>
      <c r="C26" s="284" t="s">
        <v>185</v>
      </c>
      <c r="D26" s="285">
        <v>6000</v>
      </c>
      <c r="E26" s="279">
        <v>1</v>
      </c>
      <c r="F26" s="220">
        <v>4756.29</v>
      </c>
      <c r="G26" s="221">
        <f t="shared" si="0"/>
        <v>3349.5</v>
      </c>
      <c r="H26" s="222">
        <f t="shared" si="1"/>
        <v>4756.29</v>
      </c>
      <c r="I26" s="242"/>
      <c r="J26" s="224">
        <f t="shared" si="2"/>
        <v>1</v>
      </c>
      <c r="K26" s="221">
        <f t="shared" si="3"/>
        <v>2378.15</v>
      </c>
      <c r="L26" s="221">
        <f t="shared" si="4"/>
        <v>2378.15</v>
      </c>
      <c r="M26" s="220" t="s">
        <v>84</v>
      </c>
      <c r="N26" s="254">
        <v>0.5</v>
      </c>
      <c r="O26" s="226"/>
      <c r="P26" s="255"/>
      <c r="Q26" s="228"/>
      <c r="R26" s="229">
        <f t="shared" si="5"/>
        <v>0</v>
      </c>
      <c r="S26" s="229">
        <f t="shared" si="6"/>
        <v>2378.15</v>
      </c>
      <c r="T26" s="229">
        <f t="shared" si="7"/>
        <v>2378.15</v>
      </c>
      <c r="U26" s="230">
        <f t="shared" si="8"/>
        <v>0</v>
      </c>
      <c r="V26" s="230">
        <f t="shared" si="9"/>
        <v>1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280">
        <v>5716654</v>
      </c>
      <c r="C27" s="281" t="s">
        <v>186</v>
      </c>
      <c r="D27" s="282">
        <v>6000</v>
      </c>
      <c r="E27" s="283">
        <v>4</v>
      </c>
      <c r="F27" s="239">
        <v>2854.11</v>
      </c>
      <c r="G27" s="240">
        <f t="shared" si="0"/>
        <v>2009.94</v>
      </c>
      <c r="H27" s="241">
        <f t="shared" si="1"/>
        <v>11416.44</v>
      </c>
      <c r="I27" s="242"/>
      <c r="J27" s="243">
        <f t="shared" si="2"/>
        <v>4</v>
      </c>
      <c r="K27" s="240">
        <f t="shared" si="3"/>
        <v>2854.11</v>
      </c>
      <c r="L27" s="240">
        <f t="shared" si="4"/>
        <v>11416.44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2854.11</v>
      </c>
      <c r="T27" s="248">
        <f t="shared" si="7"/>
        <v>11416.44</v>
      </c>
      <c r="U27" s="249">
        <f t="shared" si="8"/>
        <v>0</v>
      </c>
      <c r="V27" s="249">
        <f t="shared" si="9"/>
        <v>1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276">
        <v>5717590</v>
      </c>
      <c r="C28" s="284" t="s">
        <v>112</v>
      </c>
      <c r="D28" s="285" t="s">
        <v>101</v>
      </c>
      <c r="E28" s="279">
        <v>1</v>
      </c>
      <c r="F28" s="220">
        <v>7668</v>
      </c>
      <c r="G28" s="221">
        <f t="shared" si="0"/>
        <v>5400</v>
      </c>
      <c r="H28" s="222">
        <f t="shared" si="1"/>
        <v>7668</v>
      </c>
      <c r="I28" s="242"/>
      <c r="J28" s="224">
        <f t="shared" si="2"/>
        <v>1</v>
      </c>
      <c r="K28" s="221">
        <f t="shared" si="3"/>
        <v>7668</v>
      </c>
      <c r="L28" s="221">
        <f t="shared" si="4"/>
        <v>7668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7668</v>
      </c>
      <c r="T28" s="229">
        <f t="shared" si="7"/>
        <v>7668</v>
      </c>
      <c r="U28" s="230">
        <f t="shared" si="8"/>
        <v>0</v>
      </c>
      <c r="V28" s="230">
        <f t="shared" si="9"/>
        <v>1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280">
        <v>5718087</v>
      </c>
      <c r="C29" s="281" t="s">
        <v>188</v>
      </c>
      <c r="D29" s="287" t="s">
        <v>101</v>
      </c>
      <c r="E29" s="283">
        <v>1</v>
      </c>
      <c r="F29" s="228">
        <v>4800</v>
      </c>
      <c r="G29" s="240">
        <f t="shared" si="0"/>
        <v>3380.28</v>
      </c>
      <c r="H29" s="241">
        <f t="shared" si="1"/>
        <v>4800</v>
      </c>
      <c r="I29" s="242"/>
      <c r="J29" s="243">
        <f t="shared" si="2"/>
        <v>1</v>
      </c>
      <c r="K29" s="240">
        <f t="shared" si="3"/>
        <v>4800</v>
      </c>
      <c r="L29" s="240">
        <f t="shared" si="4"/>
        <v>4800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4800</v>
      </c>
      <c r="T29" s="248">
        <f t="shared" si="7"/>
        <v>4800</v>
      </c>
      <c r="U29" s="249">
        <f t="shared" si="8"/>
        <v>0</v>
      </c>
      <c r="V29" s="249">
        <f t="shared" si="9"/>
        <v>1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276">
        <v>5717587</v>
      </c>
      <c r="C30" s="284" t="s">
        <v>189</v>
      </c>
      <c r="D30" s="285" t="s">
        <v>101</v>
      </c>
      <c r="E30" s="279">
        <v>1</v>
      </c>
      <c r="F30" s="220">
        <v>2652.09</v>
      </c>
      <c r="G30" s="221">
        <f t="shared" si="0"/>
        <v>1867.67</v>
      </c>
      <c r="H30" s="222">
        <f t="shared" si="1"/>
        <v>2652.09</v>
      </c>
      <c r="I30" s="242"/>
      <c r="J30" s="224">
        <f t="shared" si="2"/>
        <v>1</v>
      </c>
      <c r="K30" s="221">
        <f t="shared" si="3"/>
        <v>2652.09</v>
      </c>
      <c r="L30" s="221">
        <f t="shared" si="4"/>
        <v>2652.09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2652.09</v>
      </c>
      <c r="T30" s="229">
        <f t="shared" si="7"/>
        <v>2652.09</v>
      </c>
      <c r="U30" s="230">
        <f t="shared" si="8"/>
        <v>0</v>
      </c>
      <c r="V30" s="230">
        <f t="shared" si="9"/>
        <v>1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280">
        <v>6704138</v>
      </c>
      <c r="C31" s="281" t="s">
        <v>190</v>
      </c>
      <c r="D31" s="282">
        <v>4000</v>
      </c>
      <c r="E31" s="283">
        <v>2</v>
      </c>
      <c r="F31" s="239">
        <v>949.89</v>
      </c>
      <c r="G31" s="240">
        <f t="shared" si="0"/>
        <v>668.94</v>
      </c>
      <c r="H31" s="241">
        <f t="shared" si="1"/>
        <v>1899.78</v>
      </c>
      <c r="I31" s="242"/>
      <c r="J31" s="243">
        <f t="shared" si="2"/>
        <v>2</v>
      </c>
      <c r="K31" s="240">
        <f t="shared" si="3"/>
        <v>949.89</v>
      </c>
      <c r="L31" s="240">
        <f t="shared" si="4"/>
        <v>1899.78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949.89</v>
      </c>
      <c r="T31" s="248">
        <f t="shared" si="7"/>
        <v>1899.78</v>
      </c>
      <c r="U31" s="249">
        <f t="shared" si="8"/>
        <v>0</v>
      </c>
      <c r="V31" s="249">
        <f t="shared" si="9"/>
        <v>1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276"/>
      <c r="C32" s="284"/>
      <c r="D32" s="285"/>
      <c r="E32" s="279"/>
      <c r="F32" s="220"/>
      <c r="G32" s="221">
        <f t="shared" si="0"/>
        <v>0</v>
      </c>
      <c r="H32" s="222">
        <f t="shared" si="1"/>
        <v>0</v>
      </c>
      <c r="I32" s="242"/>
      <c r="J32" s="224">
        <f t="shared" si="2"/>
        <v>0</v>
      </c>
      <c r="K32" s="221">
        <f t="shared" si="3"/>
        <v>0</v>
      </c>
      <c r="L32" s="221">
        <f t="shared" si="4"/>
        <v>0</v>
      </c>
      <c r="M32" s="220" t="s">
        <v>84</v>
      </c>
      <c r="N32" s="254">
        <v>0.5</v>
      </c>
      <c r="O32" s="226"/>
      <c r="P32" s="255"/>
      <c r="Q32" s="228"/>
      <c r="R32" s="229">
        <f t="shared" si="5"/>
        <v>0</v>
      </c>
      <c r="S32" s="229">
        <f t="shared" si="6"/>
        <v>0</v>
      </c>
      <c r="T32" s="229">
        <f t="shared" si="7"/>
        <v>0</v>
      </c>
      <c r="U32" s="230">
        <f t="shared" si="8"/>
        <v>0</v>
      </c>
      <c r="V32" s="230">
        <f t="shared" si="9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280"/>
      <c r="C33" s="281"/>
      <c r="D33" s="282"/>
      <c r="E33" s="283"/>
      <c r="F33" s="239"/>
      <c r="G33" s="240">
        <f t="shared" si="0"/>
        <v>0</v>
      </c>
      <c r="H33" s="241">
        <f t="shared" si="1"/>
        <v>0</v>
      </c>
      <c r="I33" s="242"/>
      <c r="J33" s="243">
        <f t="shared" si="2"/>
        <v>0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276"/>
      <c r="C34" s="284"/>
      <c r="D34" s="285"/>
      <c r="E34" s="279"/>
      <c r="F34" s="220"/>
      <c r="G34" s="221">
        <f t="shared" si="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>
        <v>0.5</v>
      </c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280"/>
      <c r="C35" s="281"/>
      <c r="D35" s="282"/>
      <c r="E35" s="283"/>
      <c r="F35" s="239"/>
      <c r="G35" s="240">
        <f t="shared" si="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>
        <v>0.5</v>
      </c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276"/>
      <c r="C36" s="284"/>
      <c r="D36" s="285"/>
      <c r="E36" s="279"/>
      <c r="F36" s="220"/>
      <c r="G36" s="221">
        <f t="shared" si="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280"/>
      <c r="C37" s="281"/>
      <c r="D37" s="282"/>
      <c r="E37" s="283"/>
      <c r="F37" s="239"/>
      <c r="G37" s="240">
        <f t="shared" si="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276"/>
      <c r="C38" s="284"/>
      <c r="D38" s="285"/>
      <c r="E38" s="279"/>
      <c r="F38" s="220"/>
      <c r="G38" s="221">
        <f t="shared" si="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280"/>
      <c r="C39" s="281"/>
      <c r="D39" s="282"/>
      <c r="E39" s="283"/>
      <c r="F39" s="239"/>
      <c r="G39" s="240">
        <f t="shared" si="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276"/>
      <c r="C40" s="284"/>
      <c r="D40" s="285"/>
      <c r="E40" s="279"/>
      <c r="F40" s="220"/>
      <c r="G40" s="221">
        <f t="shared" si="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280"/>
      <c r="C41" s="281"/>
      <c r="D41" s="282"/>
      <c r="E41" s="283"/>
      <c r="F41" s="239"/>
      <c r="G41" s="240">
        <f t="shared" si="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276"/>
      <c r="C42" s="284"/>
      <c r="D42" s="285"/>
      <c r="E42" s="279"/>
      <c r="F42" s="220"/>
      <c r="G42" s="221">
        <f t="shared" si="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280"/>
      <c r="C43" s="281"/>
      <c r="D43" s="282"/>
      <c r="E43" s="283"/>
      <c r="F43" s="239"/>
      <c r="G43" s="240">
        <f t="shared" si="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276"/>
      <c r="C44" s="284"/>
      <c r="D44" s="285"/>
      <c r="E44" s="279"/>
      <c r="F44" s="220"/>
      <c r="G44" s="221">
        <f t="shared" si="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280"/>
      <c r="C45" s="281"/>
      <c r="D45" s="282"/>
      <c r="E45" s="283"/>
      <c r="F45" s="239"/>
      <c r="G45" s="240">
        <f t="shared" si="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276"/>
      <c r="C46" s="284"/>
      <c r="D46" s="285"/>
      <c r="E46" s="279"/>
      <c r="F46" s="220"/>
      <c r="G46" s="221">
        <f t="shared" si="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280"/>
      <c r="C47" s="281"/>
      <c r="D47" s="282"/>
      <c r="E47" s="283"/>
      <c r="F47" s="239"/>
      <c r="G47" s="240">
        <f t="shared" si="0"/>
        <v>0</v>
      </c>
      <c r="H47" s="241">
        <f t="shared" si="1"/>
        <v>0</v>
      </c>
      <c r="I47" s="242"/>
      <c r="J47" s="243">
        <f t="shared" si="2"/>
        <v>0</v>
      </c>
      <c r="K47" s="240">
        <f t="shared" si="3"/>
        <v>0</v>
      </c>
      <c r="L47" s="240">
        <f t="shared" si="4"/>
        <v>0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0</v>
      </c>
      <c r="T47" s="248">
        <f t="shared" si="7"/>
        <v>0</v>
      </c>
      <c r="U47" s="249">
        <f t="shared" si="8"/>
        <v>0</v>
      </c>
      <c r="V47" s="249">
        <f t="shared" si="9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276"/>
      <c r="C48" s="284"/>
      <c r="D48" s="285"/>
      <c r="E48" s="279"/>
      <c r="F48" s="220"/>
      <c r="G48" s="221">
        <f t="shared" si="0"/>
        <v>0</v>
      </c>
      <c r="H48" s="222">
        <f t="shared" si="1"/>
        <v>0</v>
      </c>
      <c r="I48" s="242"/>
      <c r="J48" s="224">
        <f t="shared" si="2"/>
        <v>0</v>
      </c>
      <c r="K48" s="221">
        <f t="shared" si="3"/>
        <v>0</v>
      </c>
      <c r="L48" s="221">
        <f t="shared" si="4"/>
        <v>0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0</v>
      </c>
      <c r="T48" s="229">
        <f t="shared" si="7"/>
        <v>0</v>
      </c>
      <c r="U48" s="230">
        <f t="shared" si="8"/>
        <v>0</v>
      </c>
      <c r="V48" s="230">
        <f t="shared" si="9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280"/>
      <c r="C49" s="281"/>
      <c r="D49" s="282"/>
      <c r="E49" s="283"/>
      <c r="F49" s="239"/>
      <c r="G49" s="240">
        <f t="shared" si="0"/>
        <v>0</v>
      </c>
      <c r="H49" s="241">
        <f t="shared" si="1"/>
        <v>0</v>
      </c>
      <c r="I49" s="242"/>
      <c r="J49" s="243">
        <f t="shared" si="2"/>
        <v>0</v>
      </c>
      <c r="K49" s="240">
        <f t="shared" si="3"/>
        <v>0</v>
      </c>
      <c r="L49" s="240">
        <f t="shared" si="4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0</v>
      </c>
      <c r="T49" s="248">
        <f t="shared" si="7"/>
        <v>0</v>
      </c>
      <c r="U49" s="249">
        <f t="shared" si="8"/>
        <v>0</v>
      </c>
      <c r="V49" s="249">
        <f t="shared" si="9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276"/>
      <c r="C50" s="284"/>
      <c r="D50" s="285"/>
      <c r="E50" s="279"/>
      <c r="F50" s="220"/>
      <c r="G50" s="221">
        <f t="shared" si="0"/>
        <v>0</v>
      </c>
      <c r="H50" s="222">
        <f t="shared" si="1"/>
        <v>0</v>
      </c>
      <c r="I50" s="242"/>
      <c r="J50" s="224">
        <f t="shared" si="2"/>
        <v>0</v>
      </c>
      <c r="K50" s="221">
        <f t="shared" si="3"/>
        <v>0</v>
      </c>
      <c r="L50" s="221">
        <f t="shared" si="4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0</v>
      </c>
      <c r="T50" s="229">
        <f t="shared" si="7"/>
        <v>0</v>
      </c>
      <c r="U50" s="230">
        <f t="shared" si="8"/>
        <v>0</v>
      </c>
      <c r="V50" s="230">
        <f t="shared" si="9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280"/>
      <c r="C51" s="281"/>
      <c r="D51" s="282"/>
      <c r="E51" s="283"/>
      <c r="F51" s="239"/>
      <c r="G51" s="240">
        <f t="shared" si="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19</v>
      </c>
      <c r="F61" s="265">
        <f>SUM(F18:F60)</f>
        <v>28580.32</v>
      </c>
      <c r="G61" s="266">
        <f>SUM(G18:G60)</f>
        <v>20126.990000000002</v>
      </c>
      <c r="H61" s="267">
        <f>SUM(H18:H60)</f>
        <v>38715.569999999992</v>
      </c>
      <c r="I61" s="268"/>
      <c r="J61" s="269">
        <f>SUM(J18:J60)</f>
        <v>19</v>
      </c>
      <c r="K61" s="266">
        <f>SUM(K18:K60)</f>
        <v>23550.5</v>
      </c>
      <c r="L61" s="267">
        <f>SUM(L18:L60)</f>
        <v>33685.75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23550.5</v>
      </c>
      <c r="T61" s="267">
        <f>SUM(T18:T60)</f>
        <v>33685.75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83" priority="3" stopIfTrue="1">
      <formula>$U$9&gt;100%</formula>
    </cfRule>
    <cfRule type="expression" dxfId="182" priority="4">
      <formula>$U$9&lt;50%</formula>
    </cfRule>
  </conditionalFormatting>
  <conditionalFormatting sqref="V9:V10">
    <cfRule type="expression" dxfId="181" priority="1">
      <formula>$V$9&lt;50%</formula>
    </cfRule>
    <cfRule type="expression" dxfId="180" priority="2">
      <formula>$V$9&gt;50%</formula>
    </cfRule>
  </conditionalFormatting>
  <dataValidations count="5">
    <dataValidation type="list" allowBlank="1" showInputMessage="1" showErrorMessage="1" sqref="M18:M60" xr:uid="{C7DBF1D0-A0DA-4732-A499-8A9FE2DAA866}">
      <formula1>$Y$31:$Y$32</formula1>
    </dataValidation>
    <dataValidation type="list" showInputMessage="1" showErrorMessage="1" sqref="D52:D60" xr:uid="{E2BF5684-07C7-45D0-BB6D-E40AF35CE5ED}">
      <formula1>$Z$18:$Z$29</formula1>
    </dataValidation>
    <dataValidation type="list" allowBlank="1" showInputMessage="1" showErrorMessage="1" sqref="I13" xr:uid="{38A1BA24-333E-417D-AC62-CAA221FA337B}">
      <formula1>$K$9:$K$9</formula1>
    </dataValidation>
    <dataValidation type="list" allowBlank="1" showInputMessage="1" showErrorMessage="1" sqref="H13" xr:uid="{2CAD4ED8-A828-407E-8067-6C2D2F387DB0}">
      <formula1>$Y$13:$Y$14</formula1>
    </dataValidation>
    <dataValidation type="list" allowBlank="1" showInputMessage="1" showErrorMessage="1" sqref="F17 K17 Q17 Q14" xr:uid="{020AF6A8-E130-48C2-9070-63EA8614BFB1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6B501-05B1-4B0B-96A1-FBB7C25BD7E8}">
  <sheetPr>
    <pageSetUpPr fitToPage="1"/>
  </sheetPr>
  <dimension ref="A1:AB63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523" t="s">
        <v>2</v>
      </c>
      <c r="I1" s="524"/>
      <c r="J1" s="524"/>
      <c r="K1" s="525"/>
      <c r="L1" s="528" t="s">
        <v>3</v>
      </c>
      <c r="M1" s="529"/>
      <c r="N1" s="529"/>
      <c r="O1" s="529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59">
        <v>488502</v>
      </c>
      <c r="G2" s="549"/>
      <c r="H2" s="546" t="s">
        <v>7</v>
      </c>
      <c r="I2" s="550"/>
      <c r="J2" s="547"/>
      <c r="K2" s="148"/>
      <c r="L2" s="551" t="s">
        <v>8</v>
      </c>
      <c r="M2" s="552"/>
      <c r="N2" s="553"/>
      <c r="O2" s="149"/>
      <c r="P2" s="554">
        <f>H61</f>
        <v>39106.079999999994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532" t="s">
        <v>13</v>
      </c>
      <c r="I3" s="536"/>
      <c r="J3" s="533"/>
      <c r="K3" s="154"/>
      <c r="L3" s="537" t="s">
        <v>14</v>
      </c>
      <c r="M3" s="538"/>
      <c r="N3" s="539"/>
      <c r="O3" s="149"/>
      <c r="P3" s="540">
        <f>L61</f>
        <v>37071.839999999997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665" t="s">
        <v>176</v>
      </c>
      <c r="G4" s="666"/>
      <c r="H4" s="532" t="s">
        <v>19</v>
      </c>
      <c r="I4" s="536"/>
      <c r="J4" s="533"/>
      <c r="K4" s="154"/>
      <c r="L4" s="537" t="s">
        <v>20</v>
      </c>
      <c r="M4" s="538"/>
      <c r="N4" s="539"/>
      <c r="O4" s="149"/>
      <c r="P4" s="540">
        <f>P2-P3</f>
        <v>2034.239999999998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665" t="s">
        <v>199</v>
      </c>
      <c r="G5" s="666"/>
      <c r="H5" s="532" t="s">
        <v>25</v>
      </c>
      <c r="I5" s="536"/>
      <c r="J5" s="533"/>
      <c r="K5" s="154"/>
      <c r="L5" s="558" t="s">
        <v>26</v>
      </c>
      <c r="M5" s="559"/>
      <c r="N5" s="560"/>
      <c r="O5" s="149"/>
      <c r="P5" s="561">
        <f>IFERROR((P2-P3)/P2,"")</f>
        <v>5.201850965374178E-2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69" t="s">
        <v>399</v>
      </c>
      <c r="G6" s="666"/>
      <c r="H6" s="532" t="s">
        <v>31</v>
      </c>
      <c r="I6" s="536"/>
      <c r="J6" s="533"/>
      <c r="K6" s="154"/>
      <c r="L6" s="574" t="s">
        <v>32</v>
      </c>
      <c r="M6" s="575"/>
      <c r="N6" s="576"/>
      <c r="O6" s="149"/>
      <c r="P6" s="577">
        <f>T61</f>
        <v>37071.839999999997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563"/>
      <c r="G7" s="535"/>
      <c r="H7" s="532" t="s">
        <v>36</v>
      </c>
      <c r="I7" s="536"/>
      <c r="J7" s="533"/>
      <c r="K7" s="154"/>
      <c r="L7" s="564" t="s">
        <v>37</v>
      </c>
      <c r="M7" s="565"/>
      <c r="N7" s="56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532" t="s">
        <v>40</v>
      </c>
      <c r="I8" s="536"/>
      <c r="J8" s="533"/>
      <c r="K8" s="154"/>
      <c r="L8" s="564" t="s">
        <v>41</v>
      </c>
      <c r="M8" s="565"/>
      <c r="N8" s="56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400</v>
      </c>
      <c r="G9" s="535"/>
      <c r="H9" s="171"/>
      <c r="I9" s="172"/>
      <c r="J9" s="172"/>
      <c r="K9" s="173"/>
      <c r="L9" s="564" t="s">
        <v>47</v>
      </c>
      <c r="M9" s="565"/>
      <c r="N9" s="56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37071.839999999997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542" t="s">
        <v>48</v>
      </c>
      <c r="M10" s="579"/>
      <c r="N10" s="543"/>
      <c r="O10" s="149"/>
      <c r="P10" s="580">
        <f>E61</f>
        <v>20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650" t="s">
        <v>50</v>
      </c>
      <c r="K11" s="651"/>
      <c r="L11" s="651"/>
      <c r="M11" s="651"/>
      <c r="N11" s="652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653"/>
      <c r="K12" s="654"/>
      <c r="L12" s="654"/>
      <c r="M12" s="654"/>
      <c r="N12" s="655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656"/>
      <c r="K13" s="657"/>
      <c r="L13" s="657"/>
      <c r="M13" s="657"/>
      <c r="N13" s="658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601" t="s">
        <v>59</v>
      </c>
      <c r="K14" s="602"/>
      <c r="L14" s="605" t="s">
        <v>60</v>
      </c>
      <c r="M14" s="606"/>
      <c r="N14" s="60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603"/>
      <c r="K15" s="604"/>
      <c r="L15" s="608"/>
      <c r="M15" s="609"/>
      <c r="N15" s="61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631" t="s">
        <v>69</v>
      </c>
      <c r="K16" s="201" t="s">
        <v>72</v>
      </c>
      <c r="L16" s="202" t="s">
        <v>73</v>
      </c>
      <c r="M16" s="633" t="s">
        <v>74</v>
      </c>
      <c r="N16" s="633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3"/>
      <c r="C17" s="625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632"/>
      <c r="K17" s="614" t="s">
        <v>52</v>
      </c>
      <c r="L17" s="615"/>
      <c r="M17" s="634"/>
      <c r="N17" s="634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 s="276">
        <v>5717494</v>
      </c>
      <c r="C18" s="277" t="s">
        <v>83</v>
      </c>
      <c r="D18" s="278">
        <v>375</v>
      </c>
      <c r="E18" s="279">
        <v>1</v>
      </c>
      <c r="F18" s="220">
        <v>78.66</v>
      </c>
      <c r="G18" s="221">
        <f t="shared" ref="G18:G60" si="0">ROUND(IF($F$17="USD $", F18*$E$15,F18*$D$15),2)</f>
        <v>55.39</v>
      </c>
      <c r="H18" s="222">
        <f t="shared" ref="H18:H60" si="1">ROUND(IF($H$17=$G$17,E18*G18,E18*F18),2)</f>
        <v>78.66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29.89</v>
      </c>
      <c r="L18" s="221">
        <f t="shared" ref="L18:L60" si="4">ROUND((J18*K18),2)</f>
        <v>29.89</v>
      </c>
      <c r="M18" s="220" t="s">
        <v>84</v>
      </c>
      <c r="N18" s="225">
        <v>0.62</v>
      </c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29.89</v>
      </c>
      <c r="T18" s="229">
        <f t="shared" ref="T18:T60" si="7">ROUND(L18-R18,2)</f>
        <v>29.89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280">
        <v>5825010</v>
      </c>
      <c r="C19" s="281" t="s">
        <v>178</v>
      </c>
      <c r="D19" s="282">
        <v>500</v>
      </c>
      <c r="E19" s="283">
        <v>1</v>
      </c>
      <c r="F19" s="239">
        <v>69.8</v>
      </c>
      <c r="G19" s="240">
        <f t="shared" si="0"/>
        <v>49.15</v>
      </c>
      <c r="H19" s="241">
        <f t="shared" si="1"/>
        <v>69.8</v>
      </c>
      <c r="I19" s="242"/>
      <c r="J19" s="243">
        <f t="shared" si="2"/>
        <v>1</v>
      </c>
      <c r="K19" s="240">
        <f t="shared" si="3"/>
        <v>26.52</v>
      </c>
      <c r="L19" s="240">
        <f t="shared" si="4"/>
        <v>26.52</v>
      </c>
      <c r="M19" s="244" t="s">
        <v>84</v>
      </c>
      <c r="N19" s="245">
        <v>0.62</v>
      </c>
      <c r="O19" s="226"/>
      <c r="P19" s="246"/>
      <c r="Q19" s="239"/>
      <c r="R19" s="247">
        <f t="shared" si="5"/>
        <v>0</v>
      </c>
      <c r="S19" s="248">
        <f t="shared" si="6"/>
        <v>26.52</v>
      </c>
      <c r="T19" s="248">
        <f t="shared" si="7"/>
        <v>26.52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276">
        <v>5716779</v>
      </c>
      <c r="C20" s="284" t="s">
        <v>179</v>
      </c>
      <c r="D20" s="286">
        <v>500</v>
      </c>
      <c r="E20" s="279">
        <v>1</v>
      </c>
      <c r="F20" s="220">
        <v>90</v>
      </c>
      <c r="G20" s="221">
        <f t="shared" si="0"/>
        <v>63.38</v>
      </c>
      <c r="H20" s="222">
        <f t="shared" si="1"/>
        <v>90</v>
      </c>
      <c r="I20" s="242"/>
      <c r="J20" s="224">
        <f t="shared" si="2"/>
        <v>1</v>
      </c>
      <c r="K20" s="221">
        <f t="shared" si="3"/>
        <v>34.200000000000003</v>
      </c>
      <c r="L20" s="221">
        <f t="shared" si="4"/>
        <v>34.200000000000003</v>
      </c>
      <c r="M20" s="220" t="s">
        <v>84</v>
      </c>
      <c r="N20" s="254">
        <v>0.62</v>
      </c>
      <c r="O20" s="226"/>
      <c r="P20" s="255"/>
      <c r="Q20" s="228"/>
      <c r="R20" s="229">
        <f t="shared" si="5"/>
        <v>0</v>
      </c>
      <c r="S20" s="229">
        <f t="shared" si="6"/>
        <v>34.200000000000003</v>
      </c>
      <c r="T20" s="229">
        <f t="shared" si="7"/>
        <v>34.200000000000003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280">
        <v>7993014</v>
      </c>
      <c r="C21" s="281" t="s">
        <v>180</v>
      </c>
      <c r="D21" s="282">
        <v>500</v>
      </c>
      <c r="E21" s="283">
        <v>1</v>
      </c>
      <c r="F21" s="239">
        <v>74.47</v>
      </c>
      <c r="G21" s="240">
        <f t="shared" si="0"/>
        <v>52.44</v>
      </c>
      <c r="H21" s="241">
        <f t="shared" si="1"/>
        <v>74.47</v>
      </c>
      <c r="I21" s="242"/>
      <c r="J21" s="243">
        <f t="shared" si="2"/>
        <v>1</v>
      </c>
      <c r="K21" s="240">
        <f t="shared" si="3"/>
        <v>28.3</v>
      </c>
      <c r="L21" s="240">
        <f t="shared" si="4"/>
        <v>28.3</v>
      </c>
      <c r="M21" s="244" t="s">
        <v>84</v>
      </c>
      <c r="N21" s="245">
        <v>0.62</v>
      </c>
      <c r="O21" s="226"/>
      <c r="P21" s="246"/>
      <c r="Q21" s="239"/>
      <c r="R21" s="247">
        <f t="shared" si="5"/>
        <v>0</v>
      </c>
      <c r="S21" s="248">
        <f t="shared" si="6"/>
        <v>28.3</v>
      </c>
      <c r="T21" s="248">
        <f t="shared" si="7"/>
        <v>28.3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276">
        <v>5821147</v>
      </c>
      <c r="C22" s="284" t="s">
        <v>181</v>
      </c>
      <c r="D22" s="286">
        <v>500</v>
      </c>
      <c r="E22" s="279">
        <v>1</v>
      </c>
      <c r="F22" s="220">
        <v>126.98</v>
      </c>
      <c r="G22" s="221">
        <f t="shared" si="0"/>
        <v>89.42</v>
      </c>
      <c r="H22" s="222">
        <f t="shared" si="1"/>
        <v>126.98</v>
      </c>
      <c r="I22" s="242"/>
      <c r="J22" s="224">
        <f t="shared" si="2"/>
        <v>1</v>
      </c>
      <c r="K22" s="221">
        <f t="shared" si="3"/>
        <v>48.25</v>
      </c>
      <c r="L22" s="221">
        <f t="shared" si="4"/>
        <v>48.25</v>
      </c>
      <c r="M22" s="220" t="s">
        <v>84</v>
      </c>
      <c r="N22" s="254">
        <v>0.62</v>
      </c>
      <c r="O22" s="226"/>
      <c r="P22" s="255"/>
      <c r="Q22" s="228"/>
      <c r="R22" s="229">
        <f t="shared" si="5"/>
        <v>0</v>
      </c>
      <c r="S22" s="229">
        <f t="shared" si="6"/>
        <v>48.25</v>
      </c>
      <c r="T22" s="229">
        <f t="shared" si="7"/>
        <v>48.25</v>
      </c>
      <c r="U22" s="230">
        <f t="shared" si="8"/>
        <v>0</v>
      </c>
      <c r="V22" s="230">
        <f t="shared" si="9"/>
        <v>1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280">
        <v>5821148</v>
      </c>
      <c r="C23" s="281" t="s">
        <v>182</v>
      </c>
      <c r="D23" s="282">
        <v>1000</v>
      </c>
      <c r="E23" s="283">
        <v>1</v>
      </c>
      <c r="F23" s="239">
        <v>60</v>
      </c>
      <c r="G23" s="240">
        <f t="shared" si="0"/>
        <v>42.25</v>
      </c>
      <c r="H23" s="241">
        <f t="shared" si="1"/>
        <v>60</v>
      </c>
      <c r="I23" s="242"/>
      <c r="J23" s="243">
        <f t="shared" si="2"/>
        <v>1</v>
      </c>
      <c r="K23" s="240">
        <f t="shared" si="3"/>
        <v>22.8</v>
      </c>
      <c r="L23" s="240">
        <f t="shared" si="4"/>
        <v>22.8</v>
      </c>
      <c r="M23" s="244" t="s">
        <v>84</v>
      </c>
      <c r="N23" s="245">
        <v>0.62</v>
      </c>
      <c r="O23" s="226"/>
      <c r="P23" s="246"/>
      <c r="Q23" s="239"/>
      <c r="R23" s="247">
        <f t="shared" si="5"/>
        <v>0</v>
      </c>
      <c r="S23" s="248">
        <f t="shared" si="6"/>
        <v>22.8</v>
      </c>
      <c r="T23" s="248">
        <f t="shared" si="7"/>
        <v>22.8</v>
      </c>
      <c r="U23" s="249">
        <f t="shared" si="8"/>
        <v>0</v>
      </c>
      <c r="V23" s="249">
        <f t="shared" si="9"/>
        <v>1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276">
        <v>5829107</v>
      </c>
      <c r="C24" s="284" t="s">
        <v>200</v>
      </c>
      <c r="D24" s="285">
        <v>375</v>
      </c>
      <c r="E24" s="279">
        <v>1</v>
      </c>
      <c r="F24" s="220">
        <v>40.4</v>
      </c>
      <c r="G24" s="221">
        <f t="shared" si="0"/>
        <v>28.45</v>
      </c>
      <c r="H24" s="222">
        <f t="shared" si="1"/>
        <v>40.4</v>
      </c>
      <c r="I24" s="242"/>
      <c r="J24" s="224">
        <f t="shared" si="2"/>
        <v>1</v>
      </c>
      <c r="K24" s="221">
        <f t="shared" si="3"/>
        <v>15.35</v>
      </c>
      <c r="L24" s="221">
        <f t="shared" si="4"/>
        <v>15.35</v>
      </c>
      <c r="M24" s="220" t="s">
        <v>84</v>
      </c>
      <c r="N24" s="254">
        <v>0.62</v>
      </c>
      <c r="O24" s="226"/>
      <c r="P24" s="255"/>
      <c r="Q24" s="228"/>
      <c r="R24" s="229">
        <f t="shared" si="5"/>
        <v>0</v>
      </c>
      <c r="S24" s="229">
        <f t="shared" si="6"/>
        <v>15.35</v>
      </c>
      <c r="T24" s="229">
        <f t="shared" si="7"/>
        <v>15.35</v>
      </c>
      <c r="U24" s="230">
        <f t="shared" si="8"/>
        <v>0</v>
      </c>
      <c r="V24" s="230">
        <f t="shared" si="9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 s="280">
        <v>5570176</v>
      </c>
      <c r="C25" s="281" t="s">
        <v>197</v>
      </c>
      <c r="D25" s="287" t="s">
        <v>101</v>
      </c>
      <c r="E25" s="283">
        <v>1</v>
      </c>
      <c r="F25" s="239">
        <v>2606.25</v>
      </c>
      <c r="G25" s="240">
        <f t="shared" si="0"/>
        <v>1835.39</v>
      </c>
      <c r="H25" s="241">
        <f t="shared" si="1"/>
        <v>2606.25</v>
      </c>
      <c r="I25" s="242"/>
      <c r="J25" s="243">
        <f t="shared" si="2"/>
        <v>1</v>
      </c>
      <c r="K25" s="240">
        <f t="shared" si="3"/>
        <v>2606.25</v>
      </c>
      <c r="L25" s="240">
        <f t="shared" si="4"/>
        <v>2606.25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2606.25</v>
      </c>
      <c r="T25" s="248">
        <f t="shared" si="7"/>
        <v>2606.25</v>
      </c>
      <c r="U25" s="249">
        <f t="shared" si="8"/>
        <v>0</v>
      </c>
      <c r="V25" s="249">
        <f t="shared" si="9"/>
        <v>1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 s="276">
        <v>5753229</v>
      </c>
      <c r="C26" s="284" t="s">
        <v>184</v>
      </c>
      <c r="D26" s="287" t="s">
        <v>101</v>
      </c>
      <c r="E26" s="279">
        <v>2</v>
      </c>
      <c r="F26" s="220">
        <v>749.37</v>
      </c>
      <c r="G26" s="221">
        <f t="shared" si="0"/>
        <v>527.73</v>
      </c>
      <c r="H26" s="222">
        <f t="shared" si="1"/>
        <v>1498.74</v>
      </c>
      <c r="I26" s="242"/>
      <c r="J26" s="224">
        <f t="shared" si="2"/>
        <v>2</v>
      </c>
      <c r="K26" s="221">
        <f t="shared" si="3"/>
        <v>374.69</v>
      </c>
      <c r="L26" s="221">
        <f t="shared" si="4"/>
        <v>749.38</v>
      </c>
      <c r="M26" s="220" t="s">
        <v>84</v>
      </c>
      <c r="N26" s="254">
        <v>0.5</v>
      </c>
      <c r="O26" s="226"/>
      <c r="P26" s="255"/>
      <c r="Q26" s="228"/>
      <c r="R26" s="229">
        <f t="shared" si="5"/>
        <v>0</v>
      </c>
      <c r="S26" s="229">
        <f t="shared" si="6"/>
        <v>374.69</v>
      </c>
      <c r="T26" s="229">
        <f t="shared" si="7"/>
        <v>749.38</v>
      </c>
      <c r="U26" s="230">
        <f t="shared" si="8"/>
        <v>0</v>
      </c>
      <c r="V26" s="230">
        <f t="shared" si="9"/>
        <v>1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280">
        <v>5718296</v>
      </c>
      <c r="C27" s="281" t="s">
        <v>185</v>
      </c>
      <c r="D27" s="282">
        <v>6000</v>
      </c>
      <c r="E27" s="283">
        <v>1</v>
      </c>
      <c r="F27" s="239">
        <v>1141.5899999999999</v>
      </c>
      <c r="G27" s="240">
        <f t="shared" si="0"/>
        <v>803.94</v>
      </c>
      <c r="H27" s="241">
        <f t="shared" si="1"/>
        <v>1141.5899999999999</v>
      </c>
      <c r="I27" s="242"/>
      <c r="J27" s="243">
        <f t="shared" si="2"/>
        <v>1</v>
      </c>
      <c r="K27" s="240">
        <f t="shared" si="3"/>
        <v>1141.5899999999999</v>
      </c>
      <c r="L27" s="240">
        <f t="shared" si="4"/>
        <v>1141.5899999999999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1141.5899999999999</v>
      </c>
      <c r="T27" s="248">
        <f t="shared" si="7"/>
        <v>1141.5899999999999</v>
      </c>
      <c r="U27" s="249">
        <f t="shared" si="8"/>
        <v>0</v>
      </c>
      <c r="V27" s="249">
        <f t="shared" si="9"/>
        <v>1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276">
        <v>5718266</v>
      </c>
      <c r="C28" s="284" t="s">
        <v>186</v>
      </c>
      <c r="D28" s="285">
        <v>6000</v>
      </c>
      <c r="E28" s="279">
        <v>4</v>
      </c>
      <c r="F28" s="220">
        <v>5360.32</v>
      </c>
      <c r="G28" s="221">
        <f t="shared" si="0"/>
        <v>3774.87</v>
      </c>
      <c r="H28" s="222">
        <f t="shared" si="1"/>
        <v>21441.279999999999</v>
      </c>
      <c r="I28" s="242"/>
      <c r="J28" s="224">
        <f t="shared" si="2"/>
        <v>4</v>
      </c>
      <c r="K28" s="221">
        <f t="shared" si="3"/>
        <v>5360.32</v>
      </c>
      <c r="L28" s="221">
        <f t="shared" si="4"/>
        <v>21441.279999999999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5360.32</v>
      </c>
      <c r="T28" s="229">
        <f t="shared" si="7"/>
        <v>21441.279999999999</v>
      </c>
      <c r="U28" s="230">
        <f t="shared" si="8"/>
        <v>0</v>
      </c>
      <c r="V28" s="230">
        <f t="shared" si="9"/>
        <v>1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280">
        <v>5718251</v>
      </c>
      <c r="C29" s="281" t="s">
        <v>112</v>
      </c>
      <c r="D29" s="287" t="s">
        <v>101</v>
      </c>
      <c r="E29" s="283">
        <v>1</v>
      </c>
      <c r="F29" s="239">
        <v>6816</v>
      </c>
      <c r="G29" s="240">
        <f t="shared" si="0"/>
        <v>4800</v>
      </c>
      <c r="H29" s="241">
        <f t="shared" si="1"/>
        <v>6816</v>
      </c>
      <c r="I29" s="242"/>
      <c r="J29" s="243">
        <f t="shared" si="2"/>
        <v>1</v>
      </c>
      <c r="K29" s="240">
        <f t="shared" si="3"/>
        <v>6816</v>
      </c>
      <c r="L29" s="240">
        <f t="shared" si="4"/>
        <v>6816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6816</v>
      </c>
      <c r="T29" s="248">
        <f t="shared" si="7"/>
        <v>6816</v>
      </c>
      <c r="U29" s="249">
        <f t="shared" si="8"/>
        <v>0</v>
      </c>
      <c r="V29" s="249">
        <f t="shared" si="9"/>
        <v>1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276">
        <v>5718258</v>
      </c>
      <c r="C30" s="284" t="s">
        <v>188</v>
      </c>
      <c r="D30" s="285" t="s">
        <v>101</v>
      </c>
      <c r="E30" s="279">
        <v>1</v>
      </c>
      <c r="F30" s="290">
        <v>2101.9899999999998</v>
      </c>
      <c r="G30" s="221">
        <f t="shared" si="0"/>
        <v>1480.27</v>
      </c>
      <c r="H30" s="222">
        <f t="shared" si="1"/>
        <v>2101.9899999999998</v>
      </c>
      <c r="I30" s="242"/>
      <c r="J30" s="224">
        <f t="shared" si="2"/>
        <v>1</v>
      </c>
      <c r="K30" s="221">
        <f t="shared" si="3"/>
        <v>2101.9899999999998</v>
      </c>
      <c r="L30" s="221">
        <f t="shared" si="4"/>
        <v>2101.9899999999998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2101.9899999999998</v>
      </c>
      <c r="T30" s="229">
        <f t="shared" si="7"/>
        <v>2101.9899999999998</v>
      </c>
      <c r="U30" s="230">
        <f t="shared" si="8"/>
        <v>0</v>
      </c>
      <c r="V30" s="230">
        <f t="shared" si="9"/>
        <v>1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280">
        <v>5718234</v>
      </c>
      <c r="C31" s="281" t="s">
        <v>189</v>
      </c>
      <c r="D31" s="287" t="s">
        <v>101</v>
      </c>
      <c r="E31" s="283">
        <v>1</v>
      </c>
      <c r="F31" s="239">
        <v>1060.1400000000001</v>
      </c>
      <c r="G31" s="240">
        <f t="shared" si="0"/>
        <v>746.58</v>
      </c>
      <c r="H31" s="241">
        <f t="shared" si="1"/>
        <v>1060.1400000000001</v>
      </c>
      <c r="I31" s="242"/>
      <c r="J31" s="243">
        <f t="shared" si="2"/>
        <v>1</v>
      </c>
      <c r="K31" s="240">
        <f t="shared" si="3"/>
        <v>1060.1400000000001</v>
      </c>
      <c r="L31" s="240">
        <f t="shared" si="4"/>
        <v>1060.1400000000001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1060.1400000000001</v>
      </c>
      <c r="T31" s="248">
        <f t="shared" si="7"/>
        <v>1060.1400000000001</v>
      </c>
      <c r="U31" s="249">
        <f t="shared" si="8"/>
        <v>0</v>
      </c>
      <c r="V31" s="249">
        <f t="shared" si="9"/>
        <v>1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276">
        <v>6704138</v>
      </c>
      <c r="C32" s="284" t="s">
        <v>190</v>
      </c>
      <c r="D32" s="285">
        <v>4000</v>
      </c>
      <c r="E32" s="279">
        <v>2</v>
      </c>
      <c r="F32" s="239">
        <v>949.89</v>
      </c>
      <c r="G32" s="221">
        <f t="shared" si="0"/>
        <v>668.94</v>
      </c>
      <c r="H32" s="222">
        <f t="shared" si="1"/>
        <v>1899.78</v>
      </c>
      <c r="I32" s="242"/>
      <c r="J32" s="224">
        <f t="shared" si="2"/>
        <v>2</v>
      </c>
      <c r="K32" s="221">
        <f t="shared" si="3"/>
        <v>474.95</v>
      </c>
      <c r="L32" s="221">
        <f t="shared" si="4"/>
        <v>949.9</v>
      </c>
      <c r="M32" s="220" t="s">
        <v>84</v>
      </c>
      <c r="N32" s="254">
        <v>0.5</v>
      </c>
      <c r="O32" s="226"/>
      <c r="P32" s="255"/>
      <c r="Q32" s="228"/>
      <c r="R32" s="229">
        <f t="shared" si="5"/>
        <v>0</v>
      </c>
      <c r="S32" s="229">
        <f t="shared" si="6"/>
        <v>474.95</v>
      </c>
      <c r="T32" s="229">
        <f t="shared" si="7"/>
        <v>949.9</v>
      </c>
      <c r="U32" s="230">
        <f t="shared" si="8"/>
        <v>0</v>
      </c>
      <c r="V32" s="230">
        <f t="shared" si="9"/>
        <v>1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280"/>
      <c r="C33" s="281"/>
      <c r="D33" s="282"/>
      <c r="E33" s="283"/>
      <c r="F33" s="239"/>
      <c r="G33" s="240">
        <f t="shared" si="0"/>
        <v>0</v>
      </c>
      <c r="H33" s="241">
        <f t="shared" si="1"/>
        <v>0</v>
      </c>
      <c r="I33" s="242"/>
      <c r="J33" s="243">
        <f t="shared" si="2"/>
        <v>0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276"/>
      <c r="C34" s="284"/>
      <c r="D34" s="285"/>
      <c r="E34" s="279"/>
      <c r="F34" s="220"/>
      <c r="G34" s="221">
        <f t="shared" si="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>
        <v>0.5</v>
      </c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280"/>
      <c r="C35" s="281"/>
      <c r="D35" s="282"/>
      <c r="E35" s="283"/>
      <c r="F35" s="239"/>
      <c r="G35" s="240">
        <f t="shared" si="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>
        <v>0.5</v>
      </c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276"/>
      <c r="C36" s="284"/>
      <c r="D36" s="285"/>
      <c r="E36" s="279"/>
      <c r="F36" s="220"/>
      <c r="G36" s="221">
        <f t="shared" si="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280"/>
      <c r="C37" s="281"/>
      <c r="D37" s="282"/>
      <c r="E37" s="283"/>
      <c r="F37" s="239"/>
      <c r="G37" s="240">
        <f t="shared" si="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276"/>
      <c r="C38" s="284"/>
      <c r="D38" s="285"/>
      <c r="E38" s="279"/>
      <c r="F38" s="220"/>
      <c r="G38" s="221">
        <f t="shared" si="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280"/>
      <c r="C39" s="281"/>
      <c r="D39" s="282"/>
      <c r="E39" s="283"/>
      <c r="F39" s="239"/>
      <c r="G39" s="240">
        <f t="shared" si="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276"/>
      <c r="C40" s="284"/>
      <c r="D40" s="285"/>
      <c r="E40" s="279"/>
      <c r="F40" s="220"/>
      <c r="G40" s="221">
        <f t="shared" si="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280"/>
      <c r="C41" s="281"/>
      <c r="D41" s="282"/>
      <c r="E41" s="283"/>
      <c r="F41" s="239"/>
      <c r="G41" s="240">
        <f t="shared" si="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276"/>
      <c r="C42" s="284"/>
      <c r="D42" s="285"/>
      <c r="E42" s="279"/>
      <c r="F42" s="220"/>
      <c r="G42" s="221">
        <f t="shared" si="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280"/>
      <c r="C43" s="281"/>
      <c r="D43" s="282"/>
      <c r="E43" s="283"/>
      <c r="F43" s="239"/>
      <c r="G43" s="240">
        <f t="shared" si="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276"/>
      <c r="C44" s="284"/>
      <c r="D44" s="285"/>
      <c r="E44" s="279"/>
      <c r="F44" s="220"/>
      <c r="G44" s="221">
        <f t="shared" si="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280"/>
      <c r="C45" s="281"/>
      <c r="D45" s="282"/>
      <c r="E45" s="283"/>
      <c r="F45" s="239"/>
      <c r="G45" s="240">
        <f t="shared" si="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276"/>
      <c r="C46" s="284"/>
      <c r="D46" s="285"/>
      <c r="E46" s="279"/>
      <c r="F46" s="220"/>
      <c r="G46" s="221">
        <f t="shared" si="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280"/>
      <c r="C47" s="281"/>
      <c r="D47" s="282"/>
      <c r="E47" s="283"/>
      <c r="F47" s="239"/>
      <c r="G47" s="240">
        <f t="shared" si="0"/>
        <v>0</v>
      </c>
      <c r="H47" s="241">
        <f t="shared" si="1"/>
        <v>0</v>
      </c>
      <c r="I47" s="242"/>
      <c r="J47" s="243">
        <f t="shared" si="2"/>
        <v>0</v>
      </c>
      <c r="K47" s="240">
        <f t="shared" si="3"/>
        <v>0</v>
      </c>
      <c r="L47" s="240">
        <f t="shared" si="4"/>
        <v>0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0</v>
      </c>
      <c r="T47" s="248">
        <f t="shared" si="7"/>
        <v>0</v>
      </c>
      <c r="U47" s="249">
        <f t="shared" si="8"/>
        <v>0</v>
      </c>
      <c r="V47" s="249">
        <f t="shared" si="9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276"/>
      <c r="C48" s="284"/>
      <c r="D48" s="285"/>
      <c r="E48" s="279"/>
      <c r="F48" s="220"/>
      <c r="G48" s="221">
        <f t="shared" si="0"/>
        <v>0</v>
      </c>
      <c r="H48" s="222">
        <f t="shared" si="1"/>
        <v>0</v>
      </c>
      <c r="I48" s="242"/>
      <c r="J48" s="224">
        <f t="shared" si="2"/>
        <v>0</v>
      </c>
      <c r="K48" s="221">
        <f t="shared" si="3"/>
        <v>0</v>
      </c>
      <c r="L48" s="221">
        <f t="shared" si="4"/>
        <v>0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0</v>
      </c>
      <c r="T48" s="229">
        <f t="shared" si="7"/>
        <v>0</v>
      </c>
      <c r="U48" s="230">
        <f t="shared" si="8"/>
        <v>0</v>
      </c>
      <c r="V48" s="230">
        <f t="shared" si="9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280"/>
      <c r="C49" s="281"/>
      <c r="D49" s="282"/>
      <c r="E49" s="283"/>
      <c r="F49" s="239"/>
      <c r="G49" s="240">
        <f t="shared" si="0"/>
        <v>0</v>
      </c>
      <c r="H49" s="241">
        <f t="shared" si="1"/>
        <v>0</v>
      </c>
      <c r="I49" s="242"/>
      <c r="J49" s="243">
        <f t="shared" si="2"/>
        <v>0</v>
      </c>
      <c r="K49" s="240">
        <f t="shared" si="3"/>
        <v>0</v>
      </c>
      <c r="L49" s="240">
        <f t="shared" si="4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0</v>
      </c>
      <c r="T49" s="248">
        <f t="shared" si="7"/>
        <v>0</v>
      </c>
      <c r="U49" s="249">
        <f t="shared" si="8"/>
        <v>0</v>
      </c>
      <c r="V49" s="249">
        <f t="shared" si="9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276"/>
      <c r="C50" s="284"/>
      <c r="D50" s="285"/>
      <c r="E50" s="279"/>
      <c r="F50" s="220"/>
      <c r="G50" s="221">
        <f t="shared" si="0"/>
        <v>0</v>
      </c>
      <c r="H50" s="222">
        <f t="shared" si="1"/>
        <v>0</v>
      </c>
      <c r="I50" s="242"/>
      <c r="J50" s="224">
        <f t="shared" si="2"/>
        <v>0</v>
      </c>
      <c r="K50" s="221">
        <f t="shared" si="3"/>
        <v>0</v>
      </c>
      <c r="L50" s="221">
        <f t="shared" si="4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0</v>
      </c>
      <c r="T50" s="229">
        <f t="shared" si="7"/>
        <v>0</v>
      </c>
      <c r="U50" s="230">
        <f t="shared" si="8"/>
        <v>0</v>
      </c>
      <c r="V50" s="230">
        <f t="shared" si="9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280"/>
      <c r="C51" s="281"/>
      <c r="D51" s="282"/>
      <c r="E51" s="283"/>
      <c r="F51" s="239"/>
      <c r="G51" s="240">
        <f t="shared" si="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20</v>
      </c>
      <c r="F61" s="265">
        <f>SUM(F18:F60)</f>
        <v>21325.86</v>
      </c>
      <c r="G61" s="266">
        <f>SUM(G18:G60)</f>
        <v>15018.2</v>
      </c>
      <c r="H61" s="267">
        <f>SUM(H18:H60)</f>
        <v>39106.079999999994</v>
      </c>
      <c r="I61" s="268"/>
      <c r="J61" s="269">
        <f>SUM(J18:J60)</f>
        <v>20</v>
      </c>
      <c r="K61" s="266">
        <f>SUM(K18:K60)</f>
        <v>20141.240000000002</v>
      </c>
      <c r="L61" s="267">
        <f>SUM(L18:L60)</f>
        <v>37071.839999999997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20141.240000000002</v>
      </c>
      <c r="T61" s="267">
        <f>SUM(T18:T60)</f>
        <v>37071.839999999997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79" priority="3" stopIfTrue="1">
      <formula>$U$9&gt;100%</formula>
    </cfRule>
    <cfRule type="expression" dxfId="178" priority="4">
      <formula>$U$9&lt;50%</formula>
    </cfRule>
  </conditionalFormatting>
  <conditionalFormatting sqref="V9:V10">
    <cfRule type="expression" dxfId="177" priority="1">
      <formula>$V$9&lt;50%</formula>
    </cfRule>
    <cfRule type="expression" dxfId="176" priority="2">
      <formula>$V$9&gt;50%</formula>
    </cfRule>
  </conditionalFormatting>
  <dataValidations count="5">
    <dataValidation type="list" allowBlank="1" showInputMessage="1" showErrorMessage="1" sqref="F17 K17 Q17 Q14" xr:uid="{4A9F1AD7-E3CF-4546-BDF6-60F640D9BEF6}">
      <formula1>$Y$11:$Y$12</formula1>
    </dataValidation>
    <dataValidation type="list" allowBlank="1" showInputMessage="1" showErrorMessage="1" sqref="H13" xr:uid="{8F43038D-352F-4A26-8C6E-C10480B8F226}">
      <formula1>$Y$13:$Y$14</formula1>
    </dataValidation>
    <dataValidation type="list" allowBlank="1" showInputMessage="1" showErrorMessage="1" sqref="I13" xr:uid="{61C62946-8A35-4827-9987-424DFD8C5964}">
      <formula1>$K$9:$K$9</formula1>
    </dataValidation>
    <dataValidation type="list" showInputMessage="1" showErrorMessage="1" sqref="D52:D60" xr:uid="{ECAB7C68-CBC7-4BBD-9C6F-5B2C66C1BB94}">
      <formula1>$Z$18:$Z$29</formula1>
    </dataValidation>
    <dataValidation type="list" allowBlank="1" showInputMessage="1" showErrorMessage="1" sqref="M18:M60" xr:uid="{F2143AA6-CCC8-4114-9278-C90591786178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FDE46-589B-4101-8ADA-6D8329FD7590}">
  <sheetPr>
    <pageSetUpPr fitToPage="1"/>
  </sheetPr>
  <dimension ref="A1:AB63"/>
  <sheetViews>
    <sheetView zoomScale="85" zoomScaleNormal="85" workbookViewId="0">
      <selection activeCell="F7" sqref="F7:G7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523" t="s">
        <v>2</v>
      </c>
      <c r="I1" s="524"/>
      <c r="J1" s="524"/>
      <c r="K1" s="525"/>
      <c r="L1" s="528" t="s">
        <v>3</v>
      </c>
      <c r="M1" s="529"/>
      <c r="N1" s="529"/>
      <c r="O1" s="529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59">
        <v>488507</v>
      </c>
      <c r="G2" s="549"/>
      <c r="H2" s="546" t="s">
        <v>7</v>
      </c>
      <c r="I2" s="550"/>
      <c r="J2" s="547"/>
      <c r="K2" s="148"/>
      <c r="L2" s="551" t="s">
        <v>8</v>
      </c>
      <c r="M2" s="552"/>
      <c r="N2" s="553"/>
      <c r="O2" s="149"/>
      <c r="P2" s="554">
        <f>H61</f>
        <v>39106.079999999994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532" t="s">
        <v>13</v>
      </c>
      <c r="I3" s="536"/>
      <c r="J3" s="533"/>
      <c r="K3" s="154"/>
      <c r="L3" s="537" t="s">
        <v>14</v>
      </c>
      <c r="M3" s="538"/>
      <c r="N3" s="539"/>
      <c r="O3" s="149"/>
      <c r="P3" s="540">
        <f>L61</f>
        <v>37071.839999999997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665" t="s">
        <v>176</v>
      </c>
      <c r="G4" s="666"/>
      <c r="H4" s="532" t="s">
        <v>19</v>
      </c>
      <c r="I4" s="536"/>
      <c r="J4" s="533"/>
      <c r="K4" s="154"/>
      <c r="L4" s="537" t="s">
        <v>20</v>
      </c>
      <c r="M4" s="538"/>
      <c r="N4" s="539"/>
      <c r="O4" s="149"/>
      <c r="P4" s="540">
        <f>P2-P3</f>
        <v>2034.239999999998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665" t="s">
        <v>201</v>
      </c>
      <c r="G5" s="666"/>
      <c r="H5" s="532" t="s">
        <v>25</v>
      </c>
      <c r="I5" s="536"/>
      <c r="J5" s="533"/>
      <c r="K5" s="154"/>
      <c r="L5" s="558" t="s">
        <v>26</v>
      </c>
      <c r="M5" s="559"/>
      <c r="N5" s="560"/>
      <c r="O5" s="149"/>
      <c r="P5" s="561">
        <f>IFERROR((P2-P3)/P2,"")</f>
        <v>5.201850965374178E-2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70" t="s">
        <v>398</v>
      </c>
      <c r="G6" s="666"/>
      <c r="H6" s="532" t="s">
        <v>31</v>
      </c>
      <c r="I6" s="536"/>
      <c r="J6" s="533"/>
      <c r="K6" s="154"/>
      <c r="L6" s="574" t="s">
        <v>32</v>
      </c>
      <c r="M6" s="575"/>
      <c r="N6" s="576"/>
      <c r="O6" s="149"/>
      <c r="P6" s="577">
        <f>T61</f>
        <v>37071.839999999997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563"/>
      <c r="G7" s="535"/>
      <c r="H7" s="532" t="s">
        <v>36</v>
      </c>
      <c r="I7" s="536"/>
      <c r="J7" s="533"/>
      <c r="K7" s="154"/>
      <c r="L7" s="564" t="s">
        <v>37</v>
      </c>
      <c r="M7" s="565"/>
      <c r="N7" s="56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532" t="s">
        <v>40</v>
      </c>
      <c r="I8" s="536"/>
      <c r="J8" s="533"/>
      <c r="K8" s="154"/>
      <c r="L8" s="564" t="s">
        <v>41</v>
      </c>
      <c r="M8" s="565"/>
      <c r="N8" s="56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397</v>
      </c>
      <c r="G9" s="535"/>
      <c r="H9" s="171"/>
      <c r="I9" s="172"/>
      <c r="J9" s="172"/>
      <c r="K9" s="173"/>
      <c r="L9" s="564" t="s">
        <v>47</v>
      </c>
      <c r="M9" s="565"/>
      <c r="N9" s="56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37071.839999999997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542" t="s">
        <v>48</v>
      </c>
      <c r="M10" s="579"/>
      <c r="N10" s="543"/>
      <c r="O10" s="149"/>
      <c r="P10" s="580">
        <f>E61</f>
        <v>20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650" t="s">
        <v>50</v>
      </c>
      <c r="K11" s="651"/>
      <c r="L11" s="651"/>
      <c r="M11" s="651"/>
      <c r="N11" s="652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653"/>
      <c r="K12" s="654"/>
      <c r="L12" s="654"/>
      <c r="M12" s="654"/>
      <c r="N12" s="655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656"/>
      <c r="K13" s="657"/>
      <c r="L13" s="657"/>
      <c r="M13" s="657"/>
      <c r="N13" s="658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601" t="s">
        <v>59</v>
      </c>
      <c r="K14" s="602"/>
      <c r="L14" s="605" t="s">
        <v>60</v>
      </c>
      <c r="M14" s="606"/>
      <c r="N14" s="60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603"/>
      <c r="K15" s="604"/>
      <c r="L15" s="608"/>
      <c r="M15" s="609"/>
      <c r="N15" s="61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631" t="s">
        <v>69</v>
      </c>
      <c r="K16" s="201" t="s">
        <v>72</v>
      </c>
      <c r="L16" s="202" t="s">
        <v>73</v>
      </c>
      <c r="M16" s="633" t="s">
        <v>74</v>
      </c>
      <c r="N16" s="633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3"/>
      <c r="C17" s="625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632"/>
      <c r="K17" s="614" t="s">
        <v>52</v>
      </c>
      <c r="L17" s="615"/>
      <c r="M17" s="634"/>
      <c r="N17" s="634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 s="276">
        <v>5717494</v>
      </c>
      <c r="C18" s="277" t="s">
        <v>83</v>
      </c>
      <c r="D18" s="278">
        <v>375</v>
      </c>
      <c r="E18" s="279">
        <v>1</v>
      </c>
      <c r="F18" s="220">
        <v>78.66</v>
      </c>
      <c r="G18" s="221">
        <f t="shared" ref="G18:G60" si="0">ROUND(IF($F$17="USD $", F18*$E$15,F18*$D$15),2)</f>
        <v>55.39</v>
      </c>
      <c r="H18" s="222">
        <f t="shared" ref="H18:H60" si="1">ROUND(IF($H$17=$G$17,E18*G18,E18*F18),2)</f>
        <v>78.66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29.89</v>
      </c>
      <c r="L18" s="221">
        <f t="shared" ref="L18:L60" si="4">ROUND((J18*K18),2)</f>
        <v>29.89</v>
      </c>
      <c r="M18" s="220" t="s">
        <v>84</v>
      </c>
      <c r="N18" s="225">
        <v>0.62</v>
      </c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29.89</v>
      </c>
      <c r="T18" s="229">
        <f t="shared" ref="T18:T60" si="7">ROUND(L18-R18,2)</f>
        <v>29.89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280">
        <v>5825010</v>
      </c>
      <c r="C19" s="281" t="s">
        <v>178</v>
      </c>
      <c r="D19" s="282">
        <v>500</v>
      </c>
      <c r="E19" s="283">
        <v>1</v>
      </c>
      <c r="F19" s="239">
        <v>69.8</v>
      </c>
      <c r="G19" s="240">
        <f t="shared" si="0"/>
        <v>49.15</v>
      </c>
      <c r="H19" s="241">
        <f t="shared" si="1"/>
        <v>69.8</v>
      </c>
      <c r="I19" s="242"/>
      <c r="J19" s="243">
        <f t="shared" si="2"/>
        <v>1</v>
      </c>
      <c r="K19" s="240">
        <f t="shared" si="3"/>
        <v>26.52</v>
      </c>
      <c r="L19" s="240">
        <f t="shared" si="4"/>
        <v>26.52</v>
      </c>
      <c r="M19" s="244" t="s">
        <v>84</v>
      </c>
      <c r="N19" s="245">
        <v>0.62</v>
      </c>
      <c r="O19" s="226"/>
      <c r="P19" s="246"/>
      <c r="Q19" s="239"/>
      <c r="R19" s="247">
        <f t="shared" si="5"/>
        <v>0</v>
      </c>
      <c r="S19" s="248">
        <f t="shared" si="6"/>
        <v>26.52</v>
      </c>
      <c r="T19" s="248">
        <f t="shared" si="7"/>
        <v>26.52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276">
        <v>5716779</v>
      </c>
      <c r="C20" s="284" t="s">
        <v>179</v>
      </c>
      <c r="D20" s="286">
        <v>500</v>
      </c>
      <c r="E20" s="279">
        <v>1</v>
      </c>
      <c r="F20" s="220">
        <v>90</v>
      </c>
      <c r="G20" s="221">
        <f t="shared" si="0"/>
        <v>63.38</v>
      </c>
      <c r="H20" s="222">
        <f t="shared" si="1"/>
        <v>90</v>
      </c>
      <c r="I20" s="242"/>
      <c r="J20" s="224">
        <f t="shared" si="2"/>
        <v>1</v>
      </c>
      <c r="K20" s="221">
        <f t="shared" si="3"/>
        <v>34.200000000000003</v>
      </c>
      <c r="L20" s="221">
        <f t="shared" si="4"/>
        <v>34.200000000000003</v>
      </c>
      <c r="M20" s="220" t="s">
        <v>84</v>
      </c>
      <c r="N20" s="254">
        <v>0.62</v>
      </c>
      <c r="O20" s="226"/>
      <c r="P20" s="255"/>
      <c r="Q20" s="228"/>
      <c r="R20" s="229">
        <f t="shared" si="5"/>
        <v>0</v>
      </c>
      <c r="S20" s="229">
        <f t="shared" si="6"/>
        <v>34.200000000000003</v>
      </c>
      <c r="T20" s="229">
        <f t="shared" si="7"/>
        <v>34.200000000000003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280">
        <v>7993014</v>
      </c>
      <c r="C21" s="281" t="s">
        <v>180</v>
      </c>
      <c r="D21" s="282">
        <v>500</v>
      </c>
      <c r="E21" s="283">
        <v>1</v>
      </c>
      <c r="F21" s="239">
        <v>74.47</v>
      </c>
      <c r="G21" s="240">
        <f t="shared" si="0"/>
        <v>52.44</v>
      </c>
      <c r="H21" s="241">
        <f t="shared" si="1"/>
        <v>74.47</v>
      </c>
      <c r="I21" s="242"/>
      <c r="J21" s="243">
        <f t="shared" si="2"/>
        <v>1</v>
      </c>
      <c r="K21" s="240">
        <f t="shared" si="3"/>
        <v>28.3</v>
      </c>
      <c r="L21" s="240">
        <f t="shared" si="4"/>
        <v>28.3</v>
      </c>
      <c r="M21" s="244" t="s">
        <v>84</v>
      </c>
      <c r="N21" s="245">
        <v>0.62</v>
      </c>
      <c r="O21" s="226"/>
      <c r="P21" s="246"/>
      <c r="Q21" s="239"/>
      <c r="R21" s="247">
        <f t="shared" si="5"/>
        <v>0</v>
      </c>
      <c r="S21" s="248">
        <f t="shared" si="6"/>
        <v>28.3</v>
      </c>
      <c r="T21" s="248">
        <f t="shared" si="7"/>
        <v>28.3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276">
        <v>5821147</v>
      </c>
      <c r="C22" s="284" t="s">
        <v>181</v>
      </c>
      <c r="D22" s="286">
        <v>500</v>
      </c>
      <c r="E22" s="279">
        <v>1</v>
      </c>
      <c r="F22" s="220">
        <v>126.98</v>
      </c>
      <c r="G22" s="221">
        <f t="shared" si="0"/>
        <v>89.42</v>
      </c>
      <c r="H22" s="222">
        <f t="shared" si="1"/>
        <v>126.98</v>
      </c>
      <c r="I22" s="242"/>
      <c r="J22" s="224">
        <f t="shared" si="2"/>
        <v>1</v>
      </c>
      <c r="K22" s="221">
        <f t="shared" si="3"/>
        <v>48.25</v>
      </c>
      <c r="L22" s="221">
        <f t="shared" si="4"/>
        <v>48.25</v>
      </c>
      <c r="M22" s="220" t="s">
        <v>84</v>
      </c>
      <c r="N22" s="254">
        <v>0.62</v>
      </c>
      <c r="O22" s="226"/>
      <c r="P22" s="255"/>
      <c r="Q22" s="228"/>
      <c r="R22" s="229">
        <f t="shared" si="5"/>
        <v>0</v>
      </c>
      <c r="S22" s="229">
        <f t="shared" si="6"/>
        <v>48.25</v>
      </c>
      <c r="T22" s="229">
        <f t="shared" si="7"/>
        <v>48.25</v>
      </c>
      <c r="U22" s="230">
        <f t="shared" si="8"/>
        <v>0</v>
      </c>
      <c r="V22" s="230">
        <f t="shared" si="9"/>
        <v>1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280">
        <v>5821148</v>
      </c>
      <c r="C23" s="281" t="s">
        <v>182</v>
      </c>
      <c r="D23" s="282">
        <v>1000</v>
      </c>
      <c r="E23" s="283">
        <v>1</v>
      </c>
      <c r="F23" s="239">
        <v>60</v>
      </c>
      <c r="G23" s="240">
        <f t="shared" si="0"/>
        <v>42.25</v>
      </c>
      <c r="H23" s="241">
        <f t="shared" si="1"/>
        <v>60</v>
      </c>
      <c r="I23" s="242"/>
      <c r="J23" s="243">
        <f t="shared" si="2"/>
        <v>1</v>
      </c>
      <c r="K23" s="240">
        <f t="shared" si="3"/>
        <v>22.8</v>
      </c>
      <c r="L23" s="240">
        <f t="shared" si="4"/>
        <v>22.8</v>
      </c>
      <c r="M23" s="244" t="s">
        <v>84</v>
      </c>
      <c r="N23" s="245">
        <v>0.62</v>
      </c>
      <c r="O23" s="226"/>
      <c r="P23" s="246"/>
      <c r="Q23" s="239"/>
      <c r="R23" s="247">
        <f t="shared" si="5"/>
        <v>0</v>
      </c>
      <c r="S23" s="248">
        <f t="shared" si="6"/>
        <v>22.8</v>
      </c>
      <c r="T23" s="248">
        <f t="shared" si="7"/>
        <v>22.8</v>
      </c>
      <c r="U23" s="249">
        <f t="shared" si="8"/>
        <v>0</v>
      </c>
      <c r="V23" s="249">
        <f t="shared" si="9"/>
        <v>1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276">
        <v>5829107</v>
      </c>
      <c r="C24" s="284" t="s">
        <v>200</v>
      </c>
      <c r="D24" s="285">
        <v>375</v>
      </c>
      <c r="E24" s="279">
        <v>1</v>
      </c>
      <c r="F24" s="220">
        <v>40.4</v>
      </c>
      <c r="G24" s="221">
        <f t="shared" si="0"/>
        <v>28.45</v>
      </c>
      <c r="H24" s="222">
        <f t="shared" si="1"/>
        <v>40.4</v>
      </c>
      <c r="I24" s="242"/>
      <c r="J24" s="224">
        <f t="shared" si="2"/>
        <v>1</v>
      </c>
      <c r="K24" s="221">
        <f t="shared" si="3"/>
        <v>15.35</v>
      </c>
      <c r="L24" s="221">
        <f t="shared" si="4"/>
        <v>15.35</v>
      </c>
      <c r="M24" s="220" t="s">
        <v>84</v>
      </c>
      <c r="N24" s="254">
        <v>0.62</v>
      </c>
      <c r="O24" s="226"/>
      <c r="P24" s="255"/>
      <c r="Q24" s="228"/>
      <c r="R24" s="229">
        <f t="shared" si="5"/>
        <v>0</v>
      </c>
      <c r="S24" s="229">
        <f t="shared" si="6"/>
        <v>15.35</v>
      </c>
      <c r="T24" s="229">
        <f t="shared" si="7"/>
        <v>15.35</v>
      </c>
      <c r="U24" s="230">
        <f t="shared" si="8"/>
        <v>0</v>
      </c>
      <c r="V24" s="230">
        <f t="shared" si="9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 s="280">
        <v>5570176</v>
      </c>
      <c r="C25" s="281" t="s">
        <v>197</v>
      </c>
      <c r="D25" s="287" t="s">
        <v>101</v>
      </c>
      <c r="E25" s="283">
        <v>1</v>
      </c>
      <c r="F25" s="239">
        <v>2606.25</v>
      </c>
      <c r="G25" s="240">
        <f t="shared" si="0"/>
        <v>1835.39</v>
      </c>
      <c r="H25" s="241">
        <f t="shared" si="1"/>
        <v>2606.25</v>
      </c>
      <c r="I25" s="242"/>
      <c r="J25" s="243">
        <f t="shared" si="2"/>
        <v>1</v>
      </c>
      <c r="K25" s="240">
        <f t="shared" si="3"/>
        <v>2606.25</v>
      </c>
      <c r="L25" s="240">
        <f t="shared" si="4"/>
        <v>2606.25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2606.25</v>
      </c>
      <c r="T25" s="248">
        <f t="shared" si="7"/>
        <v>2606.25</v>
      </c>
      <c r="U25" s="249">
        <f t="shared" si="8"/>
        <v>0</v>
      </c>
      <c r="V25" s="249">
        <f t="shared" si="9"/>
        <v>1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 s="276">
        <v>5753229</v>
      </c>
      <c r="C26" s="284" t="s">
        <v>184</v>
      </c>
      <c r="D26" s="287" t="s">
        <v>101</v>
      </c>
      <c r="E26" s="279">
        <v>2</v>
      </c>
      <c r="F26" s="220">
        <v>749.37</v>
      </c>
      <c r="G26" s="221">
        <f t="shared" si="0"/>
        <v>527.73</v>
      </c>
      <c r="H26" s="222">
        <f t="shared" si="1"/>
        <v>1498.74</v>
      </c>
      <c r="I26" s="242"/>
      <c r="J26" s="224">
        <f t="shared" si="2"/>
        <v>2</v>
      </c>
      <c r="K26" s="221">
        <f t="shared" si="3"/>
        <v>374.69</v>
      </c>
      <c r="L26" s="221">
        <f t="shared" si="4"/>
        <v>749.38</v>
      </c>
      <c r="M26" s="220" t="s">
        <v>84</v>
      </c>
      <c r="N26" s="254">
        <v>0.5</v>
      </c>
      <c r="O26" s="226"/>
      <c r="P26" s="255"/>
      <c r="Q26" s="228"/>
      <c r="R26" s="229">
        <f t="shared" si="5"/>
        <v>0</v>
      </c>
      <c r="S26" s="229">
        <f t="shared" si="6"/>
        <v>374.69</v>
      </c>
      <c r="T26" s="229">
        <f t="shared" si="7"/>
        <v>749.38</v>
      </c>
      <c r="U26" s="230">
        <f t="shared" si="8"/>
        <v>0</v>
      </c>
      <c r="V26" s="230">
        <f t="shared" si="9"/>
        <v>1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280">
        <v>5718296</v>
      </c>
      <c r="C27" s="281" t="s">
        <v>185</v>
      </c>
      <c r="D27" s="282">
        <v>6000</v>
      </c>
      <c r="E27" s="283">
        <v>1</v>
      </c>
      <c r="F27" s="239">
        <v>1141.5899999999999</v>
      </c>
      <c r="G27" s="240">
        <f t="shared" si="0"/>
        <v>803.94</v>
      </c>
      <c r="H27" s="241">
        <f t="shared" si="1"/>
        <v>1141.5899999999999</v>
      </c>
      <c r="I27" s="242"/>
      <c r="J27" s="243">
        <f t="shared" si="2"/>
        <v>1</v>
      </c>
      <c r="K27" s="240">
        <f t="shared" si="3"/>
        <v>1141.5899999999999</v>
      </c>
      <c r="L27" s="240">
        <f t="shared" si="4"/>
        <v>1141.5899999999999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1141.5899999999999</v>
      </c>
      <c r="T27" s="248">
        <f t="shared" si="7"/>
        <v>1141.5899999999999</v>
      </c>
      <c r="U27" s="249">
        <f t="shared" si="8"/>
        <v>0</v>
      </c>
      <c r="V27" s="249">
        <f t="shared" si="9"/>
        <v>1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276">
        <v>5718266</v>
      </c>
      <c r="C28" s="284" t="s">
        <v>186</v>
      </c>
      <c r="D28" s="285">
        <v>6000</v>
      </c>
      <c r="E28" s="279">
        <v>4</v>
      </c>
      <c r="F28" s="220">
        <v>5360.32</v>
      </c>
      <c r="G28" s="221">
        <f t="shared" si="0"/>
        <v>3774.87</v>
      </c>
      <c r="H28" s="222">
        <f t="shared" si="1"/>
        <v>21441.279999999999</v>
      </c>
      <c r="I28" s="242"/>
      <c r="J28" s="224">
        <f t="shared" si="2"/>
        <v>4</v>
      </c>
      <c r="K28" s="221">
        <f t="shared" si="3"/>
        <v>5360.32</v>
      </c>
      <c r="L28" s="221">
        <f t="shared" si="4"/>
        <v>21441.279999999999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5360.32</v>
      </c>
      <c r="T28" s="229">
        <f t="shared" si="7"/>
        <v>21441.279999999999</v>
      </c>
      <c r="U28" s="230">
        <f t="shared" si="8"/>
        <v>0</v>
      </c>
      <c r="V28" s="230">
        <f t="shared" si="9"/>
        <v>1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280">
        <v>5718251</v>
      </c>
      <c r="C29" s="281" t="s">
        <v>112</v>
      </c>
      <c r="D29" s="287" t="s">
        <v>101</v>
      </c>
      <c r="E29" s="283">
        <v>1</v>
      </c>
      <c r="F29" s="239">
        <v>6816</v>
      </c>
      <c r="G29" s="240">
        <f t="shared" si="0"/>
        <v>4800</v>
      </c>
      <c r="H29" s="241">
        <f t="shared" si="1"/>
        <v>6816</v>
      </c>
      <c r="I29" s="242"/>
      <c r="J29" s="243">
        <f t="shared" si="2"/>
        <v>1</v>
      </c>
      <c r="K29" s="240">
        <f t="shared" si="3"/>
        <v>6816</v>
      </c>
      <c r="L29" s="240">
        <f t="shared" si="4"/>
        <v>6816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6816</v>
      </c>
      <c r="T29" s="248">
        <f t="shared" si="7"/>
        <v>6816</v>
      </c>
      <c r="U29" s="249">
        <f t="shared" si="8"/>
        <v>0</v>
      </c>
      <c r="V29" s="249">
        <f t="shared" si="9"/>
        <v>1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276">
        <v>5718258</v>
      </c>
      <c r="C30" s="284" t="s">
        <v>188</v>
      </c>
      <c r="D30" s="285" t="s">
        <v>101</v>
      </c>
      <c r="E30" s="279">
        <v>1</v>
      </c>
      <c r="F30" s="290">
        <v>2101.9899999999998</v>
      </c>
      <c r="G30" s="221">
        <f t="shared" si="0"/>
        <v>1480.27</v>
      </c>
      <c r="H30" s="222">
        <f t="shared" si="1"/>
        <v>2101.9899999999998</v>
      </c>
      <c r="I30" s="242"/>
      <c r="J30" s="224">
        <f t="shared" si="2"/>
        <v>1</v>
      </c>
      <c r="K30" s="221">
        <f t="shared" si="3"/>
        <v>2101.9899999999998</v>
      </c>
      <c r="L30" s="221">
        <f t="shared" si="4"/>
        <v>2101.9899999999998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2101.9899999999998</v>
      </c>
      <c r="T30" s="229">
        <f t="shared" si="7"/>
        <v>2101.9899999999998</v>
      </c>
      <c r="U30" s="230">
        <f t="shared" si="8"/>
        <v>0</v>
      </c>
      <c r="V30" s="230">
        <f t="shared" si="9"/>
        <v>1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280">
        <v>5718234</v>
      </c>
      <c r="C31" s="281" t="s">
        <v>189</v>
      </c>
      <c r="D31" s="287" t="s">
        <v>101</v>
      </c>
      <c r="E31" s="283">
        <v>1</v>
      </c>
      <c r="F31" s="239">
        <v>1060.1400000000001</v>
      </c>
      <c r="G31" s="240">
        <f t="shared" si="0"/>
        <v>746.58</v>
      </c>
      <c r="H31" s="241">
        <f t="shared" si="1"/>
        <v>1060.1400000000001</v>
      </c>
      <c r="I31" s="242"/>
      <c r="J31" s="243">
        <f t="shared" si="2"/>
        <v>1</v>
      </c>
      <c r="K31" s="240">
        <f t="shared" si="3"/>
        <v>1060.1400000000001</v>
      </c>
      <c r="L31" s="240">
        <f t="shared" si="4"/>
        <v>1060.1400000000001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1060.1400000000001</v>
      </c>
      <c r="T31" s="248">
        <f t="shared" si="7"/>
        <v>1060.1400000000001</v>
      </c>
      <c r="U31" s="249">
        <f t="shared" si="8"/>
        <v>0</v>
      </c>
      <c r="V31" s="249">
        <f t="shared" si="9"/>
        <v>1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276">
        <v>6704138</v>
      </c>
      <c r="C32" s="284" t="s">
        <v>190</v>
      </c>
      <c r="D32" s="285">
        <v>4000</v>
      </c>
      <c r="E32" s="279">
        <v>2</v>
      </c>
      <c r="F32" s="239">
        <v>949.89</v>
      </c>
      <c r="G32" s="221">
        <f t="shared" si="0"/>
        <v>668.94</v>
      </c>
      <c r="H32" s="222">
        <f t="shared" si="1"/>
        <v>1899.78</v>
      </c>
      <c r="I32" s="242"/>
      <c r="J32" s="224">
        <f t="shared" si="2"/>
        <v>2</v>
      </c>
      <c r="K32" s="221">
        <f t="shared" si="3"/>
        <v>474.95</v>
      </c>
      <c r="L32" s="221">
        <f t="shared" si="4"/>
        <v>949.9</v>
      </c>
      <c r="M32" s="220" t="s">
        <v>84</v>
      </c>
      <c r="N32" s="254">
        <v>0.5</v>
      </c>
      <c r="O32" s="226"/>
      <c r="P32" s="255"/>
      <c r="Q32" s="228"/>
      <c r="R32" s="229">
        <f t="shared" si="5"/>
        <v>0</v>
      </c>
      <c r="S32" s="229">
        <f t="shared" si="6"/>
        <v>474.95</v>
      </c>
      <c r="T32" s="229">
        <f t="shared" si="7"/>
        <v>949.9</v>
      </c>
      <c r="U32" s="230">
        <f t="shared" si="8"/>
        <v>0</v>
      </c>
      <c r="V32" s="230">
        <f t="shared" si="9"/>
        <v>1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280"/>
      <c r="C33" s="281"/>
      <c r="D33" s="282"/>
      <c r="E33" s="283"/>
      <c r="F33" s="239"/>
      <c r="G33" s="240">
        <f t="shared" si="0"/>
        <v>0</v>
      </c>
      <c r="H33" s="241">
        <f t="shared" si="1"/>
        <v>0</v>
      </c>
      <c r="I33" s="242"/>
      <c r="J33" s="243">
        <f t="shared" si="2"/>
        <v>0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276"/>
      <c r="C34" s="284"/>
      <c r="D34" s="285"/>
      <c r="E34" s="279"/>
      <c r="F34" s="220"/>
      <c r="G34" s="221">
        <f t="shared" si="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>
        <v>0.5</v>
      </c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280"/>
      <c r="C35" s="281"/>
      <c r="D35" s="282"/>
      <c r="E35" s="283"/>
      <c r="F35" s="239"/>
      <c r="G35" s="240">
        <f t="shared" si="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>
        <v>0.5</v>
      </c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276"/>
      <c r="C36" s="284"/>
      <c r="D36" s="285"/>
      <c r="E36" s="279"/>
      <c r="F36" s="220"/>
      <c r="G36" s="221">
        <f t="shared" si="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280"/>
      <c r="C37" s="281"/>
      <c r="D37" s="282"/>
      <c r="E37" s="283"/>
      <c r="F37" s="239"/>
      <c r="G37" s="240">
        <f t="shared" si="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276"/>
      <c r="C38" s="284"/>
      <c r="D38" s="285"/>
      <c r="E38" s="279"/>
      <c r="F38" s="220"/>
      <c r="G38" s="221">
        <f t="shared" si="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280"/>
      <c r="C39" s="281"/>
      <c r="D39" s="282"/>
      <c r="E39" s="283"/>
      <c r="F39" s="239"/>
      <c r="G39" s="240">
        <f t="shared" si="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276"/>
      <c r="C40" s="284"/>
      <c r="D40" s="285"/>
      <c r="E40" s="279"/>
      <c r="F40" s="220"/>
      <c r="G40" s="221">
        <f t="shared" si="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280"/>
      <c r="C41" s="281"/>
      <c r="D41" s="282"/>
      <c r="E41" s="283"/>
      <c r="F41" s="239"/>
      <c r="G41" s="240">
        <f t="shared" si="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276"/>
      <c r="C42" s="284"/>
      <c r="D42" s="285"/>
      <c r="E42" s="279"/>
      <c r="F42" s="220"/>
      <c r="G42" s="221">
        <f t="shared" si="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280"/>
      <c r="C43" s="281"/>
      <c r="D43" s="282"/>
      <c r="E43" s="283"/>
      <c r="F43" s="239"/>
      <c r="G43" s="240">
        <f t="shared" si="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276"/>
      <c r="C44" s="284"/>
      <c r="D44" s="285"/>
      <c r="E44" s="279"/>
      <c r="F44" s="220"/>
      <c r="G44" s="221">
        <f t="shared" si="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280"/>
      <c r="C45" s="281"/>
      <c r="D45" s="282"/>
      <c r="E45" s="283"/>
      <c r="F45" s="239"/>
      <c r="G45" s="240">
        <f t="shared" si="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276"/>
      <c r="C46" s="284"/>
      <c r="D46" s="285"/>
      <c r="E46" s="279"/>
      <c r="F46" s="220"/>
      <c r="G46" s="221">
        <f t="shared" si="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280"/>
      <c r="C47" s="281"/>
      <c r="D47" s="282"/>
      <c r="E47" s="283"/>
      <c r="F47" s="239"/>
      <c r="G47" s="240">
        <f t="shared" si="0"/>
        <v>0</v>
      </c>
      <c r="H47" s="241">
        <f t="shared" si="1"/>
        <v>0</v>
      </c>
      <c r="I47" s="242"/>
      <c r="J47" s="243">
        <f t="shared" si="2"/>
        <v>0</v>
      </c>
      <c r="K47" s="240">
        <f t="shared" si="3"/>
        <v>0</v>
      </c>
      <c r="L47" s="240">
        <f t="shared" si="4"/>
        <v>0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0</v>
      </c>
      <c r="T47" s="248">
        <f t="shared" si="7"/>
        <v>0</v>
      </c>
      <c r="U47" s="249">
        <f t="shared" si="8"/>
        <v>0</v>
      </c>
      <c r="V47" s="249">
        <f t="shared" si="9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276"/>
      <c r="C48" s="284"/>
      <c r="D48" s="285"/>
      <c r="E48" s="279"/>
      <c r="F48" s="220"/>
      <c r="G48" s="221">
        <f t="shared" si="0"/>
        <v>0</v>
      </c>
      <c r="H48" s="222">
        <f t="shared" si="1"/>
        <v>0</v>
      </c>
      <c r="I48" s="242"/>
      <c r="J48" s="224">
        <f t="shared" si="2"/>
        <v>0</v>
      </c>
      <c r="K48" s="221">
        <f t="shared" si="3"/>
        <v>0</v>
      </c>
      <c r="L48" s="221">
        <f t="shared" si="4"/>
        <v>0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0</v>
      </c>
      <c r="T48" s="229">
        <f t="shared" si="7"/>
        <v>0</v>
      </c>
      <c r="U48" s="230">
        <f t="shared" si="8"/>
        <v>0</v>
      </c>
      <c r="V48" s="230">
        <f t="shared" si="9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280"/>
      <c r="C49" s="281"/>
      <c r="D49" s="282"/>
      <c r="E49" s="283"/>
      <c r="F49" s="239"/>
      <c r="G49" s="240">
        <f t="shared" si="0"/>
        <v>0</v>
      </c>
      <c r="H49" s="241">
        <f t="shared" si="1"/>
        <v>0</v>
      </c>
      <c r="I49" s="242"/>
      <c r="J49" s="243">
        <f t="shared" si="2"/>
        <v>0</v>
      </c>
      <c r="K49" s="240">
        <f t="shared" si="3"/>
        <v>0</v>
      </c>
      <c r="L49" s="240">
        <f t="shared" si="4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0</v>
      </c>
      <c r="T49" s="248">
        <f t="shared" si="7"/>
        <v>0</v>
      </c>
      <c r="U49" s="249">
        <f t="shared" si="8"/>
        <v>0</v>
      </c>
      <c r="V49" s="249">
        <f t="shared" si="9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276"/>
      <c r="C50" s="284"/>
      <c r="D50" s="285"/>
      <c r="E50" s="279"/>
      <c r="F50" s="220"/>
      <c r="G50" s="221">
        <f t="shared" si="0"/>
        <v>0</v>
      </c>
      <c r="H50" s="222">
        <f t="shared" si="1"/>
        <v>0</v>
      </c>
      <c r="I50" s="242"/>
      <c r="J50" s="224">
        <f t="shared" si="2"/>
        <v>0</v>
      </c>
      <c r="K50" s="221">
        <f t="shared" si="3"/>
        <v>0</v>
      </c>
      <c r="L50" s="221">
        <f t="shared" si="4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0</v>
      </c>
      <c r="T50" s="229">
        <f t="shared" si="7"/>
        <v>0</v>
      </c>
      <c r="U50" s="230">
        <f t="shared" si="8"/>
        <v>0</v>
      </c>
      <c r="V50" s="230">
        <f t="shared" si="9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280"/>
      <c r="C51" s="281"/>
      <c r="D51" s="282"/>
      <c r="E51" s="283"/>
      <c r="F51" s="239"/>
      <c r="G51" s="240">
        <f t="shared" si="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20</v>
      </c>
      <c r="F61" s="265">
        <f>SUM(F18:F60)</f>
        <v>21325.86</v>
      </c>
      <c r="G61" s="266">
        <f>SUM(G18:G60)</f>
        <v>15018.2</v>
      </c>
      <c r="H61" s="267">
        <f>SUM(H18:H60)</f>
        <v>39106.079999999994</v>
      </c>
      <c r="I61" s="268"/>
      <c r="J61" s="269">
        <f>SUM(J18:J60)</f>
        <v>20</v>
      </c>
      <c r="K61" s="266">
        <f>SUM(K18:K60)</f>
        <v>20141.240000000002</v>
      </c>
      <c r="L61" s="267">
        <f>SUM(L18:L60)</f>
        <v>37071.839999999997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20141.240000000002</v>
      </c>
      <c r="T61" s="267">
        <f>SUM(T18:T60)</f>
        <v>37071.839999999997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75" priority="3" stopIfTrue="1">
      <formula>$U$9&gt;100%</formula>
    </cfRule>
    <cfRule type="expression" dxfId="174" priority="4">
      <formula>$U$9&lt;50%</formula>
    </cfRule>
  </conditionalFormatting>
  <conditionalFormatting sqref="V9:V10">
    <cfRule type="expression" dxfId="173" priority="1">
      <formula>$V$9&lt;50%</formula>
    </cfRule>
    <cfRule type="expression" dxfId="172" priority="2">
      <formula>$V$9&gt;50%</formula>
    </cfRule>
  </conditionalFormatting>
  <dataValidations count="5">
    <dataValidation type="list" allowBlank="1" showInputMessage="1" showErrorMessage="1" sqref="M18:M60" xr:uid="{CAD4EE86-17B4-4816-A9F7-238C417008C7}">
      <formula1>$Y$31:$Y$32</formula1>
    </dataValidation>
    <dataValidation type="list" showInputMessage="1" showErrorMessage="1" sqref="D52:D60" xr:uid="{52816BA2-C70A-458E-B003-48DE4B236FCD}">
      <formula1>$Z$18:$Z$29</formula1>
    </dataValidation>
    <dataValidation type="list" allowBlank="1" showInputMessage="1" showErrorMessage="1" sqref="I13" xr:uid="{4D2D933F-30E6-4C66-8EA2-F4433F1B7CB3}">
      <formula1>$K$9:$K$9</formula1>
    </dataValidation>
    <dataValidation type="list" allowBlank="1" showInputMessage="1" showErrorMessage="1" sqref="H13" xr:uid="{AE8E126E-2376-4D29-AD27-A6F83EB2EDCE}">
      <formula1>$Y$13:$Y$14</formula1>
    </dataValidation>
    <dataValidation type="list" allowBlank="1" showInputMessage="1" showErrorMessage="1" sqref="F17 K17 Q17 Q14" xr:uid="{EC2416AD-6AF6-43A6-A107-F49937D6E157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1567A-C520-498B-9733-0650DF8FF8A9}">
  <sheetPr>
    <pageSetUpPr fitToPage="1"/>
  </sheetPr>
  <dimension ref="A1:AB63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523" t="s">
        <v>2</v>
      </c>
      <c r="I1" s="524"/>
      <c r="J1" s="524"/>
      <c r="K1" s="525"/>
      <c r="L1" s="528" t="s">
        <v>3</v>
      </c>
      <c r="M1" s="529"/>
      <c r="N1" s="529"/>
      <c r="O1" s="529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59">
        <v>48870</v>
      </c>
      <c r="G2" s="549"/>
      <c r="H2" s="546" t="s">
        <v>7</v>
      </c>
      <c r="I2" s="550"/>
      <c r="J2" s="547"/>
      <c r="K2" s="148"/>
      <c r="L2" s="551" t="s">
        <v>8</v>
      </c>
      <c r="M2" s="552"/>
      <c r="N2" s="553"/>
      <c r="O2" s="149"/>
      <c r="P2" s="554">
        <f>H61</f>
        <v>39106.079999999994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532" t="s">
        <v>13</v>
      </c>
      <c r="I3" s="536"/>
      <c r="J3" s="533"/>
      <c r="K3" s="154"/>
      <c r="L3" s="537" t="s">
        <v>14</v>
      </c>
      <c r="M3" s="538"/>
      <c r="N3" s="539"/>
      <c r="O3" s="149"/>
      <c r="P3" s="540">
        <f>L61</f>
        <v>37071.839999999997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665" t="s">
        <v>176</v>
      </c>
      <c r="G4" s="666"/>
      <c r="H4" s="532" t="s">
        <v>19</v>
      </c>
      <c r="I4" s="536"/>
      <c r="J4" s="533"/>
      <c r="K4" s="154"/>
      <c r="L4" s="537" t="s">
        <v>20</v>
      </c>
      <c r="M4" s="538"/>
      <c r="N4" s="539"/>
      <c r="O4" s="149"/>
      <c r="P4" s="540">
        <f>P2-P3</f>
        <v>2034.239999999998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665" t="s">
        <v>202</v>
      </c>
      <c r="G5" s="666"/>
      <c r="H5" s="532" t="s">
        <v>25</v>
      </c>
      <c r="I5" s="536"/>
      <c r="J5" s="533"/>
      <c r="K5" s="154"/>
      <c r="L5" s="558" t="s">
        <v>26</v>
      </c>
      <c r="M5" s="559"/>
      <c r="N5" s="560"/>
      <c r="O5" s="149"/>
      <c r="P5" s="561">
        <f>IFERROR((P2-P3)/P2,"")</f>
        <v>5.201850965374178E-2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70" t="s">
        <v>396</v>
      </c>
      <c r="G6" s="666"/>
      <c r="H6" s="532" t="s">
        <v>31</v>
      </c>
      <c r="I6" s="536"/>
      <c r="J6" s="533"/>
      <c r="K6" s="154"/>
      <c r="L6" s="574" t="s">
        <v>32</v>
      </c>
      <c r="M6" s="575"/>
      <c r="N6" s="576"/>
      <c r="O6" s="149"/>
      <c r="P6" s="577">
        <f>T61</f>
        <v>37071.839999999997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563"/>
      <c r="G7" s="535"/>
      <c r="H7" s="532" t="s">
        <v>36</v>
      </c>
      <c r="I7" s="536"/>
      <c r="J7" s="533"/>
      <c r="K7" s="154"/>
      <c r="L7" s="564" t="s">
        <v>37</v>
      </c>
      <c r="M7" s="565"/>
      <c r="N7" s="56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532" t="s">
        <v>40</v>
      </c>
      <c r="I8" s="536"/>
      <c r="J8" s="533"/>
      <c r="K8" s="154"/>
      <c r="L8" s="564" t="s">
        <v>41</v>
      </c>
      <c r="M8" s="565"/>
      <c r="N8" s="56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397</v>
      </c>
      <c r="G9" s="535"/>
      <c r="H9" s="171"/>
      <c r="I9" s="172"/>
      <c r="J9" s="172"/>
      <c r="K9" s="173"/>
      <c r="L9" s="564" t="s">
        <v>47</v>
      </c>
      <c r="M9" s="565"/>
      <c r="N9" s="56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37071.839999999997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542" t="s">
        <v>48</v>
      </c>
      <c r="M10" s="579"/>
      <c r="N10" s="543"/>
      <c r="O10" s="149"/>
      <c r="P10" s="580">
        <f>E61</f>
        <v>21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650" t="s">
        <v>50</v>
      </c>
      <c r="K11" s="651"/>
      <c r="L11" s="651"/>
      <c r="M11" s="651"/>
      <c r="N11" s="652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653"/>
      <c r="K12" s="654"/>
      <c r="L12" s="654"/>
      <c r="M12" s="654"/>
      <c r="N12" s="655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656"/>
      <c r="K13" s="657"/>
      <c r="L13" s="657"/>
      <c r="M13" s="657"/>
      <c r="N13" s="658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601" t="s">
        <v>59</v>
      </c>
      <c r="K14" s="602"/>
      <c r="L14" s="605" t="s">
        <v>60</v>
      </c>
      <c r="M14" s="606"/>
      <c r="N14" s="60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603"/>
      <c r="K15" s="604"/>
      <c r="L15" s="608"/>
      <c r="M15" s="609"/>
      <c r="N15" s="61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631" t="s">
        <v>69</v>
      </c>
      <c r="K16" s="201" t="s">
        <v>72</v>
      </c>
      <c r="L16" s="202" t="s">
        <v>73</v>
      </c>
      <c r="M16" s="633" t="s">
        <v>74</v>
      </c>
      <c r="N16" s="633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3"/>
      <c r="C17" s="625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632"/>
      <c r="K17" s="614" t="s">
        <v>52</v>
      </c>
      <c r="L17" s="615"/>
      <c r="M17" s="634"/>
      <c r="N17" s="634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 s="276">
        <v>5717494</v>
      </c>
      <c r="C18" s="277" t="s">
        <v>83</v>
      </c>
      <c r="D18" s="278">
        <v>375</v>
      </c>
      <c r="E18" s="279">
        <v>1</v>
      </c>
      <c r="F18" s="220">
        <v>78.66</v>
      </c>
      <c r="G18" s="221">
        <f t="shared" ref="G18:G60" si="0">ROUND(IF($F$17="USD $", F18*$E$15,F18*$D$15),2)</f>
        <v>55.39</v>
      </c>
      <c r="H18" s="222">
        <f t="shared" ref="H18:H60" si="1">ROUND(IF($H$17=$G$17,E18*G18,E18*F18),2)</f>
        <v>78.66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29.89</v>
      </c>
      <c r="L18" s="221">
        <f t="shared" ref="L18:L60" si="4">ROUND((J18*K18),2)</f>
        <v>29.89</v>
      </c>
      <c r="M18" s="220" t="s">
        <v>84</v>
      </c>
      <c r="N18" s="225">
        <v>0.62</v>
      </c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29.89</v>
      </c>
      <c r="T18" s="229">
        <f t="shared" ref="T18:T60" si="7">ROUND(L18-R18,2)</f>
        <v>29.89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280">
        <v>5825010</v>
      </c>
      <c r="C19" s="281" t="s">
        <v>178</v>
      </c>
      <c r="D19" s="282">
        <v>500</v>
      </c>
      <c r="E19" s="283">
        <v>1</v>
      </c>
      <c r="F19" s="239">
        <v>69.8</v>
      </c>
      <c r="G19" s="240">
        <f t="shared" si="0"/>
        <v>49.15</v>
      </c>
      <c r="H19" s="241">
        <f t="shared" si="1"/>
        <v>69.8</v>
      </c>
      <c r="I19" s="242"/>
      <c r="J19" s="243">
        <f t="shared" si="2"/>
        <v>1</v>
      </c>
      <c r="K19" s="240">
        <f t="shared" si="3"/>
        <v>26.52</v>
      </c>
      <c r="L19" s="240">
        <f t="shared" si="4"/>
        <v>26.52</v>
      </c>
      <c r="M19" s="244" t="s">
        <v>84</v>
      </c>
      <c r="N19" s="245">
        <v>0.62</v>
      </c>
      <c r="O19" s="226"/>
      <c r="P19" s="246"/>
      <c r="Q19" s="239"/>
      <c r="R19" s="247">
        <f t="shared" si="5"/>
        <v>0</v>
      </c>
      <c r="S19" s="248">
        <f t="shared" si="6"/>
        <v>26.52</v>
      </c>
      <c r="T19" s="248">
        <f t="shared" si="7"/>
        <v>26.52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276">
        <v>5716779</v>
      </c>
      <c r="C20" s="284" t="s">
        <v>179</v>
      </c>
      <c r="D20" s="286">
        <v>500</v>
      </c>
      <c r="E20" s="279">
        <v>1</v>
      </c>
      <c r="F20" s="220">
        <v>90</v>
      </c>
      <c r="G20" s="221">
        <f t="shared" si="0"/>
        <v>63.38</v>
      </c>
      <c r="H20" s="222">
        <f t="shared" si="1"/>
        <v>90</v>
      </c>
      <c r="I20" s="242"/>
      <c r="J20" s="224">
        <f t="shared" si="2"/>
        <v>1</v>
      </c>
      <c r="K20" s="221">
        <f t="shared" si="3"/>
        <v>34.200000000000003</v>
      </c>
      <c r="L20" s="221">
        <f t="shared" si="4"/>
        <v>34.200000000000003</v>
      </c>
      <c r="M20" s="220" t="s">
        <v>84</v>
      </c>
      <c r="N20" s="254">
        <v>0.62</v>
      </c>
      <c r="O20" s="226"/>
      <c r="P20" s="255"/>
      <c r="Q20" s="228"/>
      <c r="R20" s="229">
        <f t="shared" si="5"/>
        <v>0</v>
      </c>
      <c r="S20" s="229">
        <f t="shared" si="6"/>
        <v>34.200000000000003</v>
      </c>
      <c r="T20" s="229">
        <f t="shared" si="7"/>
        <v>34.200000000000003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280">
        <v>7993014</v>
      </c>
      <c r="C21" s="281" t="s">
        <v>180</v>
      </c>
      <c r="D21" s="282">
        <v>500</v>
      </c>
      <c r="E21" s="283">
        <v>1</v>
      </c>
      <c r="F21" s="239">
        <v>74.47</v>
      </c>
      <c r="G21" s="240">
        <f t="shared" si="0"/>
        <v>52.44</v>
      </c>
      <c r="H21" s="241">
        <f t="shared" si="1"/>
        <v>74.47</v>
      </c>
      <c r="I21" s="242"/>
      <c r="J21" s="243">
        <f t="shared" si="2"/>
        <v>1</v>
      </c>
      <c r="K21" s="240">
        <f t="shared" si="3"/>
        <v>28.3</v>
      </c>
      <c r="L21" s="240">
        <f t="shared" si="4"/>
        <v>28.3</v>
      </c>
      <c r="M21" s="244" t="s">
        <v>84</v>
      </c>
      <c r="N21" s="245">
        <v>0.62</v>
      </c>
      <c r="O21" s="226"/>
      <c r="P21" s="246"/>
      <c r="Q21" s="239"/>
      <c r="R21" s="247">
        <f t="shared" si="5"/>
        <v>0</v>
      </c>
      <c r="S21" s="248">
        <f t="shared" si="6"/>
        <v>28.3</v>
      </c>
      <c r="T21" s="248">
        <f t="shared" si="7"/>
        <v>28.3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276">
        <v>5821147</v>
      </c>
      <c r="C22" s="284" t="s">
        <v>181</v>
      </c>
      <c r="D22" s="286">
        <v>500</v>
      </c>
      <c r="E22" s="279">
        <v>1</v>
      </c>
      <c r="F22" s="220">
        <v>126.98</v>
      </c>
      <c r="G22" s="221">
        <f t="shared" si="0"/>
        <v>89.42</v>
      </c>
      <c r="H22" s="222">
        <f t="shared" si="1"/>
        <v>126.98</v>
      </c>
      <c r="I22" s="242"/>
      <c r="J22" s="224">
        <f t="shared" si="2"/>
        <v>1</v>
      </c>
      <c r="K22" s="221">
        <f t="shared" si="3"/>
        <v>48.25</v>
      </c>
      <c r="L22" s="221">
        <f t="shared" si="4"/>
        <v>48.25</v>
      </c>
      <c r="M22" s="220" t="s">
        <v>84</v>
      </c>
      <c r="N22" s="254">
        <v>0.62</v>
      </c>
      <c r="O22" s="226"/>
      <c r="P22" s="255"/>
      <c r="Q22" s="228"/>
      <c r="R22" s="229">
        <f t="shared" si="5"/>
        <v>0</v>
      </c>
      <c r="S22" s="229">
        <f t="shared" si="6"/>
        <v>48.25</v>
      </c>
      <c r="T22" s="229">
        <f t="shared" si="7"/>
        <v>48.25</v>
      </c>
      <c r="U22" s="230">
        <f t="shared" si="8"/>
        <v>0</v>
      </c>
      <c r="V22" s="230">
        <f t="shared" si="9"/>
        <v>1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280">
        <v>5821148</v>
      </c>
      <c r="C23" s="281" t="s">
        <v>182</v>
      </c>
      <c r="D23" s="282">
        <v>1000</v>
      </c>
      <c r="E23" s="283">
        <v>1</v>
      </c>
      <c r="F23" s="239">
        <v>60</v>
      </c>
      <c r="G23" s="240">
        <f t="shared" si="0"/>
        <v>42.25</v>
      </c>
      <c r="H23" s="241">
        <f t="shared" si="1"/>
        <v>60</v>
      </c>
      <c r="I23" s="242"/>
      <c r="J23" s="243">
        <f t="shared" si="2"/>
        <v>1</v>
      </c>
      <c r="K23" s="240">
        <f t="shared" si="3"/>
        <v>22.8</v>
      </c>
      <c r="L23" s="240">
        <f t="shared" si="4"/>
        <v>22.8</v>
      </c>
      <c r="M23" s="244" t="s">
        <v>84</v>
      </c>
      <c r="N23" s="245">
        <v>0.62</v>
      </c>
      <c r="O23" s="226"/>
      <c r="P23" s="246"/>
      <c r="Q23" s="239"/>
      <c r="R23" s="247">
        <f t="shared" si="5"/>
        <v>0</v>
      </c>
      <c r="S23" s="248">
        <f t="shared" si="6"/>
        <v>22.8</v>
      </c>
      <c r="T23" s="248">
        <f t="shared" si="7"/>
        <v>22.8</v>
      </c>
      <c r="U23" s="249">
        <f t="shared" si="8"/>
        <v>0</v>
      </c>
      <c r="V23" s="249">
        <f t="shared" si="9"/>
        <v>1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276">
        <v>5829107</v>
      </c>
      <c r="C24" s="284" t="s">
        <v>200</v>
      </c>
      <c r="D24" s="285">
        <v>375</v>
      </c>
      <c r="E24" s="279">
        <v>1</v>
      </c>
      <c r="F24" s="220">
        <v>40.4</v>
      </c>
      <c r="G24" s="221">
        <f t="shared" si="0"/>
        <v>28.45</v>
      </c>
      <c r="H24" s="222">
        <f t="shared" si="1"/>
        <v>40.4</v>
      </c>
      <c r="I24" s="242"/>
      <c r="J24" s="224">
        <f t="shared" si="2"/>
        <v>1</v>
      </c>
      <c r="K24" s="221">
        <f t="shared" si="3"/>
        <v>15.35</v>
      </c>
      <c r="L24" s="221">
        <f t="shared" si="4"/>
        <v>15.35</v>
      </c>
      <c r="M24" s="220" t="s">
        <v>84</v>
      </c>
      <c r="N24" s="254">
        <v>0.62</v>
      </c>
      <c r="O24" s="226"/>
      <c r="P24" s="255"/>
      <c r="Q24" s="228"/>
      <c r="R24" s="229">
        <f t="shared" si="5"/>
        <v>0</v>
      </c>
      <c r="S24" s="229">
        <f t="shared" si="6"/>
        <v>15.35</v>
      </c>
      <c r="T24" s="229">
        <f t="shared" si="7"/>
        <v>15.35</v>
      </c>
      <c r="U24" s="230">
        <f t="shared" si="8"/>
        <v>0</v>
      </c>
      <c r="V24" s="230">
        <f t="shared" si="9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 s="280">
        <v>5570176</v>
      </c>
      <c r="C25" s="281" t="s">
        <v>197</v>
      </c>
      <c r="D25" s="287" t="s">
        <v>101</v>
      </c>
      <c r="E25" s="283">
        <v>1</v>
      </c>
      <c r="F25" s="239">
        <v>2606.25</v>
      </c>
      <c r="G25" s="240">
        <f t="shared" si="0"/>
        <v>1835.39</v>
      </c>
      <c r="H25" s="241">
        <f t="shared" si="1"/>
        <v>2606.25</v>
      </c>
      <c r="I25" s="242"/>
      <c r="J25" s="243">
        <f t="shared" si="2"/>
        <v>1</v>
      </c>
      <c r="K25" s="240">
        <f t="shared" si="3"/>
        <v>2606.25</v>
      </c>
      <c r="L25" s="240">
        <f t="shared" si="4"/>
        <v>2606.25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2606.25</v>
      </c>
      <c r="T25" s="248">
        <f t="shared" si="7"/>
        <v>2606.25</v>
      </c>
      <c r="U25" s="249">
        <f t="shared" si="8"/>
        <v>0</v>
      </c>
      <c r="V25" s="249">
        <f t="shared" si="9"/>
        <v>1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 s="276">
        <v>5753229</v>
      </c>
      <c r="C26" s="284" t="s">
        <v>184</v>
      </c>
      <c r="D26" s="287" t="s">
        <v>101</v>
      </c>
      <c r="E26" s="279">
        <v>2</v>
      </c>
      <c r="F26" s="220">
        <v>749.37</v>
      </c>
      <c r="G26" s="221">
        <f t="shared" si="0"/>
        <v>527.73</v>
      </c>
      <c r="H26" s="222">
        <f t="shared" si="1"/>
        <v>1498.74</v>
      </c>
      <c r="I26" s="242"/>
      <c r="J26" s="224">
        <f t="shared" si="2"/>
        <v>2</v>
      </c>
      <c r="K26" s="221">
        <f t="shared" si="3"/>
        <v>374.69</v>
      </c>
      <c r="L26" s="221">
        <f t="shared" si="4"/>
        <v>749.38</v>
      </c>
      <c r="M26" s="220" t="s">
        <v>84</v>
      </c>
      <c r="N26" s="254">
        <v>0.5</v>
      </c>
      <c r="O26" s="226"/>
      <c r="P26" s="255"/>
      <c r="Q26" s="228"/>
      <c r="R26" s="229">
        <f t="shared" si="5"/>
        <v>0</v>
      </c>
      <c r="S26" s="229">
        <f t="shared" si="6"/>
        <v>374.69</v>
      </c>
      <c r="T26" s="229">
        <f t="shared" si="7"/>
        <v>749.38</v>
      </c>
      <c r="U26" s="230">
        <f t="shared" si="8"/>
        <v>0</v>
      </c>
      <c r="V26" s="230">
        <f t="shared" si="9"/>
        <v>1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280">
        <v>5718296</v>
      </c>
      <c r="C27" s="281" t="s">
        <v>185</v>
      </c>
      <c r="D27" s="282">
        <v>6000</v>
      </c>
      <c r="E27" s="283">
        <v>1</v>
      </c>
      <c r="F27" s="239">
        <v>1141.5899999999999</v>
      </c>
      <c r="G27" s="240">
        <f t="shared" si="0"/>
        <v>803.94</v>
      </c>
      <c r="H27" s="241">
        <f t="shared" si="1"/>
        <v>1141.5899999999999</v>
      </c>
      <c r="I27" s="242"/>
      <c r="J27" s="243">
        <f t="shared" si="2"/>
        <v>1</v>
      </c>
      <c r="K27" s="240">
        <f t="shared" si="3"/>
        <v>1141.5899999999999</v>
      </c>
      <c r="L27" s="240">
        <f t="shared" si="4"/>
        <v>1141.5899999999999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1141.5899999999999</v>
      </c>
      <c r="T27" s="248">
        <f t="shared" si="7"/>
        <v>1141.5899999999999</v>
      </c>
      <c r="U27" s="249">
        <f t="shared" si="8"/>
        <v>0</v>
      </c>
      <c r="V27" s="249">
        <f t="shared" si="9"/>
        <v>1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276">
        <v>5718266</v>
      </c>
      <c r="C28" s="284" t="s">
        <v>186</v>
      </c>
      <c r="D28" s="285">
        <v>6000</v>
      </c>
      <c r="E28" s="279">
        <v>4</v>
      </c>
      <c r="F28" s="220">
        <v>5360.32</v>
      </c>
      <c r="G28" s="221">
        <f t="shared" si="0"/>
        <v>3774.87</v>
      </c>
      <c r="H28" s="222">
        <f t="shared" si="1"/>
        <v>21441.279999999999</v>
      </c>
      <c r="I28" s="242"/>
      <c r="J28" s="224">
        <f t="shared" si="2"/>
        <v>4</v>
      </c>
      <c r="K28" s="221">
        <f t="shared" si="3"/>
        <v>5360.32</v>
      </c>
      <c r="L28" s="221">
        <f t="shared" si="4"/>
        <v>21441.279999999999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5360.32</v>
      </c>
      <c r="T28" s="229">
        <f t="shared" si="7"/>
        <v>21441.279999999999</v>
      </c>
      <c r="U28" s="230">
        <f t="shared" si="8"/>
        <v>0</v>
      </c>
      <c r="V28" s="230">
        <f t="shared" si="9"/>
        <v>1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280">
        <v>5718251</v>
      </c>
      <c r="C29" s="281" t="s">
        <v>112</v>
      </c>
      <c r="D29" s="287" t="s">
        <v>101</v>
      </c>
      <c r="E29" s="283">
        <v>1</v>
      </c>
      <c r="F29" s="239">
        <v>6816</v>
      </c>
      <c r="G29" s="240">
        <f t="shared" si="0"/>
        <v>4800</v>
      </c>
      <c r="H29" s="241">
        <f t="shared" si="1"/>
        <v>6816</v>
      </c>
      <c r="I29" s="242"/>
      <c r="J29" s="243">
        <f t="shared" si="2"/>
        <v>1</v>
      </c>
      <c r="K29" s="240">
        <f t="shared" si="3"/>
        <v>6816</v>
      </c>
      <c r="L29" s="240">
        <f t="shared" si="4"/>
        <v>6816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6816</v>
      </c>
      <c r="T29" s="248">
        <f t="shared" si="7"/>
        <v>6816</v>
      </c>
      <c r="U29" s="249">
        <f t="shared" si="8"/>
        <v>0</v>
      </c>
      <c r="V29" s="249">
        <f t="shared" si="9"/>
        <v>1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276">
        <v>5718258</v>
      </c>
      <c r="C30" s="284" t="s">
        <v>188</v>
      </c>
      <c r="D30" s="285" t="s">
        <v>101</v>
      </c>
      <c r="E30" s="279">
        <v>1</v>
      </c>
      <c r="F30" s="290">
        <v>2101.9899999999998</v>
      </c>
      <c r="G30" s="221">
        <f t="shared" si="0"/>
        <v>1480.27</v>
      </c>
      <c r="H30" s="222">
        <f t="shared" si="1"/>
        <v>2101.9899999999998</v>
      </c>
      <c r="I30" s="242"/>
      <c r="J30" s="224">
        <f t="shared" si="2"/>
        <v>1</v>
      </c>
      <c r="K30" s="221">
        <f t="shared" si="3"/>
        <v>2101.9899999999998</v>
      </c>
      <c r="L30" s="221">
        <f t="shared" si="4"/>
        <v>2101.9899999999998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2101.9899999999998</v>
      </c>
      <c r="T30" s="229">
        <f t="shared" si="7"/>
        <v>2101.9899999999998</v>
      </c>
      <c r="U30" s="230">
        <f t="shared" si="8"/>
        <v>0</v>
      </c>
      <c r="V30" s="230">
        <f t="shared" si="9"/>
        <v>1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280">
        <v>5718234</v>
      </c>
      <c r="C31" s="281" t="s">
        <v>189</v>
      </c>
      <c r="D31" s="287" t="s">
        <v>101</v>
      </c>
      <c r="E31" s="283">
        <v>1</v>
      </c>
      <c r="F31" s="239">
        <v>1060.1400000000001</v>
      </c>
      <c r="G31" s="240">
        <f t="shared" si="0"/>
        <v>746.58</v>
      </c>
      <c r="H31" s="241">
        <f t="shared" si="1"/>
        <v>1060.1400000000001</v>
      </c>
      <c r="I31" s="242"/>
      <c r="J31" s="243">
        <f t="shared" si="2"/>
        <v>1</v>
      </c>
      <c r="K31" s="240">
        <f t="shared" si="3"/>
        <v>1060.1400000000001</v>
      </c>
      <c r="L31" s="240">
        <f t="shared" si="4"/>
        <v>1060.1400000000001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1060.1400000000001</v>
      </c>
      <c r="T31" s="248">
        <f t="shared" si="7"/>
        <v>1060.1400000000001</v>
      </c>
      <c r="U31" s="249">
        <f t="shared" si="8"/>
        <v>0</v>
      </c>
      <c r="V31" s="249">
        <f t="shared" si="9"/>
        <v>1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276">
        <v>6704138</v>
      </c>
      <c r="C32" s="284" t="s">
        <v>190</v>
      </c>
      <c r="D32" s="285">
        <v>4000</v>
      </c>
      <c r="E32" s="279">
        <v>2</v>
      </c>
      <c r="F32" s="239">
        <v>949.89</v>
      </c>
      <c r="G32" s="221">
        <f t="shared" si="0"/>
        <v>668.94</v>
      </c>
      <c r="H32" s="222">
        <f t="shared" si="1"/>
        <v>1899.78</v>
      </c>
      <c r="I32" s="242"/>
      <c r="J32" s="224">
        <f t="shared" si="2"/>
        <v>2</v>
      </c>
      <c r="K32" s="221">
        <f t="shared" si="3"/>
        <v>474.95</v>
      </c>
      <c r="L32" s="221">
        <f t="shared" si="4"/>
        <v>949.9</v>
      </c>
      <c r="M32" s="220" t="s">
        <v>84</v>
      </c>
      <c r="N32" s="254">
        <v>0.5</v>
      </c>
      <c r="O32" s="226"/>
      <c r="P32" s="255"/>
      <c r="Q32" s="228"/>
      <c r="R32" s="229">
        <f t="shared" si="5"/>
        <v>0</v>
      </c>
      <c r="S32" s="229">
        <f t="shared" si="6"/>
        <v>474.95</v>
      </c>
      <c r="T32" s="229">
        <f t="shared" si="7"/>
        <v>949.9</v>
      </c>
      <c r="U32" s="230">
        <f t="shared" si="8"/>
        <v>0</v>
      </c>
      <c r="V32" s="230">
        <f t="shared" si="9"/>
        <v>1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280"/>
      <c r="C33" s="281"/>
      <c r="D33" s="282"/>
      <c r="E33" s="283">
        <v>1</v>
      </c>
      <c r="F33" s="239"/>
      <c r="G33" s="240">
        <f t="shared" si="0"/>
        <v>0</v>
      </c>
      <c r="H33" s="241">
        <f t="shared" si="1"/>
        <v>0</v>
      </c>
      <c r="I33" s="242"/>
      <c r="J33" s="243">
        <f t="shared" si="2"/>
        <v>1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276"/>
      <c r="C34" s="284"/>
      <c r="D34" s="285"/>
      <c r="E34" s="279"/>
      <c r="F34" s="220"/>
      <c r="G34" s="221">
        <f t="shared" si="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>
        <v>0.5</v>
      </c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280"/>
      <c r="C35" s="281"/>
      <c r="D35" s="282"/>
      <c r="E35" s="283"/>
      <c r="F35" s="239"/>
      <c r="G35" s="240">
        <f t="shared" si="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>
        <v>0.5</v>
      </c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276"/>
      <c r="C36" s="284"/>
      <c r="D36" s="285"/>
      <c r="E36" s="279"/>
      <c r="F36" s="220"/>
      <c r="G36" s="221">
        <f t="shared" si="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280"/>
      <c r="C37" s="281"/>
      <c r="D37" s="282"/>
      <c r="E37" s="283"/>
      <c r="F37" s="239"/>
      <c r="G37" s="240">
        <f t="shared" si="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276"/>
      <c r="C38" s="284"/>
      <c r="D38" s="285"/>
      <c r="E38" s="279"/>
      <c r="F38" s="220"/>
      <c r="G38" s="221">
        <f t="shared" si="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280"/>
      <c r="C39" s="281"/>
      <c r="D39" s="282"/>
      <c r="E39" s="283"/>
      <c r="F39" s="239"/>
      <c r="G39" s="240">
        <f t="shared" si="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276"/>
      <c r="C40" s="284"/>
      <c r="D40" s="285"/>
      <c r="E40" s="279"/>
      <c r="F40" s="220"/>
      <c r="G40" s="221">
        <f t="shared" si="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280"/>
      <c r="C41" s="281"/>
      <c r="D41" s="282"/>
      <c r="E41" s="283"/>
      <c r="F41" s="239"/>
      <c r="G41" s="240">
        <f t="shared" si="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276"/>
      <c r="C42" s="284"/>
      <c r="D42" s="285"/>
      <c r="E42" s="279"/>
      <c r="F42" s="220"/>
      <c r="G42" s="221">
        <f t="shared" si="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280"/>
      <c r="C43" s="281"/>
      <c r="D43" s="282"/>
      <c r="E43" s="283"/>
      <c r="F43" s="239"/>
      <c r="G43" s="240">
        <f t="shared" si="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276"/>
      <c r="C44" s="284"/>
      <c r="D44" s="285"/>
      <c r="E44" s="279"/>
      <c r="F44" s="220"/>
      <c r="G44" s="221">
        <f t="shared" si="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280"/>
      <c r="C45" s="281"/>
      <c r="D45" s="282"/>
      <c r="E45" s="283"/>
      <c r="F45" s="239"/>
      <c r="G45" s="240">
        <f t="shared" si="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276"/>
      <c r="C46" s="284"/>
      <c r="D46" s="285"/>
      <c r="E46" s="279"/>
      <c r="F46" s="220"/>
      <c r="G46" s="221">
        <f t="shared" si="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280"/>
      <c r="C47" s="281"/>
      <c r="D47" s="282"/>
      <c r="E47" s="283"/>
      <c r="F47" s="239"/>
      <c r="G47" s="240">
        <f t="shared" si="0"/>
        <v>0</v>
      </c>
      <c r="H47" s="241">
        <f t="shared" si="1"/>
        <v>0</v>
      </c>
      <c r="I47" s="242"/>
      <c r="J47" s="243">
        <f t="shared" si="2"/>
        <v>0</v>
      </c>
      <c r="K47" s="240">
        <f t="shared" si="3"/>
        <v>0</v>
      </c>
      <c r="L47" s="240">
        <f t="shared" si="4"/>
        <v>0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0</v>
      </c>
      <c r="T47" s="248">
        <f t="shared" si="7"/>
        <v>0</v>
      </c>
      <c r="U47" s="249">
        <f t="shared" si="8"/>
        <v>0</v>
      </c>
      <c r="V47" s="249">
        <f t="shared" si="9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276"/>
      <c r="C48" s="284"/>
      <c r="D48" s="285"/>
      <c r="E48" s="279"/>
      <c r="F48" s="220"/>
      <c r="G48" s="221">
        <f t="shared" si="0"/>
        <v>0</v>
      </c>
      <c r="H48" s="222">
        <f t="shared" si="1"/>
        <v>0</v>
      </c>
      <c r="I48" s="242"/>
      <c r="J48" s="224">
        <f t="shared" si="2"/>
        <v>0</v>
      </c>
      <c r="K48" s="221">
        <f t="shared" si="3"/>
        <v>0</v>
      </c>
      <c r="L48" s="221">
        <f t="shared" si="4"/>
        <v>0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0</v>
      </c>
      <c r="T48" s="229">
        <f t="shared" si="7"/>
        <v>0</v>
      </c>
      <c r="U48" s="230">
        <f t="shared" si="8"/>
        <v>0</v>
      </c>
      <c r="V48" s="230">
        <f t="shared" si="9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280"/>
      <c r="C49" s="281"/>
      <c r="D49" s="282"/>
      <c r="E49" s="283"/>
      <c r="F49" s="239"/>
      <c r="G49" s="240">
        <f t="shared" si="0"/>
        <v>0</v>
      </c>
      <c r="H49" s="241">
        <f t="shared" si="1"/>
        <v>0</v>
      </c>
      <c r="I49" s="242"/>
      <c r="J49" s="243">
        <f t="shared" si="2"/>
        <v>0</v>
      </c>
      <c r="K49" s="240">
        <f t="shared" si="3"/>
        <v>0</v>
      </c>
      <c r="L49" s="240">
        <f t="shared" si="4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0</v>
      </c>
      <c r="T49" s="248">
        <f t="shared" si="7"/>
        <v>0</v>
      </c>
      <c r="U49" s="249">
        <f t="shared" si="8"/>
        <v>0</v>
      </c>
      <c r="V49" s="249">
        <f t="shared" si="9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276"/>
      <c r="C50" s="284"/>
      <c r="D50" s="285"/>
      <c r="E50" s="279"/>
      <c r="F50" s="220"/>
      <c r="G50" s="221">
        <f t="shared" si="0"/>
        <v>0</v>
      </c>
      <c r="H50" s="222">
        <f t="shared" si="1"/>
        <v>0</v>
      </c>
      <c r="I50" s="242"/>
      <c r="J50" s="224">
        <f t="shared" si="2"/>
        <v>0</v>
      </c>
      <c r="K50" s="221">
        <f t="shared" si="3"/>
        <v>0</v>
      </c>
      <c r="L50" s="221">
        <f t="shared" si="4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0</v>
      </c>
      <c r="T50" s="229">
        <f t="shared" si="7"/>
        <v>0</v>
      </c>
      <c r="U50" s="230">
        <f t="shared" si="8"/>
        <v>0</v>
      </c>
      <c r="V50" s="230">
        <f t="shared" si="9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280"/>
      <c r="C51" s="281"/>
      <c r="D51" s="282"/>
      <c r="E51" s="283"/>
      <c r="F51" s="239"/>
      <c r="G51" s="240">
        <f t="shared" si="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21</v>
      </c>
      <c r="F61" s="265">
        <f>SUM(F18:F60)</f>
        <v>21325.86</v>
      </c>
      <c r="G61" s="266">
        <f>SUM(G18:G60)</f>
        <v>15018.2</v>
      </c>
      <c r="H61" s="267">
        <f>SUM(H18:H60)</f>
        <v>39106.079999999994</v>
      </c>
      <c r="I61" s="268"/>
      <c r="J61" s="269">
        <f>SUM(J18:J60)</f>
        <v>21</v>
      </c>
      <c r="K61" s="266">
        <f>SUM(K18:K60)</f>
        <v>20141.240000000002</v>
      </c>
      <c r="L61" s="267">
        <f>SUM(L18:L60)</f>
        <v>37071.839999999997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20141.240000000002</v>
      </c>
      <c r="T61" s="267">
        <f>SUM(T18:T60)</f>
        <v>37071.839999999997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71" priority="3" stopIfTrue="1">
      <formula>$U$9&gt;100%</formula>
    </cfRule>
    <cfRule type="expression" dxfId="170" priority="4">
      <formula>$U$9&lt;50%</formula>
    </cfRule>
  </conditionalFormatting>
  <conditionalFormatting sqref="V9:V10">
    <cfRule type="expression" dxfId="169" priority="1">
      <formula>$V$9&lt;50%</formula>
    </cfRule>
    <cfRule type="expression" dxfId="168" priority="2">
      <formula>$V$9&gt;50%</formula>
    </cfRule>
  </conditionalFormatting>
  <dataValidations count="5">
    <dataValidation type="list" allowBlank="1" showInputMessage="1" showErrorMessage="1" sqref="F17 K17 Q17 Q14" xr:uid="{78AF61BF-B322-4AFB-BFC3-5ED2E4BE7919}">
      <formula1>$Y$11:$Y$12</formula1>
    </dataValidation>
    <dataValidation type="list" allowBlank="1" showInputMessage="1" showErrorMessage="1" sqref="H13" xr:uid="{624660E0-B020-4176-B43F-B79F27B45FCF}">
      <formula1>$Y$13:$Y$14</formula1>
    </dataValidation>
    <dataValidation type="list" allowBlank="1" showInputMessage="1" showErrorMessage="1" sqref="I13" xr:uid="{1B0F1532-8657-4124-AB90-580EC4F3FCED}">
      <formula1>$K$9:$K$9</formula1>
    </dataValidation>
    <dataValidation type="list" showInputMessage="1" showErrorMessage="1" sqref="D52:D60" xr:uid="{1D5FEEFB-DC20-4101-8CC7-038940F87A52}">
      <formula1>$Z$18:$Z$29</formula1>
    </dataValidation>
    <dataValidation type="list" allowBlank="1" showInputMessage="1" showErrorMessage="1" sqref="M18:M60" xr:uid="{91261440-C7CC-42CA-961A-E5FDEE527EA8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29963-D39C-47D2-96C5-4818ACBC7CD5}">
  <sheetPr>
    <pageSetUpPr fitToPage="1"/>
  </sheetPr>
  <dimension ref="A1:AB63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523" t="s">
        <v>2</v>
      </c>
      <c r="I1" s="524"/>
      <c r="J1" s="524"/>
      <c r="K1" s="525"/>
      <c r="L1" s="528" t="s">
        <v>3</v>
      </c>
      <c r="M1" s="529"/>
      <c r="N1" s="529"/>
      <c r="O1" s="529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59">
        <v>415044</v>
      </c>
      <c r="G2" s="549"/>
      <c r="H2" s="546" t="s">
        <v>7</v>
      </c>
      <c r="I2" s="550"/>
      <c r="J2" s="547"/>
      <c r="K2" s="148"/>
      <c r="L2" s="551" t="s">
        <v>8</v>
      </c>
      <c r="M2" s="552"/>
      <c r="N2" s="553"/>
      <c r="O2" s="149"/>
      <c r="P2" s="554">
        <f>H61</f>
        <v>761.7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532" t="s">
        <v>13</v>
      </c>
      <c r="I3" s="536"/>
      <c r="J3" s="533"/>
      <c r="K3" s="154"/>
      <c r="L3" s="537" t="s">
        <v>14</v>
      </c>
      <c r="M3" s="538"/>
      <c r="N3" s="539"/>
      <c r="O3" s="149"/>
      <c r="P3" s="540">
        <f>L61</f>
        <v>525.55999999999995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665" t="s">
        <v>203</v>
      </c>
      <c r="G4" s="666"/>
      <c r="H4" s="532" t="s">
        <v>19</v>
      </c>
      <c r="I4" s="536"/>
      <c r="J4" s="533"/>
      <c r="K4" s="154"/>
      <c r="L4" s="537" t="s">
        <v>20</v>
      </c>
      <c r="M4" s="538"/>
      <c r="N4" s="539"/>
      <c r="O4" s="149"/>
      <c r="P4" s="540">
        <f>P2-P3</f>
        <v>236.1400000000001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667" t="s">
        <v>204</v>
      </c>
      <c r="G5" s="666"/>
      <c r="H5" s="532" t="s">
        <v>25</v>
      </c>
      <c r="I5" s="536"/>
      <c r="J5" s="533"/>
      <c r="K5" s="154"/>
      <c r="L5" s="558" t="s">
        <v>26</v>
      </c>
      <c r="M5" s="559"/>
      <c r="N5" s="560"/>
      <c r="O5" s="149"/>
      <c r="P5" s="561">
        <f>IFERROR((P2-P3)/P2,"")</f>
        <v>0.31001706708677967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69" t="s">
        <v>205</v>
      </c>
      <c r="G6" s="666"/>
      <c r="H6" s="532" t="s">
        <v>31</v>
      </c>
      <c r="I6" s="536"/>
      <c r="J6" s="533"/>
      <c r="K6" s="154"/>
      <c r="L6" s="574" t="s">
        <v>32</v>
      </c>
      <c r="M6" s="575"/>
      <c r="N6" s="576"/>
      <c r="O6" s="149"/>
      <c r="P6" s="577">
        <f>T61</f>
        <v>525.55999999999995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563"/>
      <c r="G7" s="535"/>
      <c r="H7" s="532" t="s">
        <v>36</v>
      </c>
      <c r="I7" s="536"/>
      <c r="J7" s="533"/>
      <c r="K7" s="154"/>
      <c r="L7" s="564" t="s">
        <v>37</v>
      </c>
      <c r="M7" s="565"/>
      <c r="N7" s="56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532" t="s">
        <v>40</v>
      </c>
      <c r="I8" s="536"/>
      <c r="J8" s="533"/>
      <c r="K8" s="154"/>
      <c r="L8" s="564" t="s">
        <v>41</v>
      </c>
      <c r="M8" s="565"/>
      <c r="N8" s="56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395</v>
      </c>
      <c r="G9" s="535"/>
      <c r="H9" s="171"/>
      <c r="I9" s="172"/>
      <c r="J9" s="172"/>
      <c r="K9" s="173"/>
      <c r="L9" s="564" t="s">
        <v>47</v>
      </c>
      <c r="M9" s="565"/>
      <c r="N9" s="56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525.55999999999995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542" t="s">
        <v>48</v>
      </c>
      <c r="M10" s="579"/>
      <c r="N10" s="543"/>
      <c r="O10" s="149"/>
      <c r="P10" s="580">
        <f>E61</f>
        <v>10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650" t="s">
        <v>50</v>
      </c>
      <c r="K11" s="651"/>
      <c r="L11" s="651"/>
      <c r="M11" s="651"/>
      <c r="N11" s="652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653"/>
      <c r="K12" s="654"/>
      <c r="L12" s="654"/>
      <c r="M12" s="654"/>
      <c r="N12" s="655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656"/>
      <c r="K13" s="657"/>
      <c r="L13" s="657"/>
      <c r="M13" s="657"/>
      <c r="N13" s="658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601" t="s">
        <v>59</v>
      </c>
      <c r="K14" s="602"/>
      <c r="L14" s="605" t="s">
        <v>60</v>
      </c>
      <c r="M14" s="606"/>
      <c r="N14" s="60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603"/>
      <c r="K15" s="604"/>
      <c r="L15" s="608"/>
      <c r="M15" s="609"/>
      <c r="N15" s="61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631" t="s">
        <v>69</v>
      </c>
      <c r="K16" s="201" t="s">
        <v>72</v>
      </c>
      <c r="L16" s="202" t="s">
        <v>73</v>
      </c>
      <c r="M16" s="633" t="s">
        <v>74</v>
      </c>
      <c r="N16" s="633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3"/>
      <c r="C17" s="625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632"/>
      <c r="K17" s="614" t="s">
        <v>52</v>
      </c>
      <c r="L17" s="615"/>
      <c r="M17" s="634"/>
      <c r="N17" s="634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 s="276" t="s">
        <v>206</v>
      </c>
      <c r="C18" s="277" t="s">
        <v>207</v>
      </c>
      <c r="D18" s="278">
        <v>500</v>
      </c>
      <c r="E18" s="279">
        <v>1</v>
      </c>
      <c r="F18" s="220">
        <v>25.93</v>
      </c>
      <c r="G18" s="221">
        <f t="shared" ref="G18:G60" si="0">ROUND(IF($F$17="USD $", F18*$E$15,F18*$D$15),2)</f>
        <v>18.260000000000002</v>
      </c>
      <c r="H18" s="222">
        <f t="shared" ref="H18:H60" si="1">ROUND(IF($H$17=$G$17,E18*G18,E18*F18),2)</f>
        <v>25.93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9.85</v>
      </c>
      <c r="L18" s="221">
        <f t="shared" ref="L18:L60" si="4">ROUND((J18*K18),2)</f>
        <v>9.85</v>
      </c>
      <c r="M18" s="220" t="s">
        <v>84</v>
      </c>
      <c r="N18" s="225">
        <v>0.62</v>
      </c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9.85</v>
      </c>
      <c r="T18" s="229">
        <f t="shared" ref="T18:T60" si="7">ROUND(L18-R18,2)</f>
        <v>9.85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280" t="s">
        <v>208</v>
      </c>
      <c r="C19" s="281" t="s">
        <v>209</v>
      </c>
      <c r="D19" s="282">
        <v>500</v>
      </c>
      <c r="E19" s="283">
        <v>1</v>
      </c>
      <c r="F19" s="239">
        <v>22.37</v>
      </c>
      <c r="G19" s="240">
        <f t="shared" si="0"/>
        <v>15.75</v>
      </c>
      <c r="H19" s="241">
        <f t="shared" si="1"/>
        <v>22.37</v>
      </c>
      <c r="I19" s="242"/>
      <c r="J19" s="243">
        <f t="shared" si="2"/>
        <v>1</v>
      </c>
      <c r="K19" s="240">
        <f t="shared" si="3"/>
        <v>8.5</v>
      </c>
      <c r="L19" s="240">
        <f t="shared" si="4"/>
        <v>8.5</v>
      </c>
      <c r="M19" s="244" t="s">
        <v>84</v>
      </c>
      <c r="N19" s="245">
        <v>0.62</v>
      </c>
      <c r="O19" s="226"/>
      <c r="P19" s="246"/>
      <c r="Q19" s="239"/>
      <c r="R19" s="247">
        <f t="shared" si="5"/>
        <v>0</v>
      </c>
      <c r="S19" s="248">
        <f t="shared" si="6"/>
        <v>8.5</v>
      </c>
      <c r="T19" s="248">
        <f t="shared" si="7"/>
        <v>8.5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276" t="s">
        <v>210</v>
      </c>
      <c r="C20" s="284" t="s">
        <v>211</v>
      </c>
      <c r="D20" s="285">
        <v>250</v>
      </c>
      <c r="E20" s="279">
        <v>1</v>
      </c>
      <c r="F20" s="220">
        <v>108.02</v>
      </c>
      <c r="G20" s="221">
        <f t="shared" si="0"/>
        <v>76.069999999999993</v>
      </c>
      <c r="H20" s="222">
        <f t="shared" si="1"/>
        <v>108.02</v>
      </c>
      <c r="I20" s="242"/>
      <c r="J20" s="224">
        <f t="shared" si="2"/>
        <v>1</v>
      </c>
      <c r="K20" s="221">
        <f t="shared" si="3"/>
        <v>41.05</v>
      </c>
      <c r="L20" s="221">
        <f t="shared" si="4"/>
        <v>41.05</v>
      </c>
      <c r="M20" s="220" t="s">
        <v>84</v>
      </c>
      <c r="N20" s="254">
        <v>0.62</v>
      </c>
      <c r="O20" s="226"/>
      <c r="P20" s="255"/>
      <c r="Q20" s="228"/>
      <c r="R20" s="229">
        <f t="shared" si="5"/>
        <v>0</v>
      </c>
      <c r="S20" s="229">
        <f t="shared" si="6"/>
        <v>41.05</v>
      </c>
      <c r="T20" s="229">
        <f t="shared" si="7"/>
        <v>41.05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280">
        <v>4294130</v>
      </c>
      <c r="C21" s="281" t="s">
        <v>212</v>
      </c>
      <c r="D21" s="282">
        <v>1000</v>
      </c>
      <c r="E21" s="283">
        <v>1</v>
      </c>
      <c r="F21" s="239">
        <v>44.29</v>
      </c>
      <c r="G21" s="240">
        <f t="shared" si="0"/>
        <v>31.19</v>
      </c>
      <c r="H21" s="241">
        <f t="shared" si="1"/>
        <v>44.29</v>
      </c>
      <c r="I21" s="242"/>
      <c r="J21" s="243">
        <f t="shared" si="2"/>
        <v>1</v>
      </c>
      <c r="K21" s="240">
        <f t="shared" si="3"/>
        <v>16.829999999999998</v>
      </c>
      <c r="L21" s="240">
        <f t="shared" si="4"/>
        <v>16.829999999999998</v>
      </c>
      <c r="M21" s="244" t="s">
        <v>84</v>
      </c>
      <c r="N21" s="245">
        <v>0.62</v>
      </c>
      <c r="O21" s="226"/>
      <c r="P21" s="246"/>
      <c r="Q21" s="239"/>
      <c r="R21" s="247">
        <f t="shared" si="5"/>
        <v>0</v>
      </c>
      <c r="S21" s="248">
        <f t="shared" si="6"/>
        <v>16.829999999999998</v>
      </c>
      <c r="T21" s="248">
        <f t="shared" si="7"/>
        <v>16.829999999999998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276" t="s">
        <v>213</v>
      </c>
      <c r="C22" s="284" t="s">
        <v>214</v>
      </c>
      <c r="D22" s="285">
        <v>250</v>
      </c>
      <c r="E22" s="279">
        <v>1</v>
      </c>
      <c r="F22" s="220">
        <v>45.92</v>
      </c>
      <c r="G22" s="221">
        <f t="shared" si="0"/>
        <v>32.340000000000003</v>
      </c>
      <c r="H22" s="222">
        <f t="shared" si="1"/>
        <v>45.92</v>
      </c>
      <c r="I22" s="242"/>
      <c r="J22" s="224">
        <f t="shared" si="2"/>
        <v>1</v>
      </c>
      <c r="K22" s="221">
        <f t="shared" si="3"/>
        <v>17.45</v>
      </c>
      <c r="L22" s="221">
        <f t="shared" si="4"/>
        <v>17.45</v>
      </c>
      <c r="M22" s="220" t="s">
        <v>84</v>
      </c>
      <c r="N22" s="254">
        <v>0.62</v>
      </c>
      <c r="O22" s="226"/>
      <c r="P22" s="255"/>
      <c r="Q22" s="228"/>
      <c r="R22" s="229">
        <f t="shared" si="5"/>
        <v>0</v>
      </c>
      <c r="S22" s="229">
        <f t="shared" si="6"/>
        <v>17.45</v>
      </c>
      <c r="T22" s="229">
        <f t="shared" si="7"/>
        <v>17.45</v>
      </c>
      <c r="U22" s="230">
        <f t="shared" si="8"/>
        <v>0</v>
      </c>
      <c r="V22" s="230">
        <f t="shared" si="9"/>
        <v>1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280" t="s">
        <v>215</v>
      </c>
      <c r="C23" s="281" t="s">
        <v>216</v>
      </c>
      <c r="D23" s="282">
        <v>250</v>
      </c>
      <c r="E23" s="283">
        <v>1</v>
      </c>
      <c r="F23" s="239">
        <v>51.56</v>
      </c>
      <c r="G23" s="240">
        <f t="shared" si="0"/>
        <v>36.31</v>
      </c>
      <c r="H23" s="241">
        <f t="shared" si="1"/>
        <v>51.56</v>
      </c>
      <c r="I23" s="242"/>
      <c r="J23" s="243">
        <f t="shared" si="2"/>
        <v>1</v>
      </c>
      <c r="K23" s="240">
        <f t="shared" si="3"/>
        <v>19.59</v>
      </c>
      <c r="L23" s="240">
        <f t="shared" si="4"/>
        <v>19.59</v>
      </c>
      <c r="M23" s="244" t="s">
        <v>84</v>
      </c>
      <c r="N23" s="245">
        <v>0.62</v>
      </c>
      <c r="O23" s="226"/>
      <c r="P23" s="246"/>
      <c r="Q23" s="239"/>
      <c r="R23" s="247">
        <f t="shared" si="5"/>
        <v>0</v>
      </c>
      <c r="S23" s="248">
        <f t="shared" si="6"/>
        <v>19.59</v>
      </c>
      <c r="T23" s="248">
        <f t="shared" si="7"/>
        <v>19.59</v>
      </c>
      <c r="U23" s="249">
        <f t="shared" si="8"/>
        <v>0</v>
      </c>
      <c r="V23" s="249">
        <f t="shared" si="9"/>
        <v>1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276" t="s">
        <v>217</v>
      </c>
      <c r="C24" s="284" t="s">
        <v>218</v>
      </c>
      <c r="D24" s="285">
        <v>500</v>
      </c>
      <c r="E24" s="279">
        <v>1</v>
      </c>
      <c r="F24" s="220">
        <v>15.46</v>
      </c>
      <c r="G24" s="221">
        <f t="shared" si="0"/>
        <v>10.89</v>
      </c>
      <c r="H24" s="222">
        <f t="shared" si="1"/>
        <v>15.46</v>
      </c>
      <c r="I24" s="242"/>
      <c r="J24" s="224">
        <f t="shared" si="2"/>
        <v>1</v>
      </c>
      <c r="K24" s="221">
        <f t="shared" si="3"/>
        <v>5.87</v>
      </c>
      <c r="L24" s="221">
        <f t="shared" si="4"/>
        <v>5.87</v>
      </c>
      <c r="M24" s="220" t="s">
        <v>84</v>
      </c>
      <c r="N24" s="254">
        <v>0.62</v>
      </c>
      <c r="O24" s="226"/>
      <c r="P24" s="255"/>
      <c r="Q24" s="228"/>
      <c r="R24" s="229">
        <f t="shared" si="5"/>
        <v>0</v>
      </c>
      <c r="S24" s="229">
        <f t="shared" si="6"/>
        <v>5.87</v>
      </c>
      <c r="T24" s="229">
        <f t="shared" si="7"/>
        <v>5.87</v>
      </c>
      <c r="U24" s="230">
        <f t="shared" si="8"/>
        <v>0</v>
      </c>
      <c r="V24" s="230">
        <f t="shared" si="9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 s="280">
        <v>4673287</v>
      </c>
      <c r="C25" s="281" t="s">
        <v>219</v>
      </c>
      <c r="D25" s="282">
        <v>250</v>
      </c>
      <c r="E25" s="283">
        <v>1</v>
      </c>
      <c r="F25" s="239">
        <v>90.34</v>
      </c>
      <c r="G25" s="240">
        <f t="shared" si="0"/>
        <v>63.62</v>
      </c>
      <c r="H25" s="241">
        <f t="shared" si="1"/>
        <v>90.34</v>
      </c>
      <c r="I25" s="242"/>
      <c r="J25" s="243">
        <f t="shared" si="2"/>
        <v>1</v>
      </c>
      <c r="K25" s="240">
        <f t="shared" si="3"/>
        <v>90.34</v>
      </c>
      <c r="L25" s="240">
        <f t="shared" si="4"/>
        <v>90.34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90.34</v>
      </c>
      <c r="T25" s="248">
        <f t="shared" si="7"/>
        <v>90.34</v>
      </c>
      <c r="U25" s="249">
        <f t="shared" si="8"/>
        <v>0</v>
      </c>
      <c r="V25" s="249">
        <f t="shared" si="9"/>
        <v>1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 s="276">
        <v>4684045</v>
      </c>
      <c r="C26" s="284" t="s">
        <v>220</v>
      </c>
      <c r="D26" s="285">
        <v>250</v>
      </c>
      <c r="E26" s="279">
        <v>1</v>
      </c>
      <c r="F26" s="220">
        <v>83.47</v>
      </c>
      <c r="G26" s="221">
        <f t="shared" si="0"/>
        <v>58.78</v>
      </c>
      <c r="H26" s="222">
        <f t="shared" si="1"/>
        <v>83.47</v>
      </c>
      <c r="I26" s="242"/>
      <c r="J26" s="224">
        <f t="shared" si="2"/>
        <v>1</v>
      </c>
      <c r="K26" s="221">
        <f t="shared" si="3"/>
        <v>41.74</v>
      </c>
      <c r="L26" s="221">
        <f t="shared" si="4"/>
        <v>41.74</v>
      </c>
      <c r="M26" s="220" t="s">
        <v>84</v>
      </c>
      <c r="N26" s="254">
        <v>0.5</v>
      </c>
      <c r="O26" s="226"/>
      <c r="P26" s="255"/>
      <c r="Q26" s="228"/>
      <c r="R26" s="229">
        <f t="shared" si="5"/>
        <v>0</v>
      </c>
      <c r="S26" s="229">
        <f t="shared" si="6"/>
        <v>41.74</v>
      </c>
      <c r="T26" s="229">
        <f t="shared" si="7"/>
        <v>41.74</v>
      </c>
      <c r="U26" s="230">
        <f t="shared" si="8"/>
        <v>0</v>
      </c>
      <c r="V26" s="230">
        <f t="shared" si="9"/>
        <v>1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280"/>
      <c r="C27" s="281"/>
      <c r="D27" s="282"/>
      <c r="E27" s="283"/>
      <c r="F27" s="239"/>
      <c r="G27" s="240">
        <f t="shared" si="0"/>
        <v>0</v>
      </c>
      <c r="H27" s="241">
        <f t="shared" si="1"/>
        <v>0</v>
      </c>
      <c r="I27" s="242"/>
      <c r="J27" s="243">
        <f t="shared" si="2"/>
        <v>0</v>
      </c>
      <c r="K27" s="240">
        <f t="shared" si="3"/>
        <v>0</v>
      </c>
      <c r="L27" s="240">
        <f t="shared" si="4"/>
        <v>0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0</v>
      </c>
      <c r="T27" s="248">
        <f t="shared" si="7"/>
        <v>0</v>
      </c>
      <c r="U27" s="249">
        <f t="shared" si="8"/>
        <v>0</v>
      </c>
      <c r="V27" s="249">
        <f t="shared" si="9"/>
        <v>0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276" t="s">
        <v>221</v>
      </c>
      <c r="C28" s="284" t="s">
        <v>222</v>
      </c>
      <c r="D28" s="285"/>
      <c r="E28" s="279">
        <v>1</v>
      </c>
      <c r="F28" s="220">
        <v>274.33999999999997</v>
      </c>
      <c r="G28" s="221">
        <f t="shared" si="0"/>
        <v>193.2</v>
      </c>
      <c r="H28" s="222">
        <f t="shared" si="1"/>
        <v>274.33999999999997</v>
      </c>
      <c r="I28" s="242"/>
      <c r="J28" s="224">
        <f t="shared" si="2"/>
        <v>1</v>
      </c>
      <c r="K28" s="221">
        <f t="shared" si="3"/>
        <v>274.33999999999997</v>
      </c>
      <c r="L28" s="221">
        <f t="shared" si="4"/>
        <v>274.33999999999997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274.33999999999997</v>
      </c>
      <c r="T28" s="229">
        <f t="shared" si="7"/>
        <v>274.33999999999997</v>
      </c>
      <c r="U28" s="230">
        <f t="shared" si="8"/>
        <v>0</v>
      </c>
      <c r="V28" s="230">
        <f t="shared" si="9"/>
        <v>1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280"/>
      <c r="C29" s="281"/>
      <c r="D29" s="282"/>
      <c r="E29" s="283"/>
      <c r="F29" s="239"/>
      <c r="G29" s="240">
        <f t="shared" si="0"/>
        <v>0</v>
      </c>
      <c r="H29" s="241">
        <f t="shared" si="1"/>
        <v>0</v>
      </c>
      <c r="I29" s="242"/>
      <c r="J29" s="243">
        <f t="shared" si="2"/>
        <v>0</v>
      </c>
      <c r="K29" s="240">
        <f t="shared" si="3"/>
        <v>0</v>
      </c>
      <c r="L29" s="240">
        <f t="shared" si="4"/>
        <v>0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0</v>
      </c>
      <c r="T29" s="248">
        <f t="shared" si="7"/>
        <v>0</v>
      </c>
      <c r="U29" s="249">
        <f t="shared" si="8"/>
        <v>0</v>
      </c>
      <c r="V29" s="249">
        <f t="shared" si="9"/>
        <v>0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276"/>
      <c r="C30" s="284"/>
      <c r="D30" s="285"/>
      <c r="E30" s="279"/>
      <c r="F30" s="220"/>
      <c r="G30" s="221">
        <f t="shared" si="0"/>
        <v>0</v>
      </c>
      <c r="H30" s="222">
        <f t="shared" si="1"/>
        <v>0</v>
      </c>
      <c r="I30" s="242"/>
      <c r="J30" s="224">
        <f t="shared" si="2"/>
        <v>0</v>
      </c>
      <c r="K30" s="221">
        <f t="shared" si="3"/>
        <v>0</v>
      </c>
      <c r="L30" s="221">
        <f t="shared" si="4"/>
        <v>0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0</v>
      </c>
      <c r="T30" s="229">
        <f t="shared" si="7"/>
        <v>0</v>
      </c>
      <c r="U30" s="230">
        <f t="shared" si="8"/>
        <v>0</v>
      </c>
      <c r="V30" s="230">
        <f t="shared" si="9"/>
        <v>0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280"/>
      <c r="C31" s="281"/>
      <c r="D31" s="282"/>
      <c r="E31" s="283"/>
      <c r="F31" s="239"/>
      <c r="G31" s="240">
        <f t="shared" si="0"/>
        <v>0</v>
      </c>
      <c r="H31" s="241">
        <f t="shared" si="1"/>
        <v>0</v>
      </c>
      <c r="I31" s="242"/>
      <c r="J31" s="243">
        <f t="shared" si="2"/>
        <v>0</v>
      </c>
      <c r="K31" s="240">
        <f t="shared" si="3"/>
        <v>0</v>
      </c>
      <c r="L31" s="240">
        <f t="shared" si="4"/>
        <v>0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0</v>
      </c>
      <c r="T31" s="248">
        <f t="shared" si="7"/>
        <v>0</v>
      </c>
      <c r="U31" s="249">
        <f t="shared" si="8"/>
        <v>0</v>
      </c>
      <c r="V31" s="249">
        <f t="shared" si="9"/>
        <v>0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276"/>
      <c r="C32" s="284"/>
      <c r="D32" s="285"/>
      <c r="E32" s="279"/>
      <c r="F32" s="220"/>
      <c r="G32" s="221">
        <f t="shared" si="0"/>
        <v>0</v>
      </c>
      <c r="H32" s="222">
        <f t="shared" si="1"/>
        <v>0</v>
      </c>
      <c r="I32" s="242"/>
      <c r="J32" s="224">
        <f t="shared" si="2"/>
        <v>0</v>
      </c>
      <c r="K32" s="221">
        <f t="shared" si="3"/>
        <v>0</v>
      </c>
      <c r="L32" s="221">
        <f t="shared" si="4"/>
        <v>0</v>
      </c>
      <c r="M32" s="220" t="s">
        <v>84</v>
      </c>
      <c r="N32" s="254">
        <v>0.5</v>
      </c>
      <c r="O32" s="226"/>
      <c r="P32" s="255"/>
      <c r="Q32" s="228"/>
      <c r="R32" s="229">
        <f t="shared" si="5"/>
        <v>0</v>
      </c>
      <c r="S32" s="229">
        <f t="shared" si="6"/>
        <v>0</v>
      </c>
      <c r="T32" s="229">
        <f t="shared" si="7"/>
        <v>0</v>
      </c>
      <c r="U32" s="230">
        <f t="shared" si="8"/>
        <v>0</v>
      </c>
      <c r="V32" s="230">
        <f t="shared" si="9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280"/>
      <c r="C33" s="281"/>
      <c r="D33" s="282"/>
      <c r="E33" s="283"/>
      <c r="F33" s="239"/>
      <c r="G33" s="240">
        <f t="shared" si="0"/>
        <v>0</v>
      </c>
      <c r="H33" s="241">
        <f t="shared" si="1"/>
        <v>0</v>
      </c>
      <c r="I33" s="242"/>
      <c r="J33" s="243">
        <f t="shared" si="2"/>
        <v>0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276"/>
      <c r="C34" s="284"/>
      <c r="D34" s="285"/>
      <c r="E34" s="279"/>
      <c r="F34" s="220"/>
      <c r="G34" s="221">
        <f t="shared" si="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>
        <v>0.5</v>
      </c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280"/>
      <c r="C35" s="281"/>
      <c r="D35" s="282"/>
      <c r="E35" s="283"/>
      <c r="F35" s="239"/>
      <c r="G35" s="240">
        <f t="shared" si="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>
        <v>0.5</v>
      </c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276"/>
      <c r="C36" s="284"/>
      <c r="D36" s="285"/>
      <c r="E36" s="279"/>
      <c r="F36" s="220"/>
      <c r="G36" s="221">
        <f t="shared" si="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280"/>
      <c r="C37" s="281"/>
      <c r="D37" s="282"/>
      <c r="E37" s="283"/>
      <c r="F37" s="239"/>
      <c r="G37" s="240">
        <f t="shared" si="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276"/>
      <c r="C38" s="284"/>
      <c r="D38" s="285"/>
      <c r="E38" s="279"/>
      <c r="F38" s="220"/>
      <c r="G38" s="221">
        <f t="shared" si="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280"/>
      <c r="C39" s="281"/>
      <c r="D39" s="282"/>
      <c r="E39" s="283"/>
      <c r="F39" s="239"/>
      <c r="G39" s="240">
        <f t="shared" si="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276"/>
      <c r="C40" s="284"/>
      <c r="D40" s="285"/>
      <c r="E40" s="279"/>
      <c r="F40" s="220"/>
      <c r="G40" s="221">
        <f t="shared" si="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280"/>
      <c r="C41" s="281"/>
      <c r="D41" s="282"/>
      <c r="E41" s="283"/>
      <c r="F41" s="239"/>
      <c r="G41" s="240">
        <f t="shared" si="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276"/>
      <c r="C42" s="284"/>
      <c r="D42" s="285"/>
      <c r="E42" s="279"/>
      <c r="F42" s="220"/>
      <c r="G42" s="221">
        <f t="shared" si="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280"/>
      <c r="C43" s="281"/>
      <c r="D43" s="282"/>
      <c r="E43" s="283"/>
      <c r="F43" s="239"/>
      <c r="G43" s="240">
        <f t="shared" si="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276"/>
      <c r="C44" s="284"/>
      <c r="D44" s="285"/>
      <c r="E44" s="279"/>
      <c r="F44" s="220"/>
      <c r="G44" s="221">
        <f t="shared" si="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280"/>
      <c r="C45" s="281"/>
      <c r="D45" s="282"/>
      <c r="E45" s="283"/>
      <c r="F45" s="239"/>
      <c r="G45" s="240">
        <f t="shared" si="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276"/>
      <c r="C46" s="284"/>
      <c r="D46" s="285"/>
      <c r="E46" s="279"/>
      <c r="F46" s="220"/>
      <c r="G46" s="221">
        <f t="shared" si="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280"/>
      <c r="C47" s="281"/>
      <c r="D47" s="282"/>
      <c r="E47" s="283"/>
      <c r="F47" s="239"/>
      <c r="G47" s="240">
        <f t="shared" si="0"/>
        <v>0</v>
      </c>
      <c r="H47" s="241">
        <f t="shared" si="1"/>
        <v>0</v>
      </c>
      <c r="I47" s="242"/>
      <c r="J47" s="243">
        <f t="shared" si="2"/>
        <v>0</v>
      </c>
      <c r="K47" s="240">
        <f t="shared" si="3"/>
        <v>0</v>
      </c>
      <c r="L47" s="240">
        <f t="shared" si="4"/>
        <v>0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0</v>
      </c>
      <c r="T47" s="248">
        <f t="shared" si="7"/>
        <v>0</v>
      </c>
      <c r="U47" s="249">
        <f t="shared" si="8"/>
        <v>0</v>
      </c>
      <c r="V47" s="249">
        <f t="shared" si="9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276"/>
      <c r="C48" s="284"/>
      <c r="D48" s="285"/>
      <c r="E48" s="279"/>
      <c r="F48" s="220"/>
      <c r="G48" s="221">
        <f t="shared" si="0"/>
        <v>0</v>
      </c>
      <c r="H48" s="222">
        <f t="shared" si="1"/>
        <v>0</v>
      </c>
      <c r="I48" s="242"/>
      <c r="J48" s="224">
        <f t="shared" si="2"/>
        <v>0</v>
      </c>
      <c r="K48" s="221">
        <f t="shared" si="3"/>
        <v>0</v>
      </c>
      <c r="L48" s="221">
        <f t="shared" si="4"/>
        <v>0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0</v>
      </c>
      <c r="T48" s="229">
        <f t="shared" si="7"/>
        <v>0</v>
      </c>
      <c r="U48" s="230">
        <f t="shared" si="8"/>
        <v>0</v>
      </c>
      <c r="V48" s="230">
        <f t="shared" si="9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280"/>
      <c r="C49" s="281"/>
      <c r="D49" s="282"/>
      <c r="E49" s="283"/>
      <c r="F49" s="239"/>
      <c r="G49" s="240">
        <f t="shared" si="0"/>
        <v>0</v>
      </c>
      <c r="H49" s="241">
        <f t="shared" si="1"/>
        <v>0</v>
      </c>
      <c r="I49" s="242"/>
      <c r="J49" s="243">
        <f t="shared" si="2"/>
        <v>0</v>
      </c>
      <c r="K49" s="240">
        <f t="shared" si="3"/>
        <v>0</v>
      </c>
      <c r="L49" s="240">
        <f t="shared" si="4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0</v>
      </c>
      <c r="T49" s="248">
        <f t="shared" si="7"/>
        <v>0</v>
      </c>
      <c r="U49" s="249">
        <f t="shared" si="8"/>
        <v>0</v>
      </c>
      <c r="V49" s="249">
        <f t="shared" si="9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276"/>
      <c r="C50" s="284"/>
      <c r="D50" s="285"/>
      <c r="E50" s="279"/>
      <c r="F50" s="220"/>
      <c r="G50" s="221">
        <f t="shared" si="0"/>
        <v>0</v>
      </c>
      <c r="H50" s="222">
        <f t="shared" si="1"/>
        <v>0</v>
      </c>
      <c r="I50" s="242"/>
      <c r="J50" s="224">
        <f t="shared" si="2"/>
        <v>0</v>
      </c>
      <c r="K50" s="221">
        <f t="shared" si="3"/>
        <v>0</v>
      </c>
      <c r="L50" s="221">
        <f t="shared" si="4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0</v>
      </c>
      <c r="T50" s="229">
        <f t="shared" si="7"/>
        <v>0</v>
      </c>
      <c r="U50" s="230">
        <f t="shared" si="8"/>
        <v>0</v>
      </c>
      <c r="V50" s="230">
        <f t="shared" si="9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280"/>
      <c r="C51" s="281"/>
      <c r="D51" s="282"/>
      <c r="E51" s="283"/>
      <c r="F51" s="239"/>
      <c r="G51" s="240">
        <f t="shared" si="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10</v>
      </c>
      <c r="F61" s="265">
        <f>SUM(F18:F60)</f>
        <v>761.7</v>
      </c>
      <c r="G61" s="266">
        <f>SUM(G18:G60)</f>
        <v>536.41000000000008</v>
      </c>
      <c r="H61" s="267">
        <f>SUM(H18:H60)</f>
        <v>761.7</v>
      </c>
      <c r="I61" s="268"/>
      <c r="J61" s="269">
        <f>SUM(J18:J60)</f>
        <v>10</v>
      </c>
      <c r="K61" s="266">
        <f>SUM(K18:K60)</f>
        <v>525.55999999999995</v>
      </c>
      <c r="L61" s="267">
        <f>SUM(L18:L60)</f>
        <v>525.55999999999995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525.55999999999995</v>
      </c>
      <c r="T61" s="267">
        <f>SUM(T18:T60)</f>
        <v>525.55999999999995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67" priority="3" stopIfTrue="1">
      <formula>$U$9&gt;100%</formula>
    </cfRule>
    <cfRule type="expression" dxfId="166" priority="4">
      <formula>$U$9&lt;50%</formula>
    </cfRule>
  </conditionalFormatting>
  <conditionalFormatting sqref="V9:V10">
    <cfRule type="expression" dxfId="165" priority="1">
      <formula>$V$9&lt;50%</formula>
    </cfRule>
    <cfRule type="expression" dxfId="164" priority="2">
      <formula>$V$9&gt;50%</formula>
    </cfRule>
  </conditionalFormatting>
  <dataValidations count="5">
    <dataValidation type="list" allowBlank="1" showInputMessage="1" showErrorMessage="1" sqref="M18:M60" xr:uid="{B3BC57FE-1463-4BDC-90EB-392F5C7CCE88}">
      <formula1>$Y$31:$Y$32</formula1>
    </dataValidation>
    <dataValidation type="list" showInputMessage="1" showErrorMessage="1" sqref="D52:D60" xr:uid="{0B514DC5-06E7-41DC-BBBC-EFA803714BF5}">
      <formula1>$Z$18:$Z$29</formula1>
    </dataValidation>
    <dataValidation type="list" allowBlank="1" showInputMessage="1" showErrorMessage="1" sqref="I13" xr:uid="{541904CB-7F75-4AD6-8341-6492F0E930F6}">
      <formula1>$K$9:$K$9</formula1>
    </dataValidation>
    <dataValidation type="list" allowBlank="1" showInputMessage="1" showErrorMessage="1" sqref="H13" xr:uid="{7FE251A2-0EF2-4A31-B199-00764A845681}">
      <formula1>$Y$13:$Y$14</formula1>
    </dataValidation>
    <dataValidation type="list" allowBlank="1" showInputMessage="1" showErrorMessage="1" sqref="F17 K17 Q17 Q14" xr:uid="{EAD2AFB6-30AB-4F44-8FEC-21C42B48D1DC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675FF-3AD6-44D5-835D-4342EE9AA5F6}">
  <sheetPr>
    <pageSetUpPr fitToPage="1"/>
  </sheetPr>
  <dimension ref="A1:AB63"/>
  <sheetViews>
    <sheetView zoomScale="85" zoomScaleNormal="85" workbookViewId="0">
      <selection activeCell="F5" sqref="F5:G5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523" t="s">
        <v>2</v>
      </c>
      <c r="I1" s="524"/>
      <c r="J1" s="524"/>
      <c r="K1" s="525"/>
      <c r="L1" s="528" t="s">
        <v>3</v>
      </c>
      <c r="M1" s="529"/>
      <c r="N1" s="529"/>
      <c r="O1" s="529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59">
        <v>12249</v>
      </c>
      <c r="G2" s="549"/>
      <c r="H2" s="546" t="s">
        <v>7</v>
      </c>
      <c r="I2" s="550"/>
      <c r="J2" s="547"/>
      <c r="K2" s="148"/>
      <c r="L2" s="551" t="s">
        <v>8</v>
      </c>
      <c r="M2" s="552"/>
      <c r="N2" s="553"/>
      <c r="O2" s="149"/>
      <c r="P2" s="554">
        <f>H61</f>
        <v>8080.9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532" t="s">
        <v>13</v>
      </c>
      <c r="I3" s="536"/>
      <c r="J3" s="533"/>
      <c r="K3" s="154"/>
      <c r="L3" s="537" t="s">
        <v>14</v>
      </c>
      <c r="M3" s="538"/>
      <c r="N3" s="539"/>
      <c r="O3" s="149"/>
      <c r="P3" s="540">
        <f>L61</f>
        <v>7524.7699999999995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665" t="s">
        <v>223</v>
      </c>
      <c r="G4" s="666"/>
      <c r="H4" s="532" t="s">
        <v>19</v>
      </c>
      <c r="I4" s="536"/>
      <c r="J4" s="533"/>
      <c r="K4" s="154"/>
      <c r="L4" s="537" t="s">
        <v>20</v>
      </c>
      <c r="M4" s="538"/>
      <c r="N4" s="539"/>
      <c r="O4" s="149"/>
      <c r="P4" s="540">
        <f>P2-P3</f>
        <v>556.13000000000011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667" t="s">
        <v>224</v>
      </c>
      <c r="G5" s="666"/>
      <c r="H5" s="532" t="s">
        <v>25</v>
      </c>
      <c r="I5" s="536"/>
      <c r="J5" s="533"/>
      <c r="K5" s="154"/>
      <c r="L5" s="558" t="s">
        <v>26</v>
      </c>
      <c r="M5" s="559"/>
      <c r="N5" s="560"/>
      <c r="O5" s="149"/>
      <c r="P5" s="561">
        <f>IFERROR((P2-P3)/P2,"")</f>
        <v>6.882030466903441E-2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69" t="s">
        <v>225</v>
      </c>
      <c r="G6" s="666"/>
      <c r="H6" s="532" t="s">
        <v>31</v>
      </c>
      <c r="I6" s="536"/>
      <c r="J6" s="533"/>
      <c r="K6" s="154"/>
      <c r="L6" s="574" t="s">
        <v>32</v>
      </c>
      <c r="M6" s="575"/>
      <c r="N6" s="576"/>
      <c r="O6" s="149"/>
      <c r="P6" s="577">
        <f>T61</f>
        <v>7524.7699999999995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563"/>
      <c r="G7" s="535"/>
      <c r="H7" s="532" t="s">
        <v>36</v>
      </c>
      <c r="I7" s="536"/>
      <c r="J7" s="533"/>
      <c r="K7" s="154"/>
      <c r="L7" s="564" t="s">
        <v>37</v>
      </c>
      <c r="M7" s="565"/>
      <c r="N7" s="56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532" t="s">
        <v>40</v>
      </c>
      <c r="I8" s="536"/>
      <c r="J8" s="533"/>
      <c r="K8" s="154"/>
      <c r="L8" s="564" t="s">
        <v>41</v>
      </c>
      <c r="M8" s="565"/>
      <c r="N8" s="56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394</v>
      </c>
      <c r="G9" s="535"/>
      <c r="H9" s="171"/>
      <c r="I9" s="172"/>
      <c r="J9" s="172"/>
      <c r="K9" s="173"/>
      <c r="L9" s="564" t="s">
        <v>47</v>
      </c>
      <c r="M9" s="565"/>
      <c r="N9" s="56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7524.7699999999995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542" t="s">
        <v>48</v>
      </c>
      <c r="M10" s="579"/>
      <c r="N10" s="543"/>
      <c r="O10" s="149"/>
      <c r="P10" s="580">
        <f>E61</f>
        <v>19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650" t="s">
        <v>50</v>
      </c>
      <c r="K11" s="651"/>
      <c r="L11" s="651"/>
      <c r="M11" s="651"/>
      <c r="N11" s="652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653"/>
      <c r="K12" s="654"/>
      <c r="L12" s="654"/>
      <c r="M12" s="654"/>
      <c r="N12" s="655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656"/>
      <c r="K13" s="657"/>
      <c r="L13" s="657"/>
      <c r="M13" s="657"/>
      <c r="N13" s="658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601" t="s">
        <v>59</v>
      </c>
      <c r="K14" s="602"/>
      <c r="L14" s="605" t="s">
        <v>60</v>
      </c>
      <c r="M14" s="606"/>
      <c r="N14" s="60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603"/>
      <c r="K15" s="604"/>
      <c r="L15" s="608"/>
      <c r="M15" s="609"/>
      <c r="N15" s="61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631" t="s">
        <v>69</v>
      </c>
      <c r="K16" s="201" t="s">
        <v>72</v>
      </c>
      <c r="L16" s="202" t="s">
        <v>73</v>
      </c>
      <c r="M16" s="633" t="s">
        <v>74</v>
      </c>
      <c r="N16" s="633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3"/>
      <c r="C17" s="625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632"/>
      <c r="K17" s="614" t="s">
        <v>52</v>
      </c>
      <c r="L17" s="615"/>
      <c r="M17" s="634"/>
      <c r="N17" s="634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 s="276">
        <v>22226351</v>
      </c>
      <c r="C18" s="277" t="s">
        <v>226</v>
      </c>
      <c r="D18" s="278">
        <v>500</v>
      </c>
      <c r="E18" s="279">
        <v>1</v>
      </c>
      <c r="F18" s="220">
        <v>35.06</v>
      </c>
      <c r="G18" s="221">
        <f t="shared" ref="G18:G60" si="0">ROUND(IF($F$17="USD $", F18*$E$15,F18*$D$15),2)</f>
        <v>24.69</v>
      </c>
      <c r="H18" s="222">
        <f t="shared" ref="H18:H60" si="1">ROUND(IF($H$17=$G$17,E18*G18,E18*F18),2)</f>
        <v>35.06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13.32</v>
      </c>
      <c r="L18" s="221">
        <f t="shared" ref="L18:L60" si="4">ROUND((J18*K18),2)</f>
        <v>13.32</v>
      </c>
      <c r="M18" s="220" t="s">
        <v>84</v>
      </c>
      <c r="N18" s="225">
        <v>0.62</v>
      </c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13.32</v>
      </c>
      <c r="T18" s="229">
        <f t="shared" ref="T18:T60" si="7">ROUND(L18-R18,2)</f>
        <v>13.32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280">
        <v>54525506</v>
      </c>
      <c r="C19" s="281" t="s">
        <v>227</v>
      </c>
      <c r="D19" s="282">
        <v>500</v>
      </c>
      <c r="E19" s="283">
        <v>1</v>
      </c>
      <c r="F19" s="239">
        <v>259.49</v>
      </c>
      <c r="G19" s="240">
        <f t="shared" si="0"/>
        <v>182.74</v>
      </c>
      <c r="H19" s="241">
        <f t="shared" si="1"/>
        <v>259.49</v>
      </c>
      <c r="I19" s="242"/>
      <c r="J19" s="243">
        <f t="shared" si="2"/>
        <v>1</v>
      </c>
      <c r="K19" s="240">
        <f t="shared" si="3"/>
        <v>98.61</v>
      </c>
      <c r="L19" s="240">
        <f t="shared" si="4"/>
        <v>98.61</v>
      </c>
      <c r="M19" s="244" t="s">
        <v>84</v>
      </c>
      <c r="N19" s="245">
        <v>0.62</v>
      </c>
      <c r="O19" s="226"/>
      <c r="P19" s="246"/>
      <c r="Q19" s="239"/>
      <c r="R19" s="247">
        <f t="shared" si="5"/>
        <v>0</v>
      </c>
      <c r="S19" s="248">
        <f t="shared" si="6"/>
        <v>98.61</v>
      </c>
      <c r="T19" s="248">
        <f t="shared" si="7"/>
        <v>98.61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276">
        <v>36897353</v>
      </c>
      <c r="C20" s="284" t="s">
        <v>228</v>
      </c>
      <c r="D20" s="285">
        <v>250</v>
      </c>
      <c r="E20" s="279">
        <v>1</v>
      </c>
      <c r="F20" s="220">
        <v>32.71</v>
      </c>
      <c r="G20" s="221">
        <f t="shared" si="0"/>
        <v>23.04</v>
      </c>
      <c r="H20" s="222">
        <f t="shared" si="1"/>
        <v>32.71</v>
      </c>
      <c r="I20" s="242"/>
      <c r="J20" s="224">
        <f t="shared" si="2"/>
        <v>1</v>
      </c>
      <c r="K20" s="221">
        <f t="shared" si="3"/>
        <v>12.43</v>
      </c>
      <c r="L20" s="221">
        <f t="shared" si="4"/>
        <v>12.43</v>
      </c>
      <c r="M20" s="220" t="s">
        <v>84</v>
      </c>
      <c r="N20" s="254">
        <v>0.62</v>
      </c>
      <c r="O20" s="226"/>
      <c r="P20" s="255"/>
      <c r="Q20" s="228"/>
      <c r="R20" s="229">
        <f t="shared" si="5"/>
        <v>0</v>
      </c>
      <c r="S20" s="229">
        <f t="shared" si="6"/>
        <v>12.43</v>
      </c>
      <c r="T20" s="229">
        <f t="shared" si="7"/>
        <v>12.43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280">
        <v>54625942</v>
      </c>
      <c r="C21" s="281" t="s">
        <v>229</v>
      </c>
      <c r="D21" s="282">
        <v>1000</v>
      </c>
      <c r="E21" s="283">
        <v>1</v>
      </c>
      <c r="F21" s="239">
        <v>285.95999999999998</v>
      </c>
      <c r="G21" s="240">
        <f t="shared" si="0"/>
        <v>201.38</v>
      </c>
      <c r="H21" s="241">
        <f t="shared" si="1"/>
        <v>285.95999999999998</v>
      </c>
      <c r="I21" s="242"/>
      <c r="J21" s="243">
        <f t="shared" si="2"/>
        <v>1</v>
      </c>
      <c r="K21" s="240">
        <f t="shared" si="3"/>
        <v>108.66</v>
      </c>
      <c r="L21" s="240">
        <f t="shared" si="4"/>
        <v>108.66</v>
      </c>
      <c r="M21" s="244" t="s">
        <v>84</v>
      </c>
      <c r="N21" s="245">
        <v>0.62</v>
      </c>
      <c r="O21" s="226"/>
      <c r="P21" s="246"/>
      <c r="Q21" s="239"/>
      <c r="R21" s="247">
        <f t="shared" si="5"/>
        <v>0</v>
      </c>
      <c r="S21" s="248">
        <f t="shared" si="6"/>
        <v>108.66</v>
      </c>
      <c r="T21" s="248">
        <f t="shared" si="7"/>
        <v>108.66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276">
        <v>35393685</v>
      </c>
      <c r="C22" s="284" t="s">
        <v>214</v>
      </c>
      <c r="D22" s="285">
        <v>250</v>
      </c>
      <c r="E22" s="279">
        <v>1</v>
      </c>
      <c r="F22" s="220">
        <v>125.1</v>
      </c>
      <c r="G22" s="221">
        <f t="shared" si="0"/>
        <v>88.1</v>
      </c>
      <c r="H22" s="222">
        <f t="shared" si="1"/>
        <v>125.1</v>
      </c>
      <c r="I22" s="242"/>
      <c r="J22" s="224">
        <f t="shared" si="2"/>
        <v>1</v>
      </c>
      <c r="K22" s="221">
        <f t="shared" si="3"/>
        <v>47.54</v>
      </c>
      <c r="L22" s="221">
        <f t="shared" si="4"/>
        <v>47.54</v>
      </c>
      <c r="M22" s="220" t="s">
        <v>84</v>
      </c>
      <c r="N22" s="254">
        <v>0.62</v>
      </c>
      <c r="O22" s="226"/>
      <c r="P22" s="255"/>
      <c r="Q22" s="228"/>
      <c r="R22" s="229">
        <f t="shared" si="5"/>
        <v>0</v>
      </c>
      <c r="S22" s="229">
        <f t="shared" si="6"/>
        <v>47.54</v>
      </c>
      <c r="T22" s="229">
        <f t="shared" si="7"/>
        <v>47.54</v>
      </c>
      <c r="U22" s="230">
        <f t="shared" si="8"/>
        <v>0</v>
      </c>
      <c r="V22" s="230">
        <f t="shared" si="9"/>
        <v>1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280">
        <v>35393651</v>
      </c>
      <c r="C23" s="281" t="s">
        <v>216</v>
      </c>
      <c r="D23" s="282">
        <v>250</v>
      </c>
      <c r="E23" s="283">
        <v>1</v>
      </c>
      <c r="F23" s="239">
        <v>121.78</v>
      </c>
      <c r="G23" s="240">
        <f t="shared" si="0"/>
        <v>85.76</v>
      </c>
      <c r="H23" s="241">
        <f t="shared" si="1"/>
        <v>121.78</v>
      </c>
      <c r="I23" s="242"/>
      <c r="J23" s="243">
        <f t="shared" si="2"/>
        <v>1</v>
      </c>
      <c r="K23" s="240">
        <f t="shared" si="3"/>
        <v>46.28</v>
      </c>
      <c r="L23" s="240">
        <f t="shared" si="4"/>
        <v>46.28</v>
      </c>
      <c r="M23" s="244" t="s">
        <v>84</v>
      </c>
      <c r="N23" s="245">
        <v>0.62</v>
      </c>
      <c r="O23" s="226"/>
      <c r="P23" s="246"/>
      <c r="Q23" s="239"/>
      <c r="R23" s="247">
        <f t="shared" si="5"/>
        <v>0</v>
      </c>
      <c r="S23" s="248">
        <f t="shared" si="6"/>
        <v>46.28</v>
      </c>
      <c r="T23" s="248">
        <f t="shared" si="7"/>
        <v>46.28</v>
      </c>
      <c r="U23" s="249">
        <f t="shared" si="8"/>
        <v>0</v>
      </c>
      <c r="V23" s="249">
        <f t="shared" si="9"/>
        <v>1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276">
        <v>22226369</v>
      </c>
      <c r="C24" s="284" t="s">
        <v>218</v>
      </c>
      <c r="D24" s="285">
        <v>500</v>
      </c>
      <c r="E24" s="279">
        <v>1</v>
      </c>
      <c r="F24" s="220">
        <v>36.89</v>
      </c>
      <c r="G24" s="221">
        <f t="shared" si="0"/>
        <v>25.98</v>
      </c>
      <c r="H24" s="222">
        <f t="shared" si="1"/>
        <v>36.89</v>
      </c>
      <c r="I24" s="242"/>
      <c r="J24" s="224">
        <f t="shared" si="2"/>
        <v>1</v>
      </c>
      <c r="K24" s="221">
        <f t="shared" si="3"/>
        <v>14.02</v>
      </c>
      <c r="L24" s="221">
        <f t="shared" si="4"/>
        <v>14.02</v>
      </c>
      <c r="M24" s="220" t="s">
        <v>84</v>
      </c>
      <c r="N24" s="254">
        <v>0.62</v>
      </c>
      <c r="O24" s="226"/>
      <c r="P24" s="255"/>
      <c r="Q24" s="228"/>
      <c r="R24" s="229">
        <f t="shared" si="5"/>
        <v>0</v>
      </c>
      <c r="S24" s="229">
        <f t="shared" si="6"/>
        <v>14.02</v>
      </c>
      <c r="T24" s="229">
        <f t="shared" si="7"/>
        <v>14.02</v>
      </c>
      <c r="U24" s="230">
        <f t="shared" si="8"/>
        <v>0</v>
      </c>
      <c r="V24" s="230">
        <f t="shared" si="9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 s="280"/>
      <c r="C25" s="281"/>
      <c r="D25" s="282"/>
      <c r="E25" s="283"/>
      <c r="F25" s="239"/>
      <c r="G25" s="240">
        <f t="shared" si="0"/>
        <v>0</v>
      </c>
      <c r="H25" s="241">
        <f t="shared" si="1"/>
        <v>0</v>
      </c>
      <c r="I25" s="242"/>
      <c r="J25" s="243">
        <f t="shared" si="2"/>
        <v>0</v>
      </c>
      <c r="K25" s="240">
        <f t="shared" si="3"/>
        <v>0</v>
      </c>
      <c r="L25" s="240">
        <f t="shared" si="4"/>
        <v>0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0</v>
      </c>
      <c r="T25" s="248">
        <f t="shared" si="7"/>
        <v>0</v>
      </c>
      <c r="U25" s="249">
        <f t="shared" si="8"/>
        <v>0</v>
      </c>
      <c r="V25" s="249">
        <f t="shared" si="9"/>
        <v>0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 s="276"/>
      <c r="C26" s="284"/>
      <c r="D26" s="285"/>
      <c r="E26" s="279"/>
      <c r="F26" s="220"/>
      <c r="G26" s="221">
        <f t="shared" si="0"/>
        <v>0</v>
      </c>
      <c r="H26" s="222">
        <f t="shared" si="1"/>
        <v>0</v>
      </c>
      <c r="I26" s="242"/>
      <c r="J26" s="224">
        <f t="shared" si="2"/>
        <v>0</v>
      </c>
      <c r="K26" s="221">
        <f t="shared" si="3"/>
        <v>0</v>
      </c>
      <c r="L26" s="221">
        <f t="shared" si="4"/>
        <v>0</v>
      </c>
      <c r="M26" s="220" t="s">
        <v>84</v>
      </c>
      <c r="N26" s="254">
        <v>0.5</v>
      </c>
      <c r="O26" s="226"/>
      <c r="P26" s="255"/>
      <c r="Q26" s="228"/>
      <c r="R26" s="229">
        <f t="shared" si="5"/>
        <v>0</v>
      </c>
      <c r="S26" s="229">
        <f t="shared" si="6"/>
        <v>0</v>
      </c>
      <c r="T26" s="229">
        <f t="shared" si="7"/>
        <v>0</v>
      </c>
      <c r="U26" s="230">
        <f t="shared" si="8"/>
        <v>0</v>
      </c>
      <c r="V26" s="230">
        <f t="shared" si="9"/>
        <v>0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280"/>
      <c r="C27" s="281"/>
      <c r="D27" s="282"/>
      <c r="E27" s="283"/>
      <c r="F27" s="239"/>
      <c r="G27" s="240">
        <f t="shared" si="0"/>
        <v>0</v>
      </c>
      <c r="H27" s="241">
        <f t="shared" si="1"/>
        <v>0</v>
      </c>
      <c r="I27" s="242"/>
      <c r="J27" s="243">
        <f t="shared" si="2"/>
        <v>0</v>
      </c>
      <c r="K27" s="240">
        <f t="shared" si="3"/>
        <v>0</v>
      </c>
      <c r="L27" s="240">
        <f t="shared" si="4"/>
        <v>0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0</v>
      </c>
      <c r="T27" s="248">
        <f t="shared" si="7"/>
        <v>0</v>
      </c>
      <c r="U27" s="249">
        <f t="shared" si="8"/>
        <v>0</v>
      </c>
      <c r="V27" s="249">
        <f t="shared" si="9"/>
        <v>0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276">
        <v>36844264</v>
      </c>
      <c r="C28" s="284" t="s">
        <v>230</v>
      </c>
      <c r="D28" s="285" t="s">
        <v>101</v>
      </c>
      <c r="E28" s="279">
        <v>1</v>
      </c>
      <c r="F28" s="220"/>
      <c r="G28" s="221">
        <f t="shared" si="0"/>
        <v>0</v>
      </c>
      <c r="H28" s="222">
        <f t="shared" si="1"/>
        <v>0</v>
      </c>
      <c r="I28" s="242"/>
      <c r="J28" s="224">
        <f t="shared" si="2"/>
        <v>1</v>
      </c>
      <c r="K28" s="221">
        <f t="shared" si="3"/>
        <v>0</v>
      </c>
      <c r="L28" s="221">
        <f t="shared" si="4"/>
        <v>0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0</v>
      </c>
      <c r="T28" s="229">
        <f t="shared" si="7"/>
        <v>0</v>
      </c>
      <c r="U28" s="230">
        <f t="shared" si="8"/>
        <v>0</v>
      </c>
      <c r="V28" s="230">
        <f t="shared" si="9"/>
        <v>0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280"/>
      <c r="C29" s="281"/>
      <c r="D29" s="282"/>
      <c r="E29" s="283"/>
      <c r="F29" s="239"/>
      <c r="G29" s="240">
        <f t="shared" si="0"/>
        <v>0</v>
      </c>
      <c r="H29" s="241">
        <f t="shared" si="1"/>
        <v>0</v>
      </c>
      <c r="I29" s="242"/>
      <c r="J29" s="243">
        <f t="shared" si="2"/>
        <v>0</v>
      </c>
      <c r="K29" s="240">
        <f t="shared" si="3"/>
        <v>0</v>
      </c>
      <c r="L29" s="240">
        <f t="shared" si="4"/>
        <v>0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0</v>
      </c>
      <c r="T29" s="248">
        <f t="shared" si="7"/>
        <v>0</v>
      </c>
      <c r="U29" s="249">
        <f t="shared" si="8"/>
        <v>0</v>
      </c>
      <c r="V29" s="249">
        <f t="shared" si="9"/>
        <v>0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276">
        <v>22246268</v>
      </c>
      <c r="C30" s="284" t="s">
        <v>231</v>
      </c>
      <c r="D30" s="285"/>
      <c r="E30" s="279">
        <v>2</v>
      </c>
      <c r="F30" s="220">
        <v>239.49</v>
      </c>
      <c r="G30" s="221">
        <f t="shared" si="0"/>
        <v>168.65</v>
      </c>
      <c r="H30" s="222">
        <f t="shared" si="1"/>
        <v>478.98</v>
      </c>
      <c r="I30" s="242"/>
      <c r="J30" s="224">
        <f t="shared" si="2"/>
        <v>2</v>
      </c>
      <c r="K30" s="221">
        <f t="shared" si="3"/>
        <v>239.49</v>
      </c>
      <c r="L30" s="221">
        <f t="shared" si="4"/>
        <v>478.98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239.49</v>
      </c>
      <c r="T30" s="229">
        <f t="shared" si="7"/>
        <v>478.98</v>
      </c>
      <c r="U30" s="230">
        <f t="shared" si="8"/>
        <v>0</v>
      </c>
      <c r="V30" s="230">
        <f t="shared" si="9"/>
        <v>1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280">
        <v>22246276</v>
      </c>
      <c r="C31" s="281" t="s">
        <v>232</v>
      </c>
      <c r="D31" s="282"/>
      <c r="E31" s="283">
        <v>2</v>
      </c>
      <c r="F31" s="239">
        <v>282.99</v>
      </c>
      <c r="G31" s="240">
        <f t="shared" si="0"/>
        <v>199.29</v>
      </c>
      <c r="H31" s="241">
        <f t="shared" si="1"/>
        <v>565.98</v>
      </c>
      <c r="I31" s="242"/>
      <c r="J31" s="243">
        <f t="shared" si="2"/>
        <v>2</v>
      </c>
      <c r="K31" s="240">
        <f t="shared" si="3"/>
        <v>282.99</v>
      </c>
      <c r="L31" s="240">
        <f t="shared" si="4"/>
        <v>565.98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282.99</v>
      </c>
      <c r="T31" s="248">
        <f t="shared" si="7"/>
        <v>565.98</v>
      </c>
      <c r="U31" s="249">
        <f t="shared" si="8"/>
        <v>0</v>
      </c>
      <c r="V31" s="249">
        <f t="shared" si="9"/>
        <v>1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276"/>
      <c r="C32" s="284"/>
      <c r="D32" s="285"/>
      <c r="E32" s="279"/>
      <c r="F32" s="220"/>
      <c r="G32" s="221">
        <f t="shared" si="0"/>
        <v>0</v>
      </c>
      <c r="H32" s="222">
        <f t="shared" si="1"/>
        <v>0</v>
      </c>
      <c r="I32" s="242"/>
      <c r="J32" s="224">
        <f t="shared" si="2"/>
        <v>0</v>
      </c>
      <c r="K32" s="221">
        <f t="shared" si="3"/>
        <v>0</v>
      </c>
      <c r="L32" s="221">
        <f t="shared" si="4"/>
        <v>0</v>
      </c>
      <c r="M32" s="220" t="s">
        <v>84</v>
      </c>
      <c r="N32" s="254">
        <v>0.5</v>
      </c>
      <c r="O32" s="226"/>
      <c r="P32" s="255"/>
      <c r="Q32" s="228"/>
      <c r="R32" s="229">
        <f t="shared" si="5"/>
        <v>0</v>
      </c>
      <c r="S32" s="229">
        <f t="shared" si="6"/>
        <v>0</v>
      </c>
      <c r="T32" s="229">
        <f t="shared" si="7"/>
        <v>0</v>
      </c>
      <c r="U32" s="230">
        <f t="shared" si="8"/>
        <v>0</v>
      </c>
      <c r="V32" s="230">
        <f t="shared" si="9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280">
        <v>15895832</v>
      </c>
      <c r="C33" s="281" t="s">
        <v>112</v>
      </c>
      <c r="D33" s="282"/>
      <c r="E33" s="283">
        <v>1</v>
      </c>
      <c r="F33" s="239">
        <v>4302.99</v>
      </c>
      <c r="G33" s="240">
        <f t="shared" si="0"/>
        <v>3030.27</v>
      </c>
      <c r="H33" s="241">
        <f t="shared" si="1"/>
        <v>4302.99</v>
      </c>
      <c r="I33" s="242"/>
      <c r="J33" s="243">
        <f t="shared" si="2"/>
        <v>1</v>
      </c>
      <c r="K33" s="240">
        <f t="shared" si="3"/>
        <v>4302.99</v>
      </c>
      <c r="L33" s="240">
        <f t="shared" si="4"/>
        <v>4302.99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4302.99</v>
      </c>
      <c r="T33" s="248">
        <f t="shared" si="7"/>
        <v>4302.99</v>
      </c>
      <c r="U33" s="249">
        <f t="shared" si="8"/>
        <v>0</v>
      </c>
      <c r="V33" s="249">
        <f t="shared" si="9"/>
        <v>1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276">
        <v>15896251</v>
      </c>
      <c r="C34" s="284" t="s">
        <v>188</v>
      </c>
      <c r="D34" s="285"/>
      <c r="E34" s="279">
        <v>1</v>
      </c>
      <c r="F34" s="220"/>
      <c r="G34" s="221">
        <f t="shared" si="0"/>
        <v>0</v>
      </c>
      <c r="H34" s="222">
        <f t="shared" si="1"/>
        <v>0</v>
      </c>
      <c r="I34" s="242"/>
      <c r="J34" s="224">
        <f t="shared" si="2"/>
        <v>1</v>
      </c>
      <c r="K34" s="221">
        <f t="shared" si="3"/>
        <v>0</v>
      </c>
      <c r="L34" s="221">
        <f t="shared" si="4"/>
        <v>0</v>
      </c>
      <c r="M34" s="220" t="s">
        <v>84</v>
      </c>
      <c r="N34" s="254">
        <v>0.5</v>
      </c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280">
        <v>15896327</v>
      </c>
      <c r="C35" s="281" t="s">
        <v>189</v>
      </c>
      <c r="D35" s="282"/>
      <c r="E35" s="283">
        <v>1</v>
      </c>
      <c r="F35" s="239"/>
      <c r="G35" s="240">
        <f t="shared" si="0"/>
        <v>0</v>
      </c>
      <c r="H35" s="241">
        <f t="shared" si="1"/>
        <v>0</v>
      </c>
      <c r="I35" s="242"/>
      <c r="J35" s="243">
        <f t="shared" si="2"/>
        <v>1</v>
      </c>
      <c r="K35" s="240">
        <f t="shared" si="3"/>
        <v>0</v>
      </c>
      <c r="L35" s="240">
        <f t="shared" si="4"/>
        <v>0</v>
      </c>
      <c r="M35" s="244" t="s">
        <v>84</v>
      </c>
      <c r="N35" s="245">
        <v>0.5</v>
      </c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276">
        <v>15896863</v>
      </c>
      <c r="C36" s="284" t="s">
        <v>233</v>
      </c>
      <c r="D36" s="285"/>
      <c r="E36" s="279">
        <v>4</v>
      </c>
      <c r="F36" s="220">
        <v>458.99</v>
      </c>
      <c r="G36" s="221">
        <f t="shared" si="0"/>
        <v>323.23</v>
      </c>
      <c r="H36" s="222">
        <f t="shared" si="1"/>
        <v>1835.96</v>
      </c>
      <c r="I36" s="242"/>
      <c r="J36" s="224">
        <f t="shared" si="2"/>
        <v>4</v>
      </c>
      <c r="K36" s="221">
        <f t="shared" si="3"/>
        <v>458.99</v>
      </c>
      <c r="L36" s="221">
        <f t="shared" si="4"/>
        <v>1835.96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458.99</v>
      </c>
      <c r="T36" s="229">
        <f t="shared" si="7"/>
        <v>1835.96</v>
      </c>
      <c r="U36" s="230">
        <f t="shared" si="8"/>
        <v>0</v>
      </c>
      <c r="V36" s="230">
        <f t="shared" si="9"/>
        <v>1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280"/>
      <c r="C37" s="281"/>
      <c r="D37" s="282"/>
      <c r="E37" s="283"/>
      <c r="F37" s="239"/>
      <c r="G37" s="240">
        <f t="shared" si="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276"/>
      <c r="C38" s="284"/>
      <c r="D38" s="285"/>
      <c r="E38" s="279"/>
      <c r="F38" s="220"/>
      <c r="G38" s="221">
        <f t="shared" si="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280"/>
      <c r="C39" s="281"/>
      <c r="D39" s="282"/>
      <c r="E39" s="283"/>
      <c r="F39" s="239"/>
      <c r="G39" s="240">
        <f t="shared" si="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276"/>
      <c r="C40" s="284"/>
      <c r="D40" s="285"/>
      <c r="E40" s="279"/>
      <c r="F40" s="220"/>
      <c r="G40" s="221">
        <f t="shared" si="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280"/>
      <c r="C41" s="281"/>
      <c r="D41" s="282"/>
      <c r="E41" s="283"/>
      <c r="F41" s="239"/>
      <c r="G41" s="240">
        <f t="shared" si="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276"/>
      <c r="C42" s="284"/>
      <c r="D42" s="285"/>
      <c r="E42" s="279"/>
      <c r="F42" s="220"/>
      <c r="G42" s="221">
        <f t="shared" si="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280"/>
      <c r="C43" s="281"/>
      <c r="D43" s="282"/>
      <c r="E43" s="283"/>
      <c r="F43" s="239"/>
      <c r="G43" s="240">
        <f t="shared" si="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276"/>
      <c r="C44" s="284"/>
      <c r="D44" s="285"/>
      <c r="E44" s="279"/>
      <c r="F44" s="220"/>
      <c r="G44" s="221">
        <f t="shared" si="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280"/>
      <c r="C45" s="281"/>
      <c r="D45" s="282"/>
      <c r="E45" s="283"/>
      <c r="F45" s="239"/>
      <c r="G45" s="240">
        <f t="shared" si="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276"/>
      <c r="C46" s="284"/>
      <c r="D46" s="285"/>
      <c r="E46" s="279"/>
      <c r="F46" s="220"/>
      <c r="G46" s="221">
        <f t="shared" si="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280"/>
      <c r="C47" s="281"/>
      <c r="D47" s="282"/>
      <c r="E47" s="283"/>
      <c r="F47" s="239"/>
      <c r="G47" s="240">
        <f t="shared" si="0"/>
        <v>0</v>
      </c>
      <c r="H47" s="241">
        <f t="shared" si="1"/>
        <v>0</v>
      </c>
      <c r="I47" s="242"/>
      <c r="J47" s="243">
        <f t="shared" si="2"/>
        <v>0</v>
      </c>
      <c r="K47" s="240">
        <f t="shared" si="3"/>
        <v>0</v>
      </c>
      <c r="L47" s="240">
        <f t="shared" si="4"/>
        <v>0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0</v>
      </c>
      <c r="T47" s="248">
        <f t="shared" si="7"/>
        <v>0</v>
      </c>
      <c r="U47" s="249">
        <f t="shared" si="8"/>
        <v>0</v>
      </c>
      <c r="V47" s="249">
        <f t="shared" si="9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276"/>
      <c r="C48" s="284"/>
      <c r="D48" s="285"/>
      <c r="E48" s="279"/>
      <c r="F48" s="220"/>
      <c r="G48" s="221">
        <f t="shared" si="0"/>
        <v>0</v>
      </c>
      <c r="H48" s="222">
        <f t="shared" si="1"/>
        <v>0</v>
      </c>
      <c r="I48" s="242"/>
      <c r="J48" s="224">
        <f t="shared" si="2"/>
        <v>0</v>
      </c>
      <c r="K48" s="221">
        <f t="shared" si="3"/>
        <v>0</v>
      </c>
      <c r="L48" s="221">
        <f t="shared" si="4"/>
        <v>0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0</v>
      </c>
      <c r="T48" s="229">
        <f t="shared" si="7"/>
        <v>0</v>
      </c>
      <c r="U48" s="230">
        <f t="shared" si="8"/>
        <v>0</v>
      </c>
      <c r="V48" s="230">
        <f t="shared" si="9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280"/>
      <c r="C49" s="281"/>
      <c r="D49" s="282"/>
      <c r="E49" s="283"/>
      <c r="F49" s="239"/>
      <c r="G49" s="240">
        <f t="shared" si="0"/>
        <v>0</v>
      </c>
      <c r="H49" s="241">
        <f t="shared" si="1"/>
        <v>0</v>
      </c>
      <c r="I49" s="242"/>
      <c r="J49" s="243">
        <f t="shared" si="2"/>
        <v>0</v>
      </c>
      <c r="K49" s="240">
        <f t="shared" si="3"/>
        <v>0</v>
      </c>
      <c r="L49" s="240">
        <f t="shared" si="4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0</v>
      </c>
      <c r="T49" s="248">
        <f t="shared" si="7"/>
        <v>0</v>
      </c>
      <c r="U49" s="249">
        <f t="shared" si="8"/>
        <v>0</v>
      </c>
      <c r="V49" s="249">
        <f t="shared" si="9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276"/>
      <c r="C50" s="284"/>
      <c r="D50" s="285"/>
      <c r="E50" s="279"/>
      <c r="F50" s="220"/>
      <c r="G50" s="221">
        <f t="shared" si="0"/>
        <v>0</v>
      </c>
      <c r="H50" s="222">
        <f t="shared" si="1"/>
        <v>0</v>
      </c>
      <c r="I50" s="242"/>
      <c r="J50" s="224">
        <f t="shared" si="2"/>
        <v>0</v>
      </c>
      <c r="K50" s="221">
        <f t="shared" si="3"/>
        <v>0</v>
      </c>
      <c r="L50" s="221">
        <f t="shared" si="4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0</v>
      </c>
      <c r="T50" s="229">
        <f t="shared" si="7"/>
        <v>0</v>
      </c>
      <c r="U50" s="230">
        <f t="shared" si="8"/>
        <v>0</v>
      </c>
      <c r="V50" s="230">
        <f t="shared" si="9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280"/>
      <c r="C51" s="281"/>
      <c r="D51" s="282"/>
      <c r="E51" s="283"/>
      <c r="F51" s="239"/>
      <c r="G51" s="240">
        <f t="shared" si="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19</v>
      </c>
      <c r="F61" s="265">
        <f>SUM(F18:F60)</f>
        <v>6181.45</v>
      </c>
      <c r="G61" s="266">
        <f>SUM(G18:G60)</f>
        <v>4353.13</v>
      </c>
      <c r="H61" s="267">
        <f>SUM(H18:H60)</f>
        <v>8080.9</v>
      </c>
      <c r="I61" s="268"/>
      <c r="J61" s="269">
        <f>SUM(J18:J60)</f>
        <v>19</v>
      </c>
      <c r="K61" s="266">
        <f>SUM(K18:K60)</f>
        <v>5625.32</v>
      </c>
      <c r="L61" s="267">
        <f>SUM(L18:L60)</f>
        <v>7524.7699999999995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5625.32</v>
      </c>
      <c r="T61" s="267">
        <f>SUM(T18:T60)</f>
        <v>7524.7699999999995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163" priority="3" stopIfTrue="1">
      <formula>$U$9&gt;100%</formula>
    </cfRule>
    <cfRule type="expression" dxfId="162" priority="4">
      <formula>$U$9&lt;50%</formula>
    </cfRule>
  </conditionalFormatting>
  <conditionalFormatting sqref="V9:V10">
    <cfRule type="expression" dxfId="161" priority="1">
      <formula>$V$9&lt;50%</formula>
    </cfRule>
    <cfRule type="expression" dxfId="160" priority="2">
      <formula>$V$9&gt;50%</formula>
    </cfRule>
  </conditionalFormatting>
  <dataValidations count="5">
    <dataValidation type="list" allowBlank="1" showInputMessage="1" showErrorMessage="1" sqref="F17 K17 Q17 Q14" xr:uid="{BF3C47C9-ADB1-40EC-A126-EB4DF2B84B27}">
      <formula1>$Y$11:$Y$12</formula1>
    </dataValidation>
    <dataValidation type="list" allowBlank="1" showInputMessage="1" showErrorMessage="1" sqref="H13" xr:uid="{2D4A7AFF-AD3D-416D-B867-811CCAAA3A2B}">
      <formula1>$Y$13:$Y$14</formula1>
    </dataValidation>
    <dataValidation type="list" allowBlank="1" showInputMessage="1" showErrorMessage="1" sqref="I13" xr:uid="{D0BF1616-1108-488B-A796-70FFA7173C37}">
      <formula1>$K$9:$K$9</formula1>
    </dataValidation>
    <dataValidation type="list" showInputMessage="1" showErrorMessage="1" sqref="D52:D60" xr:uid="{9BCF1A39-8B19-496F-887A-32E150423EEF}">
      <formula1>$Z$18:$Z$29</formula1>
    </dataValidation>
    <dataValidation type="list" allowBlank="1" showInputMessage="1" showErrorMessage="1" sqref="M18:M60" xr:uid="{B5673294-CE74-4F9A-B409-B87F21D77D22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CE86D-FB8F-4D91-9B29-443C99BE9E2C}">
  <sheetPr>
    <pageSetUpPr fitToPage="1"/>
  </sheetPr>
  <dimension ref="A1:AB63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523" t="s">
        <v>2</v>
      </c>
      <c r="I1" s="524"/>
      <c r="J1" s="524"/>
      <c r="K1" s="525"/>
      <c r="L1" s="528" t="s">
        <v>3</v>
      </c>
      <c r="M1" s="529"/>
      <c r="N1" s="529"/>
      <c r="O1" s="529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59">
        <v>12252</v>
      </c>
      <c r="G2" s="549"/>
      <c r="H2" s="546" t="s">
        <v>7</v>
      </c>
      <c r="I2" s="550"/>
      <c r="J2" s="547"/>
      <c r="K2" s="148"/>
      <c r="L2" s="551" t="s">
        <v>8</v>
      </c>
      <c r="M2" s="552"/>
      <c r="N2" s="553"/>
      <c r="O2" s="149"/>
      <c r="P2" s="554">
        <f>H61</f>
        <v>1462.97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532" t="s">
        <v>13</v>
      </c>
      <c r="I3" s="536"/>
      <c r="J3" s="533"/>
      <c r="K3" s="154"/>
      <c r="L3" s="537" t="s">
        <v>14</v>
      </c>
      <c r="M3" s="538"/>
      <c r="N3" s="539"/>
      <c r="O3" s="149"/>
      <c r="P3" s="540">
        <f>L61</f>
        <v>906.84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665" t="s">
        <v>223</v>
      </c>
      <c r="G4" s="666"/>
      <c r="H4" s="532" t="s">
        <v>19</v>
      </c>
      <c r="I4" s="536"/>
      <c r="J4" s="533"/>
      <c r="K4" s="154"/>
      <c r="L4" s="537" t="s">
        <v>20</v>
      </c>
      <c r="M4" s="538"/>
      <c r="N4" s="539"/>
      <c r="O4" s="149"/>
      <c r="P4" s="540">
        <f>P2-P3</f>
        <v>556.13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667" t="s">
        <v>234</v>
      </c>
      <c r="G5" s="666"/>
      <c r="H5" s="532" t="s">
        <v>25</v>
      </c>
      <c r="I5" s="536"/>
      <c r="J5" s="533"/>
      <c r="K5" s="154"/>
      <c r="L5" s="558" t="s">
        <v>26</v>
      </c>
      <c r="M5" s="559"/>
      <c r="N5" s="560"/>
      <c r="O5" s="149"/>
      <c r="P5" s="561">
        <f>IFERROR((P2-P3)/P2,"")</f>
        <v>0.38013766516059794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69" t="s">
        <v>235</v>
      </c>
      <c r="G6" s="666"/>
      <c r="H6" s="532" t="s">
        <v>31</v>
      </c>
      <c r="I6" s="536"/>
      <c r="J6" s="533"/>
      <c r="K6" s="154"/>
      <c r="L6" s="574" t="s">
        <v>32</v>
      </c>
      <c r="M6" s="575"/>
      <c r="N6" s="576"/>
      <c r="O6" s="149"/>
      <c r="P6" s="577">
        <f>T61</f>
        <v>906.84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563"/>
      <c r="G7" s="535"/>
      <c r="H7" s="532" t="s">
        <v>36</v>
      </c>
      <c r="I7" s="536"/>
      <c r="J7" s="533"/>
      <c r="K7" s="154"/>
      <c r="L7" s="564" t="s">
        <v>37</v>
      </c>
      <c r="M7" s="565"/>
      <c r="N7" s="56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532" t="s">
        <v>40</v>
      </c>
      <c r="I8" s="536"/>
      <c r="J8" s="533"/>
      <c r="K8" s="154"/>
      <c r="L8" s="564" t="s">
        <v>41</v>
      </c>
      <c r="M8" s="565"/>
      <c r="N8" s="56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394</v>
      </c>
      <c r="G9" s="535"/>
      <c r="H9" s="171"/>
      <c r="I9" s="172"/>
      <c r="J9" s="172"/>
      <c r="K9" s="173"/>
      <c r="L9" s="564" t="s">
        <v>47</v>
      </c>
      <c r="M9" s="565"/>
      <c r="N9" s="56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906.84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542" t="s">
        <v>48</v>
      </c>
      <c r="M10" s="579"/>
      <c r="N10" s="543"/>
      <c r="O10" s="149"/>
      <c r="P10" s="580">
        <f>E61</f>
        <v>10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650" t="s">
        <v>50</v>
      </c>
      <c r="K11" s="651"/>
      <c r="L11" s="651"/>
      <c r="M11" s="651"/>
      <c r="N11" s="652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653"/>
      <c r="K12" s="654"/>
      <c r="L12" s="654"/>
      <c r="M12" s="654"/>
      <c r="N12" s="655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656"/>
      <c r="K13" s="657"/>
      <c r="L13" s="657"/>
      <c r="M13" s="657"/>
      <c r="N13" s="658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601" t="s">
        <v>59</v>
      </c>
      <c r="K14" s="602"/>
      <c r="L14" s="605" t="s">
        <v>60</v>
      </c>
      <c r="M14" s="606"/>
      <c r="N14" s="60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603"/>
      <c r="K15" s="604"/>
      <c r="L15" s="608"/>
      <c r="M15" s="609"/>
      <c r="N15" s="61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631" t="s">
        <v>69</v>
      </c>
      <c r="K16" s="201" t="s">
        <v>72</v>
      </c>
      <c r="L16" s="202" t="s">
        <v>73</v>
      </c>
      <c r="M16" s="633" t="s">
        <v>74</v>
      </c>
      <c r="N16" s="633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3"/>
      <c r="C17" s="625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632"/>
      <c r="K17" s="614" t="s">
        <v>52</v>
      </c>
      <c r="L17" s="615"/>
      <c r="M17" s="634"/>
      <c r="N17" s="634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 s="276">
        <v>22226351</v>
      </c>
      <c r="C18" s="277" t="s">
        <v>226</v>
      </c>
      <c r="D18" s="278">
        <v>500</v>
      </c>
      <c r="E18" s="279">
        <v>1</v>
      </c>
      <c r="F18" s="220">
        <v>35.06</v>
      </c>
      <c r="G18" s="221">
        <f t="shared" ref="G18:G60" si="0">ROUND(IF($F$17="USD $", F18*$E$15,F18*$D$15),2)</f>
        <v>24.69</v>
      </c>
      <c r="H18" s="222">
        <f t="shared" ref="H18:H60" si="1">ROUND(IF($H$17=$G$17,E18*G18,E18*F18),2)</f>
        <v>35.06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13.32</v>
      </c>
      <c r="L18" s="221">
        <f t="shared" ref="L18:L60" si="4">ROUND((J18*K18),2)</f>
        <v>13.32</v>
      </c>
      <c r="M18" s="220" t="s">
        <v>84</v>
      </c>
      <c r="N18" s="225">
        <v>0.62</v>
      </c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13.32</v>
      </c>
      <c r="T18" s="229">
        <f t="shared" ref="T18:T60" si="7">ROUND(L18-R18,2)</f>
        <v>13.32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280">
        <v>54525506</v>
      </c>
      <c r="C19" s="281" t="s">
        <v>227</v>
      </c>
      <c r="D19" s="282">
        <v>500</v>
      </c>
      <c r="E19" s="283">
        <v>1</v>
      </c>
      <c r="F19" s="239">
        <v>259.49</v>
      </c>
      <c r="G19" s="240">
        <f t="shared" si="0"/>
        <v>182.74</v>
      </c>
      <c r="H19" s="241">
        <f t="shared" si="1"/>
        <v>259.49</v>
      </c>
      <c r="I19" s="242"/>
      <c r="J19" s="243">
        <f t="shared" si="2"/>
        <v>1</v>
      </c>
      <c r="K19" s="240">
        <f t="shared" si="3"/>
        <v>98.61</v>
      </c>
      <c r="L19" s="240">
        <f t="shared" si="4"/>
        <v>98.61</v>
      </c>
      <c r="M19" s="244" t="s">
        <v>84</v>
      </c>
      <c r="N19" s="245">
        <v>0.62</v>
      </c>
      <c r="O19" s="226"/>
      <c r="P19" s="246"/>
      <c r="Q19" s="239"/>
      <c r="R19" s="247">
        <f t="shared" si="5"/>
        <v>0</v>
      </c>
      <c r="S19" s="248">
        <f t="shared" si="6"/>
        <v>98.61</v>
      </c>
      <c r="T19" s="248">
        <f t="shared" si="7"/>
        <v>98.61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276">
        <v>36897353</v>
      </c>
      <c r="C20" s="284" t="s">
        <v>228</v>
      </c>
      <c r="D20" s="285">
        <v>250</v>
      </c>
      <c r="E20" s="279">
        <v>1</v>
      </c>
      <c r="F20" s="220">
        <v>32.71</v>
      </c>
      <c r="G20" s="221">
        <f t="shared" si="0"/>
        <v>23.04</v>
      </c>
      <c r="H20" s="222">
        <f t="shared" si="1"/>
        <v>32.71</v>
      </c>
      <c r="I20" s="242"/>
      <c r="J20" s="224">
        <f t="shared" si="2"/>
        <v>1</v>
      </c>
      <c r="K20" s="221">
        <f t="shared" si="3"/>
        <v>12.43</v>
      </c>
      <c r="L20" s="221">
        <f t="shared" si="4"/>
        <v>12.43</v>
      </c>
      <c r="M20" s="220" t="s">
        <v>84</v>
      </c>
      <c r="N20" s="254">
        <v>0.62</v>
      </c>
      <c r="O20" s="226"/>
      <c r="P20" s="255"/>
      <c r="Q20" s="228"/>
      <c r="R20" s="229">
        <f t="shared" si="5"/>
        <v>0</v>
      </c>
      <c r="S20" s="229">
        <f t="shared" si="6"/>
        <v>12.43</v>
      </c>
      <c r="T20" s="229">
        <f t="shared" si="7"/>
        <v>12.43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280">
        <v>54625942</v>
      </c>
      <c r="C21" s="281" t="s">
        <v>229</v>
      </c>
      <c r="D21" s="282">
        <v>1000</v>
      </c>
      <c r="E21" s="283">
        <v>1</v>
      </c>
      <c r="F21" s="239">
        <v>285.95999999999998</v>
      </c>
      <c r="G21" s="240">
        <f t="shared" si="0"/>
        <v>201.38</v>
      </c>
      <c r="H21" s="241">
        <f t="shared" si="1"/>
        <v>285.95999999999998</v>
      </c>
      <c r="I21" s="242"/>
      <c r="J21" s="243">
        <f t="shared" si="2"/>
        <v>1</v>
      </c>
      <c r="K21" s="240">
        <f t="shared" si="3"/>
        <v>108.66</v>
      </c>
      <c r="L21" s="240">
        <f t="shared" si="4"/>
        <v>108.66</v>
      </c>
      <c r="M21" s="244" t="s">
        <v>84</v>
      </c>
      <c r="N21" s="245">
        <v>0.62</v>
      </c>
      <c r="O21" s="226"/>
      <c r="P21" s="246"/>
      <c r="Q21" s="239"/>
      <c r="R21" s="247">
        <f t="shared" si="5"/>
        <v>0</v>
      </c>
      <c r="S21" s="248">
        <f t="shared" si="6"/>
        <v>108.66</v>
      </c>
      <c r="T21" s="248">
        <f t="shared" si="7"/>
        <v>108.66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276">
        <v>35393685</v>
      </c>
      <c r="C22" s="284" t="s">
        <v>214</v>
      </c>
      <c r="D22" s="285">
        <v>250</v>
      </c>
      <c r="E22" s="279">
        <v>1</v>
      </c>
      <c r="F22" s="220">
        <v>125.1</v>
      </c>
      <c r="G22" s="221">
        <f t="shared" si="0"/>
        <v>88.1</v>
      </c>
      <c r="H22" s="222">
        <f t="shared" si="1"/>
        <v>125.1</v>
      </c>
      <c r="I22" s="242"/>
      <c r="J22" s="224">
        <f t="shared" si="2"/>
        <v>1</v>
      </c>
      <c r="K22" s="221">
        <f t="shared" si="3"/>
        <v>47.54</v>
      </c>
      <c r="L22" s="221">
        <f t="shared" si="4"/>
        <v>47.54</v>
      </c>
      <c r="M22" s="220" t="s">
        <v>84</v>
      </c>
      <c r="N22" s="254">
        <v>0.62</v>
      </c>
      <c r="O22" s="226"/>
      <c r="P22" s="255"/>
      <c r="Q22" s="228"/>
      <c r="R22" s="229">
        <f t="shared" si="5"/>
        <v>0</v>
      </c>
      <c r="S22" s="229">
        <f t="shared" si="6"/>
        <v>47.54</v>
      </c>
      <c r="T22" s="229">
        <f t="shared" si="7"/>
        <v>47.54</v>
      </c>
      <c r="U22" s="230">
        <f t="shared" si="8"/>
        <v>0</v>
      </c>
      <c r="V22" s="230">
        <f t="shared" si="9"/>
        <v>1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280">
        <v>35393651</v>
      </c>
      <c r="C23" s="281" t="s">
        <v>216</v>
      </c>
      <c r="D23" s="282">
        <v>250</v>
      </c>
      <c r="E23" s="283">
        <v>1</v>
      </c>
      <c r="F23" s="239">
        <v>121.78</v>
      </c>
      <c r="G23" s="240">
        <f t="shared" si="0"/>
        <v>85.76</v>
      </c>
      <c r="H23" s="241">
        <f t="shared" si="1"/>
        <v>121.78</v>
      </c>
      <c r="I23" s="242"/>
      <c r="J23" s="243">
        <f t="shared" si="2"/>
        <v>1</v>
      </c>
      <c r="K23" s="240">
        <f t="shared" si="3"/>
        <v>46.28</v>
      </c>
      <c r="L23" s="240">
        <f t="shared" si="4"/>
        <v>46.28</v>
      </c>
      <c r="M23" s="244" t="s">
        <v>84</v>
      </c>
      <c r="N23" s="245">
        <v>0.62</v>
      </c>
      <c r="O23" s="226"/>
      <c r="P23" s="246"/>
      <c r="Q23" s="239"/>
      <c r="R23" s="247">
        <f t="shared" si="5"/>
        <v>0</v>
      </c>
      <c r="S23" s="248">
        <f t="shared" si="6"/>
        <v>46.28</v>
      </c>
      <c r="T23" s="248">
        <f t="shared" si="7"/>
        <v>46.28</v>
      </c>
      <c r="U23" s="249">
        <f t="shared" si="8"/>
        <v>0</v>
      </c>
      <c r="V23" s="249">
        <f t="shared" si="9"/>
        <v>1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276">
        <v>22226369</v>
      </c>
      <c r="C24" s="284" t="s">
        <v>218</v>
      </c>
      <c r="D24" s="285">
        <v>500</v>
      </c>
      <c r="E24" s="279">
        <v>1</v>
      </c>
      <c r="F24" s="220">
        <v>36.89</v>
      </c>
      <c r="G24" s="221">
        <f t="shared" si="0"/>
        <v>25.98</v>
      </c>
      <c r="H24" s="222">
        <f t="shared" si="1"/>
        <v>36.89</v>
      </c>
      <c r="I24" s="242"/>
      <c r="J24" s="224">
        <f t="shared" si="2"/>
        <v>1</v>
      </c>
      <c r="K24" s="221">
        <f t="shared" si="3"/>
        <v>14.02</v>
      </c>
      <c r="L24" s="221">
        <f t="shared" si="4"/>
        <v>14.02</v>
      </c>
      <c r="M24" s="220" t="s">
        <v>84</v>
      </c>
      <c r="N24" s="254">
        <v>0.62</v>
      </c>
      <c r="O24" s="226"/>
      <c r="P24" s="255"/>
      <c r="Q24" s="228"/>
      <c r="R24" s="229">
        <f t="shared" si="5"/>
        <v>0</v>
      </c>
      <c r="S24" s="229">
        <f t="shared" si="6"/>
        <v>14.02</v>
      </c>
      <c r="T24" s="229">
        <f t="shared" si="7"/>
        <v>14.02</v>
      </c>
      <c r="U24" s="230">
        <f t="shared" si="8"/>
        <v>0</v>
      </c>
      <c r="V24" s="230">
        <f t="shared" si="9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 s="280"/>
      <c r="C25" s="281"/>
      <c r="D25" s="282"/>
      <c r="E25" s="283"/>
      <c r="F25" s="239"/>
      <c r="G25" s="240">
        <f t="shared" si="0"/>
        <v>0</v>
      </c>
      <c r="H25" s="241">
        <f t="shared" si="1"/>
        <v>0</v>
      </c>
      <c r="I25" s="242"/>
      <c r="J25" s="243">
        <f t="shared" si="2"/>
        <v>0</v>
      </c>
      <c r="K25" s="240">
        <f t="shared" si="3"/>
        <v>0</v>
      </c>
      <c r="L25" s="240">
        <f t="shared" si="4"/>
        <v>0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0</v>
      </c>
      <c r="T25" s="248">
        <f t="shared" si="7"/>
        <v>0</v>
      </c>
      <c r="U25" s="249">
        <f t="shared" si="8"/>
        <v>0</v>
      </c>
      <c r="V25" s="249">
        <f t="shared" si="9"/>
        <v>0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 s="276"/>
      <c r="C26" s="284"/>
      <c r="D26" s="285"/>
      <c r="E26" s="279"/>
      <c r="F26" s="220"/>
      <c r="G26" s="221">
        <f t="shared" si="0"/>
        <v>0</v>
      </c>
      <c r="H26" s="222">
        <f t="shared" si="1"/>
        <v>0</v>
      </c>
      <c r="I26" s="242"/>
      <c r="J26" s="224">
        <f t="shared" si="2"/>
        <v>0</v>
      </c>
      <c r="K26" s="221">
        <f t="shared" si="3"/>
        <v>0</v>
      </c>
      <c r="L26" s="221">
        <f t="shared" si="4"/>
        <v>0</v>
      </c>
      <c r="M26" s="220" t="s">
        <v>84</v>
      </c>
      <c r="N26" s="254">
        <v>0.5</v>
      </c>
      <c r="O26" s="226"/>
      <c r="P26" s="255"/>
      <c r="Q26" s="228"/>
      <c r="R26" s="229">
        <f t="shared" si="5"/>
        <v>0</v>
      </c>
      <c r="S26" s="229">
        <f t="shared" si="6"/>
        <v>0</v>
      </c>
      <c r="T26" s="229">
        <f t="shared" si="7"/>
        <v>0</v>
      </c>
      <c r="U26" s="230">
        <f t="shared" si="8"/>
        <v>0</v>
      </c>
      <c r="V26" s="230">
        <f t="shared" si="9"/>
        <v>0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280"/>
      <c r="C27" s="281"/>
      <c r="D27" s="282"/>
      <c r="E27" s="283"/>
      <c r="F27" s="239"/>
      <c r="G27" s="240">
        <f t="shared" si="0"/>
        <v>0</v>
      </c>
      <c r="H27" s="241">
        <f t="shared" si="1"/>
        <v>0</v>
      </c>
      <c r="I27" s="242"/>
      <c r="J27" s="243">
        <f t="shared" si="2"/>
        <v>0</v>
      </c>
      <c r="K27" s="240">
        <f t="shared" si="3"/>
        <v>0</v>
      </c>
      <c r="L27" s="240">
        <f t="shared" si="4"/>
        <v>0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0</v>
      </c>
      <c r="T27" s="248">
        <f t="shared" si="7"/>
        <v>0</v>
      </c>
      <c r="U27" s="249">
        <f t="shared" si="8"/>
        <v>0</v>
      </c>
      <c r="V27" s="249">
        <f t="shared" si="9"/>
        <v>0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276">
        <v>36844264</v>
      </c>
      <c r="C28" s="284" t="s">
        <v>230</v>
      </c>
      <c r="D28" s="285" t="s">
        <v>101</v>
      </c>
      <c r="E28" s="279">
        <v>1</v>
      </c>
      <c r="F28" s="220"/>
      <c r="G28" s="221">
        <f t="shared" si="0"/>
        <v>0</v>
      </c>
      <c r="H28" s="222">
        <f t="shared" si="1"/>
        <v>0</v>
      </c>
      <c r="I28" s="242"/>
      <c r="J28" s="224">
        <f t="shared" si="2"/>
        <v>1</v>
      </c>
      <c r="K28" s="221">
        <f t="shared" si="3"/>
        <v>0</v>
      </c>
      <c r="L28" s="221">
        <f t="shared" si="4"/>
        <v>0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0</v>
      </c>
      <c r="T28" s="229">
        <f t="shared" si="7"/>
        <v>0</v>
      </c>
      <c r="U28" s="230">
        <f t="shared" si="8"/>
        <v>0</v>
      </c>
      <c r="V28" s="230">
        <f t="shared" si="9"/>
        <v>0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280"/>
      <c r="C29" s="281"/>
      <c r="D29" s="282"/>
      <c r="E29" s="283"/>
      <c r="F29" s="239"/>
      <c r="G29" s="240">
        <f t="shared" si="0"/>
        <v>0</v>
      </c>
      <c r="H29" s="241">
        <f t="shared" si="1"/>
        <v>0</v>
      </c>
      <c r="I29" s="242"/>
      <c r="J29" s="243">
        <f t="shared" si="2"/>
        <v>0</v>
      </c>
      <c r="K29" s="240">
        <f t="shared" si="3"/>
        <v>0</v>
      </c>
      <c r="L29" s="240">
        <f t="shared" si="4"/>
        <v>0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0</v>
      </c>
      <c r="T29" s="248">
        <f t="shared" si="7"/>
        <v>0</v>
      </c>
      <c r="U29" s="249">
        <f t="shared" si="8"/>
        <v>0</v>
      </c>
      <c r="V29" s="249">
        <f t="shared" si="9"/>
        <v>0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276"/>
      <c r="C30" s="284"/>
      <c r="D30" s="285"/>
      <c r="E30" s="279"/>
      <c r="F30" s="220"/>
      <c r="G30" s="221">
        <f t="shared" si="0"/>
        <v>0</v>
      </c>
      <c r="H30" s="222">
        <f t="shared" si="1"/>
        <v>0</v>
      </c>
      <c r="I30" s="242"/>
      <c r="J30" s="224">
        <f t="shared" si="2"/>
        <v>0</v>
      </c>
      <c r="K30" s="221">
        <f t="shared" si="3"/>
        <v>0</v>
      </c>
      <c r="L30" s="221">
        <f t="shared" si="4"/>
        <v>0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0</v>
      </c>
      <c r="T30" s="229">
        <f t="shared" si="7"/>
        <v>0</v>
      </c>
      <c r="U30" s="230">
        <f t="shared" si="8"/>
        <v>0</v>
      </c>
      <c r="V30" s="230">
        <f t="shared" si="9"/>
        <v>0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280">
        <v>22246276</v>
      </c>
      <c r="C31" s="281" t="s">
        <v>232</v>
      </c>
      <c r="D31" s="282"/>
      <c r="E31" s="283">
        <v>2</v>
      </c>
      <c r="F31" s="239">
        <v>282.99</v>
      </c>
      <c r="G31" s="240">
        <f t="shared" si="0"/>
        <v>199.29</v>
      </c>
      <c r="H31" s="241">
        <f t="shared" si="1"/>
        <v>565.98</v>
      </c>
      <c r="I31" s="242"/>
      <c r="J31" s="243">
        <f t="shared" si="2"/>
        <v>2</v>
      </c>
      <c r="K31" s="240">
        <f t="shared" si="3"/>
        <v>282.99</v>
      </c>
      <c r="L31" s="240">
        <f t="shared" si="4"/>
        <v>565.98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282.99</v>
      </c>
      <c r="T31" s="248">
        <f t="shared" si="7"/>
        <v>565.98</v>
      </c>
      <c r="U31" s="249">
        <f t="shared" si="8"/>
        <v>0</v>
      </c>
      <c r="V31" s="249">
        <f t="shared" si="9"/>
        <v>1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276"/>
      <c r="C32" s="284"/>
      <c r="D32" s="285"/>
      <c r="E32" s="279"/>
      <c r="F32" s="220"/>
      <c r="G32" s="221">
        <f t="shared" si="0"/>
        <v>0</v>
      </c>
      <c r="H32" s="222">
        <f t="shared" si="1"/>
        <v>0</v>
      </c>
      <c r="I32" s="242"/>
      <c r="J32" s="224">
        <f t="shared" si="2"/>
        <v>0</v>
      </c>
      <c r="K32" s="221">
        <f t="shared" si="3"/>
        <v>0</v>
      </c>
      <c r="L32" s="221">
        <f t="shared" si="4"/>
        <v>0</v>
      </c>
      <c r="M32" s="220" t="s">
        <v>84</v>
      </c>
      <c r="N32" s="254">
        <v>0.5</v>
      </c>
      <c r="O32" s="226"/>
      <c r="P32" s="255"/>
      <c r="Q32" s="228"/>
      <c r="R32" s="229">
        <f t="shared" si="5"/>
        <v>0</v>
      </c>
      <c r="S32" s="229">
        <f t="shared" si="6"/>
        <v>0</v>
      </c>
      <c r="T32" s="229">
        <f t="shared" si="7"/>
        <v>0</v>
      </c>
      <c r="U32" s="230">
        <f t="shared" si="8"/>
        <v>0</v>
      </c>
      <c r="V32" s="230">
        <f t="shared" si="9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280"/>
      <c r="C33" s="281"/>
      <c r="D33" s="282"/>
      <c r="E33" s="283"/>
      <c r="F33" s="239"/>
      <c r="G33" s="240">
        <f t="shared" si="0"/>
        <v>0</v>
      </c>
      <c r="H33" s="241">
        <f t="shared" si="1"/>
        <v>0</v>
      </c>
      <c r="I33" s="242"/>
      <c r="J33" s="243">
        <f t="shared" si="2"/>
        <v>0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276"/>
      <c r="C34" s="284"/>
      <c r="D34" s="285"/>
      <c r="E34" s="279"/>
      <c r="F34" s="220"/>
      <c r="G34" s="221">
        <f t="shared" si="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>
        <v>0.5</v>
      </c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280"/>
      <c r="C35" s="281"/>
      <c r="D35" s="282"/>
      <c r="E35" s="283"/>
      <c r="F35" s="239"/>
      <c r="G35" s="240">
        <f t="shared" si="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>
        <v>0.5</v>
      </c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276"/>
      <c r="C36" s="284"/>
      <c r="D36" s="285"/>
      <c r="E36" s="279"/>
      <c r="F36" s="220"/>
      <c r="G36" s="221">
        <f t="shared" si="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280"/>
      <c r="C37" s="281"/>
      <c r="D37" s="282"/>
      <c r="E37" s="283"/>
      <c r="F37" s="239"/>
      <c r="G37" s="240">
        <f t="shared" si="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276"/>
      <c r="C38" s="284"/>
      <c r="D38" s="285"/>
      <c r="E38" s="279"/>
      <c r="F38" s="220"/>
      <c r="G38" s="221">
        <f t="shared" si="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280"/>
      <c r="C39" s="281"/>
      <c r="D39" s="282"/>
      <c r="E39" s="283"/>
      <c r="F39" s="239"/>
      <c r="G39" s="240">
        <f t="shared" si="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276"/>
      <c r="C40" s="284"/>
      <c r="D40" s="285"/>
      <c r="E40" s="279"/>
      <c r="F40" s="220"/>
      <c r="G40" s="221">
        <f t="shared" si="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280"/>
      <c r="C41" s="281"/>
      <c r="D41" s="282"/>
      <c r="E41" s="283"/>
      <c r="F41" s="239"/>
      <c r="G41" s="240">
        <f t="shared" si="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276"/>
      <c r="C42" s="284"/>
      <c r="D42" s="285"/>
      <c r="E42" s="279"/>
      <c r="F42" s="220"/>
      <c r="G42" s="221">
        <f t="shared" si="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280"/>
      <c r="C43" s="281"/>
      <c r="D43" s="282"/>
      <c r="E43" s="283"/>
      <c r="F43" s="239"/>
      <c r="G43" s="240">
        <f t="shared" si="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276"/>
      <c r="C44" s="284"/>
      <c r="D44" s="285"/>
      <c r="E44" s="279"/>
      <c r="F44" s="220"/>
      <c r="G44" s="221">
        <f t="shared" si="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280"/>
      <c r="C45" s="281"/>
      <c r="D45" s="282"/>
      <c r="E45" s="283"/>
      <c r="F45" s="239"/>
      <c r="G45" s="240">
        <f t="shared" si="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276"/>
      <c r="C46" s="284"/>
      <c r="D46" s="285"/>
      <c r="E46" s="279"/>
      <c r="F46" s="220"/>
      <c r="G46" s="221">
        <f t="shared" si="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280"/>
      <c r="C47" s="281"/>
      <c r="D47" s="282"/>
      <c r="E47" s="283"/>
      <c r="F47" s="239"/>
      <c r="G47" s="240">
        <f t="shared" si="0"/>
        <v>0</v>
      </c>
      <c r="H47" s="241">
        <f t="shared" si="1"/>
        <v>0</v>
      </c>
      <c r="I47" s="242"/>
      <c r="J47" s="243">
        <f t="shared" si="2"/>
        <v>0</v>
      </c>
      <c r="K47" s="240">
        <f t="shared" si="3"/>
        <v>0</v>
      </c>
      <c r="L47" s="240">
        <f t="shared" si="4"/>
        <v>0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0</v>
      </c>
      <c r="T47" s="248">
        <f t="shared" si="7"/>
        <v>0</v>
      </c>
      <c r="U47" s="249">
        <f t="shared" si="8"/>
        <v>0</v>
      </c>
      <c r="V47" s="249">
        <f t="shared" si="9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276"/>
      <c r="C48" s="284"/>
      <c r="D48" s="285"/>
      <c r="E48" s="279"/>
      <c r="F48" s="220"/>
      <c r="G48" s="221">
        <f t="shared" si="0"/>
        <v>0</v>
      </c>
      <c r="H48" s="222">
        <f t="shared" si="1"/>
        <v>0</v>
      </c>
      <c r="I48" s="242"/>
      <c r="J48" s="224">
        <f t="shared" si="2"/>
        <v>0</v>
      </c>
      <c r="K48" s="221">
        <f t="shared" si="3"/>
        <v>0</v>
      </c>
      <c r="L48" s="221">
        <f t="shared" si="4"/>
        <v>0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0</v>
      </c>
      <c r="T48" s="229">
        <f t="shared" si="7"/>
        <v>0</v>
      </c>
      <c r="U48" s="230">
        <f t="shared" si="8"/>
        <v>0</v>
      </c>
      <c r="V48" s="230">
        <f t="shared" si="9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280"/>
      <c r="C49" s="281"/>
      <c r="D49" s="282"/>
      <c r="E49" s="283"/>
      <c r="F49" s="239"/>
      <c r="G49" s="240">
        <f t="shared" si="0"/>
        <v>0</v>
      </c>
      <c r="H49" s="241">
        <f t="shared" si="1"/>
        <v>0</v>
      </c>
      <c r="I49" s="242"/>
      <c r="J49" s="243">
        <f t="shared" si="2"/>
        <v>0</v>
      </c>
      <c r="K49" s="240">
        <f t="shared" si="3"/>
        <v>0</v>
      </c>
      <c r="L49" s="240">
        <f t="shared" si="4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0</v>
      </c>
      <c r="T49" s="248">
        <f t="shared" si="7"/>
        <v>0</v>
      </c>
      <c r="U49" s="249">
        <f t="shared" si="8"/>
        <v>0</v>
      </c>
      <c r="V49" s="249">
        <f t="shared" si="9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276"/>
      <c r="C50" s="284"/>
      <c r="D50" s="285"/>
      <c r="E50" s="279"/>
      <c r="F50" s="220"/>
      <c r="G50" s="221">
        <f t="shared" si="0"/>
        <v>0</v>
      </c>
      <c r="H50" s="222">
        <f t="shared" si="1"/>
        <v>0</v>
      </c>
      <c r="I50" s="242"/>
      <c r="J50" s="224">
        <f t="shared" si="2"/>
        <v>0</v>
      </c>
      <c r="K50" s="221">
        <f t="shared" si="3"/>
        <v>0</v>
      </c>
      <c r="L50" s="221">
        <f t="shared" si="4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0</v>
      </c>
      <c r="T50" s="229">
        <f t="shared" si="7"/>
        <v>0</v>
      </c>
      <c r="U50" s="230">
        <f t="shared" si="8"/>
        <v>0</v>
      </c>
      <c r="V50" s="230">
        <f t="shared" si="9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280"/>
      <c r="C51" s="281"/>
      <c r="D51" s="282"/>
      <c r="E51" s="283"/>
      <c r="F51" s="239"/>
      <c r="G51" s="240">
        <f t="shared" si="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10</v>
      </c>
      <c r="F61" s="265">
        <f>SUM(F18:F60)</f>
        <v>1179.98</v>
      </c>
      <c r="G61" s="266">
        <f>SUM(G18:G60)</f>
        <v>830.98</v>
      </c>
      <c r="H61" s="267">
        <f>SUM(H18:H60)</f>
        <v>1462.97</v>
      </c>
      <c r="I61" s="268"/>
      <c r="J61" s="269">
        <f>SUM(J18:J60)</f>
        <v>10</v>
      </c>
      <c r="K61" s="266">
        <f>SUM(K18:K60)</f>
        <v>623.85</v>
      </c>
      <c r="L61" s="267">
        <f>SUM(L18:L60)</f>
        <v>906.84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623.85</v>
      </c>
      <c r="T61" s="267">
        <f>SUM(T18:T60)</f>
        <v>906.84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59" priority="3" stopIfTrue="1">
      <formula>$U$9&gt;100%</formula>
    </cfRule>
    <cfRule type="expression" dxfId="158" priority="4">
      <formula>$U$9&lt;50%</formula>
    </cfRule>
  </conditionalFormatting>
  <conditionalFormatting sqref="V9:V10">
    <cfRule type="expression" dxfId="157" priority="1">
      <formula>$V$9&lt;50%</formula>
    </cfRule>
    <cfRule type="expression" dxfId="156" priority="2">
      <formula>$V$9&gt;50%</formula>
    </cfRule>
  </conditionalFormatting>
  <dataValidations count="5">
    <dataValidation type="list" allowBlank="1" showInputMessage="1" showErrorMessage="1" sqref="M18:M60" xr:uid="{939E768E-CAE4-492D-920C-E144C765B086}">
      <formula1>$Y$31:$Y$32</formula1>
    </dataValidation>
    <dataValidation type="list" showInputMessage="1" showErrorMessage="1" sqref="D52:D60" xr:uid="{8674D1D9-495D-41F1-84AA-B192BCE0D3FC}">
      <formula1>$Z$18:$Z$29</formula1>
    </dataValidation>
    <dataValidation type="list" allowBlank="1" showInputMessage="1" showErrorMessage="1" sqref="I13" xr:uid="{C1C10F44-AA94-468A-9AEC-7E84E7DDCE6C}">
      <formula1>$K$9:$K$9</formula1>
    </dataValidation>
    <dataValidation type="list" allowBlank="1" showInputMessage="1" showErrorMessage="1" sqref="H13" xr:uid="{C8FC18CD-164E-4665-B21B-38B1DA83A93B}">
      <formula1>$Y$13:$Y$14</formula1>
    </dataValidation>
    <dataValidation type="list" allowBlank="1" showInputMessage="1" showErrorMessage="1" sqref="F17 K17 Q17 Q14" xr:uid="{1320F5BD-C8EF-45B1-9080-46CF771C9531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CC36C-2C44-4832-9B34-B662817FA7C0}">
  <sheetPr>
    <pageSetUpPr fitToPage="1"/>
  </sheetPr>
  <dimension ref="A1:AB63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523" t="s">
        <v>2</v>
      </c>
      <c r="I1" s="524"/>
      <c r="J1" s="524"/>
      <c r="K1" s="525"/>
      <c r="L1" s="528" t="s">
        <v>3</v>
      </c>
      <c r="M1" s="529"/>
      <c r="N1" s="529"/>
      <c r="O1" s="529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59">
        <v>12265</v>
      </c>
      <c r="G2" s="549"/>
      <c r="H2" s="546" t="s">
        <v>7</v>
      </c>
      <c r="I2" s="550"/>
      <c r="J2" s="547"/>
      <c r="K2" s="148"/>
      <c r="L2" s="551" t="s">
        <v>8</v>
      </c>
      <c r="M2" s="552"/>
      <c r="N2" s="553"/>
      <c r="O2" s="149"/>
      <c r="P2" s="554">
        <f>H61</f>
        <v>1462.97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532" t="s">
        <v>13</v>
      </c>
      <c r="I3" s="536"/>
      <c r="J3" s="533"/>
      <c r="K3" s="154"/>
      <c r="L3" s="537" t="s">
        <v>14</v>
      </c>
      <c r="M3" s="538"/>
      <c r="N3" s="539"/>
      <c r="O3" s="149"/>
      <c r="P3" s="540">
        <f>L61</f>
        <v>906.84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665" t="s">
        <v>223</v>
      </c>
      <c r="G4" s="666"/>
      <c r="H4" s="532" t="s">
        <v>19</v>
      </c>
      <c r="I4" s="536"/>
      <c r="J4" s="533"/>
      <c r="K4" s="154"/>
      <c r="L4" s="537" t="s">
        <v>20</v>
      </c>
      <c r="M4" s="538"/>
      <c r="N4" s="539"/>
      <c r="O4" s="149"/>
      <c r="P4" s="540">
        <f>P2-P3</f>
        <v>556.13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667" t="s">
        <v>236</v>
      </c>
      <c r="G5" s="666"/>
      <c r="H5" s="532" t="s">
        <v>25</v>
      </c>
      <c r="I5" s="536"/>
      <c r="J5" s="533"/>
      <c r="K5" s="154"/>
      <c r="L5" s="558" t="s">
        <v>26</v>
      </c>
      <c r="M5" s="559"/>
      <c r="N5" s="560"/>
      <c r="O5" s="149"/>
      <c r="P5" s="561">
        <f>IFERROR((P2-P3)/P2,"")</f>
        <v>0.38013766516059794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69" t="s">
        <v>237</v>
      </c>
      <c r="G6" s="666"/>
      <c r="H6" s="532" t="s">
        <v>31</v>
      </c>
      <c r="I6" s="536"/>
      <c r="J6" s="533"/>
      <c r="K6" s="154"/>
      <c r="L6" s="574" t="s">
        <v>32</v>
      </c>
      <c r="M6" s="575"/>
      <c r="N6" s="576"/>
      <c r="O6" s="149"/>
      <c r="P6" s="577">
        <f>T61</f>
        <v>906.84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563"/>
      <c r="G7" s="535"/>
      <c r="H7" s="532" t="s">
        <v>36</v>
      </c>
      <c r="I7" s="536"/>
      <c r="J7" s="533"/>
      <c r="K7" s="154"/>
      <c r="L7" s="564" t="s">
        <v>37</v>
      </c>
      <c r="M7" s="565"/>
      <c r="N7" s="56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532" t="s">
        <v>40</v>
      </c>
      <c r="I8" s="536"/>
      <c r="J8" s="533"/>
      <c r="K8" s="154"/>
      <c r="L8" s="564" t="s">
        <v>41</v>
      </c>
      <c r="M8" s="565"/>
      <c r="N8" s="56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393</v>
      </c>
      <c r="G9" s="535"/>
      <c r="H9" s="171"/>
      <c r="I9" s="172"/>
      <c r="J9" s="172"/>
      <c r="K9" s="173"/>
      <c r="L9" s="564" t="s">
        <v>47</v>
      </c>
      <c r="M9" s="565"/>
      <c r="N9" s="56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906.84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542" t="s">
        <v>48</v>
      </c>
      <c r="M10" s="579"/>
      <c r="N10" s="543"/>
      <c r="O10" s="149"/>
      <c r="P10" s="580">
        <f>E61</f>
        <v>10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650" t="s">
        <v>50</v>
      </c>
      <c r="K11" s="651"/>
      <c r="L11" s="651"/>
      <c r="M11" s="651"/>
      <c r="N11" s="652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653"/>
      <c r="K12" s="654"/>
      <c r="L12" s="654"/>
      <c r="M12" s="654"/>
      <c r="N12" s="655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656"/>
      <c r="K13" s="657"/>
      <c r="L13" s="657"/>
      <c r="M13" s="657"/>
      <c r="N13" s="658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601" t="s">
        <v>59</v>
      </c>
      <c r="K14" s="602"/>
      <c r="L14" s="605" t="s">
        <v>60</v>
      </c>
      <c r="M14" s="606"/>
      <c r="N14" s="60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603"/>
      <c r="K15" s="604"/>
      <c r="L15" s="608"/>
      <c r="M15" s="609"/>
      <c r="N15" s="61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631" t="s">
        <v>69</v>
      </c>
      <c r="K16" s="201" t="s">
        <v>72</v>
      </c>
      <c r="L16" s="202" t="s">
        <v>73</v>
      </c>
      <c r="M16" s="633" t="s">
        <v>74</v>
      </c>
      <c r="N16" s="633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3"/>
      <c r="C17" s="625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632"/>
      <c r="K17" s="614" t="s">
        <v>52</v>
      </c>
      <c r="L17" s="615"/>
      <c r="M17" s="634"/>
      <c r="N17" s="634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 s="276">
        <v>22226351</v>
      </c>
      <c r="C18" s="277" t="s">
        <v>226</v>
      </c>
      <c r="D18" s="278">
        <v>500</v>
      </c>
      <c r="E18" s="279">
        <v>1</v>
      </c>
      <c r="F18" s="220">
        <v>35.06</v>
      </c>
      <c r="G18" s="221">
        <f t="shared" ref="G18:G60" si="0">ROUND(IF($F$17="USD $", F18*$E$15,F18*$D$15),2)</f>
        <v>24.69</v>
      </c>
      <c r="H18" s="222">
        <f t="shared" ref="H18:H60" si="1">ROUND(IF($H$17=$G$17,E18*G18,E18*F18),2)</f>
        <v>35.06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13.32</v>
      </c>
      <c r="L18" s="221">
        <f t="shared" ref="L18:L60" si="4">ROUND((J18*K18),2)</f>
        <v>13.32</v>
      </c>
      <c r="M18" s="220" t="s">
        <v>84</v>
      </c>
      <c r="N18" s="225">
        <v>0.62</v>
      </c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13.32</v>
      </c>
      <c r="T18" s="229">
        <f t="shared" ref="T18:T60" si="7">ROUND(L18-R18,2)</f>
        <v>13.32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280">
        <v>54525506</v>
      </c>
      <c r="C19" s="281" t="s">
        <v>227</v>
      </c>
      <c r="D19" s="282">
        <v>500</v>
      </c>
      <c r="E19" s="283">
        <v>1</v>
      </c>
      <c r="F19" s="239">
        <v>259.49</v>
      </c>
      <c r="G19" s="240">
        <f t="shared" si="0"/>
        <v>182.74</v>
      </c>
      <c r="H19" s="241">
        <f t="shared" si="1"/>
        <v>259.49</v>
      </c>
      <c r="I19" s="242"/>
      <c r="J19" s="243">
        <f t="shared" si="2"/>
        <v>1</v>
      </c>
      <c r="K19" s="240">
        <f t="shared" si="3"/>
        <v>98.61</v>
      </c>
      <c r="L19" s="240">
        <f t="shared" si="4"/>
        <v>98.61</v>
      </c>
      <c r="M19" s="244" t="s">
        <v>84</v>
      </c>
      <c r="N19" s="245">
        <v>0.62</v>
      </c>
      <c r="O19" s="226"/>
      <c r="P19" s="246"/>
      <c r="Q19" s="239"/>
      <c r="R19" s="247">
        <f t="shared" si="5"/>
        <v>0</v>
      </c>
      <c r="S19" s="248">
        <f t="shared" si="6"/>
        <v>98.61</v>
      </c>
      <c r="T19" s="248">
        <f t="shared" si="7"/>
        <v>98.61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276">
        <v>36897353</v>
      </c>
      <c r="C20" s="284" t="s">
        <v>228</v>
      </c>
      <c r="D20" s="285">
        <v>250</v>
      </c>
      <c r="E20" s="279">
        <v>1</v>
      </c>
      <c r="F20" s="220">
        <v>32.71</v>
      </c>
      <c r="G20" s="221">
        <f t="shared" si="0"/>
        <v>23.04</v>
      </c>
      <c r="H20" s="222">
        <f t="shared" si="1"/>
        <v>32.71</v>
      </c>
      <c r="I20" s="242"/>
      <c r="J20" s="224">
        <f t="shared" si="2"/>
        <v>1</v>
      </c>
      <c r="K20" s="221">
        <f t="shared" si="3"/>
        <v>12.43</v>
      </c>
      <c r="L20" s="221">
        <f t="shared" si="4"/>
        <v>12.43</v>
      </c>
      <c r="M20" s="220" t="s">
        <v>84</v>
      </c>
      <c r="N20" s="254">
        <v>0.62</v>
      </c>
      <c r="O20" s="226"/>
      <c r="P20" s="255"/>
      <c r="Q20" s="228"/>
      <c r="R20" s="229">
        <f t="shared" si="5"/>
        <v>0</v>
      </c>
      <c r="S20" s="229">
        <f t="shared" si="6"/>
        <v>12.43</v>
      </c>
      <c r="T20" s="229">
        <f t="shared" si="7"/>
        <v>12.43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280">
        <v>54625942</v>
      </c>
      <c r="C21" s="281" t="s">
        <v>229</v>
      </c>
      <c r="D21" s="282">
        <v>1000</v>
      </c>
      <c r="E21" s="283">
        <v>1</v>
      </c>
      <c r="F21" s="239">
        <v>285.95999999999998</v>
      </c>
      <c r="G21" s="240">
        <f t="shared" si="0"/>
        <v>201.38</v>
      </c>
      <c r="H21" s="241">
        <f t="shared" si="1"/>
        <v>285.95999999999998</v>
      </c>
      <c r="I21" s="242"/>
      <c r="J21" s="243">
        <f t="shared" si="2"/>
        <v>1</v>
      </c>
      <c r="K21" s="240">
        <f t="shared" si="3"/>
        <v>108.66</v>
      </c>
      <c r="L21" s="240">
        <f t="shared" si="4"/>
        <v>108.66</v>
      </c>
      <c r="M21" s="244" t="s">
        <v>84</v>
      </c>
      <c r="N21" s="245">
        <v>0.62</v>
      </c>
      <c r="O21" s="226"/>
      <c r="P21" s="246"/>
      <c r="Q21" s="239"/>
      <c r="R21" s="247">
        <f t="shared" si="5"/>
        <v>0</v>
      </c>
      <c r="S21" s="248">
        <f t="shared" si="6"/>
        <v>108.66</v>
      </c>
      <c r="T21" s="248">
        <f t="shared" si="7"/>
        <v>108.66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276">
        <v>35393685</v>
      </c>
      <c r="C22" s="284" t="s">
        <v>214</v>
      </c>
      <c r="D22" s="285">
        <v>250</v>
      </c>
      <c r="E22" s="279">
        <v>1</v>
      </c>
      <c r="F22" s="220">
        <v>125.1</v>
      </c>
      <c r="G22" s="221">
        <f t="shared" si="0"/>
        <v>88.1</v>
      </c>
      <c r="H22" s="222">
        <f t="shared" si="1"/>
        <v>125.1</v>
      </c>
      <c r="I22" s="242"/>
      <c r="J22" s="224">
        <f t="shared" si="2"/>
        <v>1</v>
      </c>
      <c r="K22" s="221">
        <f t="shared" si="3"/>
        <v>47.54</v>
      </c>
      <c r="L22" s="221">
        <f t="shared" si="4"/>
        <v>47.54</v>
      </c>
      <c r="M22" s="220" t="s">
        <v>84</v>
      </c>
      <c r="N22" s="254">
        <v>0.62</v>
      </c>
      <c r="O22" s="226"/>
      <c r="P22" s="255"/>
      <c r="Q22" s="228"/>
      <c r="R22" s="229">
        <f t="shared" si="5"/>
        <v>0</v>
      </c>
      <c r="S22" s="229">
        <f t="shared" si="6"/>
        <v>47.54</v>
      </c>
      <c r="T22" s="229">
        <f t="shared" si="7"/>
        <v>47.54</v>
      </c>
      <c r="U22" s="230">
        <f t="shared" si="8"/>
        <v>0</v>
      </c>
      <c r="V22" s="230">
        <f t="shared" si="9"/>
        <v>1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280">
        <v>35393651</v>
      </c>
      <c r="C23" s="281" t="s">
        <v>216</v>
      </c>
      <c r="D23" s="282">
        <v>250</v>
      </c>
      <c r="E23" s="283">
        <v>1</v>
      </c>
      <c r="F23" s="239">
        <v>121.78</v>
      </c>
      <c r="G23" s="240">
        <f t="shared" si="0"/>
        <v>85.76</v>
      </c>
      <c r="H23" s="241">
        <f t="shared" si="1"/>
        <v>121.78</v>
      </c>
      <c r="I23" s="242"/>
      <c r="J23" s="243">
        <f t="shared" si="2"/>
        <v>1</v>
      </c>
      <c r="K23" s="240">
        <f t="shared" si="3"/>
        <v>46.28</v>
      </c>
      <c r="L23" s="240">
        <f t="shared" si="4"/>
        <v>46.28</v>
      </c>
      <c r="M23" s="244" t="s">
        <v>84</v>
      </c>
      <c r="N23" s="245">
        <v>0.62</v>
      </c>
      <c r="O23" s="226"/>
      <c r="P23" s="246"/>
      <c r="Q23" s="239"/>
      <c r="R23" s="247">
        <f t="shared" si="5"/>
        <v>0</v>
      </c>
      <c r="S23" s="248">
        <f t="shared" si="6"/>
        <v>46.28</v>
      </c>
      <c r="T23" s="248">
        <f t="shared" si="7"/>
        <v>46.28</v>
      </c>
      <c r="U23" s="249">
        <f t="shared" si="8"/>
        <v>0</v>
      </c>
      <c r="V23" s="249">
        <f t="shared" si="9"/>
        <v>1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276">
        <v>22226369</v>
      </c>
      <c r="C24" s="284" t="s">
        <v>218</v>
      </c>
      <c r="D24" s="285">
        <v>500</v>
      </c>
      <c r="E24" s="279">
        <v>1</v>
      </c>
      <c r="F24" s="220">
        <v>36.89</v>
      </c>
      <c r="G24" s="221">
        <f t="shared" si="0"/>
        <v>25.98</v>
      </c>
      <c r="H24" s="222">
        <f t="shared" si="1"/>
        <v>36.89</v>
      </c>
      <c r="I24" s="242"/>
      <c r="J24" s="224">
        <f t="shared" si="2"/>
        <v>1</v>
      </c>
      <c r="K24" s="221">
        <f t="shared" si="3"/>
        <v>14.02</v>
      </c>
      <c r="L24" s="221">
        <f t="shared" si="4"/>
        <v>14.02</v>
      </c>
      <c r="M24" s="220" t="s">
        <v>84</v>
      </c>
      <c r="N24" s="254">
        <v>0.62</v>
      </c>
      <c r="O24" s="226"/>
      <c r="P24" s="255"/>
      <c r="Q24" s="228"/>
      <c r="R24" s="229">
        <f t="shared" si="5"/>
        <v>0</v>
      </c>
      <c r="S24" s="229">
        <f t="shared" si="6"/>
        <v>14.02</v>
      </c>
      <c r="T24" s="229">
        <f t="shared" si="7"/>
        <v>14.02</v>
      </c>
      <c r="U24" s="230">
        <f t="shared" si="8"/>
        <v>0</v>
      </c>
      <c r="V24" s="230">
        <f t="shared" si="9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 s="280"/>
      <c r="C25" s="281"/>
      <c r="D25" s="282"/>
      <c r="E25" s="283"/>
      <c r="F25" s="239"/>
      <c r="G25" s="240">
        <f t="shared" si="0"/>
        <v>0</v>
      </c>
      <c r="H25" s="241">
        <f t="shared" si="1"/>
        <v>0</v>
      </c>
      <c r="I25" s="242"/>
      <c r="J25" s="243">
        <f t="shared" si="2"/>
        <v>0</v>
      </c>
      <c r="K25" s="240">
        <f t="shared" si="3"/>
        <v>0</v>
      </c>
      <c r="L25" s="240">
        <f t="shared" si="4"/>
        <v>0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0</v>
      </c>
      <c r="T25" s="248">
        <f t="shared" si="7"/>
        <v>0</v>
      </c>
      <c r="U25" s="249">
        <f t="shared" si="8"/>
        <v>0</v>
      </c>
      <c r="V25" s="249">
        <f t="shared" si="9"/>
        <v>0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 s="276"/>
      <c r="C26" s="284"/>
      <c r="D26" s="285"/>
      <c r="E26" s="279"/>
      <c r="F26" s="220"/>
      <c r="G26" s="221">
        <f t="shared" si="0"/>
        <v>0</v>
      </c>
      <c r="H26" s="222">
        <f t="shared" si="1"/>
        <v>0</v>
      </c>
      <c r="I26" s="242"/>
      <c r="J26" s="224">
        <f t="shared" si="2"/>
        <v>0</v>
      </c>
      <c r="K26" s="221">
        <f t="shared" si="3"/>
        <v>0</v>
      </c>
      <c r="L26" s="221">
        <f t="shared" si="4"/>
        <v>0</v>
      </c>
      <c r="M26" s="220" t="s">
        <v>84</v>
      </c>
      <c r="N26" s="254">
        <v>0.5</v>
      </c>
      <c r="O26" s="226"/>
      <c r="P26" s="255"/>
      <c r="Q26" s="228"/>
      <c r="R26" s="229">
        <f t="shared" si="5"/>
        <v>0</v>
      </c>
      <c r="S26" s="229">
        <f t="shared" si="6"/>
        <v>0</v>
      </c>
      <c r="T26" s="229">
        <f t="shared" si="7"/>
        <v>0</v>
      </c>
      <c r="U26" s="230">
        <f t="shared" si="8"/>
        <v>0</v>
      </c>
      <c r="V26" s="230">
        <f t="shared" si="9"/>
        <v>0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280"/>
      <c r="C27" s="281"/>
      <c r="D27" s="282"/>
      <c r="E27" s="283"/>
      <c r="F27" s="239"/>
      <c r="G27" s="240">
        <f t="shared" si="0"/>
        <v>0</v>
      </c>
      <c r="H27" s="241">
        <f t="shared" si="1"/>
        <v>0</v>
      </c>
      <c r="I27" s="242"/>
      <c r="J27" s="243">
        <f t="shared" si="2"/>
        <v>0</v>
      </c>
      <c r="K27" s="240">
        <f t="shared" si="3"/>
        <v>0</v>
      </c>
      <c r="L27" s="240">
        <f t="shared" si="4"/>
        <v>0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0</v>
      </c>
      <c r="T27" s="248">
        <f t="shared" si="7"/>
        <v>0</v>
      </c>
      <c r="U27" s="249">
        <f t="shared" si="8"/>
        <v>0</v>
      </c>
      <c r="V27" s="249">
        <f t="shared" si="9"/>
        <v>0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276">
        <v>36844264</v>
      </c>
      <c r="C28" s="284" t="s">
        <v>230</v>
      </c>
      <c r="D28" s="285" t="s">
        <v>101</v>
      </c>
      <c r="E28" s="279">
        <v>1</v>
      </c>
      <c r="F28" s="220"/>
      <c r="G28" s="221">
        <f t="shared" si="0"/>
        <v>0</v>
      </c>
      <c r="H28" s="222">
        <f t="shared" si="1"/>
        <v>0</v>
      </c>
      <c r="I28" s="242"/>
      <c r="J28" s="224">
        <f t="shared" si="2"/>
        <v>1</v>
      </c>
      <c r="K28" s="221">
        <f t="shared" si="3"/>
        <v>0</v>
      </c>
      <c r="L28" s="221">
        <f t="shared" si="4"/>
        <v>0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0</v>
      </c>
      <c r="T28" s="229">
        <f t="shared" si="7"/>
        <v>0</v>
      </c>
      <c r="U28" s="230">
        <f t="shared" si="8"/>
        <v>0</v>
      </c>
      <c r="V28" s="230">
        <f t="shared" si="9"/>
        <v>0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280"/>
      <c r="C29" s="281"/>
      <c r="D29" s="282"/>
      <c r="E29" s="283"/>
      <c r="F29" s="239"/>
      <c r="G29" s="240">
        <f t="shared" si="0"/>
        <v>0</v>
      </c>
      <c r="H29" s="241">
        <f t="shared" si="1"/>
        <v>0</v>
      </c>
      <c r="I29" s="242"/>
      <c r="J29" s="243">
        <f t="shared" si="2"/>
        <v>0</v>
      </c>
      <c r="K29" s="240">
        <f t="shared" si="3"/>
        <v>0</v>
      </c>
      <c r="L29" s="240">
        <f t="shared" si="4"/>
        <v>0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0</v>
      </c>
      <c r="T29" s="248">
        <f t="shared" si="7"/>
        <v>0</v>
      </c>
      <c r="U29" s="249">
        <f t="shared" si="8"/>
        <v>0</v>
      </c>
      <c r="V29" s="249">
        <f t="shared" si="9"/>
        <v>0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276"/>
      <c r="C30" s="284"/>
      <c r="D30" s="285"/>
      <c r="E30" s="279"/>
      <c r="F30" s="220"/>
      <c r="G30" s="221">
        <f t="shared" si="0"/>
        <v>0</v>
      </c>
      <c r="H30" s="222">
        <f t="shared" si="1"/>
        <v>0</v>
      </c>
      <c r="I30" s="242"/>
      <c r="J30" s="224">
        <f t="shared" si="2"/>
        <v>0</v>
      </c>
      <c r="K30" s="221">
        <f t="shared" si="3"/>
        <v>0</v>
      </c>
      <c r="L30" s="221">
        <f t="shared" si="4"/>
        <v>0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0</v>
      </c>
      <c r="T30" s="229">
        <f t="shared" si="7"/>
        <v>0</v>
      </c>
      <c r="U30" s="230">
        <f t="shared" si="8"/>
        <v>0</v>
      </c>
      <c r="V30" s="230">
        <f t="shared" si="9"/>
        <v>0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280">
        <v>22246276</v>
      </c>
      <c r="C31" s="281" t="s">
        <v>232</v>
      </c>
      <c r="D31" s="282"/>
      <c r="E31" s="283">
        <v>2</v>
      </c>
      <c r="F31" s="239">
        <v>282.99</v>
      </c>
      <c r="G31" s="240">
        <f t="shared" si="0"/>
        <v>199.29</v>
      </c>
      <c r="H31" s="241">
        <f t="shared" si="1"/>
        <v>565.98</v>
      </c>
      <c r="I31" s="242"/>
      <c r="J31" s="243">
        <f t="shared" si="2"/>
        <v>2</v>
      </c>
      <c r="K31" s="240">
        <f t="shared" si="3"/>
        <v>282.99</v>
      </c>
      <c r="L31" s="240">
        <f t="shared" si="4"/>
        <v>565.98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282.99</v>
      </c>
      <c r="T31" s="248">
        <f t="shared" si="7"/>
        <v>565.98</v>
      </c>
      <c r="U31" s="249">
        <f t="shared" si="8"/>
        <v>0</v>
      </c>
      <c r="V31" s="249">
        <f t="shared" si="9"/>
        <v>1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276"/>
      <c r="C32" s="284"/>
      <c r="D32" s="285"/>
      <c r="E32" s="279"/>
      <c r="F32" s="220"/>
      <c r="G32" s="221">
        <f t="shared" si="0"/>
        <v>0</v>
      </c>
      <c r="H32" s="222">
        <f t="shared" si="1"/>
        <v>0</v>
      </c>
      <c r="I32" s="242"/>
      <c r="J32" s="224">
        <f t="shared" si="2"/>
        <v>0</v>
      </c>
      <c r="K32" s="221">
        <f t="shared" si="3"/>
        <v>0</v>
      </c>
      <c r="L32" s="221">
        <f t="shared" si="4"/>
        <v>0</v>
      </c>
      <c r="M32" s="220" t="s">
        <v>84</v>
      </c>
      <c r="N32" s="254">
        <v>0.5</v>
      </c>
      <c r="O32" s="226"/>
      <c r="P32" s="255"/>
      <c r="Q32" s="228"/>
      <c r="R32" s="229">
        <f t="shared" si="5"/>
        <v>0</v>
      </c>
      <c r="S32" s="229">
        <f t="shared" si="6"/>
        <v>0</v>
      </c>
      <c r="T32" s="229">
        <f t="shared" si="7"/>
        <v>0</v>
      </c>
      <c r="U32" s="230">
        <f t="shared" si="8"/>
        <v>0</v>
      </c>
      <c r="V32" s="230">
        <f t="shared" si="9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280"/>
      <c r="C33" s="281"/>
      <c r="D33" s="282"/>
      <c r="E33" s="283"/>
      <c r="F33" s="239"/>
      <c r="G33" s="240">
        <f t="shared" si="0"/>
        <v>0</v>
      </c>
      <c r="H33" s="241">
        <f t="shared" si="1"/>
        <v>0</v>
      </c>
      <c r="I33" s="242"/>
      <c r="J33" s="243">
        <f t="shared" si="2"/>
        <v>0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276"/>
      <c r="C34" s="284"/>
      <c r="D34" s="285"/>
      <c r="E34" s="279"/>
      <c r="F34" s="220"/>
      <c r="G34" s="221">
        <f t="shared" si="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>
        <v>0.5</v>
      </c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280"/>
      <c r="C35" s="281"/>
      <c r="D35" s="282"/>
      <c r="E35" s="283"/>
      <c r="F35" s="239"/>
      <c r="G35" s="240">
        <f t="shared" si="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>
        <v>0.5</v>
      </c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276"/>
      <c r="C36" s="284"/>
      <c r="D36" s="285"/>
      <c r="E36" s="279"/>
      <c r="F36" s="220"/>
      <c r="G36" s="221">
        <f t="shared" si="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280"/>
      <c r="C37" s="281"/>
      <c r="D37" s="282"/>
      <c r="E37" s="283"/>
      <c r="F37" s="239"/>
      <c r="G37" s="240">
        <f t="shared" si="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276"/>
      <c r="C38" s="284"/>
      <c r="D38" s="285"/>
      <c r="E38" s="279"/>
      <c r="F38" s="220"/>
      <c r="G38" s="221">
        <f t="shared" si="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280"/>
      <c r="C39" s="281"/>
      <c r="D39" s="282"/>
      <c r="E39" s="283"/>
      <c r="F39" s="239"/>
      <c r="G39" s="240">
        <f t="shared" si="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276"/>
      <c r="C40" s="284"/>
      <c r="D40" s="285"/>
      <c r="E40" s="279"/>
      <c r="F40" s="220"/>
      <c r="G40" s="221">
        <f t="shared" si="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280"/>
      <c r="C41" s="281"/>
      <c r="D41" s="282"/>
      <c r="E41" s="283"/>
      <c r="F41" s="239"/>
      <c r="G41" s="240">
        <f t="shared" si="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276"/>
      <c r="C42" s="284"/>
      <c r="D42" s="285"/>
      <c r="E42" s="279"/>
      <c r="F42" s="220"/>
      <c r="G42" s="221">
        <f t="shared" si="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280"/>
      <c r="C43" s="281"/>
      <c r="D43" s="282"/>
      <c r="E43" s="283"/>
      <c r="F43" s="239"/>
      <c r="G43" s="240">
        <f t="shared" si="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276"/>
      <c r="C44" s="284"/>
      <c r="D44" s="285"/>
      <c r="E44" s="279"/>
      <c r="F44" s="220"/>
      <c r="G44" s="221">
        <f t="shared" si="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280"/>
      <c r="C45" s="281"/>
      <c r="D45" s="282"/>
      <c r="E45" s="283"/>
      <c r="F45" s="239"/>
      <c r="G45" s="240">
        <f t="shared" si="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276"/>
      <c r="C46" s="284"/>
      <c r="D46" s="285"/>
      <c r="E46" s="279"/>
      <c r="F46" s="220"/>
      <c r="G46" s="221">
        <f t="shared" si="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280"/>
      <c r="C47" s="281"/>
      <c r="D47" s="282"/>
      <c r="E47" s="283"/>
      <c r="F47" s="239"/>
      <c r="G47" s="240">
        <f t="shared" si="0"/>
        <v>0</v>
      </c>
      <c r="H47" s="241">
        <f t="shared" si="1"/>
        <v>0</v>
      </c>
      <c r="I47" s="242"/>
      <c r="J47" s="243">
        <f t="shared" si="2"/>
        <v>0</v>
      </c>
      <c r="K47" s="240">
        <f t="shared" si="3"/>
        <v>0</v>
      </c>
      <c r="L47" s="240">
        <f t="shared" si="4"/>
        <v>0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0</v>
      </c>
      <c r="T47" s="248">
        <f t="shared" si="7"/>
        <v>0</v>
      </c>
      <c r="U47" s="249">
        <f t="shared" si="8"/>
        <v>0</v>
      </c>
      <c r="V47" s="249">
        <f t="shared" si="9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276"/>
      <c r="C48" s="284"/>
      <c r="D48" s="285"/>
      <c r="E48" s="279"/>
      <c r="F48" s="220"/>
      <c r="G48" s="221">
        <f t="shared" si="0"/>
        <v>0</v>
      </c>
      <c r="H48" s="222">
        <f t="shared" si="1"/>
        <v>0</v>
      </c>
      <c r="I48" s="242"/>
      <c r="J48" s="224">
        <f t="shared" si="2"/>
        <v>0</v>
      </c>
      <c r="K48" s="221">
        <f t="shared" si="3"/>
        <v>0</v>
      </c>
      <c r="L48" s="221">
        <f t="shared" si="4"/>
        <v>0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0</v>
      </c>
      <c r="T48" s="229">
        <f t="shared" si="7"/>
        <v>0</v>
      </c>
      <c r="U48" s="230">
        <f t="shared" si="8"/>
        <v>0</v>
      </c>
      <c r="V48" s="230">
        <f t="shared" si="9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280"/>
      <c r="C49" s="281"/>
      <c r="D49" s="282"/>
      <c r="E49" s="283"/>
      <c r="F49" s="239"/>
      <c r="G49" s="240">
        <f t="shared" si="0"/>
        <v>0</v>
      </c>
      <c r="H49" s="241">
        <f t="shared" si="1"/>
        <v>0</v>
      </c>
      <c r="I49" s="242"/>
      <c r="J49" s="243">
        <f t="shared" si="2"/>
        <v>0</v>
      </c>
      <c r="K49" s="240">
        <f t="shared" si="3"/>
        <v>0</v>
      </c>
      <c r="L49" s="240">
        <f t="shared" si="4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0</v>
      </c>
      <c r="T49" s="248">
        <f t="shared" si="7"/>
        <v>0</v>
      </c>
      <c r="U49" s="249">
        <f t="shared" si="8"/>
        <v>0</v>
      </c>
      <c r="V49" s="249">
        <f t="shared" si="9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276"/>
      <c r="C50" s="284"/>
      <c r="D50" s="285"/>
      <c r="E50" s="279"/>
      <c r="F50" s="220"/>
      <c r="G50" s="221">
        <f t="shared" si="0"/>
        <v>0</v>
      </c>
      <c r="H50" s="222">
        <f t="shared" si="1"/>
        <v>0</v>
      </c>
      <c r="I50" s="242"/>
      <c r="J50" s="224">
        <f t="shared" si="2"/>
        <v>0</v>
      </c>
      <c r="K50" s="221">
        <f t="shared" si="3"/>
        <v>0</v>
      </c>
      <c r="L50" s="221">
        <f t="shared" si="4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0</v>
      </c>
      <c r="T50" s="229">
        <f t="shared" si="7"/>
        <v>0</v>
      </c>
      <c r="U50" s="230">
        <f t="shared" si="8"/>
        <v>0</v>
      </c>
      <c r="V50" s="230">
        <f t="shared" si="9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280"/>
      <c r="C51" s="281"/>
      <c r="D51" s="282"/>
      <c r="E51" s="283"/>
      <c r="F51" s="239"/>
      <c r="G51" s="240">
        <f t="shared" si="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10</v>
      </c>
      <c r="F61" s="265">
        <f>SUM(F18:F60)</f>
        <v>1179.98</v>
      </c>
      <c r="G61" s="266">
        <f>SUM(G18:G60)</f>
        <v>830.98</v>
      </c>
      <c r="H61" s="267">
        <f>SUM(H18:H60)</f>
        <v>1462.97</v>
      </c>
      <c r="I61" s="268"/>
      <c r="J61" s="269">
        <f>SUM(J18:J60)</f>
        <v>10</v>
      </c>
      <c r="K61" s="266">
        <f>SUM(K18:K60)</f>
        <v>623.85</v>
      </c>
      <c r="L61" s="267">
        <f>SUM(L18:L60)</f>
        <v>906.84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623.85</v>
      </c>
      <c r="T61" s="267">
        <f>SUM(T18:T60)</f>
        <v>906.84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55" priority="3" stopIfTrue="1">
      <formula>$U$9&gt;100%</formula>
    </cfRule>
    <cfRule type="expression" dxfId="154" priority="4">
      <formula>$U$9&lt;50%</formula>
    </cfRule>
  </conditionalFormatting>
  <conditionalFormatting sqref="V9:V10">
    <cfRule type="expression" dxfId="153" priority="1">
      <formula>$V$9&lt;50%</formula>
    </cfRule>
    <cfRule type="expression" dxfId="152" priority="2">
      <formula>$V$9&gt;50%</formula>
    </cfRule>
  </conditionalFormatting>
  <dataValidations count="5">
    <dataValidation type="list" allowBlank="1" showInputMessage="1" showErrorMessage="1" sqref="F17 K17 Q17 Q14" xr:uid="{3F1BDDE4-EBDC-48C3-A50F-9D61FB497922}">
      <formula1>$Y$11:$Y$12</formula1>
    </dataValidation>
    <dataValidation type="list" allowBlank="1" showInputMessage="1" showErrorMessage="1" sqref="H13" xr:uid="{7ACB8C32-AD9A-41BB-9CB0-F16C5620AC87}">
      <formula1>$Y$13:$Y$14</formula1>
    </dataValidation>
    <dataValidation type="list" allowBlank="1" showInputMessage="1" showErrorMessage="1" sqref="I13" xr:uid="{AD7BAFE5-2F0C-420F-980A-0F2A572435BD}">
      <formula1>$K$9:$K$9</formula1>
    </dataValidation>
    <dataValidation type="list" showInputMessage="1" showErrorMessage="1" sqref="D52:D60" xr:uid="{B4BC82D7-CE2F-4073-BC43-A8108E12AA93}">
      <formula1>$Z$18:$Z$29</formula1>
    </dataValidation>
    <dataValidation type="list" allowBlank="1" showInputMessage="1" showErrorMessage="1" sqref="M18:M60" xr:uid="{4124C790-B545-49FF-A169-0633F4FBA805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6BCD6-B684-4DB9-8CB4-CB3B71F9F41C}">
  <sheetPr>
    <pageSetUpPr fitToPage="1"/>
  </sheetPr>
  <dimension ref="A1:AB63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523" t="s">
        <v>2</v>
      </c>
      <c r="I1" s="524"/>
      <c r="J1" s="524"/>
      <c r="K1" s="525"/>
      <c r="L1" s="528" t="s">
        <v>3</v>
      </c>
      <c r="M1" s="529"/>
      <c r="N1" s="529"/>
      <c r="O1" s="529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59">
        <v>12266</v>
      </c>
      <c r="G2" s="549"/>
      <c r="H2" s="546" t="s">
        <v>7</v>
      </c>
      <c r="I2" s="550"/>
      <c r="J2" s="547"/>
      <c r="K2" s="148"/>
      <c r="L2" s="551" t="s">
        <v>8</v>
      </c>
      <c r="M2" s="552"/>
      <c r="N2" s="553"/>
      <c r="O2" s="149"/>
      <c r="P2" s="554">
        <f>H61</f>
        <v>1462.97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532" t="s">
        <v>13</v>
      </c>
      <c r="I3" s="536"/>
      <c r="J3" s="533"/>
      <c r="K3" s="154"/>
      <c r="L3" s="537" t="s">
        <v>14</v>
      </c>
      <c r="M3" s="538"/>
      <c r="N3" s="539"/>
      <c r="O3" s="149"/>
      <c r="P3" s="540">
        <f>L61</f>
        <v>906.84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665" t="s">
        <v>223</v>
      </c>
      <c r="G4" s="666"/>
      <c r="H4" s="532" t="s">
        <v>19</v>
      </c>
      <c r="I4" s="536"/>
      <c r="J4" s="533"/>
      <c r="K4" s="154"/>
      <c r="L4" s="537" t="s">
        <v>20</v>
      </c>
      <c r="M4" s="538"/>
      <c r="N4" s="539"/>
      <c r="O4" s="149"/>
      <c r="P4" s="540">
        <f>P2-P3</f>
        <v>556.13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667" t="s">
        <v>236</v>
      </c>
      <c r="G5" s="666"/>
      <c r="H5" s="532" t="s">
        <v>25</v>
      </c>
      <c r="I5" s="536"/>
      <c r="J5" s="533"/>
      <c r="K5" s="154"/>
      <c r="L5" s="558" t="s">
        <v>26</v>
      </c>
      <c r="M5" s="559"/>
      <c r="N5" s="560"/>
      <c r="O5" s="149"/>
      <c r="P5" s="561">
        <f>IFERROR((P2-P3)/P2,"")</f>
        <v>0.38013766516059794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69" t="s">
        <v>237</v>
      </c>
      <c r="G6" s="666"/>
      <c r="H6" s="532" t="s">
        <v>31</v>
      </c>
      <c r="I6" s="536"/>
      <c r="J6" s="533"/>
      <c r="K6" s="154"/>
      <c r="L6" s="574" t="s">
        <v>32</v>
      </c>
      <c r="M6" s="575"/>
      <c r="N6" s="576"/>
      <c r="O6" s="149"/>
      <c r="P6" s="577">
        <f>T61</f>
        <v>906.84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563"/>
      <c r="G7" s="535"/>
      <c r="H7" s="532" t="s">
        <v>36</v>
      </c>
      <c r="I7" s="536"/>
      <c r="J7" s="533"/>
      <c r="K7" s="154"/>
      <c r="L7" s="564" t="s">
        <v>37</v>
      </c>
      <c r="M7" s="565"/>
      <c r="N7" s="56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532" t="s">
        <v>40</v>
      </c>
      <c r="I8" s="536"/>
      <c r="J8" s="533"/>
      <c r="K8" s="154"/>
      <c r="L8" s="564" t="s">
        <v>41</v>
      </c>
      <c r="M8" s="565"/>
      <c r="N8" s="56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393</v>
      </c>
      <c r="G9" s="535"/>
      <c r="H9" s="171"/>
      <c r="I9" s="172"/>
      <c r="J9" s="172"/>
      <c r="K9" s="173"/>
      <c r="L9" s="564" t="s">
        <v>47</v>
      </c>
      <c r="M9" s="565"/>
      <c r="N9" s="56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906.84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542" t="s">
        <v>48</v>
      </c>
      <c r="M10" s="579"/>
      <c r="N10" s="543"/>
      <c r="O10" s="149"/>
      <c r="P10" s="580">
        <f>E61</f>
        <v>10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650" t="s">
        <v>50</v>
      </c>
      <c r="K11" s="651"/>
      <c r="L11" s="651"/>
      <c r="M11" s="651"/>
      <c r="N11" s="652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653"/>
      <c r="K12" s="654"/>
      <c r="L12" s="654"/>
      <c r="M12" s="654"/>
      <c r="N12" s="655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656"/>
      <c r="K13" s="657"/>
      <c r="L13" s="657"/>
      <c r="M13" s="657"/>
      <c r="N13" s="658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601" t="s">
        <v>59</v>
      </c>
      <c r="K14" s="602"/>
      <c r="L14" s="605" t="s">
        <v>60</v>
      </c>
      <c r="M14" s="606"/>
      <c r="N14" s="60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603"/>
      <c r="K15" s="604"/>
      <c r="L15" s="608"/>
      <c r="M15" s="609"/>
      <c r="N15" s="61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631" t="s">
        <v>69</v>
      </c>
      <c r="K16" s="201" t="s">
        <v>72</v>
      </c>
      <c r="L16" s="202" t="s">
        <v>73</v>
      </c>
      <c r="M16" s="633" t="s">
        <v>74</v>
      </c>
      <c r="N16" s="633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3"/>
      <c r="C17" s="625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632"/>
      <c r="K17" s="614" t="s">
        <v>52</v>
      </c>
      <c r="L17" s="615"/>
      <c r="M17" s="634"/>
      <c r="N17" s="634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 s="276">
        <v>22226351</v>
      </c>
      <c r="C18" s="277" t="s">
        <v>226</v>
      </c>
      <c r="D18" s="278">
        <v>500</v>
      </c>
      <c r="E18" s="279">
        <v>1</v>
      </c>
      <c r="F18" s="220">
        <v>35.06</v>
      </c>
      <c r="G18" s="221">
        <f t="shared" ref="G18:G60" si="0">ROUND(IF($F$17="USD $", F18*$E$15,F18*$D$15),2)</f>
        <v>24.69</v>
      </c>
      <c r="H18" s="222">
        <f t="shared" ref="H18:H60" si="1">ROUND(IF($H$17=$G$17,E18*G18,E18*F18),2)</f>
        <v>35.06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13.32</v>
      </c>
      <c r="L18" s="221">
        <f t="shared" ref="L18:L60" si="4">ROUND((J18*K18),2)</f>
        <v>13.32</v>
      </c>
      <c r="M18" s="220" t="s">
        <v>84</v>
      </c>
      <c r="N18" s="225">
        <v>0.62</v>
      </c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13.32</v>
      </c>
      <c r="T18" s="229">
        <f t="shared" ref="T18:T60" si="7">ROUND(L18-R18,2)</f>
        <v>13.32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280">
        <v>54525506</v>
      </c>
      <c r="C19" s="281" t="s">
        <v>227</v>
      </c>
      <c r="D19" s="282">
        <v>500</v>
      </c>
      <c r="E19" s="283">
        <v>1</v>
      </c>
      <c r="F19" s="239">
        <v>259.49</v>
      </c>
      <c r="G19" s="240">
        <f t="shared" si="0"/>
        <v>182.74</v>
      </c>
      <c r="H19" s="241">
        <f t="shared" si="1"/>
        <v>259.49</v>
      </c>
      <c r="I19" s="242"/>
      <c r="J19" s="243">
        <f t="shared" si="2"/>
        <v>1</v>
      </c>
      <c r="K19" s="240">
        <f t="shared" si="3"/>
        <v>98.61</v>
      </c>
      <c r="L19" s="240">
        <f t="shared" si="4"/>
        <v>98.61</v>
      </c>
      <c r="M19" s="244" t="s">
        <v>84</v>
      </c>
      <c r="N19" s="245">
        <v>0.62</v>
      </c>
      <c r="O19" s="226"/>
      <c r="P19" s="246"/>
      <c r="Q19" s="239"/>
      <c r="R19" s="247">
        <f t="shared" si="5"/>
        <v>0</v>
      </c>
      <c r="S19" s="248">
        <f t="shared" si="6"/>
        <v>98.61</v>
      </c>
      <c r="T19" s="248">
        <f t="shared" si="7"/>
        <v>98.61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276">
        <v>36897353</v>
      </c>
      <c r="C20" s="284" t="s">
        <v>228</v>
      </c>
      <c r="D20" s="285">
        <v>250</v>
      </c>
      <c r="E20" s="279">
        <v>1</v>
      </c>
      <c r="F20" s="220">
        <v>32.71</v>
      </c>
      <c r="G20" s="221">
        <f t="shared" si="0"/>
        <v>23.04</v>
      </c>
      <c r="H20" s="222">
        <f t="shared" si="1"/>
        <v>32.71</v>
      </c>
      <c r="I20" s="242"/>
      <c r="J20" s="224">
        <f t="shared" si="2"/>
        <v>1</v>
      </c>
      <c r="K20" s="221">
        <f t="shared" si="3"/>
        <v>12.43</v>
      </c>
      <c r="L20" s="221">
        <f t="shared" si="4"/>
        <v>12.43</v>
      </c>
      <c r="M20" s="220" t="s">
        <v>84</v>
      </c>
      <c r="N20" s="254">
        <v>0.62</v>
      </c>
      <c r="O20" s="226"/>
      <c r="P20" s="255"/>
      <c r="Q20" s="228"/>
      <c r="R20" s="229">
        <f t="shared" si="5"/>
        <v>0</v>
      </c>
      <c r="S20" s="229">
        <f t="shared" si="6"/>
        <v>12.43</v>
      </c>
      <c r="T20" s="229">
        <f t="shared" si="7"/>
        <v>12.43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280">
        <v>54625942</v>
      </c>
      <c r="C21" s="281" t="s">
        <v>229</v>
      </c>
      <c r="D21" s="282">
        <v>1000</v>
      </c>
      <c r="E21" s="283">
        <v>1</v>
      </c>
      <c r="F21" s="239">
        <v>285.95999999999998</v>
      </c>
      <c r="G21" s="240">
        <f t="shared" si="0"/>
        <v>201.38</v>
      </c>
      <c r="H21" s="241">
        <f t="shared" si="1"/>
        <v>285.95999999999998</v>
      </c>
      <c r="I21" s="242"/>
      <c r="J21" s="243">
        <f t="shared" si="2"/>
        <v>1</v>
      </c>
      <c r="K21" s="240">
        <f t="shared" si="3"/>
        <v>108.66</v>
      </c>
      <c r="L21" s="240">
        <f t="shared" si="4"/>
        <v>108.66</v>
      </c>
      <c r="M21" s="244" t="s">
        <v>84</v>
      </c>
      <c r="N21" s="245">
        <v>0.62</v>
      </c>
      <c r="O21" s="226"/>
      <c r="P21" s="246"/>
      <c r="Q21" s="239"/>
      <c r="R21" s="247">
        <f t="shared" si="5"/>
        <v>0</v>
      </c>
      <c r="S21" s="248">
        <f t="shared" si="6"/>
        <v>108.66</v>
      </c>
      <c r="T21" s="248">
        <f t="shared" si="7"/>
        <v>108.66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276">
        <v>35393685</v>
      </c>
      <c r="C22" s="284" t="s">
        <v>214</v>
      </c>
      <c r="D22" s="285">
        <v>250</v>
      </c>
      <c r="E22" s="279">
        <v>1</v>
      </c>
      <c r="F22" s="220">
        <v>125.1</v>
      </c>
      <c r="G22" s="221">
        <f t="shared" si="0"/>
        <v>88.1</v>
      </c>
      <c r="H22" s="222">
        <f t="shared" si="1"/>
        <v>125.1</v>
      </c>
      <c r="I22" s="242"/>
      <c r="J22" s="224">
        <f t="shared" si="2"/>
        <v>1</v>
      </c>
      <c r="K22" s="221">
        <f t="shared" si="3"/>
        <v>47.54</v>
      </c>
      <c r="L22" s="221">
        <f t="shared" si="4"/>
        <v>47.54</v>
      </c>
      <c r="M22" s="220" t="s">
        <v>84</v>
      </c>
      <c r="N22" s="254">
        <v>0.62</v>
      </c>
      <c r="O22" s="226"/>
      <c r="P22" s="255"/>
      <c r="Q22" s="228"/>
      <c r="R22" s="229">
        <f t="shared" si="5"/>
        <v>0</v>
      </c>
      <c r="S22" s="229">
        <f t="shared" si="6"/>
        <v>47.54</v>
      </c>
      <c r="T22" s="229">
        <f t="shared" si="7"/>
        <v>47.54</v>
      </c>
      <c r="U22" s="230">
        <f t="shared" si="8"/>
        <v>0</v>
      </c>
      <c r="V22" s="230">
        <f t="shared" si="9"/>
        <v>1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280">
        <v>35393651</v>
      </c>
      <c r="C23" s="281" t="s">
        <v>216</v>
      </c>
      <c r="D23" s="282">
        <v>250</v>
      </c>
      <c r="E23" s="283">
        <v>1</v>
      </c>
      <c r="F23" s="239">
        <v>121.78</v>
      </c>
      <c r="G23" s="240">
        <f t="shared" si="0"/>
        <v>85.76</v>
      </c>
      <c r="H23" s="241">
        <f t="shared" si="1"/>
        <v>121.78</v>
      </c>
      <c r="I23" s="242"/>
      <c r="J23" s="243">
        <f t="shared" si="2"/>
        <v>1</v>
      </c>
      <c r="K23" s="240">
        <f t="shared" si="3"/>
        <v>46.28</v>
      </c>
      <c r="L23" s="240">
        <f t="shared" si="4"/>
        <v>46.28</v>
      </c>
      <c r="M23" s="244" t="s">
        <v>84</v>
      </c>
      <c r="N23" s="245">
        <v>0.62</v>
      </c>
      <c r="O23" s="226"/>
      <c r="P23" s="246"/>
      <c r="Q23" s="239"/>
      <c r="R23" s="247">
        <f t="shared" si="5"/>
        <v>0</v>
      </c>
      <c r="S23" s="248">
        <f t="shared" si="6"/>
        <v>46.28</v>
      </c>
      <c r="T23" s="248">
        <f t="shared" si="7"/>
        <v>46.28</v>
      </c>
      <c r="U23" s="249">
        <f t="shared" si="8"/>
        <v>0</v>
      </c>
      <c r="V23" s="249">
        <f t="shared" si="9"/>
        <v>1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276">
        <v>22226369</v>
      </c>
      <c r="C24" s="284" t="s">
        <v>218</v>
      </c>
      <c r="D24" s="285">
        <v>500</v>
      </c>
      <c r="E24" s="279">
        <v>1</v>
      </c>
      <c r="F24" s="220">
        <v>36.89</v>
      </c>
      <c r="G24" s="221">
        <f t="shared" si="0"/>
        <v>25.98</v>
      </c>
      <c r="H24" s="222">
        <f t="shared" si="1"/>
        <v>36.89</v>
      </c>
      <c r="I24" s="242"/>
      <c r="J24" s="224">
        <f t="shared" si="2"/>
        <v>1</v>
      </c>
      <c r="K24" s="221">
        <f t="shared" si="3"/>
        <v>14.02</v>
      </c>
      <c r="L24" s="221">
        <f t="shared" si="4"/>
        <v>14.02</v>
      </c>
      <c r="M24" s="220" t="s">
        <v>84</v>
      </c>
      <c r="N24" s="254">
        <v>0.62</v>
      </c>
      <c r="O24" s="226"/>
      <c r="P24" s="255"/>
      <c r="Q24" s="228"/>
      <c r="R24" s="229">
        <f t="shared" si="5"/>
        <v>0</v>
      </c>
      <c r="S24" s="229">
        <f t="shared" si="6"/>
        <v>14.02</v>
      </c>
      <c r="T24" s="229">
        <f t="shared" si="7"/>
        <v>14.02</v>
      </c>
      <c r="U24" s="230">
        <f t="shared" si="8"/>
        <v>0</v>
      </c>
      <c r="V24" s="230">
        <f t="shared" si="9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 s="280"/>
      <c r="C25" s="281"/>
      <c r="D25" s="282"/>
      <c r="E25" s="283"/>
      <c r="F25" s="239"/>
      <c r="G25" s="240">
        <f t="shared" si="0"/>
        <v>0</v>
      </c>
      <c r="H25" s="241">
        <f t="shared" si="1"/>
        <v>0</v>
      </c>
      <c r="I25" s="242"/>
      <c r="J25" s="243">
        <f t="shared" si="2"/>
        <v>0</v>
      </c>
      <c r="K25" s="240">
        <f t="shared" si="3"/>
        <v>0</v>
      </c>
      <c r="L25" s="240">
        <f t="shared" si="4"/>
        <v>0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0</v>
      </c>
      <c r="T25" s="248">
        <f t="shared" si="7"/>
        <v>0</v>
      </c>
      <c r="U25" s="249">
        <f t="shared" si="8"/>
        <v>0</v>
      </c>
      <c r="V25" s="249">
        <f t="shared" si="9"/>
        <v>0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 s="276"/>
      <c r="C26" s="284"/>
      <c r="D26" s="285"/>
      <c r="E26" s="279"/>
      <c r="F26" s="220"/>
      <c r="G26" s="221">
        <f t="shared" si="0"/>
        <v>0</v>
      </c>
      <c r="H26" s="222">
        <f t="shared" si="1"/>
        <v>0</v>
      </c>
      <c r="I26" s="242"/>
      <c r="J26" s="224">
        <f t="shared" si="2"/>
        <v>0</v>
      </c>
      <c r="K26" s="221">
        <f t="shared" si="3"/>
        <v>0</v>
      </c>
      <c r="L26" s="221">
        <f t="shared" si="4"/>
        <v>0</v>
      </c>
      <c r="M26" s="220" t="s">
        <v>84</v>
      </c>
      <c r="N26" s="254">
        <v>0.5</v>
      </c>
      <c r="O26" s="226"/>
      <c r="P26" s="255"/>
      <c r="Q26" s="228"/>
      <c r="R26" s="229">
        <f t="shared" si="5"/>
        <v>0</v>
      </c>
      <c r="S26" s="229">
        <f t="shared" si="6"/>
        <v>0</v>
      </c>
      <c r="T26" s="229">
        <f t="shared" si="7"/>
        <v>0</v>
      </c>
      <c r="U26" s="230">
        <f t="shared" si="8"/>
        <v>0</v>
      </c>
      <c r="V26" s="230">
        <f t="shared" si="9"/>
        <v>0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280"/>
      <c r="C27" s="281"/>
      <c r="D27" s="282"/>
      <c r="E27" s="283"/>
      <c r="F27" s="239"/>
      <c r="G27" s="240">
        <f t="shared" si="0"/>
        <v>0</v>
      </c>
      <c r="H27" s="241">
        <f t="shared" si="1"/>
        <v>0</v>
      </c>
      <c r="I27" s="242"/>
      <c r="J27" s="243">
        <f t="shared" si="2"/>
        <v>0</v>
      </c>
      <c r="K27" s="240">
        <f t="shared" si="3"/>
        <v>0</v>
      </c>
      <c r="L27" s="240">
        <f t="shared" si="4"/>
        <v>0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0</v>
      </c>
      <c r="T27" s="248">
        <f t="shared" si="7"/>
        <v>0</v>
      </c>
      <c r="U27" s="249">
        <f t="shared" si="8"/>
        <v>0</v>
      </c>
      <c r="V27" s="249">
        <f t="shared" si="9"/>
        <v>0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276">
        <v>36844264</v>
      </c>
      <c r="C28" s="284" t="s">
        <v>230</v>
      </c>
      <c r="D28" s="285" t="s">
        <v>101</v>
      </c>
      <c r="E28" s="279">
        <v>1</v>
      </c>
      <c r="F28" s="220"/>
      <c r="G28" s="221">
        <f t="shared" si="0"/>
        <v>0</v>
      </c>
      <c r="H28" s="222">
        <f t="shared" si="1"/>
        <v>0</v>
      </c>
      <c r="I28" s="242"/>
      <c r="J28" s="224">
        <f t="shared" si="2"/>
        <v>1</v>
      </c>
      <c r="K28" s="221">
        <f t="shared" si="3"/>
        <v>0</v>
      </c>
      <c r="L28" s="221">
        <f t="shared" si="4"/>
        <v>0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0</v>
      </c>
      <c r="T28" s="229">
        <f t="shared" si="7"/>
        <v>0</v>
      </c>
      <c r="U28" s="230">
        <f t="shared" si="8"/>
        <v>0</v>
      </c>
      <c r="V28" s="230">
        <f t="shared" si="9"/>
        <v>0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280"/>
      <c r="C29" s="281"/>
      <c r="D29" s="282"/>
      <c r="E29" s="283"/>
      <c r="F29" s="239"/>
      <c r="G29" s="240">
        <f t="shared" si="0"/>
        <v>0</v>
      </c>
      <c r="H29" s="241">
        <f t="shared" si="1"/>
        <v>0</v>
      </c>
      <c r="I29" s="242"/>
      <c r="J29" s="243">
        <f t="shared" si="2"/>
        <v>0</v>
      </c>
      <c r="K29" s="240">
        <f t="shared" si="3"/>
        <v>0</v>
      </c>
      <c r="L29" s="240">
        <f t="shared" si="4"/>
        <v>0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0</v>
      </c>
      <c r="T29" s="248">
        <f t="shared" si="7"/>
        <v>0</v>
      </c>
      <c r="U29" s="249">
        <f t="shared" si="8"/>
        <v>0</v>
      </c>
      <c r="V29" s="249">
        <f t="shared" si="9"/>
        <v>0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276"/>
      <c r="C30" s="284"/>
      <c r="D30" s="285"/>
      <c r="E30" s="279"/>
      <c r="F30" s="220"/>
      <c r="G30" s="221">
        <f t="shared" si="0"/>
        <v>0</v>
      </c>
      <c r="H30" s="222">
        <f t="shared" si="1"/>
        <v>0</v>
      </c>
      <c r="I30" s="242"/>
      <c r="J30" s="224">
        <f t="shared" si="2"/>
        <v>0</v>
      </c>
      <c r="K30" s="221">
        <f t="shared" si="3"/>
        <v>0</v>
      </c>
      <c r="L30" s="221">
        <f t="shared" si="4"/>
        <v>0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0</v>
      </c>
      <c r="T30" s="229">
        <f t="shared" si="7"/>
        <v>0</v>
      </c>
      <c r="U30" s="230">
        <f t="shared" si="8"/>
        <v>0</v>
      </c>
      <c r="V30" s="230">
        <f t="shared" si="9"/>
        <v>0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280">
        <v>22246276</v>
      </c>
      <c r="C31" s="281" t="s">
        <v>232</v>
      </c>
      <c r="D31" s="282"/>
      <c r="E31" s="283">
        <v>2</v>
      </c>
      <c r="F31" s="239">
        <v>282.99</v>
      </c>
      <c r="G31" s="240">
        <f t="shared" si="0"/>
        <v>199.29</v>
      </c>
      <c r="H31" s="241">
        <f t="shared" si="1"/>
        <v>565.98</v>
      </c>
      <c r="I31" s="242"/>
      <c r="J31" s="243">
        <f t="shared" si="2"/>
        <v>2</v>
      </c>
      <c r="K31" s="240">
        <f t="shared" si="3"/>
        <v>282.99</v>
      </c>
      <c r="L31" s="240">
        <f t="shared" si="4"/>
        <v>565.98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282.99</v>
      </c>
      <c r="T31" s="248">
        <f t="shared" si="7"/>
        <v>565.98</v>
      </c>
      <c r="U31" s="249">
        <f t="shared" si="8"/>
        <v>0</v>
      </c>
      <c r="V31" s="249">
        <f t="shared" si="9"/>
        <v>1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276"/>
      <c r="C32" s="284"/>
      <c r="D32" s="285"/>
      <c r="E32" s="279"/>
      <c r="F32" s="220"/>
      <c r="G32" s="221">
        <f t="shared" si="0"/>
        <v>0</v>
      </c>
      <c r="H32" s="222">
        <f t="shared" si="1"/>
        <v>0</v>
      </c>
      <c r="I32" s="242"/>
      <c r="J32" s="224">
        <f t="shared" si="2"/>
        <v>0</v>
      </c>
      <c r="K32" s="221">
        <f t="shared" si="3"/>
        <v>0</v>
      </c>
      <c r="L32" s="221">
        <f t="shared" si="4"/>
        <v>0</v>
      </c>
      <c r="M32" s="220" t="s">
        <v>84</v>
      </c>
      <c r="N32" s="254">
        <v>0.5</v>
      </c>
      <c r="O32" s="226"/>
      <c r="P32" s="255"/>
      <c r="Q32" s="228"/>
      <c r="R32" s="229">
        <f t="shared" si="5"/>
        <v>0</v>
      </c>
      <c r="S32" s="229">
        <f t="shared" si="6"/>
        <v>0</v>
      </c>
      <c r="T32" s="229">
        <f t="shared" si="7"/>
        <v>0</v>
      </c>
      <c r="U32" s="230">
        <f t="shared" si="8"/>
        <v>0</v>
      </c>
      <c r="V32" s="230">
        <f t="shared" si="9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280"/>
      <c r="C33" s="281"/>
      <c r="D33" s="282"/>
      <c r="E33" s="283"/>
      <c r="F33" s="239"/>
      <c r="G33" s="240">
        <f t="shared" si="0"/>
        <v>0</v>
      </c>
      <c r="H33" s="241">
        <f t="shared" si="1"/>
        <v>0</v>
      </c>
      <c r="I33" s="242"/>
      <c r="J33" s="243">
        <f t="shared" si="2"/>
        <v>0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276"/>
      <c r="C34" s="284"/>
      <c r="D34" s="285"/>
      <c r="E34" s="279"/>
      <c r="F34" s="220"/>
      <c r="G34" s="221">
        <f t="shared" si="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>
        <v>0.5</v>
      </c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280"/>
      <c r="C35" s="281"/>
      <c r="D35" s="282"/>
      <c r="E35" s="283"/>
      <c r="F35" s="239"/>
      <c r="G35" s="240">
        <f t="shared" si="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>
        <v>0.5</v>
      </c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276"/>
      <c r="C36" s="284"/>
      <c r="D36" s="285"/>
      <c r="E36" s="279"/>
      <c r="F36" s="220"/>
      <c r="G36" s="221">
        <f t="shared" si="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280"/>
      <c r="C37" s="281"/>
      <c r="D37" s="282"/>
      <c r="E37" s="283"/>
      <c r="F37" s="239"/>
      <c r="G37" s="240">
        <f t="shared" si="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276"/>
      <c r="C38" s="284"/>
      <c r="D38" s="285"/>
      <c r="E38" s="279"/>
      <c r="F38" s="220"/>
      <c r="G38" s="221">
        <f t="shared" si="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280"/>
      <c r="C39" s="281"/>
      <c r="D39" s="282"/>
      <c r="E39" s="283"/>
      <c r="F39" s="239"/>
      <c r="G39" s="240">
        <f t="shared" si="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276"/>
      <c r="C40" s="284"/>
      <c r="D40" s="285"/>
      <c r="E40" s="279"/>
      <c r="F40" s="220"/>
      <c r="G40" s="221">
        <f t="shared" si="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280"/>
      <c r="C41" s="281"/>
      <c r="D41" s="282"/>
      <c r="E41" s="283"/>
      <c r="F41" s="239"/>
      <c r="G41" s="240">
        <f t="shared" si="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276"/>
      <c r="C42" s="284"/>
      <c r="D42" s="285"/>
      <c r="E42" s="279"/>
      <c r="F42" s="220"/>
      <c r="G42" s="221">
        <f t="shared" si="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280"/>
      <c r="C43" s="281"/>
      <c r="D43" s="282"/>
      <c r="E43" s="283"/>
      <c r="F43" s="239"/>
      <c r="G43" s="240">
        <f t="shared" si="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276"/>
      <c r="C44" s="284"/>
      <c r="D44" s="285"/>
      <c r="E44" s="279"/>
      <c r="F44" s="220"/>
      <c r="G44" s="221">
        <f t="shared" si="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280"/>
      <c r="C45" s="281"/>
      <c r="D45" s="282"/>
      <c r="E45" s="283"/>
      <c r="F45" s="239"/>
      <c r="G45" s="240">
        <f t="shared" si="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276"/>
      <c r="C46" s="284"/>
      <c r="D46" s="285"/>
      <c r="E46" s="279"/>
      <c r="F46" s="220"/>
      <c r="G46" s="221">
        <f t="shared" si="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280"/>
      <c r="C47" s="281"/>
      <c r="D47" s="282"/>
      <c r="E47" s="283"/>
      <c r="F47" s="239"/>
      <c r="G47" s="240">
        <f t="shared" si="0"/>
        <v>0</v>
      </c>
      <c r="H47" s="241">
        <f t="shared" si="1"/>
        <v>0</v>
      </c>
      <c r="I47" s="242"/>
      <c r="J47" s="243">
        <f t="shared" si="2"/>
        <v>0</v>
      </c>
      <c r="K47" s="240">
        <f t="shared" si="3"/>
        <v>0</v>
      </c>
      <c r="L47" s="240">
        <f t="shared" si="4"/>
        <v>0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0</v>
      </c>
      <c r="T47" s="248">
        <f t="shared" si="7"/>
        <v>0</v>
      </c>
      <c r="U47" s="249">
        <f t="shared" si="8"/>
        <v>0</v>
      </c>
      <c r="V47" s="249">
        <f t="shared" si="9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276"/>
      <c r="C48" s="284"/>
      <c r="D48" s="285"/>
      <c r="E48" s="279"/>
      <c r="F48" s="220"/>
      <c r="G48" s="221">
        <f t="shared" si="0"/>
        <v>0</v>
      </c>
      <c r="H48" s="222">
        <f t="shared" si="1"/>
        <v>0</v>
      </c>
      <c r="I48" s="242"/>
      <c r="J48" s="224">
        <f t="shared" si="2"/>
        <v>0</v>
      </c>
      <c r="K48" s="221">
        <f t="shared" si="3"/>
        <v>0</v>
      </c>
      <c r="L48" s="221">
        <f t="shared" si="4"/>
        <v>0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0</v>
      </c>
      <c r="T48" s="229">
        <f t="shared" si="7"/>
        <v>0</v>
      </c>
      <c r="U48" s="230">
        <f t="shared" si="8"/>
        <v>0</v>
      </c>
      <c r="V48" s="230">
        <f t="shared" si="9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280"/>
      <c r="C49" s="281"/>
      <c r="D49" s="282"/>
      <c r="E49" s="283"/>
      <c r="F49" s="239"/>
      <c r="G49" s="240">
        <f t="shared" si="0"/>
        <v>0</v>
      </c>
      <c r="H49" s="241">
        <f t="shared" si="1"/>
        <v>0</v>
      </c>
      <c r="I49" s="242"/>
      <c r="J49" s="243">
        <f t="shared" si="2"/>
        <v>0</v>
      </c>
      <c r="K49" s="240">
        <f t="shared" si="3"/>
        <v>0</v>
      </c>
      <c r="L49" s="240">
        <f t="shared" si="4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0</v>
      </c>
      <c r="T49" s="248">
        <f t="shared" si="7"/>
        <v>0</v>
      </c>
      <c r="U49" s="249">
        <f t="shared" si="8"/>
        <v>0</v>
      </c>
      <c r="V49" s="249">
        <f t="shared" si="9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276"/>
      <c r="C50" s="284"/>
      <c r="D50" s="285"/>
      <c r="E50" s="279"/>
      <c r="F50" s="220"/>
      <c r="G50" s="221">
        <f t="shared" si="0"/>
        <v>0</v>
      </c>
      <c r="H50" s="222">
        <f t="shared" si="1"/>
        <v>0</v>
      </c>
      <c r="I50" s="242"/>
      <c r="J50" s="224">
        <f t="shared" si="2"/>
        <v>0</v>
      </c>
      <c r="K50" s="221">
        <f t="shared" si="3"/>
        <v>0</v>
      </c>
      <c r="L50" s="221">
        <f t="shared" si="4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0</v>
      </c>
      <c r="T50" s="229">
        <f t="shared" si="7"/>
        <v>0</v>
      </c>
      <c r="U50" s="230">
        <f t="shared" si="8"/>
        <v>0</v>
      </c>
      <c r="V50" s="230">
        <f t="shared" si="9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280"/>
      <c r="C51" s="281"/>
      <c r="D51" s="282"/>
      <c r="E51" s="283"/>
      <c r="F51" s="239"/>
      <c r="G51" s="240">
        <f t="shared" si="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10</v>
      </c>
      <c r="F61" s="265">
        <f>SUM(F18:F60)</f>
        <v>1179.98</v>
      </c>
      <c r="G61" s="266">
        <f>SUM(G18:G60)</f>
        <v>830.98</v>
      </c>
      <c r="H61" s="267">
        <f>SUM(H18:H60)</f>
        <v>1462.97</v>
      </c>
      <c r="I61" s="268"/>
      <c r="J61" s="269">
        <f>SUM(J18:J60)</f>
        <v>10</v>
      </c>
      <c r="K61" s="266">
        <f>SUM(K18:K60)</f>
        <v>623.85</v>
      </c>
      <c r="L61" s="267">
        <f>SUM(L18:L60)</f>
        <v>906.84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623.85</v>
      </c>
      <c r="T61" s="267">
        <f>SUM(T18:T60)</f>
        <v>906.84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51" priority="3" stopIfTrue="1">
      <formula>$U$9&gt;100%</formula>
    </cfRule>
    <cfRule type="expression" dxfId="150" priority="4">
      <formula>$U$9&lt;50%</formula>
    </cfRule>
  </conditionalFormatting>
  <conditionalFormatting sqref="V9:V10">
    <cfRule type="expression" dxfId="149" priority="1">
      <formula>$V$9&lt;50%</formula>
    </cfRule>
    <cfRule type="expression" dxfId="148" priority="2">
      <formula>$V$9&gt;50%</formula>
    </cfRule>
  </conditionalFormatting>
  <dataValidations count="5">
    <dataValidation type="list" allowBlank="1" showInputMessage="1" showErrorMessage="1" sqref="M18:M60" xr:uid="{BFB780E1-0795-4E74-93F3-FBB31C8B1237}">
      <formula1>$Y$31:$Y$32</formula1>
    </dataValidation>
    <dataValidation type="list" showInputMessage="1" showErrorMessage="1" sqref="D52:D60" xr:uid="{A06452A9-7706-44FC-972A-9B2482D758EC}">
      <formula1>$Z$18:$Z$29</formula1>
    </dataValidation>
    <dataValidation type="list" allowBlank="1" showInputMessage="1" showErrorMessage="1" sqref="I13" xr:uid="{2AA20B15-17DA-42E3-9159-8324988A1313}">
      <formula1>$K$9:$K$9</formula1>
    </dataValidation>
    <dataValidation type="list" allowBlank="1" showInputMessage="1" showErrorMessage="1" sqref="H13" xr:uid="{C783E529-64F5-49EA-ACCA-A2D6D8048775}">
      <formula1>$Y$13:$Y$14</formula1>
    </dataValidation>
    <dataValidation type="list" allowBlank="1" showInputMessage="1" showErrorMessage="1" sqref="F17 K17 Q17 Q14" xr:uid="{4D2342BD-995B-43DA-8DA0-72719B4B8736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A5228-1F3D-4679-B32A-F1C26CDD5708}">
  <sheetPr>
    <pageSetUpPr fitToPage="1"/>
  </sheetPr>
  <dimension ref="A1:AB63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523" t="s">
        <v>2</v>
      </c>
      <c r="I1" s="524"/>
      <c r="J1" s="524"/>
      <c r="K1" s="525"/>
      <c r="L1" s="528" t="s">
        <v>3</v>
      </c>
      <c r="M1" s="529"/>
      <c r="N1" s="529"/>
      <c r="O1" s="529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59">
        <v>6990112</v>
      </c>
      <c r="G2" s="549"/>
      <c r="H2" s="546" t="s">
        <v>7</v>
      </c>
      <c r="I2" s="550"/>
      <c r="J2" s="547"/>
      <c r="K2" s="148"/>
      <c r="L2" s="551" t="s">
        <v>8</v>
      </c>
      <c r="M2" s="552"/>
      <c r="N2" s="553"/>
      <c r="O2" s="149"/>
      <c r="P2" s="554">
        <f>H61</f>
        <v>1612.3600000000001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532" t="s">
        <v>13</v>
      </c>
      <c r="I3" s="536"/>
      <c r="J3" s="533"/>
      <c r="K3" s="154"/>
      <c r="L3" s="537" t="s">
        <v>14</v>
      </c>
      <c r="M3" s="538"/>
      <c r="N3" s="539"/>
      <c r="O3" s="149"/>
      <c r="P3" s="540">
        <f>L61</f>
        <v>1204.8600000000001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665" t="s">
        <v>223</v>
      </c>
      <c r="G4" s="666"/>
      <c r="H4" s="532" t="s">
        <v>19</v>
      </c>
      <c r="I4" s="536"/>
      <c r="J4" s="533"/>
      <c r="K4" s="154"/>
      <c r="L4" s="537" t="s">
        <v>20</v>
      </c>
      <c r="M4" s="538"/>
      <c r="N4" s="539"/>
      <c r="O4" s="149"/>
      <c r="P4" s="540">
        <f>P2-P3</f>
        <v>407.5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667" t="s">
        <v>238</v>
      </c>
      <c r="G5" s="666"/>
      <c r="H5" s="532" t="s">
        <v>25</v>
      </c>
      <c r="I5" s="536"/>
      <c r="J5" s="533"/>
      <c r="K5" s="154"/>
      <c r="L5" s="558" t="s">
        <v>26</v>
      </c>
      <c r="M5" s="559"/>
      <c r="N5" s="560"/>
      <c r="O5" s="149"/>
      <c r="P5" s="561">
        <f>IFERROR((P2-P3)/P2,"")</f>
        <v>0.25273512118881636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69" t="s">
        <v>239</v>
      </c>
      <c r="G6" s="666"/>
      <c r="H6" s="532" t="s">
        <v>31</v>
      </c>
      <c r="I6" s="536"/>
      <c r="J6" s="533"/>
      <c r="K6" s="154"/>
      <c r="L6" s="574" t="s">
        <v>32</v>
      </c>
      <c r="M6" s="575"/>
      <c r="N6" s="576"/>
      <c r="O6" s="149"/>
      <c r="P6" s="577">
        <f>T61</f>
        <v>1204.8600000000001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563"/>
      <c r="G7" s="535"/>
      <c r="H7" s="532" t="s">
        <v>36</v>
      </c>
      <c r="I7" s="536"/>
      <c r="J7" s="533"/>
      <c r="K7" s="154"/>
      <c r="L7" s="564" t="s">
        <v>37</v>
      </c>
      <c r="M7" s="565"/>
      <c r="N7" s="56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532" t="s">
        <v>40</v>
      </c>
      <c r="I8" s="536"/>
      <c r="J8" s="533"/>
      <c r="K8" s="154"/>
      <c r="L8" s="564" t="s">
        <v>41</v>
      </c>
      <c r="M8" s="565"/>
      <c r="N8" s="56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366</v>
      </c>
      <c r="G9" s="535"/>
      <c r="H9" s="171"/>
      <c r="I9" s="172"/>
      <c r="J9" s="172"/>
      <c r="K9" s="173"/>
      <c r="L9" s="564" t="s">
        <v>47</v>
      </c>
      <c r="M9" s="565"/>
      <c r="N9" s="56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1204.8600000000001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542" t="s">
        <v>48</v>
      </c>
      <c r="M10" s="579"/>
      <c r="N10" s="543"/>
      <c r="O10" s="149"/>
      <c r="P10" s="580">
        <f>E61</f>
        <v>7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650" t="s">
        <v>50</v>
      </c>
      <c r="K11" s="651"/>
      <c r="L11" s="651"/>
      <c r="M11" s="651"/>
      <c r="N11" s="652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653"/>
      <c r="K12" s="654"/>
      <c r="L12" s="654"/>
      <c r="M12" s="654"/>
      <c r="N12" s="655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656"/>
      <c r="K13" s="657"/>
      <c r="L13" s="657"/>
      <c r="M13" s="657"/>
      <c r="N13" s="658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601" t="s">
        <v>59</v>
      </c>
      <c r="K14" s="602"/>
      <c r="L14" s="605" t="s">
        <v>60</v>
      </c>
      <c r="M14" s="606"/>
      <c r="N14" s="60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603"/>
      <c r="K15" s="604"/>
      <c r="L15" s="608"/>
      <c r="M15" s="609"/>
      <c r="N15" s="61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631" t="s">
        <v>69</v>
      </c>
      <c r="K16" s="201" t="s">
        <v>72</v>
      </c>
      <c r="L16" s="202" t="s">
        <v>73</v>
      </c>
      <c r="M16" s="633" t="s">
        <v>74</v>
      </c>
      <c r="N16" s="633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3"/>
      <c r="C17" s="625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632"/>
      <c r="K17" s="614" t="s">
        <v>52</v>
      </c>
      <c r="L17" s="615"/>
      <c r="M17" s="634"/>
      <c r="N17" s="634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 s="276">
        <v>36870574</v>
      </c>
      <c r="C18" s="277" t="s">
        <v>226</v>
      </c>
      <c r="D18" s="278">
        <v>500</v>
      </c>
      <c r="E18" s="279">
        <v>1</v>
      </c>
      <c r="F18" s="220">
        <v>32.36</v>
      </c>
      <c r="G18" s="221">
        <f t="shared" ref="G18:G60" si="0">ROUND(IF($F$17="USD $", F18*$E$15,F18*$D$15),2)</f>
        <v>22.79</v>
      </c>
      <c r="H18" s="222">
        <f t="shared" ref="H18:H60" si="1">ROUND(IF($H$17=$G$17,E18*G18,E18*F18),2)</f>
        <v>32.36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12.3</v>
      </c>
      <c r="L18" s="221">
        <f t="shared" ref="L18:L60" si="4">ROUND((J18*K18),2)</f>
        <v>12.3</v>
      </c>
      <c r="M18" s="220" t="s">
        <v>84</v>
      </c>
      <c r="N18" s="225">
        <v>0.62</v>
      </c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12.3</v>
      </c>
      <c r="T18" s="229">
        <f t="shared" ref="T18:T60" si="7">ROUND(L18-R18,2)</f>
        <v>12.3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280">
        <v>35367978</v>
      </c>
      <c r="C19" s="281" t="s">
        <v>227</v>
      </c>
      <c r="D19" s="282">
        <v>500</v>
      </c>
      <c r="E19" s="283">
        <v>1</v>
      </c>
      <c r="F19" s="239">
        <v>56.8</v>
      </c>
      <c r="G19" s="240">
        <f t="shared" si="0"/>
        <v>40</v>
      </c>
      <c r="H19" s="241">
        <f t="shared" si="1"/>
        <v>56.8</v>
      </c>
      <c r="I19" s="242"/>
      <c r="J19" s="243">
        <f t="shared" si="2"/>
        <v>1</v>
      </c>
      <c r="K19" s="240">
        <f t="shared" si="3"/>
        <v>21.58</v>
      </c>
      <c r="L19" s="240">
        <f t="shared" si="4"/>
        <v>21.58</v>
      </c>
      <c r="M19" s="244" t="s">
        <v>84</v>
      </c>
      <c r="N19" s="245">
        <v>0.62</v>
      </c>
      <c r="O19" s="226"/>
      <c r="P19" s="246"/>
      <c r="Q19" s="239"/>
      <c r="R19" s="247">
        <f t="shared" si="5"/>
        <v>0</v>
      </c>
      <c r="S19" s="248">
        <f t="shared" si="6"/>
        <v>21.58</v>
      </c>
      <c r="T19" s="248">
        <f t="shared" si="7"/>
        <v>21.58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276">
        <v>36890135</v>
      </c>
      <c r="C20" s="284" t="s">
        <v>214</v>
      </c>
      <c r="D20" s="285">
        <v>250</v>
      </c>
      <c r="E20" s="279">
        <v>1</v>
      </c>
      <c r="F20" s="220">
        <v>39.76</v>
      </c>
      <c r="G20" s="221">
        <f t="shared" si="0"/>
        <v>28</v>
      </c>
      <c r="H20" s="222">
        <f t="shared" si="1"/>
        <v>39.76</v>
      </c>
      <c r="I20" s="242"/>
      <c r="J20" s="224">
        <f t="shared" si="2"/>
        <v>1</v>
      </c>
      <c r="K20" s="221">
        <f t="shared" si="3"/>
        <v>15.11</v>
      </c>
      <c r="L20" s="221">
        <f t="shared" si="4"/>
        <v>15.11</v>
      </c>
      <c r="M20" s="220" t="s">
        <v>84</v>
      </c>
      <c r="N20" s="254">
        <v>0.62</v>
      </c>
      <c r="O20" s="226"/>
      <c r="P20" s="255"/>
      <c r="Q20" s="228"/>
      <c r="R20" s="229">
        <f t="shared" si="5"/>
        <v>0</v>
      </c>
      <c r="S20" s="229">
        <f t="shared" si="6"/>
        <v>15.11</v>
      </c>
      <c r="T20" s="229">
        <f t="shared" si="7"/>
        <v>15.11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276">
        <v>36870566</v>
      </c>
      <c r="C21" s="284" t="s">
        <v>218</v>
      </c>
      <c r="D21" s="285">
        <v>500</v>
      </c>
      <c r="E21" s="279">
        <v>1</v>
      </c>
      <c r="F21" s="239">
        <v>41.01</v>
      </c>
      <c r="G21" s="240">
        <f t="shared" si="0"/>
        <v>28.88</v>
      </c>
      <c r="H21" s="241">
        <f t="shared" si="1"/>
        <v>41.01</v>
      </c>
      <c r="I21" s="242"/>
      <c r="J21" s="243">
        <f t="shared" si="2"/>
        <v>1</v>
      </c>
      <c r="K21" s="240">
        <f t="shared" si="3"/>
        <v>15.58</v>
      </c>
      <c r="L21" s="240">
        <f t="shared" si="4"/>
        <v>15.58</v>
      </c>
      <c r="M21" s="244" t="s">
        <v>84</v>
      </c>
      <c r="N21" s="245">
        <v>0.62</v>
      </c>
      <c r="O21" s="226"/>
      <c r="P21" s="246"/>
      <c r="Q21" s="239"/>
      <c r="R21" s="247">
        <f t="shared" si="5"/>
        <v>0</v>
      </c>
      <c r="S21" s="248">
        <f t="shared" si="6"/>
        <v>15.58</v>
      </c>
      <c r="T21" s="248">
        <f t="shared" si="7"/>
        <v>15.58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276">
        <v>36844975</v>
      </c>
      <c r="C22" s="284" t="s">
        <v>230</v>
      </c>
      <c r="D22" s="285" t="s">
        <v>101</v>
      </c>
      <c r="E22" s="279">
        <v>1</v>
      </c>
      <c r="F22" s="220">
        <v>487.33</v>
      </c>
      <c r="G22" s="221">
        <f t="shared" si="0"/>
        <v>343.19</v>
      </c>
      <c r="H22" s="222">
        <f t="shared" si="1"/>
        <v>487.33</v>
      </c>
      <c r="I22" s="242"/>
      <c r="J22" s="224">
        <f t="shared" si="2"/>
        <v>1</v>
      </c>
      <c r="K22" s="221">
        <f t="shared" si="3"/>
        <v>185.19</v>
      </c>
      <c r="L22" s="221">
        <f t="shared" si="4"/>
        <v>185.19</v>
      </c>
      <c r="M22" s="220" t="s">
        <v>84</v>
      </c>
      <c r="N22" s="254">
        <v>0.62</v>
      </c>
      <c r="O22" s="226"/>
      <c r="P22" s="255"/>
      <c r="Q22" s="228"/>
      <c r="R22" s="229">
        <f t="shared" si="5"/>
        <v>0</v>
      </c>
      <c r="S22" s="229">
        <f t="shared" si="6"/>
        <v>185.19</v>
      </c>
      <c r="T22" s="229">
        <f t="shared" si="7"/>
        <v>185.19</v>
      </c>
      <c r="U22" s="230">
        <f t="shared" si="8"/>
        <v>0</v>
      </c>
      <c r="V22" s="230">
        <f t="shared" si="9"/>
        <v>1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280"/>
      <c r="C23" s="281"/>
      <c r="D23" s="282"/>
      <c r="E23" s="283"/>
      <c r="F23" s="239"/>
      <c r="G23" s="240">
        <f t="shared" si="0"/>
        <v>0</v>
      </c>
      <c r="H23" s="241">
        <f t="shared" si="1"/>
        <v>0</v>
      </c>
      <c r="I23" s="242"/>
      <c r="J23" s="243">
        <f t="shared" si="2"/>
        <v>0</v>
      </c>
      <c r="K23" s="240">
        <f t="shared" si="3"/>
        <v>0</v>
      </c>
      <c r="L23" s="240">
        <f t="shared" si="4"/>
        <v>0</v>
      </c>
      <c r="M23" s="244" t="s">
        <v>84</v>
      </c>
      <c r="N23" s="245">
        <v>0.62</v>
      </c>
      <c r="O23" s="226"/>
      <c r="P23" s="246"/>
      <c r="Q23" s="239"/>
      <c r="R23" s="247">
        <f t="shared" si="5"/>
        <v>0</v>
      </c>
      <c r="S23" s="248">
        <f t="shared" si="6"/>
        <v>0</v>
      </c>
      <c r="T23" s="248">
        <f t="shared" si="7"/>
        <v>0</v>
      </c>
      <c r="U23" s="249">
        <f t="shared" si="8"/>
        <v>0</v>
      </c>
      <c r="V23" s="249">
        <f t="shared" si="9"/>
        <v>0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276"/>
      <c r="C24" s="284"/>
      <c r="D24" s="285"/>
      <c r="E24" s="279"/>
      <c r="F24" s="220"/>
      <c r="G24" s="221">
        <f t="shared" si="0"/>
        <v>0</v>
      </c>
      <c r="H24" s="222">
        <f t="shared" si="1"/>
        <v>0</v>
      </c>
      <c r="I24" s="242"/>
      <c r="J24" s="224">
        <f t="shared" si="2"/>
        <v>0</v>
      </c>
      <c r="K24" s="221">
        <f t="shared" si="3"/>
        <v>0</v>
      </c>
      <c r="L24" s="221">
        <f t="shared" si="4"/>
        <v>0</v>
      </c>
      <c r="M24" s="220" t="s">
        <v>84</v>
      </c>
      <c r="N24" s="254">
        <v>0.62</v>
      </c>
      <c r="O24" s="226"/>
      <c r="P24" s="255"/>
      <c r="Q24" s="228"/>
      <c r="R24" s="229">
        <f t="shared" si="5"/>
        <v>0</v>
      </c>
      <c r="S24" s="229">
        <f t="shared" si="6"/>
        <v>0</v>
      </c>
      <c r="T24" s="229">
        <f t="shared" si="7"/>
        <v>0</v>
      </c>
      <c r="U24" s="230">
        <f t="shared" si="8"/>
        <v>0</v>
      </c>
      <c r="V24" s="230">
        <f t="shared" si="9"/>
        <v>0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 s="280">
        <v>36073542</v>
      </c>
      <c r="C25" s="281" t="s">
        <v>240</v>
      </c>
      <c r="D25" s="282"/>
      <c r="E25" s="283">
        <v>2</v>
      </c>
      <c r="F25" s="239">
        <v>477.55</v>
      </c>
      <c r="G25" s="240">
        <f t="shared" si="0"/>
        <v>336.3</v>
      </c>
      <c r="H25" s="241">
        <f t="shared" si="1"/>
        <v>955.1</v>
      </c>
      <c r="I25" s="242"/>
      <c r="J25" s="243">
        <f t="shared" si="2"/>
        <v>2</v>
      </c>
      <c r="K25" s="240">
        <f t="shared" si="3"/>
        <v>477.55</v>
      </c>
      <c r="L25" s="240">
        <f t="shared" si="4"/>
        <v>955.1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477.55</v>
      </c>
      <c r="T25" s="248">
        <f t="shared" si="7"/>
        <v>955.1</v>
      </c>
      <c r="U25" s="249">
        <f t="shared" si="8"/>
        <v>0</v>
      </c>
      <c r="V25" s="249">
        <f t="shared" si="9"/>
        <v>1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 s="276"/>
      <c r="C26" s="284"/>
      <c r="D26" s="285"/>
      <c r="E26" s="279"/>
      <c r="F26" s="220"/>
      <c r="G26" s="221">
        <f t="shared" si="0"/>
        <v>0</v>
      </c>
      <c r="H26" s="222">
        <f t="shared" si="1"/>
        <v>0</v>
      </c>
      <c r="I26" s="242"/>
      <c r="J26" s="224">
        <f t="shared" si="2"/>
        <v>0</v>
      </c>
      <c r="K26" s="221">
        <f t="shared" si="3"/>
        <v>0</v>
      </c>
      <c r="L26" s="221">
        <f t="shared" si="4"/>
        <v>0</v>
      </c>
      <c r="M26" s="220" t="s">
        <v>84</v>
      </c>
      <c r="N26" s="254">
        <v>0.5</v>
      </c>
      <c r="O26" s="226"/>
      <c r="P26" s="255"/>
      <c r="Q26" s="228"/>
      <c r="R26" s="229">
        <f t="shared" si="5"/>
        <v>0</v>
      </c>
      <c r="S26" s="229">
        <f t="shared" si="6"/>
        <v>0</v>
      </c>
      <c r="T26" s="229">
        <f t="shared" si="7"/>
        <v>0</v>
      </c>
      <c r="U26" s="230">
        <f t="shared" si="8"/>
        <v>0</v>
      </c>
      <c r="V26" s="230">
        <f t="shared" si="9"/>
        <v>0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280"/>
      <c r="C27" s="281"/>
      <c r="D27" s="282"/>
      <c r="E27" s="283"/>
      <c r="F27" s="239"/>
      <c r="G27" s="240">
        <f t="shared" si="0"/>
        <v>0</v>
      </c>
      <c r="H27" s="241">
        <f t="shared" si="1"/>
        <v>0</v>
      </c>
      <c r="I27" s="242"/>
      <c r="J27" s="243">
        <f t="shared" si="2"/>
        <v>0</v>
      </c>
      <c r="K27" s="240">
        <f t="shared" si="3"/>
        <v>0</v>
      </c>
      <c r="L27" s="240">
        <f t="shared" si="4"/>
        <v>0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0</v>
      </c>
      <c r="T27" s="248">
        <f t="shared" si="7"/>
        <v>0</v>
      </c>
      <c r="U27" s="249">
        <f t="shared" si="8"/>
        <v>0</v>
      </c>
      <c r="V27" s="249">
        <f t="shared" si="9"/>
        <v>0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276"/>
      <c r="C28" s="284"/>
      <c r="D28" s="285"/>
      <c r="E28" s="279"/>
      <c r="F28" s="220"/>
      <c r="G28" s="221">
        <f t="shared" si="0"/>
        <v>0</v>
      </c>
      <c r="H28" s="222">
        <f t="shared" si="1"/>
        <v>0</v>
      </c>
      <c r="I28" s="242"/>
      <c r="J28" s="224">
        <f t="shared" si="2"/>
        <v>0</v>
      </c>
      <c r="K28" s="221">
        <f t="shared" si="3"/>
        <v>0</v>
      </c>
      <c r="L28" s="221">
        <f t="shared" si="4"/>
        <v>0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0</v>
      </c>
      <c r="T28" s="229">
        <f t="shared" si="7"/>
        <v>0</v>
      </c>
      <c r="U28" s="230">
        <f t="shared" si="8"/>
        <v>0</v>
      </c>
      <c r="V28" s="230">
        <f t="shared" si="9"/>
        <v>0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280"/>
      <c r="C29" s="281"/>
      <c r="D29" s="282"/>
      <c r="E29" s="283"/>
      <c r="F29" s="239"/>
      <c r="G29" s="240">
        <f t="shared" si="0"/>
        <v>0</v>
      </c>
      <c r="H29" s="241">
        <f t="shared" si="1"/>
        <v>0</v>
      </c>
      <c r="I29" s="242"/>
      <c r="J29" s="243">
        <f t="shared" si="2"/>
        <v>0</v>
      </c>
      <c r="K29" s="240">
        <f t="shared" si="3"/>
        <v>0</v>
      </c>
      <c r="L29" s="240">
        <f t="shared" si="4"/>
        <v>0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0</v>
      </c>
      <c r="T29" s="248">
        <f t="shared" si="7"/>
        <v>0</v>
      </c>
      <c r="U29" s="249">
        <f t="shared" si="8"/>
        <v>0</v>
      </c>
      <c r="V29" s="249">
        <f t="shared" si="9"/>
        <v>0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276"/>
      <c r="C30" s="284"/>
      <c r="D30" s="285"/>
      <c r="E30" s="279"/>
      <c r="F30" s="220"/>
      <c r="G30" s="221">
        <f t="shared" si="0"/>
        <v>0</v>
      </c>
      <c r="H30" s="222">
        <f t="shared" si="1"/>
        <v>0</v>
      </c>
      <c r="I30" s="242"/>
      <c r="J30" s="224">
        <f t="shared" si="2"/>
        <v>0</v>
      </c>
      <c r="K30" s="221">
        <f t="shared" si="3"/>
        <v>0</v>
      </c>
      <c r="L30" s="221">
        <f t="shared" si="4"/>
        <v>0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0</v>
      </c>
      <c r="T30" s="229">
        <f t="shared" si="7"/>
        <v>0</v>
      </c>
      <c r="U30" s="230">
        <f t="shared" si="8"/>
        <v>0</v>
      </c>
      <c r="V30" s="230">
        <f t="shared" si="9"/>
        <v>0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280"/>
      <c r="C31" s="281"/>
      <c r="D31" s="282"/>
      <c r="E31" s="283"/>
      <c r="F31" s="239"/>
      <c r="G31" s="240">
        <f t="shared" si="0"/>
        <v>0</v>
      </c>
      <c r="H31" s="241">
        <f t="shared" si="1"/>
        <v>0</v>
      </c>
      <c r="I31" s="242"/>
      <c r="J31" s="243">
        <f t="shared" si="2"/>
        <v>0</v>
      </c>
      <c r="K31" s="240">
        <f t="shared" si="3"/>
        <v>0</v>
      </c>
      <c r="L31" s="240">
        <f t="shared" si="4"/>
        <v>0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0</v>
      </c>
      <c r="T31" s="248">
        <f t="shared" si="7"/>
        <v>0</v>
      </c>
      <c r="U31" s="249">
        <f t="shared" si="8"/>
        <v>0</v>
      </c>
      <c r="V31" s="249">
        <f t="shared" si="9"/>
        <v>0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276"/>
      <c r="C32" s="284"/>
      <c r="D32" s="285"/>
      <c r="E32" s="279"/>
      <c r="F32" s="220"/>
      <c r="G32" s="221">
        <f t="shared" si="0"/>
        <v>0</v>
      </c>
      <c r="H32" s="222">
        <f t="shared" si="1"/>
        <v>0</v>
      </c>
      <c r="I32" s="242"/>
      <c r="J32" s="224">
        <f t="shared" si="2"/>
        <v>0</v>
      </c>
      <c r="K32" s="221">
        <f t="shared" si="3"/>
        <v>0</v>
      </c>
      <c r="L32" s="221">
        <f t="shared" si="4"/>
        <v>0</v>
      </c>
      <c r="M32" s="220" t="s">
        <v>84</v>
      </c>
      <c r="N32" s="254">
        <v>0.5</v>
      </c>
      <c r="O32" s="226"/>
      <c r="P32" s="255"/>
      <c r="Q32" s="228"/>
      <c r="R32" s="229">
        <f t="shared" si="5"/>
        <v>0</v>
      </c>
      <c r="S32" s="229">
        <f t="shared" si="6"/>
        <v>0</v>
      </c>
      <c r="T32" s="229">
        <f t="shared" si="7"/>
        <v>0</v>
      </c>
      <c r="U32" s="230">
        <f t="shared" si="8"/>
        <v>0</v>
      </c>
      <c r="V32" s="230">
        <f t="shared" si="9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280"/>
      <c r="C33" s="281"/>
      <c r="D33" s="282"/>
      <c r="E33" s="283"/>
      <c r="F33" s="239"/>
      <c r="G33" s="240">
        <f t="shared" si="0"/>
        <v>0</v>
      </c>
      <c r="H33" s="241">
        <f t="shared" si="1"/>
        <v>0</v>
      </c>
      <c r="I33" s="242"/>
      <c r="J33" s="243">
        <f t="shared" si="2"/>
        <v>0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276"/>
      <c r="C34" s="284"/>
      <c r="D34" s="285"/>
      <c r="E34" s="279"/>
      <c r="F34" s="220"/>
      <c r="G34" s="221">
        <f t="shared" si="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>
        <v>0.5</v>
      </c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280"/>
      <c r="C35" s="281"/>
      <c r="D35" s="282"/>
      <c r="E35" s="283"/>
      <c r="F35" s="239"/>
      <c r="G35" s="240">
        <f t="shared" si="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>
        <v>0.5</v>
      </c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276"/>
      <c r="C36" s="284"/>
      <c r="D36" s="285"/>
      <c r="E36" s="279"/>
      <c r="F36" s="220"/>
      <c r="G36" s="221">
        <f t="shared" si="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280"/>
      <c r="C37" s="281"/>
      <c r="D37" s="282"/>
      <c r="E37" s="283"/>
      <c r="F37" s="239"/>
      <c r="G37" s="240">
        <f t="shared" si="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276"/>
      <c r="C38" s="284"/>
      <c r="D38" s="285"/>
      <c r="E38" s="279"/>
      <c r="F38" s="220"/>
      <c r="G38" s="221">
        <f t="shared" si="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280"/>
      <c r="C39" s="281"/>
      <c r="D39" s="282"/>
      <c r="E39" s="283"/>
      <c r="F39" s="239"/>
      <c r="G39" s="240">
        <f t="shared" si="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276"/>
      <c r="C40" s="284"/>
      <c r="D40" s="285"/>
      <c r="E40" s="279"/>
      <c r="F40" s="220"/>
      <c r="G40" s="221">
        <f t="shared" si="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280"/>
      <c r="C41" s="281"/>
      <c r="D41" s="282"/>
      <c r="E41" s="283"/>
      <c r="F41" s="239"/>
      <c r="G41" s="240">
        <f t="shared" si="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276"/>
      <c r="C42" s="284"/>
      <c r="D42" s="285"/>
      <c r="E42" s="279"/>
      <c r="F42" s="220"/>
      <c r="G42" s="221">
        <f t="shared" si="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280"/>
      <c r="C43" s="281"/>
      <c r="D43" s="282"/>
      <c r="E43" s="283"/>
      <c r="F43" s="239"/>
      <c r="G43" s="240">
        <f t="shared" si="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276"/>
      <c r="C44" s="284"/>
      <c r="D44" s="285"/>
      <c r="E44" s="279"/>
      <c r="F44" s="220"/>
      <c r="G44" s="221">
        <f t="shared" si="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280"/>
      <c r="C45" s="281"/>
      <c r="D45" s="282"/>
      <c r="E45" s="283"/>
      <c r="F45" s="239"/>
      <c r="G45" s="240">
        <f t="shared" si="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276"/>
      <c r="C46" s="284"/>
      <c r="D46" s="285"/>
      <c r="E46" s="279"/>
      <c r="F46" s="220"/>
      <c r="G46" s="221">
        <f t="shared" si="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280"/>
      <c r="C47" s="281"/>
      <c r="D47" s="282"/>
      <c r="E47" s="283"/>
      <c r="F47" s="239"/>
      <c r="G47" s="240">
        <f t="shared" si="0"/>
        <v>0</v>
      </c>
      <c r="H47" s="241">
        <f t="shared" si="1"/>
        <v>0</v>
      </c>
      <c r="I47" s="242"/>
      <c r="J47" s="243">
        <f t="shared" si="2"/>
        <v>0</v>
      </c>
      <c r="K47" s="240">
        <f t="shared" si="3"/>
        <v>0</v>
      </c>
      <c r="L47" s="240">
        <f t="shared" si="4"/>
        <v>0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0</v>
      </c>
      <c r="T47" s="248">
        <f t="shared" si="7"/>
        <v>0</v>
      </c>
      <c r="U47" s="249">
        <f t="shared" si="8"/>
        <v>0</v>
      </c>
      <c r="V47" s="249">
        <f t="shared" si="9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276"/>
      <c r="C48" s="284"/>
      <c r="D48" s="285"/>
      <c r="E48" s="279"/>
      <c r="F48" s="220"/>
      <c r="G48" s="221">
        <f t="shared" si="0"/>
        <v>0</v>
      </c>
      <c r="H48" s="222">
        <f t="shared" si="1"/>
        <v>0</v>
      </c>
      <c r="I48" s="242"/>
      <c r="J48" s="224">
        <f t="shared" si="2"/>
        <v>0</v>
      </c>
      <c r="K48" s="221">
        <f t="shared" si="3"/>
        <v>0</v>
      </c>
      <c r="L48" s="221">
        <f t="shared" si="4"/>
        <v>0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0</v>
      </c>
      <c r="T48" s="229">
        <f t="shared" si="7"/>
        <v>0</v>
      </c>
      <c r="U48" s="230">
        <f t="shared" si="8"/>
        <v>0</v>
      </c>
      <c r="V48" s="230">
        <f t="shared" si="9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280"/>
      <c r="C49" s="281"/>
      <c r="D49" s="282"/>
      <c r="E49" s="283"/>
      <c r="F49" s="239"/>
      <c r="G49" s="240">
        <f t="shared" si="0"/>
        <v>0</v>
      </c>
      <c r="H49" s="241">
        <f t="shared" si="1"/>
        <v>0</v>
      </c>
      <c r="I49" s="242"/>
      <c r="J49" s="243">
        <f t="shared" si="2"/>
        <v>0</v>
      </c>
      <c r="K49" s="240">
        <f t="shared" si="3"/>
        <v>0</v>
      </c>
      <c r="L49" s="240">
        <f t="shared" si="4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0</v>
      </c>
      <c r="T49" s="248">
        <f t="shared" si="7"/>
        <v>0</v>
      </c>
      <c r="U49" s="249">
        <f t="shared" si="8"/>
        <v>0</v>
      </c>
      <c r="V49" s="249">
        <f t="shared" si="9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276"/>
      <c r="C50" s="284"/>
      <c r="D50" s="285"/>
      <c r="E50" s="279"/>
      <c r="F50" s="220"/>
      <c r="G50" s="221">
        <f t="shared" si="0"/>
        <v>0</v>
      </c>
      <c r="H50" s="222">
        <f t="shared" si="1"/>
        <v>0</v>
      </c>
      <c r="I50" s="242"/>
      <c r="J50" s="224">
        <f t="shared" si="2"/>
        <v>0</v>
      </c>
      <c r="K50" s="221">
        <f t="shared" si="3"/>
        <v>0</v>
      </c>
      <c r="L50" s="221">
        <f t="shared" si="4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0</v>
      </c>
      <c r="T50" s="229">
        <f t="shared" si="7"/>
        <v>0</v>
      </c>
      <c r="U50" s="230">
        <f t="shared" si="8"/>
        <v>0</v>
      </c>
      <c r="V50" s="230">
        <f t="shared" si="9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280"/>
      <c r="C51" s="281"/>
      <c r="D51" s="282"/>
      <c r="E51" s="283"/>
      <c r="F51" s="239"/>
      <c r="G51" s="240">
        <f t="shared" si="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7</v>
      </c>
      <c r="F61" s="265">
        <f>SUM(F18:F60)</f>
        <v>1134.81</v>
      </c>
      <c r="G61" s="266">
        <f>SUM(G18:G60)</f>
        <v>799.16000000000008</v>
      </c>
      <c r="H61" s="267">
        <f>SUM(H18:H60)</f>
        <v>1612.3600000000001</v>
      </c>
      <c r="I61" s="268"/>
      <c r="J61" s="269">
        <f>SUM(J18:J60)</f>
        <v>7</v>
      </c>
      <c r="K61" s="266">
        <f>SUM(K18:K60)</f>
        <v>727.31</v>
      </c>
      <c r="L61" s="267">
        <f>SUM(L18:L60)</f>
        <v>1204.8600000000001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727.31</v>
      </c>
      <c r="T61" s="267">
        <f>SUM(T18:T60)</f>
        <v>1204.8600000000001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47" priority="3" stopIfTrue="1">
      <formula>$U$9&gt;100%</formula>
    </cfRule>
    <cfRule type="expression" dxfId="146" priority="4">
      <formula>$U$9&lt;50%</formula>
    </cfRule>
  </conditionalFormatting>
  <conditionalFormatting sqref="V9:V10">
    <cfRule type="expression" dxfId="145" priority="1">
      <formula>$V$9&lt;50%</formula>
    </cfRule>
    <cfRule type="expression" dxfId="144" priority="2">
      <formula>$V$9&gt;50%</formula>
    </cfRule>
  </conditionalFormatting>
  <dataValidations count="5">
    <dataValidation type="list" allowBlank="1" showInputMessage="1" showErrorMessage="1" sqref="F17 K17 Q17 Q14" xr:uid="{7FACF855-C0C9-4F3A-B90A-339DD445F8AB}">
      <formula1>$Y$11:$Y$12</formula1>
    </dataValidation>
    <dataValidation type="list" allowBlank="1" showInputMessage="1" showErrorMessage="1" sqref="H13" xr:uid="{F2763884-9992-47E0-9757-F48A01846D86}">
      <formula1>$Y$13:$Y$14</formula1>
    </dataValidation>
    <dataValidation type="list" allowBlank="1" showInputMessage="1" showErrorMessage="1" sqref="I13" xr:uid="{407D4203-E2BA-4990-8A22-6078B447672C}">
      <formula1>$K$9:$K$9</formula1>
    </dataValidation>
    <dataValidation type="list" showInputMessage="1" showErrorMessage="1" sqref="D52:D60" xr:uid="{4FA3DB55-EC6F-43C8-BF99-4BCB4608B3C6}">
      <formula1>$Z$18:$Z$29</formula1>
    </dataValidation>
    <dataValidation type="list" allowBlank="1" showInputMessage="1" showErrorMessage="1" sqref="M18:M60" xr:uid="{05F2BADE-895C-481F-BB06-26589F03A46E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A246F-7777-44DA-84E9-948B53A632E1}">
  <sheetPr>
    <pageSetUpPr fitToPage="1"/>
  </sheetPr>
  <dimension ref="A1:AB63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523" t="s">
        <v>2</v>
      </c>
      <c r="I1" s="524"/>
      <c r="J1" s="524"/>
      <c r="K1" s="525"/>
      <c r="L1" s="528" t="s">
        <v>3</v>
      </c>
      <c r="M1" s="529"/>
      <c r="N1" s="529"/>
      <c r="O1" s="529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59">
        <v>699099</v>
      </c>
      <c r="G2" s="549"/>
      <c r="H2" s="546" t="s">
        <v>7</v>
      </c>
      <c r="I2" s="550"/>
      <c r="J2" s="547"/>
      <c r="K2" s="148"/>
      <c r="L2" s="551" t="s">
        <v>8</v>
      </c>
      <c r="M2" s="552"/>
      <c r="N2" s="553"/>
      <c r="O2" s="149"/>
      <c r="P2" s="554">
        <f>H61</f>
        <v>1612.3600000000001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532" t="s">
        <v>13</v>
      </c>
      <c r="I3" s="536"/>
      <c r="J3" s="533"/>
      <c r="K3" s="154"/>
      <c r="L3" s="537" t="s">
        <v>14</v>
      </c>
      <c r="M3" s="538"/>
      <c r="N3" s="539"/>
      <c r="O3" s="149"/>
      <c r="P3" s="540">
        <f>L61</f>
        <v>1204.8600000000001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665" t="s">
        <v>223</v>
      </c>
      <c r="G4" s="666"/>
      <c r="H4" s="532" t="s">
        <v>19</v>
      </c>
      <c r="I4" s="536"/>
      <c r="J4" s="533"/>
      <c r="K4" s="154"/>
      <c r="L4" s="537" t="s">
        <v>20</v>
      </c>
      <c r="M4" s="538"/>
      <c r="N4" s="539"/>
      <c r="O4" s="149"/>
      <c r="P4" s="540">
        <f>P2-P3</f>
        <v>407.5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667" t="s">
        <v>241</v>
      </c>
      <c r="G5" s="666"/>
      <c r="H5" s="532" t="s">
        <v>25</v>
      </c>
      <c r="I5" s="536"/>
      <c r="J5" s="533"/>
      <c r="K5" s="154"/>
      <c r="L5" s="558" t="s">
        <v>26</v>
      </c>
      <c r="M5" s="559"/>
      <c r="N5" s="560"/>
      <c r="O5" s="149"/>
      <c r="P5" s="561">
        <f>IFERROR((P2-P3)/P2,"")</f>
        <v>0.25273512118881636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69" t="s">
        <v>242</v>
      </c>
      <c r="G6" s="666"/>
      <c r="H6" s="532" t="s">
        <v>31</v>
      </c>
      <c r="I6" s="536"/>
      <c r="J6" s="533"/>
      <c r="K6" s="154"/>
      <c r="L6" s="574" t="s">
        <v>32</v>
      </c>
      <c r="M6" s="575"/>
      <c r="N6" s="576"/>
      <c r="O6" s="149"/>
      <c r="P6" s="577">
        <f>T61</f>
        <v>1204.8600000000001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563"/>
      <c r="G7" s="535"/>
      <c r="H7" s="532" t="s">
        <v>36</v>
      </c>
      <c r="I7" s="536"/>
      <c r="J7" s="533"/>
      <c r="K7" s="154"/>
      <c r="L7" s="564" t="s">
        <v>37</v>
      </c>
      <c r="M7" s="565"/>
      <c r="N7" s="56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532" t="s">
        <v>40</v>
      </c>
      <c r="I8" s="536"/>
      <c r="J8" s="533"/>
      <c r="K8" s="154"/>
      <c r="L8" s="564" t="s">
        <v>41</v>
      </c>
      <c r="M8" s="565"/>
      <c r="N8" s="56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366</v>
      </c>
      <c r="G9" s="535"/>
      <c r="H9" s="171"/>
      <c r="I9" s="172"/>
      <c r="J9" s="172"/>
      <c r="K9" s="173"/>
      <c r="L9" s="564" t="s">
        <v>47</v>
      </c>
      <c r="M9" s="565"/>
      <c r="N9" s="56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1204.8600000000001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542" t="s">
        <v>48</v>
      </c>
      <c r="M10" s="579"/>
      <c r="N10" s="543"/>
      <c r="O10" s="149"/>
      <c r="P10" s="580">
        <f>E61</f>
        <v>7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650" t="s">
        <v>50</v>
      </c>
      <c r="K11" s="651"/>
      <c r="L11" s="651"/>
      <c r="M11" s="651"/>
      <c r="N11" s="652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653"/>
      <c r="K12" s="654"/>
      <c r="L12" s="654"/>
      <c r="M12" s="654"/>
      <c r="N12" s="655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656"/>
      <c r="K13" s="657"/>
      <c r="L13" s="657"/>
      <c r="M13" s="657"/>
      <c r="N13" s="658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601" t="s">
        <v>59</v>
      </c>
      <c r="K14" s="602"/>
      <c r="L14" s="605" t="s">
        <v>60</v>
      </c>
      <c r="M14" s="606"/>
      <c r="N14" s="60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603"/>
      <c r="K15" s="604"/>
      <c r="L15" s="608"/>
      <c r="M15" s="609"/>
      <c r="N15" s="61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631" t="s">
        <v>69</v>
      </c>
      <c r="K16" s="201" t="s">
        <v>72</v>
      </c>
      <c r="L16" s="202" t="s">
        <v>73</v>
      </c>
      <c r="M16" s="633" t="s">
        <v>74</v>
      </c>
      <c r="N16" s="633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3"/>
      <c r="C17" s="625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632"/>
      <c r="K17" s="614" t="s">
        <v>52</v>
      </c>
      <c r="L17" s="615"/>
      <c r="M17" s="634"/>
      <c r="N17" s="634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 s="276">
        <v>36870574</v>
      </c>
      <c r="C18" s="277" t="s">
        <v>226</v>
      </c>
      <c r="D18" s="278">
        <v>500</v>
      </c>
      <c r="E18" s="279">
        <v>1</v>
      </c>
      <c r="F18" s="220">
        <v>32.36</v>
      </c>
      <c r="G18" s="221">
        <f t="shared" ref="G18:G60" si="0">ROUND(IF($F$17="USD $", F18*$E$15,F18*$D$15),2)</f>
        <v>22.79</v>
      </c>
      <c r="H18" s="222">
        <f t="shared" ref="H18:H60" si="1">ROUND(IF($H$17=$G$17,E18*G18,E18*F18),2)</f>
        <v>32.36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12.3</v>
      </c>
      <c r="L18" s="221">
        <f t="shared" ref="L18:L60" si="4">ROUND((J18*K18),2)</f>
        <v>12.3</v>
      </c>
      <c r="M18" s="220" t="s">
        <v>84</v>
      </c>
      <c r="N18" s="225">
        <v>0.62</v>
      </c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12.3</v>
      </c>
      <c r="T18" s="229">
        <f t="shared" ref="T18:T60" si="7">ROUND(L18-R18,2)</f>
        <v>12.3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280">
        <v>35367978</v>
      </c>
      <c r="C19" s="281" t="s">
        <v>227</v>
      </c>
      <c r="D19" s="282">
        <v>500</v>
      </c>
      <c r="E19" s="283">
        <v>1</v>
      </c>
      <c r="F19" s="239">
        <v>56.8</v>
      </c>
      <c r="G19" s="240">
        <f t="shared" si="0"/>
        <v>40</v>
      </c>
      <c r="H19" s="241">
        <f t="shared" si="1"/>
        <v>56.8</v>
      </c>
      <c r="I19" s="242"/>
      <c r="J19" s="243">
        <f t="shared" si="2"/>
        <v>1</v>
      </c>
      <c r="K19" s="240">
        <f t="shared" si="3"/>
        <v>21.58</v>
      </c>
      <c r="L19" s="240">
        <f t="shared" si="4"/>
        <v>21.58</v>
      </c>
      <c r="M19" s="244" t="s">
        <v>84</v>
      </c>
      <c r="N19" s="245">
        <v>0.62</v>
      </c>
      <c r="O19" s="226"/>
      <c r="P19" s="246"/>
      <c r="Q19" s="239"/>
      <c r="R19" s="247">
        <f t="shared" si="5"/>
        <v>0</v>
      </c>
      <c r="S19" s="248">
        <f t="shared" si="6"/>
        <v>21.58</v>
      </c>
      <c r="T19" s="248">
        <f t="shared" si="7"/>
        <v>21.58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276">
        <v>36890135</v>
      </c>
      <c r="C20" s="284" t="s">
        <v>214</v>
      </c>
      <c r="D20" s="285">
        <v>250</v>
      </c>
      <c r="E20" s="279">
        <v>1</v>
      </c>
      <c r="F20" s="220">
        <v>39.76</v>
      </c>
      <c r="G20" s="221">
        <f t="shared" si="0"/>
        <v>28</v>
      </c>
      <c r="H20" s="222">
        <f t="shared" si="1"/>
        <v>39.76</v>
      </c>
      <c r="I20" s="242"/>
      <c r="J20" s="224">
        <f t="shared" si="2"/>
        <v>1</v>
      </c>
      <c r="K20" s="221">
        <f t="shared" si="3"/>
        <v>15.11</v>
      </c>
      <c r="L20" s="221">
        <f t="shared" si="4"/>
        <v>15.11</v>
      </c>
      <c r="M20" s="220" t="s">
        <v>84</v>
      </c>
      <c r="N20" s="254">
        <v>0.62</v>
      </c>
      <c r="O20" s="226"/>
      <c r="P20" s="255"/>
      <c r="Q20" s="228"/>
      <c r="R20" s="229">
        <f t="shared" si="5"/>
        <v>0</v>
      </c>
      <c r="S20" s="229">
        <f t="shared" si="6"/>
        <v>15.11</v>
      </c>
      <c r="T20" s="229">
        <f t="shared" si="7"/>
        <v>15.11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276">
        <v>36870566</v>
      </c>
      <c r="C21" s="284" t="s">
        <v>218</v>
      </c>
      <c r="D21" s="285">
        <v>500</v>
      </c>
      <c r="E21" s="279">
        <v>1</v>
      </c>
      <c r="F21" s="239">
        <v>41.01</v>
      </c>
      <c r="G21" s="240">
        <f t="shared" si="0"/>
        <v>28.88</v>
      </c>
      <c r="H21" s="241">
        <f t="shared" si="1"/>
        <v>41.01</v>
      </c>
      <c r="I21" s="242"/>
      <c r="J21" s="243">
        <f t="shared" si="2"/>
        <v>1</v>
      </c>
      <c r="K21" s="240">
        <f t="shared" si="3"/>
        <v>15.58</v>
      </c>
      <c r="L21" s="240">
        <f t="shared" si="4"/>
        <v>15.58</v>
      </c>
      <c r="M21" s="244" t="s">
        <v>84</v>
      </c>
      <c r="N21" s="245">
        <v>0.62</v>
      </c>
      <c r="O21" s="226"/>
      <c r="P21" s="246"/>
      <c r="Q21" s="239"/>
      <c r="R21" s="247">
        <f t="shared" si="5"/>
        <v>0</v>
      </c>
      <c r="S21" s="248">
        <f t="shared" si="6"/>
        <v>15.58</v>
      </c>
      <c r="T21" s="248">
        <f t="shared" si="7"/>
        <v>15.58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276">
        <v>36844975</v>
      </c>
      <c r="C22" s="284" t="s">
        <v>230</v>
      </c>
      <c r="D22" s="285" t="s">
        <v>101</v>
      </c>
      <c r="E22" s="279">
        <v>1</v>
      </c>
      <c r="F22" s="220">
        <v>487.33</v>
      </c>
      <c r="G22" s="221">
        <f t="shared" si="0"/>
        <v>343.19</v>
      </c>
      <c r="H22" s="222">
        <f t="shared" si="1"/>
        <v>487.33</v>
      </c>
      <c r="I22" s="242"/>
      <c r="J22" s="224">
        <f t="shared" si="2"/>
        <v>1</v>
      </c>
      <c r="K22" s="221">
        <f t="shared" si="3"/>
        <v>185.19</v>
      </c>
      <c r="L22" s="221">
        <f t="shared" si="4"/>
        <v>185.19</v>
      </c>
      <c r="M22" s="220" t="s">
        <v>84</v>
      </c>
      <c r="N22" s="254">
        <v>0.62</v>
      </c>
      <c r="O22" s="226"/>
      <c r="P22" s="255"/>
      <c r="Q22" s="228"/>
      <c r="R22" s="229">
        <f t="shared" si="5"/>
        <v>0</v>
      </c>
      <c r="S22" s="229">
        <f t="shared" si="6"/>
        <v>185.19</v>
      </c>
      <c r="T22" s="229">
        <f t="shared" si="7"/>
        <v>185.19</v>
      </c>
      <c r="U22" s="230">
        <f t="shared" si="8"/>
        <v>0</v>
      </c>
      <c r="V22" s="230">
        <f t="shared" si="9"/>
        <v>1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280"/>
      <c r="C23" s="281"/>
      <c r="D23" s="282"/>
      <c r="E23" s="283"/>
      <c r="F23" s="239"/>
      <c r="G23" s="240">
        <f t="shared" si="0"/>
        <v>0</v>
      </c>
      <c r="H23" s="241">
        <f t="shared" si="1"/>
        <v>0</v>
      </c>
      <c r="I23" s="242"/>
      <c r="J23" s="243">
        <f t="shared" si="2"/>
        <v>0</v>
      </c>
      <c r="K23" s="240">
        <f t="shared" si="3"/>
        <v>0</v>
      </c>
      <c r="L23" s="240">
        <f t="shared" si="4"/>
        <v>0</v>
      </c>
      <c r="M23" s="244" t="s">
        <v>84</v>
      </c>
      <c r="N23" s="245">
        <v>0.62</v>
      </c>
      <c r="O23" s="226"/>
      <c r="P23" s="246"/>
      <c r="Q23" s="239"/>
      <c r="R23" s="247">
        <f t="shared" si="5"/>
        <v>0</v>
      </c>
      <c r="S23" s="248">
        <f t="shared" si="6"/>
        <v>0</v>
      </c>
      <c r="T23" s="248">
        <f t="shared" si="7"/>
        <v>0</v>
      </c>
      <c r="U23" s="249">
        <f t="shared" si="8"/>
        <v>0</v>
      </c>
      <c r="V23" s="249">
        <f t="shared" si="9"/>
        <v>0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276"/>
      <c r="C24" s="284"/>
      <c r="D24" s="285"/>
      <c r="E24" s="279"/>
      <c r="F24" s="220"/>
      <c r="G24" s="221">
        <f t="shared" si="0"/>
        <v>0</v>
      </c>
      <c r="H24" s="222">
        <f t="shared" si="1"/>
        <v>0</v>
      </c>
      <c r="I24" s="242"/>
      <c r="J24" s="224">
        <f t="shared" si="2"/>
        <v>0</v>
      </c>
      <c r="K24" s="221">
        <f t="shared" si="3"/>
        <v>0</v>
      </c>
      <c r="L24" s="221">
        <f t="shared" si="4"/>
        <v>0</v>
      </c>
      <c r="M24" s="220" t="s">
        <v>84</v>
      </c>
      <c r="N24" s="254">
        <v>0.62</v>
      </c>
      <c r="O24" s="226"/>
      <c r="P24" s="255"/>
      <c r="Q24" s="228"/>
      <c r="R24" s="229">
        <f t="shared" si="5"/>
        <v>0</v>
      </c>
      <c r="S24" s="229">
        <f t="shared" si="6"/>
        <v>0</v>
      </c>
      <c r="T24" s="229">
        <f t="shared" si="7"/>
        <v>0</v>
      </c>
      <c r="U24" s="230">
        <f t="shared" si="8"/>
        <v>0</v>
      </c>
      <c r="V24" s="230">
        <f t="shared" si="9"/>
        <v>0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 s="280">
        <v>36073542</v>
      </c>
      <c r="C25" s="281" t="s">
        <v>240</v>
      </c>
      <c r="D25" s="282"/>
      <c r="E25" s="283">
        <v>2</v>
      </c>
      <c r="F25" s="239">
        <v>477.55</v>
      </c>
      <c r="G25" s="240">
        <f t="shared" si="0"/>
        <v>336.3</v>
      </c>
      <c r="H25" s="241">
        <f t="shared" si="1"/>
        <v>955.1</v>
      </c>
      <c r="I25" s="242"/>
      <c r="J25" s="243">
        <f t="shared" si="2"/>
        <v>2</v>
      </c>
      <c r="K25" s="240">
        <f t="shared" si="3"/>
        <v>477.55</v>
      </c>
      <c r="L25" s="240">
        <f t="shared" si="4"/>
        <v>955.1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477.55</v>
      </c>
      <c r="T25" s="248">
        <f t="shared" si="7"/>
        <v>955.1</v>
      </c>
      <c r="U25" s="249">
        <f t="shared" si="8"/>
        <v>0</v>
      </c>
      <c r="V25" s="249">
        <f t="shared" si="9"/>
        <v>1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 s="276"/>
      <c r="C26" s="284"/>
      <c r="D26" s="285"/>
      <c r="E26" s="279"/>
      <c r="F26" s="220"/>
      <c r="G26" s="221">
        <f t="shared" si="0"/>
        <v>0</v>
      </c>
      <c r="H26" s="222">
        <f t="shared" si="1"/>
        <v>0</v>
      </c>
      <c r="I26" s="242"/>
      <c r="J26" s="224">
        <f t="shared" si="2"/>
        <v>0</v>
      </c>
      <c r="K26" s="221">
        <f t="shared" si="3"/>
        <v>0</v>
      </c>
      <c r="L26" s="221">
        <f t="shared" si="4"/>
        <v>0</v>
      </c>
      <c r="M26" s="220" t="s">
        <v>84</v>
      </c>
      <c r="N26" s="254">
        <v>0.5</v>
      </c>
      <c r="O26" s="226"/>
      <c r="P26" s="255"/>
      <c r="Q26" s="228"/>
      <c r="R26" s="229">
        <f t="shared" si="5"/>
        <v>0</v>
      </c>
      <c r="S26" s="229">
        <f t="shared" si="6"/>
        <v>0</v>
      </c>
      <c r="T26" s="229">
        <f t="shared" si="7"/>
        <v>0</v>
      </c>
      <c r="U26" s="230">
        <f t="shared" si="8"/>
        <v>0</v>
      </c>
      <c r="V26" s="230">
        <f t="shared" si="9"/>
        <v>0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280"/>
      <c r="C27" s="281"/>
      <c r="D27" s="282"/>
      <c r="E27" s="283"/>
      <c r="F27" s="239"/>
      <c r="G27" s="240">
        <f t="shared" si="0"/>
        <v>0</v>
      </c>
      <c r="H27" s="241">
        <f t="shared" si="1"/>
        <v>0</v>
      </c>
      <c r="I27" s="242"/>
      <c r="J27" s="243">
        <f t="shared" si="2"/>
        <v>0</v>
      </c>
      <c r="K27" s="240">
        <f t="shared" si="3"/>
        <v>0</v>
      </c>
      <c r="L27" s="240">
        <f t="shared" si="4"/>
        <v>0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0</v>
      </c>
      <c r="T27" s="248">
        <f t="shared" si="7"/>
        <v>0</v>
      </c>
      <c r="U27" s="249">
        <f t="shared" si="8"/>
        <v>0</v>
      </c>
      <c r="V27" s="249">
        <f t="shared" si="9"/>
        <v>0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276"/>
      <c r="C28" s="284"/>
      <c r="D28" s="285"/>
      <c r="E28" s="279"/>
      <c r="F28" s="220"/>
      <c r="G28" s="221">
        <f t="shared" si="0"/>
        <v>0</v>
      </c>
      <c r="H28" s="222">
        <f t="shared" si="1"/>
        <v>0</v>
      </c>
      <c r="I28" s="242"/>
      <c r="J28" s="224">
        <f t="shared" si="2"/>
        <v>0</v>
      </c>
      <c r="K28" s="221">
        <f t="shared" si="3"/>
        <v>0</v>
      </c>
      <c r="L28" s="221">
        <f t="shared" si="4"/>
        <v>0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0</v>
      </c>
      <c r="T28" s="229">
        <f t="shared" si="7"/>
        <v>0</v>
      </c>
      <c r="U28" s="230">
        <f t="shared" si="8"/>
        <v>0</v>
      </c>
      <c r="V28" s="230">
        <f t="shared" si="9"/>
        <v>0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280"/>
      <c r="C29" s="281"/>
      <c r="D29" s="282"/>
      <c r="E29" s="283"/>
      <c r="F29" s="239"/>
      <c r="G29" s="240">
        <f t="shared" si="0"/>
        <v>0</v>
      </c>
      <c r="H29" s="241">
        <f t="shared" si="1"/>
        <v>0</v>
      </c>
      <c r="I29" s="242"/>
      <c r="J29" s="243">
        <f t="shared" si="2"/>
        <v>0</v>
      </c>
      <c r="K29" s="240">
        <f t="shared" si="3"/>
        <v>0</v>
      </c>
      <c r="L29" s="240">
        <f t="shared" si="4"/>
        <v>0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0</v>
      </c>
      <c r="T29" s="248">
        <f t="shared" si="7"/>
        <v>0</v>
      </c>
      <c r="U29" s="249">
        <f t="shared" si="8"/>
        <v>0</v>
      </c>
      <c r="V29" s="249">
        <f t="shared" si="9"/>
        <v>0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276"/>
      <c r="C30" s="284"/>
      <c r="D30" s="285"/>
      <c r="E30" s="279"/>
      <c r="F30" s="220"/>
      <c r="G30" s="221">
        <f t="shared" si="0"/>
        <v>0</v>
      </c>
      <c r="H30" s="222">
        <f t="shared" si="1"/>
        <v>0</v>
      </c>
      <c r="I30" s="242"/>
      <c r="J30" s="224">
        <f t="shared" si="2"/>
        <v>0</v>
      </c>
      <c r="K30" s="221">
        <f t="shared" si="3"/>
        <v>0</v>
      </c>
      <c r="L30" s="221">
        <f t="shared" si="4"/>
        <v>0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0</v>
      </c>
      <c r="T30" s="229">
        <f t="shared" si="7"/>
        <v>0</v>
      </c>
      <c r="U30" s="230">
        <f t="shared" si="8"/>
        <v>0</v>
      </c>
      <c r="V30" s="230">
        <f t="shared" si="9"/>
        <v>0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280"/>
      <c r="C31" s="281"/>
      <c r="D31" s="282"/>
      <c r="E31" s="283"/>
      <c r="F31" s="239"/>
      <c r="G31" s="240">
        <f t="shared" si="0"/>
        <v>0</v>
      </c>
      <c r="H31" s="241">
        <f t="shared" si="1"/>
        <v>0</v>
      </c>
      <c r="I31" s="242"/>
      <c r="J31" s="243">
        <f t="shared" si="2"/>
        <v>0</v>
      </c>
      <c r="K31" s="240">
        <f t="shared" si="3"/>
        <v>0</v>
      </c>
      <c r="L31" s="240">
        <f t="shared" si="4"/>
        <v>0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0</v>
      </c>
      <c r="T31" s="248">
        <f t="shared" si="7"/>
        <v>0</v>
      </c>
      <c r="U31" s="249">
        <f t="shared" si="8"/>
        <v>0</v>
      </c>
      <c r="V31" s="249">
        <f t="shared" si="9"/>
        <v>0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276"/>
      <c r="C32" s="284"/>
      <c r="D32" s="285"/>
      <c r="E32" s="279"/>
      <c r="F32" s="220"/>
      <c r="G32" s="221">
        <f t="shared" si="0"/>
        <v>0</v>
      </c>
      <c r="H32" s="222">
        <f t="shared" si="1"/>
        <v>0</v>
      </c>
      <c r="I32" s="242"/>
      <c r="J32" s="224">
        <f t="shared" si="2"/>
        <v>0</v>
      </c>
      <c r="K32" s="221">
        <f t="shared" si="3"/>
        <v>0</v>
      </c>
      <c r="L32" s="221">
        <f t="shared" si="4"/>
        <v>0</v>
      </c>
      <c r="M32" s="220" t="s">
        <v>84</v>
      </c>
      <c r="N32" s="254">
        <v>0.5</v>
      </c>
      <c r="O32" s="226"/>
      <c r="P32" s="255"/>
      <c r="Q32" s="228"/>
      <c r="R32" s="229">
        <f t="shared" si="5"/>
        <v>0</v>
      </c>
      <c r="S32" s="229">
        <f t="shared" si="6"/>
        <v>0</v>
      </c>
      <c r="T32" s="229">
        <f t="shared" si="7"/>
        <v>0</v>
      </c>
      <c r="U32" s="230">
        <f t="shared" si="8"/>
        <v>0</v>
      </c>
      <c r="V32" s="230">
        <f t="shared" si="9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280"/>
      <c r="C33" s="281"/>
      <c r="D33" s="282"/>
      <c r="E33" s="283"/>
      <c r="F33" s="239"/>
      <c r="G33" s="240">
        <f t="shared" si="0"/>
        <v>0</v>
      </c>
      <c r="H33" s="241">
        <f t="shared" si="1"/>
        <v>0</v>
      </c>
      <c r="I33" s="242"/>
      <c r="J33" s="243">
        <f t="shared" si="2"/>
        <v>0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276"/>
      <c r="C34" s="284"/>
      <c r="D34" s="285"/>
      <c r="E34" s="279"/>
      <c r="F34" s="220"/>
      <c r="G34" s="221">
        <f t="shared" si="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>
        <v>0.5</v>
      </c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280"/>
      <c r="C35" s="281"/>
      <c r="D35" s="282"/>
      <c r="E35" s="283"/>
      <c r="F35" s="239"/>
      <c r="G35" s="240">
        <f t="shared" si="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>
        <v>0.5</v>
      </c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276"/>
      <c r="C36" s="284"/>
      <c r="D36" s="285"/>
      <c r="E36" s="279"/>
      <c r="F36" s="220"/>
      <c r="G36" s="221">
        <f t="shared" si="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280"/>
      <c r="C37" s="281"/>
      <c r="D37" s="282"/>
      <c r="E37" s="283"/>
      <c r="F37" s="239"/>
      <c r="G37" s="240">
        <f t="shared" si="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276"/>
      <c r="C38" s="284"/>
      <c r="D38" s="285"/>
      <c r="E38" s="279"/>
      <c r="F38" s="220"/>
      <c r="G38" s="221">
        <f t="shared" si="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280"/>
      <c r="C39" s="281"/>
      <c r="D39" s="282"/>
      <c r="E39" s="283"/>
      <c r="F39" s="239"/>
      <c r="G39" s="240">
        <f t="shared" si="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276"/>
      <c r="C40" s="284"/>
      <c r="D40" s="285"/>
      <c r="E40" s="279"/>
      <c r="F40" s="220"/>
      <c r="G40" s="221">
        <f t="shared" si="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280"/>
      <c r="C41" s="281"/>
      <c r="D41" s="282"/>
      <c r="E41" s="283"/>
      <c r="F41" s="239"/>
      <c r="G41" s="240">
        <f t="shared" si="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276"/>
      <c r="C42" s="284"/>
      <c r="D42" s="285"/>
      <c r="E42" s="279"/>
      <c r="F42" s="220"/>
      <c r="G42" s="221">
        <f t="shared" si="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280"/>
      <c r="C43" s="281"/>
      <c r="D43" s="282"/>
      <c r="E43" s="283"/>
      <c r="F43" s="239"/>
      <c r="G43" s="240">
        <f t="shared" si="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276"/>
      <c r="C44" s="284"/>
      <c r="D44" s="285"/>
      <c r="E44" s="279"/>
      <c r="F44" s="220"/>
      <c r="G44" s="221">
        <f t="shared" si="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280"/>
      <c r="C45" s="281"/>
      <c r="D45" s="282"/>
      <c r="E45" s="283"/>
      <c r="F45" s="239"/>
      <c r="G45" s="240">
        <f t="shared" si="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276"/>
      <c r="C46" s="284"/>
      <c r="D46" s="285"/>
      <c r="E46" s="279"/>
      <c r="F46" s="220"/>
      <c r="G46" s="221">
        <f t="shared" si="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280"/>
      <c r="C47" s="281"/>
      <c r="D47" s="282"/>
      <c r="E47" s="283"/>
      <c r="F47" s="239"/>
      <c r="G47" s="240">
        <f t="shared" si="0"/>
        <v>0</v>
      </c>
      <c r="H47" s="241">
        <f t="shared" si="1"/>
        <v>0</v>
      </c>
      <c r="I47" s="242"/>
      <c r="J47" s="243">
        <f t="shared" si="2"/>
        <v>0</v>
      </c>
      <c r="K47" s="240">
        <f t="shared" si="3"/>
        <v>0</v>
      </c>
      <c r="L47" s="240">
        <f t="shared" si="4"/>
        <v>0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0</v>
      </c>
      <c r="T47" s="248">
        <f t="shared" si="7"/>
        <v>0</v>
      </c>
      <c r="U47" s="249">
        <f t="shared" si="8"/>
        <v>0</v>
      </c>
      <c r="V47" s="249">
        <f t="shared" si="9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276"/>
      <c r="C48" s="284"/>
      <c r="D48" s="285"/>
      <c r="E48" s="279"/>
      <c r="F48" s="220"/>
      <c r="G48" s="221">
        <f t="shared" si="0"/>
        <v>0</v>
      </c>
      <c r="H48" s="222">
        <f t="shared" si="1"/>
        <v>0</v>
      </c>
      <c r="I48" s="242"/>
      <c r="J48" s="224">
        <f t="shared" si="2"/>
        <v>0</v>
      </c>
      <c r="K48" s="221">
        <f t="shared" si="3"/>
        <v>0</v>
      </c>
      <c r="L48" s="221">
        <f t="shared" si="4"/>
        <v>0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0</v>
      </c>
      <c r="T48" s="229">
        <f t="shared" si="7"/>
        <v>0</v>
      </c>
      <c r="U48" s="230">
        <f t="shared" si="8"/>
        <v>0</v>
      </c>
      <c r="V48" s="230">
        <f t="shared" si="9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280"/>
      <c r="C49" s="281"/>
      <c r="D49" s="282"/>
      <c r="E49" s="283"/>
      <c r="F49" s="239"/>
      <c r="G49" s="240">
        <f t="shared" si="0"/>
        <v>0</v>
      </c>
      <c r="H49" s="241">
        <f t="shared" si="1"/>
        <v>0</v>
      </c>
      <c r="I49" s="242"/>
      <c r="J49" s="243">
        <f t="shared" si="2"/>
        <v>0</v>
      </c>
      <c r="K49" s="240">
        <f t="shared" si="3"/>
        <v>0</v>
      </c>
      <c r="L49" s="240">
        <f t="shared" si="4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0</v>
      </c>
      <c r="T49" s="248">
        <f t="shared" si="7"/>
        <v>0</v>
      </c>
      <c r="U49" s="249">
        <f t="shared" si="8"/>
        <v>0</v>
      </c>
      <c r="V49" s="249">
        <f t="shared" si="9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276"/>
      <c r="C50" s="284"/>
      <c r="D50" s="285"/>
      <c r="E50" s="279"/>
      <c r="F50" s="220"/>
      <c r="G50" s="221">
        <f t="shared" si="0"/>
        <v>0</v>
      </c>
      <c r="H50" s="222">
        <f t="shared" si="1"/>
        <v>0</v>
      </c>
      <c r="I50" s="242"/>
      <c r="J50" s="224">
        <f t="shared" si="2"/>
        <v>0</v>
      </c>
      <c r="K50" s="221">
        <f t="shared" si="3"/>
        <v>0</v>
      </c>
      <c r="L50" s="221">
        <f t="shared" si="4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0</v>
      </c>
      <c r="T50" s="229">
        <f t="shared" si="7"/>
        <v>0</v>
      </c>
      <c r="U50" s="230">
        <f t="shared" si="8"/>
        <v>0</v>
      </c>
      <c r="V50" s="230">
        <f t="shared" si="9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280"/>
      <c r="C51" s="281"/>
      <c r="D51" s="282"/>
      <c r="E51" s="283"/>
      <c r="F51" s="239"/>
      <c r="G51" s="240">
        <f t="shared" si="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7</v>
      </c>
      <c r="F61" s="265">
        <f>SUM(F18:F60)</f>
        <v>1134.81</v>
      </c>
      <c r="G61" s="266">
        <f>SUM(G18:G60)</f>
        <v>799.16000000000008</v>
      </c>
      <c r="H61" s="267">
        <f>SUM(H18:H60)</f>
        <v>1612.3600000000001</v>
      </c>
      <c r="I61" s="268"/>
      <c r="J61" s="269">
        <f>SUM(J18:J60)</f>
        <v>7</v>
      </c>
      <c r="K61" s="266">
        <f>SUM(K18:K60)</f>
        <v>727.31</v>
      </c>
      <c r="L61" s="267">
        <f>SUM(L18:L60)</f>
        <v>1204.8600000000001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727.31</v>
      </c>
      <c r="T61" s="267">
        <f>SUM(T18:T60)</f>
        <v>1204.8600000000001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43" priority="3" stopIfTrue="1">
      <formula>$U$9&gt;100%</formula>
    </cfRule>
    <cfRule type="expression" dxfId="142" priority="4">
      <formula>$U$9&lt;50%</formula>
    </cfRule>
  </conditionalFormatting>
  <conditionalFormatting sqref="V9:V10">
    <cfRule type="expression" dxfId="141" priority="1">
      <formula>$V$9&lt;50%</formula>
    </cfRule>
    <cfRule type="expression" dxfId="140" priority="2">
      <formula>$V$9&gt;50%</formula>
    </cfRule>
  </conditionalFormatting>
  <dataValidations count="5">
    <dataValidation type="list" allowBlank="1" showInputMessage="1" showErrorMessage="1" sqref="F17 K17 Q17 Q14" xr:uid="{9970EE84-BA1B-409C-9399-40595F945BBE}">
      <formula1>$Y$11:$Y$12</formula1>
    </dataValidation>
    <dataValidation type="list" allowBlank="1" showInputMessage="1" showErrorMessage="1" sqref="H13" xr:uid="{B0E392AA-89E0-44E7-A8CB-90E0331A1B7C}">
      <formula1>$Y$13:$Y$14</formula1>
    </dataValidation>
    <dataValidation type="list" allowBlank="1" showInputMessage="1" showErrorMessage="1" sqref="I13" xr:uid="{3996C4A0-91DA-4EC6-9085-2403B15682B1}">
      <formula1>$K$9:$K$9</formula1>
    </dataValidation>
    <dataValidation type="list" showInputMessage="1" showErrorMessage="1" sqref="D52:D60" xr:uid="{BCED3238-3FF6-4F64-8129-49BCB1D91F86}">
      <formula1>$Z$18:$Z$29</formula1>
    </dataValidation>
    <dataValidation type="list" allowBlank="1" showInputMessage="1" showErrorMessage="1" sqref="M18:M60" xr:uid="{8C5BACB4-4BBB-4B74-8E0E-699CC724BA8B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4BCC1-EA12-4AF0-88CA-E739DDD565B0}">
  <sheetPr>
    <pageSetUpPr fitToPage="1"/>
  </sheetPr>
  <dimension ref="A1:AB63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523" t="s">
        <v>2</v>
      </c>
      <c r="I1" s="524"/>
      <c r="J1" s="524"/>
      <c r="K1" s="525"/>
      <c r="L1" s="528" t="s">
        <v>3</v>
      </c>
      <c r="M1" s="529"/>
      <c r="N1" s="529"/>
      <c r="O1" s="529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77">
        <v>53504</v>
      </c>
      <c r="G2" s="549"/>
      <c r="H2" s="546" t="s">
        <v>7</v>
      </c>
      <c r="I2" s="550"/>
      <c r="J2" s="547"/>
      <c r="K2" s="148"/>
      <c r="L2" s="551" t="s">
        <v>8</v>
      </c>
      <c r="M2" s="552"/>
      <c r="N2" s="553"/>
      <c r="O2" s="149"/>
      <c r="P2" s="554">
        <f>H61</f>
        <v>3737.67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532" t="s">
        <v>13</v>
      </c>
      <c r="I3" s="536"/>
      <c r="J3" s="533"/>
      <c r="K3" s="154"/>
      <c r="L3" s="537" t="s">
        <v>14</v>
      </c>
      <c r="M3" s="538"/>
      <c r="N3" s="539"/>
      <c r="O3" s="149"/>
      <c r="P3" s="540">
        <f>L61</f>
        <v>1967.5000000000002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676" t="s">
        <v>243</v>
      </c>
      <c r="G4" s="673"/>
      <c r="H4" s="532" t="s">
        <v>19</v>
      </c>
      <c r="I4" s="536"/>
      <c r="J4" s="533"/>
      <c r="K4" s="154"/>
      <c r="L4" s="537" t="s">
        <v>20</v>
      </c>
      <c r="M4" s="538"/>
      <c r="N4" s="539"/>
      <c r="O4" s="149"/>
      <c r="P4" s="540">
        <f>P2-P3</f>
        <v>1770.1699999999998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674">
        <v>7400</v>
      </c>
      <c r="G5" s="675"/>
      <c r="H5" s="532" t="s">
        <v>25</v>
      </c>
      <c r="I5" s="536"/>
      <c r="J5" s="533"/>
      <c r="K5" s="154"/>
      <c r="L5" s="558" t="s">
        <v>26</v>
      </c>
      <c r="M5" s="559"/>
      <c r="N5" s="560"/>
      <c r="O5" s="149"/>
      <c r="P5" s="561">
        <f>IFERROR((P2-P3)/P2,"")</f>
        <v>0.47360253847985506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72" t="s">
        <v>244</v>
      </c>
      <c r="G6" s="673"/>
      <c r="H6" s="532" t="s">
        <v>31</v>
      </c>
      <c r="I6" s="536"/>
      <c r="J6" s="533"/>
      <c r="K6" s="154"/>
      <c r="L6" s="574" t="s">
        <v>32</v>
      </c>
      <c r="M6" s="575"/>
      <c r="N6" s="576"/>
      <c r="O6" s="149"/>
      <c r="P6" s="577">
        <f>T61</f>
        <v>1967.5000000000002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671"/>
      <c r="G7" s="535"/>
      <c r="H7" s="532" t="s">
        <v>36</v>
      </c>
      <c r="I7" s="536"/>
      <c r="J7" s="533"/>
      <c r="K7" s="154"/>
      <c r="L7" s="564" t="s">
        <v>37</v>
      </c>
      <c r="M7" s="565"/>
      <c r="N7" s="56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532" t="s">
        <v>40</v>
      </c>
      <c r="I8" s="536"/>
      <c r="J8" s="533"/>
      <c r="K8" s="154"/>
      <c r="L8" s="564" t="s">
        <v>41</v>
      </c>
      <c r="M8" s="565"/>
      <c r="N8" s="56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391</v>
      </c>
      <c r="G9" s="535"/>
      <c r="H9" s="171"/>
      <c r="I9" s="172"/>
      <c r="J9" s="172"/>
      <c r="K9" s="173"/>
      <c r="L9" s="564" t="s">
        <v>47</v>
      </c>
      <c r="M9" s="565"/>
      <c r="N9" s="56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1967.5000000000002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542" t="s">
        <v>48</v>
      </c>
      <c r="M10" s="579"/>
      <c r="N10" s="543"/>
      <c r="O10" s="149"/>
      <c r="P10" s="580">
        <f>E61</f>
        <v>8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650" t="s">
        <v>50</v>
      </c>
      <c r="K11" s="651"/>
      <c r="L11" s="651"/>
      <c r="M11" s="651"/>
      <c r="N11" s="652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653"/>
      <c r="K12" s="654"/>
      <c r="L12" s="654"/>
      <c r="M12" s="654"/>
      <c r="N12" s="655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656"/>
      <c r="K13" s="657"/>
      <c r="L13" s="657"/>
      <c r="M13" s="657"/>
      <c r="N13" s="658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601" t="s">
        <v>59</v>
      </c>
      <c r="K14" s="602"/>
      <c r="L14" s="605" t="s">
        <v>60</v>
      </c>
      <c r="M14" s="606"/>
      <c r="N14" s="60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603"/>
      <c r="K15" s="604"/>
      <c r="L15" s="608"/>
      <c r="M15" s="609"/>
      <c r="N15" s="61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631" t="s">
        <v>69</v>
      </c>
      <c r="K16" s="201" t="s">
        <v>72</v>
      </c>
      <c r="L16" s="202" t="s">
        <v>73</v>
      </c>
      <c r="M16" s="633" t="s">
        <v>74</v>
      </c>
      <c r="N16" s="633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3"/>
      <c r="C17" s="625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632"/>
      <c r="K17" s="614" t="s">
        <v>52</v>
      </c>
      <c r="L17" s="615"/>
      <c r="M17" s="634"/>
      <c r="N17" s="634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 s="358" t="s">
        <v>245</v>
      </c>
      <c r="C18" s="217" t="s">
        <v>143</v>
      </c>
      <c r="D18" s="360"/>
      <c r="E18" s="361">
        <v>1</v>
      </c>
      <c r="F18" s="220">
        <v>134.32</v>
      </c>
      <c r="G18" s="221">
        <f t="shared" ref="G18:G60" si="0">ROUND(IF($F$17="USD $", F18*$E$15,F18*$D$15),2)</f>
        <v>94.59</v>
      </c>
      <c r="H18" s="222">
        <f t="shared" ref="H18:H60" si="1">ROUND(IF($H$17=$G$17,E18*G18,E18*F18),2)</f>
        <v>134.32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51.04</v>
      </c>
      <c r="L18" s="221">
        <f t="shared" ref="L18:L60" si="4">ROUND((J18*K18),2)</f>
        <v>51.04</v>
      </c>
      <c r="M18" s="220" t="s">
        <v>84</v>
      </c>
      <c r="N18" s="225">
        <v>0.62</v>
      </c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51.04</v>
      </c>
      <c r="T18" s="229">
        <f t="shared" ref="T18:T60" si="7">ROUND(L18-R18,2)</f>
        <v>51.04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362" t="s">
        <v>246</v>
      </c>
      <c r="C19" s="236" t="s">
        <v>247</v>
      </c>
      <c r="D19" s="286"/>
      <c r="E19" s="364">
        <v>1</v>
      </c>
      <c r="F19" s="239">
        <v>122.23</v>
      </c>
      <c r="G19" s="240">
        <f t="shared" si="0"/>
        <v>86.08</v>
      </c>
      <c r="H19" s="241">
        <f t="shared" si="1"/>
        <v>122.23</v>
      </c>
      <c r="I19" s="242"/>
      <c r="J19" s="243">
        <f t="shared" si="2"/>
        <v>1</v>
      </c>
      <c r="K19" s="240">
        <f t="shared" si="3"/>
        <v>46.45</v>
      </c>
      <c r="L19" s="240">
        <f t="shared" si="4"/>
        <v>46.45</v>
      </c>
      <c r="M19" s="244" t="s">
        <v>84</v>
      </c>
      <c r="N19" s="245">
        <v>0.62</v>
      </c>
      <c r="O19" s="226"/>
      <c r="P19" s="246"/>
      <c r="Q19" s="239"/>
      <c r="R19" s="247">
        <f t="shared" si="5"/>
        <v>0</v>
      </c>
      <c r="S19" s="248">
        <f t="shared" si="6"/>
        <v>46.45</v>
      </c>
      <c r="T19" s="248">
        <f t="shared" si="7"/>
        <v>46.45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358" t="s">
        <v>248</v>
      </c>
      <c r="C20" s="252" t="s">
        <v>249</v>
      </c>
      <c r="D20" s="287"/>
      <c r="E20" s="361">
        <v>1</v>
      </c>
      <c r="F20" s="220">
        <v>40.869999999999997</v>
      </c>
      <c r="G20" s="221">
        <f t="shared" si="0"/>
        <v>28.78</v>
      </c>
      <c r="H20" s="222">
        <f t="shared" si="1"/>
        <v>40.869999999999997</v>
      </c>
      <c r="I20" s="242"/>
      <c r="J20" s="224">
        <f t="shared" si="2"/>
        <v>1</v>
      </c>
      <c r="K20" s="221">
        <f t="shared" si="3"/>
        <v>15.53</v>
      </c>
      <c r="L20" s="221">
        <f t="shared" si="4"/>
        <v>15.53</v>
      </c>
      <c r="M20" s="220" t="s">
        <v>84</v>
      </c>
      <c r="N20" s="254">
        <v>0.62</v>
      </c>
      <c r="O20" s="226"/>
      <c r="P20" s="255"/>
      <c r="Q20" s="228"/>
      <c r="R20" s="229">
        <f t="shared" si="5"/>
        <v>0</v>
      </c>
      <c r="S20" s="229">
        <f t="shared" si="6"/>
        <v>15.53</v>
      </c>
      <c r="T20" s="229">
        <f t="shared" si="7"/>
        <v>15.53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358" t="s">
        <v>250</v>
      </c>
      <c r="C21" s="236" t="s">
        <v>251</v>
      </c>
      <c r="D21" s="287"/>
      <c r="E21" s="361">
        <v>1</v>
      </c>
      <c r="F21" s="239">
        <v>68.569999999999993</v>
      </c>
      <c r="G21" s="240">
        <f t="shared" si="0"/>
        <v>48.29</v>
      </c>
      <c r="H21" s="241">
        <f t="shared" si="1"/>
        <v>68.569999999999993</v>
      </c>
      <c r="I21" s="242"/>
      <c r="J21" s="243">
        <f t="shared" si="2"/>
        <v>1</v>
      </c>
      <c r="K21" s="240">
        <f t="shared" si="3"/>
        <v>26.06</v>
      </c>
      <c r="L21" s="240">
        <f t="shared" si="4"/>
        <v>26.06</v>
      </c>
      <c r="M21" s="244" t="s">
        <v>84</v>
      </c>
      <c r="N21" s="245">
        <v>0.62</v>
      </c>
      <c r="O21" s="226"/>
      <c r="P21" s="246"/>
      <c r="Q21" s="239"/>
      <c r="R21" s="247">
        <f t="shared" si="5"/>
        <v>0</v>
      </c>
      <c r="S21" s="248">
        <f t="shared" si="6"/>
        <v>26.06</v>
      </c>
      <c r="T21" s="248">
        <f t="shared" si="7"/>
        <v>26.06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358" t="s">
        <v>252</v>
      </c>
      <c r="C22" s="252" t="s">
        <v>253</v>
      </c>
      <c r="D22" s="287"/>
      <c r="E22" s="361">
        <v>1</v>
      </c>
      <c r="F22" s="220">
        <v>200.14</v>
      </c>
      <c r="G22" s="221">
        <f t="shared" si="0"/>
        <v>140.94</v>
      </c>
      <c r="H22" s="222">
        <f t="shared" si="1"/>
        <v>200.14</v>
      </c>
      <c r="I22" s="242"/>
      <c r="J22" s="224">
        <f t="shared" si="2"/>
        <v>1</v>
      </c>
      <c r="K22" s="221">
        <f t="shared" si="3"/>
        <v>76.05</v>
      </c>
      <c r="L22" s="221">
        <f t="shared" si="4"/>
        <v>76.05</v>
      </c>
      <c r="M22" s="220" t="s">
        <v>84</v>
      </c>
      <c r="N22" s="254">
        <v>0.62</v>
      </c>
      <c r="O22" s="226"/>
      <c r="P22" s="255"/>
      <c r="Q22" s="228"/>
      <c r="R22" s="229">
        <f t="shared" si="5"/>
        <v>0</v>
      </c>
      <c r="S22" s="229">
        <f t="shared" si="6"/>
        <v>76.05</v>
      </c>
      <c r="T22" s="229">
        <f t="shared" si="7"/>
        <v>76.05</v>
      </c>
      <c r="U22" s="230">
        <f t="shared" si="8"/>
        <v>0</v>
      </c>
      <c r="V22" s="230">
        <f t="shared" si="9"/>
        <v>1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362"/>
      <c r="C23" s="153"/>
      <c r="D23" s="286"/>
      <c r="E23" s="364"/>
      <c r="F23" s="239"/>
      <c r="G23" s="240">
        <f t="shared" si="0"/>
        <v>0</v>
      </c>
      <c r="H23" s="241">
        <f t="shared" si="1"/>
        <v>0</v>
      </c>
      <c r="I23" s="242"/>
      <c r="J23" s="243">
        <f t="shared" si="2"/>
        <v>0</v>
      </c>
      <c r="K23" s="240">
        <f t="shared" si="3"/>
        <v>0</v>
      </c>
      <c r="L23" s="240">
        <f t="shared" si="4"/>
        <v>0</v>
      </c>
      <c r="M23" s="244" t="s">
        <v>84</v>
      </c>
      <c r="N23" s="245">
        <v>0.62</v>
      </c>
      <c r="O23" s="226"/>
      <c r="P23" s="246"/>
      <c r="Q23" s="239"/>
      <c r="R23" s="247">
        <f t="shared" si="5"/>
        <v>0</v>
      </c>
      <c r="S23" s="248">
        <f t="shared" si="6"/>
        <v>0</v>
      </c>
      <c r="T23" s="248">
        <f t="shared" si="7"/>
        <v>0</v>
      </c>
      <c r="U23" s="249">
        <f t="shared" si="8"/>
        <v>0</v>
      </c>
      <c r="V23" s="249">
        <f t="shared" si="9"/>
        <v>0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358" t="s">
        <v>254</v>
      </c>
      <c r="C24" s="153" t="s">
        <v>255</v>
      </c>
      <c r="D24" s="287"/>
      <c r="E24" s="361">
        <v>1</v>
      </c>
      <c r="F24" s="220">
        <v>2208.39</v>
      </c>
      <c r="G24" s="221">
        <f t="shared" si="0"/>
        <v>1555.2</v>
      </c>
      <c r="H24" s="222">
        <f t="shared" si="1"/>
        <v>2208.39</v>
      </c>
      <c r="I24" s="242"/>
      <c r="J24" s="224">
        <f t="shared" si="2"/>
        <v>1</v>
      </c>
      <c r="K24" s="221">
        <f t="shared" si="3"/>
        <v>839.19</v>
      </c>
      <c r="L24" s="221">
        <f t="shared" si="4"/>
        <v>839.19</v>
      </c>
      <c r="M24" s="220" t="s">
        <v>84</v>
      </c>
      <c r="N24" s="254">
        <v>0.62</v>
      </c>
      <c r="O24" s="226"/>
      <c r="P24" s="255"/>
      <c r="Q24" s="228"/>
      <c r="R24" s="229">
        <f t="shared" si="5"/>
        <v>0</v>
      </c>
      <c r="S24" s="229">
        <f t="shared" si="6"/>
        <v>839.19</v>
      </c>
      <c r="T24" s="229">
        <f t="shared" si="7"/>
        <v>839.19</v>
      </c>
      <c r="U24" s="230">
        <f t="shared" si="8"/>
        <v>0</v>
      </c>
      <c r="V24" s="230">
        <f t="shared" si="9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 s="362" t="s">
        <v>256</v>
      </c>
      <c r="C25" s="257" t="s">
        <v>257</v>
      </c>
      <c r="D25" s="286"/>
      <c r="E25" s="364">
        <v>1</v>
      </c>
      <c r="F25" s="239">
        <v>863.2</v>
      </c>
      <c r="G25" s="240">
        <f t="shared" si="0"/>
        <v>607.89</v>
      </c>
      <c r="H25" s="241">
        <f t="shared" si="1"/>
        <v>863.2</v>
      </c>
      <c r="I25" s="242"/>
      <c r="J25" s="243">
        <f t="shared" si="2"/>
        <v>1</v>
      </c>
      <c r="K25" s="240">
        <f t="shared" si="3"/>
        <v>863.2</v>
      </c>
      <c r="L25" s="240">
        <f t="shared" si="4"/>
        <v>863.2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863.2</v>
      </c>
      <c r="T25" s="248">
        <f t="shared" si="7"/>
        <v>863.2</v>
      </c>
      <c r="U25" s="249">
        <f t="shared" si="8"/>
        <v>0</v>
      </c>
      <c r="V25" s="249">
        <f t="shared" si="9"/>
        <v>1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 s="358" t="s">
        <v>258</v>
      </c>
      <c r="C26" s="153" t="s">
        <v>259</v>
      </c>
      <c r="D26" s="287"/>
      <c r="E26" s="361">
        <v>1</v>
      </c>
      <c r="F26" s="220">
        <v>99.95</v>
      </c>
      <c r="G26" s="221">
        <f t="shared" si="0"/>
        <v>70.39</v>
      </c>
      <c r="H26" s="222">
        <f t="shared" si="1"/>
        <v>99.95</v>
      </c>
      <c r="I26" s="242"/>
      <c r="J26" s="224">
        <f t="shared" si="2"/>
        <v>1</v>
      </c>
      <c r="K26" s="221">
        <f t="shared" si="3"/>
        <v>49.98</v>
      </c>
      <c r="L26" s="221">
        <f t="shared" si="4"/>
        <v>49.98</v>
      </c>
      <c r="M26" s="220" t="s">
        <v>84</v>
      </c>
      <c r="N26" s="254">
        <v>0.5</v>
      </c>
      <c r="O26" s="226"/>
      <c r="P26" s="255"/>
      <c r="Q26" s="228"/>
      <c r="R26" s="229">
        <f t="shared" si="5"/>
        <v>0</v>
      </c>
      <c r="S26" s="229">
        <f t="shared" si="6"/>
        <v>49.98</v>
      </c>
      <c r="T26" s="229">
        <f t="shared" si="7"/>
        <v>49.98</v>
      </c>
      <c r="U26" s="230">
        <f t="shared" si="8"/>
        <v>0</v>
      </c>
      <c r="V26" s="230">
        <f t="shared" si="9"/>
        <v>1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362"/>
      <c r="C27" s="363"/>
      <c r="D27" s="286"/>
      <c r="E27" s="364"/>
      <c r="F27" s="239"/>
      <c r="G27" s="240">
        <f t="shared" si="0"/>
        <v>0</v>
      </c>
      <c r="H27" s="241">
        <f t="shared" si="1"/>
        <v>0</v>
      </c>
      <c r="I27" s="242"/>
      <c r="J27" s="243">
        <f t="shared" si="2"/>
        <v>0</v>
      </c>
      <c r="K27" s="240">
        <f t="shared" si="3"/>
        <v>0</v>
      </c>
      <c r="L27" s="240">
        <f t="shared" si="4"/>
        <v>0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0</v>
      </c>
      <c r="T27" s="248">
        <f t="shared" si="7"/>
        <v>0</v>
      </c>
      <c r="U27" s="249">
        <f t="shared" si="8"/>
        <v>0</v>
      </c>
      <c r="V27" s="249">
        <f t="shared" si="9"/>
        <v>0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358"/>
      <c r="C28" s="365"/>
      <c r="D28" s="287"/>
      <c r="E28" s="361"/>
      <c r="F28" s="220"/>
      <c r="G28" s="221">
        <f t="shared" si="0"/>
        <v>0</v>
      </c>
      <c r="H28" s="222">
        <f t="shared" si="1"/>
        <v>0</v>
      </c>
      <c r="I28" s="242"/>
      <c r="J28" s="224">
        <f t="shared" si="2"/>
        <v>0</v>
      </c>
      <c r="K28" s="221">
        <f t="shared" si="3"/>
        <v>0</v>
      </c>
      <c r="L28" s="221">
        <f t="shared" si="4"/>
        <v>0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0</v>
      </c>
      <c r="T28" s="229">
        <f t="shared" si="7"/>
        <v>0</v>
      </c>
      <c r="U28" s="230">
        <f t="shared" si="8"/>
        <v>0</v>
      </c>
      <c r="V28" s="230">
        <f t="shared" si="9"/>
        <v>0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362"/>
      <c r="C29" s="363"/>
      <c r="D29" s="286"/>
      <c r="E29" s="364"/>
      <c r="F29" s="239"/>
      <c r="G29" s="240">
        <f t="shared" si="0"/>
        <v>0</v>
      </c>
      <c r="H29" s="241">
        <f t="shared" si="1"/>
        <v>0</v>
      </c>
      <c r="I29" s="242"/>
      <c r="J29" s="243">
        <f t="shared" si="2"/>
        <v>0</v>
      </c>
      <c r="K29" s="240">
        <f t="shared" si="3"/>
        <v>0</v>
      </c>
      <c r="L29" s="240">
        <f t="shared" si="4"/>
        <v>0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0</v>
      </c>
      <c r="T29" s="248">
        <f t="shared" si="7"/>
        <v>0</v>
      </c>
      <c r="U29" s="249">
        <f t="shared" si="8"/>
        <v>0</v>
      </c>
      <c r="V29" s="249">
        <f t="shared" si="9"/>
        <v>0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358"/>
      <c r="C30" s="365"/>
      <c r="D30" s="287"/>
      <c r="E30" s="361"/>
      <c r="F30" s="220"/>
      <c r="G30" s="221">
        <f t="shared" si="0"/>
        <v>0</v>
      </c>
      <c r="H30" s="222">
        <f t="shared" si="1"/>
        <v>0</v>
      </c>
      <c r="I30" s="242"/>
      <c r="J30" s="224">
        <f t="shared" si="2"/>
        <v>0</v>
      </c>
      <c r="K30" s="221">
        <f t="shared" si="3"/>
        <v>0</v>
      </c>
      <c r="L30" s="221">
        <f t="shared" si="4"/>
        <v>0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0</v>
      </c>
      <c r="T30" s="229">
        <f t="shared" si="7"/>
        <v>0</v>
      </c>
      <c r="U30" s="230">
        <f t="shared" si="8"/>
        <v>0</v>
      </c>
      <c r="V30" s="230">
        <f t="shared" si="9"/>
        <v>0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362"/>
      <c r="C31" s="363"/>
      <c r="D31" s="286"/>
      <c r="E31" s="364"/>
      <c r="F31" s="239"/>
      <c r="G31" s="240">
        <f t="shared" si="0"/>
        <v>0</v>
      </c>
      <c r="H31" s="241">
        <f t="shared" si="1"/>
        <v>0</v>
      </c>
      <c r="I31" s="242"/>
      <c r="J31" s="243">
        <f t="shared" si="2"/>
        <v>0</v>
      </c>
      <c r="K31" s="240">
        <f t="shared" si="3"/>
        <v>0</v>
      </c>
      <c r="L31" s="240">
        <f t="shared" si="4"/>
        <v>0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0</v>
      </c>
      <c r="T31" s="248">
        <f t="shared" si="7"/>
        <v>0</v>
      </c>
      <c r="U31" s="249">
        <f t="shared" si="8"/>
        <v>0</v>
      </c>
      <c r="V31" s="249">
        <f t="shared" si="9"/>
        <v>0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358"/>
      <c r="C32" s="365"/>
      <c r="D32" s="287"/>
      <c r="E32" s="361"/>
      <c r="F32" s="220"/>
      <c r="G32" s="221">
        <f t="shared" si="0"/>
        <v>0</v>
      </c>
      <c r="H32" s="222">
        <f t="shared" si="1"/>
        <v>0</v>
      </c>
      <c r="I32" s="242"/>
      <c r="J32" s="224">
        <f t="shared" si="2"/>
        <v>0</v>
      </c>
      <c r="K32" s="221">
        <f t="shared" si="3"/>
        <v>0</v>
      </c>
      <c r="L32" s="221">
        <f t="shared" si="4"/>
        <v>0</v>
      </c>
      <c r="M32" s="220" t="s">
        <v>84</v>
      </c>
      <c r="N32" s="254">
        <v>0.5</v>
      </c>
      <c r="O32" s="226"/>
      <c r="P32" s="255"/>
      <c r="Q32" s="228"/>
      <c r="R32" s="229">
        <f t="shared" si="5"/>
        <v>0</v>
      </c>
      <c r="S32" s="229">
        <f t="shared" si="6"/>
        <v>0</v>
      </c>
      <c r="T32" s="229">
        <f t="shared" si="7"/>
        <v>0</v>
      </c>
      <c r="U32" s="230">
        <f t="shared" si="8"/>
        <v>0</v>
      </c>
      <c r="V32" s="230">
        <f t="shared" si="9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362"/>
      <c r="C33" s="363"/>
      <c r="D33" s="286"/>
      <c r="E33" s="364"/>
      <c r="F33" s="239"/>
      <c r="G33" s="240">
        <f t="shared" si="0"/>
        <v>0</v>
      </c>
      <c r="H33" s="241">
        <f t="shared" si="1"/>
        <v>0</v>
      </c>
      <c r="I33" s="242"/>
      <c r="J33" s="243">
        <f t="shared" si="2"/>
        <v>0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358"/>
      <c r="C34" s="365"/>
      <c r="D34" s="287"/>
      <c r="E34" s="361"/>
      <c r="F34" s="220"/>
      <c r="G34" s="221">
        <f t="shared" si="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>
        <v>0.5</v>
      </c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362"/>
      <c r="C35" s="363"/>
      <c r="D35" s="286"/>
      <c r="E35" s="364"/>
      <c r="F35" s="239"/>
      <c r="G35" s="240">
        <f t="shared" si="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>
        <v>0.5</v>
      </c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358"/>
      <c r="C36" s="365"/>
      <c r="D36" s="287"/>
      <c r="E36" s="361"/>
      <c r="F36" s="220"/>
      <c r="G36" s="221">
        <f t="shared" si="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362"/>
      <c r="C37" s="363"/>
      <c r="D37" s="286"/>
      <c r="E37" s="364"/>
      <c r="F37" s="239"/>
      <c r="G37" s="240">
        <f t="shared" si="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358"/>
      <c r="C38" s="365"/>
      <c r="D38" s="287"/>
      <c r="E38" s="361"/>
      <c r="F38" s="220"/>
      <c r="G38" s="221">
        <f t="shared" si="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362"/>
      <c r="C39" s="363"/>
      <c r="D39" s="286"/>
      <c r="E39" s="364"/>
      <c r="F39" s="239"/>
      <c r="G39" s="240">
        <f t="shared" si="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358"/>
      <c r="C40" s="365"/>
      <c r="D40" s="287"/>
      <c r="E40" s="361"/>
      <c r="F40" s="220"/>
      <c r="G40" s="221">
        <f t="shared" si="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362"/>
      <c r="C41" s="363"/>
      <c r="D41" s="286"/>
      <c r="E41" s="364"/>
      <c r="F41" s="239"/>
      <c r="G41" s="240">
        <f t="shared" si="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358"/>
      <c r="C42" s="365"/>
      <c r="D42" s="287"/>
      <c r="E42" s="361"/>
      <c r="F42" s="220"/>
      <c r="G42" s="221">
        <f t="shared" si="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362"/>
      <c r="C43" s="363"/>
      <c r="D43" s="286"/>
      <c r="E43" s="364"/>
      <c r="F43" s="239"/>
      <c r="G43" s="240">
        <f t="shared" si="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358"/>
      <c r="C44" s="365"/>
      <c r="D44" s="287"/>
      <c r="E44" s="361"/>
      <c r="F44" s="220"/>
      <c r="G44" s="221">
        <f t="shared" si="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362"/>
      <c r="C45" s="363"/>
      <c r="D45" s="286"/>
      <c r="E45" s="364"/>
      <c r="F45" s="239"/>
      <c r="G45" s="240">
        <f t="shared" si="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358"/>
      <c r="C46" s="365"/>
      <c r="D46" s="287"/>
      <c r="E46" s="361"/>
      <c r="F46" s="220"/>
      <c r="G46" s="221">
        <f t="shared" si="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362"/>
      <c r="C47" s="363"/>
      <c r="D47" s="286"/>
      <c r="E47" s="364"/>
      <c r="F47" s="239"/>
      <c r="G47" s="240">
        <f t="shared" si="0"/>
        <v>0</v>
      </c>
      <c r="H47" s="241">
        <f t="shared" si="1"/>
        <v>0</v>
      </c>
      <c r="I47" s="242"/>
      <c r="J47" s="243">
        <f t="shared" si="2"/>
        <v>0</v>
      </c>
      <c r="K47" s="240">
        <f t="shared" si="3"/>
        <v>0</v>
      </c>
      <c r="L47" s="240">
        <f t="shared" si="4"/>
        <v>0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0</v>
      </c>
      <c r="T47" s="248">
        <f t="shared" si="7"/>
        <v>0</v>
      </c>
      <c r="U47" s="249">
        <f t="shared" si="8"/>
        <v>0</v>
      </c>
      <c r="V47" s="249">
        <f t="shared" si="9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358"/>
      <c r="C48" s="365"/>
      <c r="D48" s="287"/>
      <c r="E48" s="361"/>
      <c r="F48" s="220"/>
      <c r="G48" s="221">
        <f t="shared" si="0"/>
        <v>0</v>
      </c>
      <c r="H48" s="222">
        <f t="shared" si="1"/>
        <v>0</v>
      </c>
      <c r="I48" s="242"/>
      <c r="J48" s="224">
        <f t="shared" si="2"/>
        <v>0</v>
      </c>
      <c r="K48" s="221">
        <f t="shared" si="3"/>
        <v>0</v>
      </c>
      <c r="L48" s="221">
        <f t="shared" si="4"/>
        <v>0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0</v>
      </c>
      <c r="T48" s="229">
        <f t="shared" si="7"/>
        <v>0</v>
      </c>
      <c r="U48" s="230">
        <f t="shared" si="8"/>
        <v>0</v>
      </c>
      <c r="V48" s="230">
        <f t="shared" si="9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362"/>
      <c r="C49" s="363"/>
      <c r="D49" s="286"/>
      <c r="E49" s="364"/>
      <c r="F49" s="239"/>
      <c r="G49" s="240">
        <f t="shared" si="0"/>
        <v>0</v>
      </c>
      <c r="H49" s="241">
        <f t="shared" si="1"/>
        <v>0</v>
      </c>
      <c r="I49" s="242"/>
      <c r="J49" s="243">
        <f t="shared" si="2"/>
        <v>0</v>
      </c>
      <c r="K49" s="240">
        <f t="shared" si="3"/>
        <v>0</v>
      </c>
      <c r="L49" s="240">
        <f t="shared" si="4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0</v>
      </c>
      <c r="T49" s="248">
        <f t="shared" si="7"/>
        <v>0</v>
      </c>
      <c r="U49" s="249">
        <f t="shared" si="8"/>
        <v>0</v>
      </c>
      <c r="V49" s="249">
        <f t="shared" si="9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358"/>
      <c r="C50" s="365"/>
      <c r="D50" s="287"/>
      <c r="E50" s="361"/>
      <c r="F50" s="220"/>
      <c r="G50" s="221">
        <f t="shared" si="0"/>
        <v>0</v>
      </c>
      <c r="H50" s="222">
        <f t="shared" si="1"/>
        <v>0</v>
      </c>
      <c r="I50" s="242"/>
      <c r="J50" s="224">
        <f t="shared" si="2"/>
        <v>0</v>
      </c>
      <c r="K50" s="221">
        <f t="shared" si="3"/>
        <v>0</v>
      </c>
      <c r="L50" s="221">
        <f t="shared" si="4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0</v>
      </c>
      <c r="T50" s="229">
        <f t="shared" si="7"/>
        <v>0</v>
      </c>
      <c r="U50" s="230">
        <f t="shared" si="8"/>
        <v>0</v>
      </c>
      <c r="V50" s="230">
        <f t="shared" si="9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362"/>
      <c r="C51" s="363"/>
      <c r="D51" s="286"/>
      <c r="E51" s="364"/>
      <c r="F51" s="239"/>
      <c r="G51" s="240">
        <f t="shared" si="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8</v>
      </c>
      <c r="F61" s="265">
        <f>SUM(F18:F60)</f>
        <v>3737.67</v>
      </c>
      <c r="G61" s="266">
        <f>SUM(G18:G60)</f>
        <v>2632.16</v>
      </c>
      <c r="H61" s="267">
        <f>SUM(H18:H60)</f>
        <v>3737.67</v>
      </c>
      <c r="I61" s="268"/>
      <c r="J61" s="269">
        <f>SUM(J18:J60)</f>
        <v>8</v>
      </c>
      <c r="K61" s="266">
        <f>SUM(K18:K60)</f>
        <v>1967.5000000000002</v>
      </c>
      <c r="L61" s="267">
        <f>SUM(L18:L60)</f>
        <v>1967.5000000000002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1967.5000000000002</v>
      </c>
      <c r="T61" s="267">
        <f>SUM(T18:T60)</f>
        <v>1967.5000000000002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139" priority="3" stopIfTrue="1">
      <formula>$U$9&gt;100%</formula>
    </cfRule>
    <cfRule type="expression" dxfId="138" priority="4">
      <formula>$U$9&lt;50%</formula>
    </cfRule>
  </conditionalFormatting>
  <conditionalFormatting sqref="V9:V10">
    <cfRule type="expression" dxfId="137" priority="1">
      <formula>$V$9&lt;50%</formula>
    </cfRule>
    <cfRule type="expression" dxfId="136" priority="2">
      <formula>$V$9&gt;50%</formula>
    </cfRule>
  </conditionalFormatting>
  <dataValidations count="5">
    <dataValidation type="list" allowBlank="1" showInputMessage="1" showErrorMessage="1" sqref="M18:M60" xr:uid="{31597497-07D7-45B5-BA0E-4497FC638214}">
      <formula1>$Y$31:$Y$32</formula1>
    </dataValidation>
    <dataValidation type="list" showInputMessage="1" showErrorMessage="1" sqref="D52:D60" xr:uid="{3C0CEAE2-AE69-408E-BA96-746BAA630821}">
      <formula1>$Z$18:$Z$29</formula1>
    </dataValidation>
    <dataValidation type="list" allowBlank="1" showInputMessage="1" showErrorMessage="1" sqref="I13" xr:uid="{BF2F3E66-860D-4ECD-9650-65F8F4074D24}">
      <formula1>$K$9:$K$9</formula1>
    </dataValidation>
    <dataValidation type="list" allowBlank="1" showInputMessage="1" showErrorMessage="1" sqref="H13" xr:uid="{99268843-692A-4E7B-8BBA-66DBA2682B97}">
      <formula1>$Y$13:$Y$14</formula1>
    </dataValidation>
    <dataValidation type="list" allowBlank="1" showInputMessage="1" showErrorMessage="1" sqref="F17 K17 Q17 Q14" xr:uid="{A0D4C28F-02B2-4CFC-A22A-87681E950891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EA8B4-5E71-49D9-A038-638B2B673B3F}">
  <sheetPr>
    <pageSetUpPr fitToPage="1"/>
  </sheetPr>
  <dimension ref="A1:AB63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523" t="s">
        <v>2</v>
      </c>
      <c r="I1" s="524"/>
      <c r="J1" s="524"/>
      <c r="K1" s="525"/>
      <c r="L1" s="528" t="s">
        <v>3</v>
      </c>
      <c r="M1" s="529"/>
      <c r="N1" s="529"/>
      <c r="O1" s="529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77">
        <v>554024</v>
      </c>
      <c r="G2" s="549"/>
      <c r="H2" s="546" t="s">
        <v>7</v>
      </c>
      <c r="I2" s="550"/>
      <c r="J2" s="547"/>
      <c r="K2" s="148"/>
      <c r="L2" s="551" t="s">
        <v>8</v>
      </c>
      <c r="M2" s="552"/>
      <c r="N2" s="553"/>
      <c r="O2" s="149"/>
      <c r="P2" s="554">
        <f>H61</f>
        <v>5332.65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532" t="s">
        <v>13</v>
      </c>
      <c r="I3" s="536"/>
      <c r="J3" s="533"/>
      <c r="K3" s="154"/>
      <c r="L3" s="537" t="s">
        <v>14</v>
      </c>
      <c r="M3" s="538"/>
      <c r="N3" s="539"/>
      <c r="O3" s="149"/>
      <c r="P3" s="540">
        <f>L61</f>
        <v>2026.4099999999999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676" t="s">
        <v>243</v>
      </c>
      <c r="G4" s="673"/>
      <c r="H4" s="532" t="s">
        <v>19</v>
      </c>
      <c r="I4" s="536"/>
      <c r="J4" s="533"/>
      <c r="K4" s="154"/>
      <c r="L4" s="537" t="s">
        <v>20</v>
      </c>
      <c r="M4" s="538"/>
      <c r="N4" s="539"/>
      <c r="O4" s="149"/>
      <c r="P4" s="540">
        <f>P2-P3</f>
        <v>3306.24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667" t="s">
        <v>260</v>
      </c>
      <c r="G5" s="673"/>
      <c r="H5" s="532" t="s">
        <v>25</v>
      </c>
      <c r="I5" s="536"/>
      <c r="J5" s="533"/>
      <c r="K5" s="154"/>
      <c r="L5" s="558" t="s">
        <v>26</v>
      </c>
      <c r="M5" s="559"/>
      <c r="N5" s="560"/>
      <c r="O5" s="149"/>
      <c r="P5" s="561">
        <f>IFERROR((P2-P3)/P2,"")</f>
        <v>0.61999943742792041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72" t="s">
        <v>261</v>
      </c>
      <c r="G6" s="673"/>
      <c r="H6" s="532" t="s">
        <v>31</v>
      </c>
      <c r="I6" s="536"/>
      <c r="J6" s="533"/>
      <c r="K6" s="154"/>
      <c r="L6" s="574" t="s">
        <v>32</v>
      </c>
      <c r="M6" s="575"/>
      <c r="N6" s="576"/>
      <c r="O6" s="149"/>
      <c r="P6" s="577">
        <f>T61</f>
        <v>2026.4099999999999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671"/>
      <c r="G7" s="535"/>
      <c r="H7" s="532" t="s">
        <v>36</v>
      </c>
      <c r="I7" s="536"/>
      <c r="J7" s="533"/>
      <c r="K7" s="154"/>
      <c r="L7" s="564" t="s">
        <v>37</v>
      </c>
      <c r="M7" s="565"/>
      <c r="N7" s="56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532" t="s">
        <v>40</v>
      </c>
      <c r="I8" s="536"/>
      <c r="J8" s="533"/>
      <c r="K8" s="154"/>
      <c r="L8" s="564" t="s">
        <v>41</v>
      </c>
      <c r="M8" s="565"/>
      <c r="N8" s="56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392</v>
      </c>
      <c r="G9" s="535"/>
      <c r="H9" s="171"/>
      <c r="I9" s="172"/>
      <c r="J9" s="172"/>
      <c r="K9" s="173"/>
      <c r="L9" s="564" t="s">
        <v>47</v>
      </c>
      <c r="M9" s="565"/>
      <c r="N9" s="56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2026.4099999999999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542" t="s">
        <v>48</v>
      </c>
      <c r="M10" s="579"/>
      <c r="N10" s="543"/>
      <c r="O10" s="149"/>
      <c r="P10" s="580">
        <f>E61</f>
        <v>6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650" t="s">
        <v>50</v>
      </c>
      <c r="K11" s="651"/>
      <c r="L11" s="651"/>
      <c r="M11" s="651"/>
      <c r="N11" s="652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653"/>
      <c r="K12" s="654"/>
      <c r="L12" s="654"/>
      <c r="M12" s="654"/>
      <c r="N12" s="655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656"/>
      <c r="K13" s="657"/>
      <c r="L13" s="657"/>
      <c r="M13" s="657"/>
      <c r="N13" s="658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601" t="s">
        <v>59</v>
      </c>
      <c r="K14" s="602"/>
      <c r="L14" s="605" t="s">
        <v>60</v>
      </c>
      <c r="M14" s="606"/>
      <c r="N14" s="60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603"/>
      <c r="K15" s="604"/>
      <c r="L15" s="608"/>
      <c r="M15" s="609"/>
      <c r="N15" s="61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631" t="s">
        <v>69</v>
      </c>
      <c r="K16" s="201" t="s">
        <v>72</v>
      </c>
      <c r="L16" s="202" t="s">
        <v>73</v>
      </c>
      <c r="M16" s="633" t="s">
        <v>74</v>
      </c>
      <c r="N16" s="633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3"/>
      <c r="C17" s="625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632"/>
      <c r="K17" s="614" t="s">
        <v>52</v>
      </c>
      <c r="L17" s="615"/>
      <c r="M17" s="634"/>
      <c r="N17" s="634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 s="358" t="s">
        <v>262</v>
      </c>
      <c r="C18" s="217" t="s">
        <v>263</v>
      </c>
      <c r="D18" s="358">
        <v>375</v>
      </c>
      <c r="E18" s="361">
        <v>1</v>
      </c>
      <c r="F18" s="220">
        <v>202.14</v>
      </c>
      <c r="G18" s="221">
        <f t="shared" ref="G18:G60" si="0">ROUND(IF($F$17="USD $", F18*$E$15,F18*$D$15),2)</f>
        <v>142.35</v>
      </c>
      <c r="H18" s="222">
        <f t="shared" ref="H18:H60" si="1">ROUND(IF($H$17=$G$17,E18*G18,E18*F18),2)</f>
        <v>202.14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76.81</v>
      </c>
      <c r="L18" s="221">
        <f t="shared" ref="L18:L60" si="4">ROUND((J18*K18),2)</f>
        <v>76.81</v>
      </c>
      <c r="M18" s="220" t="s">
        <v>84</v>
      </c>
      <c r="N18" s="225">
        <v>0.62</v>
      </c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76.81</v>
      </c>
      <c r="T18" s="229">
        <f t="shared" ref="T18:T60" si="7">ROUND(L18-R18,2)</f>
        <v>76.81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362" t="s">
        <v>264</v>
      </c>
      <c r="C19" s="236" t="s">
        <v>265</v>
      </c>
      <c r="D19" s="358">
        <v>375</v>
      </c>
      <c r="E19" s="364">
        <v>1</v>
      </c>
      <c r="F19" s="239">
        <v>63.23</v>
      </c>
      <c r="G19" s="240">
        <f t="shared" si="0"/>
        <v>44.53</v>
      </c>
      <c r="H19" s="241">
        <f t="shared" si="1"/>
        <v>63.23</v>
      </c>
      <c r="I19" s="242"/>
      <c r="J19" s="243">
        <f t="shared" si="2"/>
        <v>1</v>
      </c>
      <c r="K19" s="240">
        <f t="shared" si="3"/>
        <v>24.03</v>
      </c>
      <c r="L19" s="240">
        <f t="shared" si="4"/>
        <v>24.03</v>
      </c>
      <c r="M19" s="244" t="s">
        <v>84</v>
      </c>
      <c r="N19" s="245">
        <v>0.62</v>
      </c>
      <c r="O19" s="226"/>
      <c r="P19" s="246"/>
      <c r="Q19" s="239"/>
      <c r="R19" s="247">
        <f t="shared" si="5"/>
        <v>0</v>
      </c>
      <c r="S19" s="248">
        <f t="shared" si="6"/>
        <v>24.03</v>
      </c>
      <c r="T19" s="248">
        <f t="shared" si="7"/>
        <v>24.03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358" t="s">
        <v>266</v>
      </c>
      <c r="C20" s="252" t="s">
        <v>267</v>
      </c>
      <c r="D20" s="287">
        <v>500</v>
      </c>
      <c r="E20" s="361">
        <v>1</v>
      </c>
      <c r="F20" s="220">
        <v>109.19</v>
      </c>
      <c r="G20" s="221">
        <f t="shared" si="0"/>
        <v>76.89</v>
      </c>
      <c r="H20" s="222">
        <f t="shared" si="1"/>
        <v>109.19</v>
      </c>
      <c r="I20" s="242"/>
      <c r="J20" s="224">
        <f t="shared" si="2"/>
        <v>1</v>
      </c>
      <c r="K20" s="221">
        <f t="shared" si="3"/>
        <v>41.49</v>
      </c>
      <c r="L20" s="221">
        <f t="shared" si="4"/>
        <v>41.49</v>
      </c>
      <c r="M20" s="220" t="s">
        <v>84</v>
      </c>
      <c r="N20" s="254">
        <v>0.62</v>
      </c>
      <c r="O20" s="226"/>
      <c r="P20" s="255"/>
      <c r="Q20" s="228"/>
      <c r="R20" s="229">
        <f t="shared" si="5"/>
        <v>0</v>
      </c>
      <c r="S20" s="229">
        <f t="shared" si="6"/>
        <v>41.49</v>
      </c>
      <c r="T20" s="229">
        <f t="shared" si="7"/>
        <v>41.49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358" t="s">
        <v>268</v>
      </c>
      <c r="C21" s="236" t="s">
        <v>269</v>
      </c>
      <c r="D21" s="287">
        <v>500</v>
      </c>
      <c r="E21" s="361">
        <v>1</v>
      </c>
      <c r="F21" s="239">
        <v>35.1</v>
      </c>
      <c r="G21" s="240">
        <f t="shared" si="0"/>
        <v>24.72</v>
      </c>
      <c r="H21" s="241">
        <f t="shared" si="1"/>
        <v>35.1</v>
      </c>
      <c r="I21" s="242"/>
      <c r="J21" s="243">
        <f t="shared" si="2"/>
        <v>1</v>
      </c>
      <c r="K21" s="240">
        <f t="shared" si="3"/>
        <v>13.34</v>
      </c>
      <c r="L21" s="240">
        <f t="shared" si="4"/>
        <v>13.34</v>
      </c>
      <c r="M21" s="244" t="s">
        <v>84</v>
      </c>
      <c r="N21" s="245">
        <v>0.62</v>
      </c>
      <c r="O21" s="226"/>
      <c r="P21" s="246"/>
      <c r="Q21" s="239"/>
      <c r="R21" s="247">
        <f t="shared" si="5"/>
        <v>0</v>
      </c>
      <c r="S21" s="248">
        <f t="shared" si="6"/>
        <v>13.34</v>
      </c>
      <c r="T21" s="248">
        <f t="shared" si="7"/>
        <v>13.34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358" t="s">
        <v>270</v>
      </c>
      <c r="C22" s="252" t="s">
        <v>271</v>
      </c>
      <c r="D22" s="287">
        <v>6000</v>
      </c>
      <c r="E22" s="361">
        <v>1</v>
      </c>
      <c r="F22" s="220">
        <v>4242.3599999999997</v>
      </c>
      <c r="G22" s="221">
        <f t="shared" si="0"/>
        <v>2987.58</v>
      </c>
      <c r="H22" s="222">
        <f t="shared" si="1"/>
        <v>4242.3599999999997</v>
      </c>
      <c r="I22" s="242"/>
      <c r="J22" s="224">
        <f t="shared" si="2"/>
        <v>1</v>
      </c>
      <c r="K22" s="221">
        <f t="shared" si="3"/>
        <v>1612.1</v>
      </c>
      <c r="L22" s="221">
        <f t="shared" si="4"/>
        <v>1612.1</v>
      </c>
      <c r="M22" s="220" t="s">
        <v>84</v>
      </c>
      <c r="N22" s="254">
        <v>0.62</v>
      </c>
      <c r="O22" s="226"/>
      <c r="P22" s="255"/>
      <c r="Q22" s="228"/>
      <c r="R22" s="229">
        <f t="shared" si="5"/>
        <v>0</v>
      </c>
      <c r="S22" s="229">
        <f t="shared" si="6"/>
        <v>1612.1</v>
      </c>
      <c r="T22" s="229">
        <f t="shared" si="7"/>
        <v>1612.1</v>
      </c>
      <c r="U22" s="230">
        <f t="shared" si="8"/>
        <v>0</v>
      </c>
      <c r="V22" s="230">
        <f t="shared" si="9"/>
        <v>1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362" t="s">
        <v>272</v>
      </c>
      <c r="C23" s="153" t="s">
        <v>273</v>
      </c>
      <c r="D23" s="286">
        <v>6000</v>
      </c>
      <c r="E23" s="364">
        <v>1</v>
      </c>
      <c r="F23" s="239">
        <v>680.63</v>
      </c>
      <c r="G23" s="240">
        <f t="shared" si="0"/>
        <v>479.32</v>
      </c>
      <c r="H23" s="241">
        <f t="shared" si="1"/>
        <v>680.63</v>
      </c>
      <c r="I23" s="242"/>
      <c r="J23" s="243">
        <f t="shared" si="2"/>
        <v>1</v>
      </c>
      <c r="K23" s="240">
        <f t="shared" si="3"/>
        <v>258.64</v>
      </c>
      <c r="L23" s="240">
        <f t="shared" si="4"/>
        <v>258.64</v>
      </c>
      <c r="M23" s="244" t="s">
        <v>84</v>
      </c>
      <c r="N23" s="245">
        <v>0.62</v>
      </c>
      <c r="O23" s="226"/>
      <c r="P23" s="246"/>
      <c r="Q23" s="239"/>
      <c r="R23" s="247">
        <f t="shared" si="5"/>
        <v>0</v>
      </c>
      <c r="S23" s="248">
        <f t="shared" si="6"/>
        <v>258.64</v>
      </c>
      <c r="T23" s="248">
        <f t="shared" si="7"/>
        <v>258.64</v>
      </c>
      <c r="U23" s="249">
        <f t="shared" si="8"/>
        <v>0</v>
      </c>
      <c r="V23" s="249">
        <f t="shared" si="9"/>
        <v>1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358"/>
      <c r="C24" s="153"/>
      <c r="D24" s="287"/>
      <c r="E24" s="361"/>
      <c r="F24" s="220"/>
      <c r="G24" s="221">
        <f t="shared" si="0"/>
        <v>0</v>
      </c>
      <c r="H24" s="222">
        <f t="shared" si="1"/>
        <v>0</v>
      </c>
      <c r="I24" s="242"/>
      <c r="J24" s="224">
        <f t="shared" si="2"/>
        <v>0</v>
      </c>
      <c r="K24" s="221">
        <f t="shared" si="3"/>
        <v>0</v>
      </c>
      <c r="L24" s="221">
        <f t="shared" si="4"/>
        <v>0</v>
      </c>
      <c r="M24" s="220" t="s">
        <v>84</v>
      </c>
      <c r="N24" s="254">
        <v>0.62</v>
      </c>
      <c r="O24" s="226"/>
      <c r="P24" s="255"/>
      <c r="Q24" s="228"/>
      <c r="R24" s="229">
        <f t="shared" si="5"/>
        <v>0</v>
      </c>
      <c r="S24" s="229">
        <f t="shared" si="6"/>
        <v>0</v>
      </c>
      <c r="T24" s="229">
        <f t="shared" si="7"/>
        <v>0</v>
      </c>
      <c r="U24" s="230">
        <f t="shared" si="8"/>
        <v>0</v>
      </c>
      <c r="V24" s="230">
        <f t="shared" si="9"/>
        <v>0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 s="362"/>
      <c r="C25" s="257"/>
      <c r="D25" s="286"/>
      <c r="E25" s="364"/>
      <c r="F25" s="239"/>
      <c r="G25" s="240">
        <f t="shared" si="0"/>
        <v>0</v>
      </c>
      <c r="H25" s="241">
        <f t="shared" si="1"/>
        <v>0</v>
      </c>
      <c r="I25" s="242"/>
      <c r="J25" s="243">
        <f t="shared" si="2"/>
        <v>0</v>
      </c>
      <c r="K25" s="240">
        <f t="shared" si="3"/>
        <v>0</v>
      </c>
      <c r="L25" s="240">
        <f t="shared" si="4"/>
        <v>0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0</v>
      </c>
      <c r="T25" s="248">
        <f t="shared" si="7"/>
        <v>0</v>
      </c>
      <c r="U25" s="249">
        <f t="shared" si="8"/>
        <v>0</v>
      </c>
      <c r="V25" s="249">
        <f t="shared" si="9"/>
        <v>0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 s="358"/>
      <c r="C26" s="153"/>
      <c r="D26" s="287"/>
      <c r="E26" s="361"/>
      <c r="F26" s="220"/>
      <c r="G26" s="221">
        <f t="shared" si="0"/>
        <v>0</v>
      </c>
      <c r="H26" s="222">
        <f t="shared" si="1"/>
        <v>0</v>
      </c>
      <c r="I26" s="242"/>
      <c r="J26" s="224">
        <f t="shared" si="2"/>
        <v>0</v>
      </c>
      <c r="K26" s="221">
        <f t="shared" si="3"/>
        <v>0</v>
      </c>
      <c r="L26" s="221">
        <f t="shared" si="4"/>
        <v>0</v>
      </c>
      <c r="M26" s="220" t="s">
        <v>84</v>
      </c>
      <c r="N26" s="254">
        <v>0.5</v>
      </c>
      <c r="O26" s="226"/>
      <c r="P26" s="255"/>
      <c r="Q26" s="228"/>
      <c r="R26" s="229">
        <f t="shared" si="5"/>
        <v>0</v>
      </c>
      <c r="S26" s="229">
        <f t="shared" si="6"/>
        <v>0</v>
      </c>
      <c r="T26" s="229">
        <f t="shared" si="7"/>
        <v>0</v>
      </c>
      <c r="U26" s="230">
        <f t="shared" si="8"/>
        <v>0</v>
      </c>
      <c r="V26" s="230">
        <f t="shared" si="9"/>
        <v>0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362"/>
      <c r="C27" s="363"/>
      <c r="D27" s="286"/>
      <c r="E27" s="364"/>
      <c r="F27" s="239"/>
      <c r="G27" s="240">
        <f t="shared" si="0"/>
        <v>0</v>
      </c>
      <c r="H27" s="241">
        <f t="shared" si="1"/>
        <v>0</v>
      </c>
      <c r="I27" s="242"/>
      <c r="J27" s="243">
        <f t="shared" si="2"/>
        <v>0</v>
      </c>
      <c r="K27" s="240">
        <f t="shared" si="3"/>
        <v>0</v>
      </c>
      <c r="L27" s="240">
        <f t="shared" si="4"/>
        <v>0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0</v>
      </c>
      <c r="T27" s="248">
        <f t="shared" si="7"/>
        <v>0</v>
      </c>
      <c r="U27" s="249">
        <f t="shared" si="8"/>
        <v>0</v>
      </c>
      <c r="V27" s="249">
        <f t="shared" si="9"/>
        <v>0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358"/>
      <c r="C28" s="365"/>
      <c r="D28" s="287"/>
      <c r="E28" s="361"/>
      <c r="F28" s="220"/>
      <c r="G28" s="221">
        <f t="shared" si="0"/>
        <v>0</v>
      </c>
      <c r="H28" s="222">
        <f t="shared" si="1"/>
        <v>0</v>
      </c>
      <c r="I28" s="242"/>
      <c r="J28" s="224">
        <f t="shared" si="2"/>
        <v>0</v>
      </c>
      <c r="K28" s="221">
        <f t="shared" si="3"/>
        <v>0</v>
      </c>
      <c r="L28" s="221">
        <f t="shared" si="4"/>
        <v>0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0</v>
      </c>
      <c r="T28" s="229">
        <f t="shared" si="7"/>
        <v>0</v>
      </c>
      <c r="U28" s="230">
        <f t="shared" si="8"/>
        <v>0</v>
      </c>
      <c r="V28" s="230">
        <f t="shared" si="9"/>
        <v>0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362"/>
      <c r="C29" s="363"/>
      <c r="D29" s="286"/>
      <c r="E29" s="364"/>
      <c r="F29" s="239"/>
      <c r="G29" s="240">
        <f t="shared" si="0"/>
        <v>0</v>
      </c>
      <c r="H29" s="241">
        <f t="shared" si="1"/>
        <v>0</v>
      </c>
      <c r="I29" s="242"/>
      <c r="J29" s="243">
        <f t="shared" si="2"/>
        <v>0</v>
      </c>
      <c r="K29" s="240">
        <f t="shared" si="3"/>
        <v>0</v>
      </c>
      <c r="L29" s="240">
        <f t="shared" si="4"/>
        <v>0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0</v>
      </c>
      <c r="T29" s="248">
        <f t="shared" si="7"/>
        <v>0</v>
      </c>
      <c r="U29" s="249">
        <f t="shared" si="8"/>
        <v>0</v>
      </c>
      <c r="V29" s="249">
        <f t="shared" si="9"/>
        <v>0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358"/>
      <c r="C30" s="365"/>
      <c r="D30" s="287"/>
      <c r="E30" s="361"/>
      <c r="F30" s="220"/>
      <c r="G30" s="221">
        <f t="shared" si="0"/>
        <v>0</v>
      </c>
      <c r="H30" s="222">
        <f t="shared" si="1"/>
        <v>0</v>
      </c>
      <c r="I30" s="242"/>
      <c r="J30" s="224">
        <f t="shared" si="2"/>
        <v>0</v>
      </c>
      <c r="K30" s="221">
        <f t="shared" si="3"/>
        <v>0</v>
      </c>
      <c r="L30" s="221">
        <f t="shared" si="4"/>
        <v>0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0</v>
      </c>
      <c r="T30" s="229">
        <f t="shared" si="7"/>
        <v>0</v>
      </c>
      <c r="U30" s="230">
        <f t="shared" si="8"/>
        <v>0</v>
      </c>
      <c r="V30" s="230">
        <f t="shared" si="9"/>
        <v>0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362"/>
      <c r="C31" s="363"/>
      <c r="D31" s="286"/>
      <c r="E31" s="364"/>
      <c r="F31" s="239"/>
      <c r="G31" s="240">
        <f t="shared" si="0"/>
        <v>0</v>
      </c>
      <c r="H31" s="241">
        <f t="shared" si="1"/>
        <v>0</v>
      </c>
      <c r="I31" s="242"/>
      <c r="J31" s="243">
        <f t="shared" si="2"/>
        <v>0</v>
      </c>
      <c r="K31" s="240">
        <f t="shared" si="3"/>
        <v>0</v>
      </c>
      <c r="L31" s="240">
        <f t="shared" si="4"/>
        <v>0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0</v>
      </c>
      <c r="T31" s="248">
        <f t="shared" si="7"/>
        <v>0</v>
      </c>
      <c r="U31" s="249">
        <f t="shared" si="8"/>
        <v>0</v>
      </c>
      <c r="V31" s="249">
        <f t="shared" si="9"/>
        <v>0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358"/>
      <c r="C32" s="365"/>
      <c r="D32" s="287"/>
      <c r="E32" s="361"/>
      <c r="F32" s="220"/>
      <c r="G32" s="221">
        <f t="shared" si="0"/>
        <v>0</v>
      </c>
      <c r="H32" s="222">
        <f t="shared" si="1"/>
        <v>0</v>
      </c>
      <c r="I32" s="242"/>
      <c r="J32" s="224">
        <f t="shared" si="2"/>
        <v>0</v>
      </c>
      <c r="K32" s="221">
        <f t="shared" si="3"/>
        <v>0</v>
      </c>
      <c r="L32" s="221">
        <f t="shared" si="4"/>
        <v>0</v>
      </c>
      <c r="M32" s="220" t="s">
        <v>84</v>
      </c>
      <c r="N32" s="254">
        <v>0.5</v>
      </c>
      <c r="O32" s="226"/>
      <c r="P32" s="255"/>
      <c r="Q32" s="228"/>
      <c r="R32" s="229">
        <f t="shared" si="5"/>
        <v>0</v>
      </c>
      <c r="S32" s="229">
        <f t="shared" si="6"/>
        <v>0</v>
      </c>
      <c r="T32" s="229">
        <f t="shared" si="7"/>
        <v>0</v>
      </c>
      <c r="U32" s="230">
        <f t="shared" si="8"/>
        <v>0</v>
      </c>
      <c r="V32" s="230">
        <f t="shared" si="9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362"/>
      <c r="C33" s="363"/>
      <c r="D33" s="286"/>
      <c r="E33" s="364"/>
      <c r="F33" s="239"/>
      <c r="G33" s="240">
        <f t="shared" si="0"/>
        <v>0</v>
      </c>
      <c r="H33" s="241">
        <f t="shared" si="1"/>
        <v>0</v>
      </c>
      <c r="I33" s="242"/>
      <c r="J33" s="243">
        <f t="shared" si="2"/>
        <v>0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358"/>
      <c r="C34" s="365"/>
      <c r="D34" s="287"/>
      <c r="E34" s="361"/>
      <c r="F34" s="220"/>
      <c r="G34" s="221">
        <f t="shared" si="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>
        <v>0.5</v>
      </c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362"/>
      <c r="C35" s="363"/>
      <c r="D35" s="286"/>
      <c r="E35" s="364"/>
      <c r="F35" s="239"/>
      <c r="G35" s="240">
        <f t="shared" si="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>
        <v>0.5</v>
      </c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358"/>
      <c r="C36" s="365"/>
      <c r="D36" s="287"/>
      <c r="E36" s="361"/>
      <c r="F36" s="220"/>
      <c r="G36" s="221">
        <f t="shared" si="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362"/>
      <c r="C37" s="363"/>
      <c r="D37" s="286"/>
      <c r="E37" s="364"/>
      <c r="F37" s="239"/>
      <c r="G37" s="240">
        <f t="shared" si="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358"/>
      <c r="C38" s="365"/>
      <c r="D38" s="287"/>
      <c r="E38" s="361"/>
      <c r="F38" s="220"/>
      <c r="G38" s="221">
        <f t="shared" si="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362"/>
      <c r="C39" s="363"/>
      <c r="D39" s="286"/>
      <c r="E39" s="364"/>
      <c r="F39" s="239"/>
      <c r="G39" s="240">
        <f t="shared" si="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358"/>
      <c r="C40" s="365"/>
      <c r="D40" s="287"/>
      <c r="E40" s="361"/>
      <c r="F40" s="220"/>
      <c r="G40" s="221">
        <f t="shared" si="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362"/>
      <c r="C41" s="363"/>
      <c r="D41" s="286"/>
      <c r="E41" s="364"/>
      <c r="F41" s="239"/>
      <c r="G41" s="240">
        <f t="shared" si="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358"/>
      <c r="C42" s="365"/>
      <c r="D42" s="287"/>
      <c r="E42" s="361"/>
      <c r="F42" s="220"/>
      <c r="G42" s="221">
        <f t="shared" si="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362"/>
      <c r="C43" s="363"/>
      <c r="D43" s="286"/>
      <c r="E43" s="364"/>
      <c r="F43" s="239"/>
      <c r="G43" s="240">
        <f t="shared" si="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358"/>
      <c r="C44" s="365"/>
      <c r="D44" s="287"/>
      <c r="E44" s="361"/>
      <c r="F44" s="220"/>
      <c r="G44" s="221">
        <f t="shared" si="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362"/>
      <c r="C45" s="363"/>
      <c r="D45" s="286"/>
      <c r="E45" s="364"/>
      <c r="F45" s="239"/>
      <c r="G45" s="240">
        <f t="shared" si="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358"/>
      <c r="C46" s="365"/>
      <c r="D46" s="287"/>
      <c r="E46" s="361"/>
      <c r="F46" s="220"/>
      <c r="G46" s="221">
        <f t="shared" si="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362"/>
      <c r="C47" s="363"/>
      <c r="D47" s="286"/>
      <c r="E47" s="364"/>
      <c r="F47" s="239"/>
      <c r="G47" s="240">
        <f t="shared" si="0"/>
        <v>0</v>
      </c>
      <c r="H47" s="241">
        <f t="shared" si="1"/>
        <v>0</v>
      </c>
      <c r="I47" s="242"/>
      <c r="J47" s="243">
        <f t="shared" si="2"/>
        <v>0</v>
      </c>
      <c r="K47" s="240">
        <f t="shared" si="3"/>
        <v>0</v>
      </c>
      <c r="L47" s="240">
        <f t="shared" si="4"/>
        <v>0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0</v>
      </c>
      <c r="T47" s="248">
        <f t="shared" si="7"/>
        <v>0</v>
      </c>
      <c r="U47" s="249">
        <f t="shared" si="8"/>
        <v>0</v>
      </c>
      <c r="V47" s="249">
        <f t="shared" si="9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358"/>
      <c r="C48" s="365"/>
      <c r="D48" s="287"/>
      <c r="E48" s="361"/>
      <c r="F48" s="220"/>
      <c r="G48" s="221">
        <f t="shared" si="0"/>
        <v>0</v>
      </c>
      <c r="H48" s="222">
        <f t="shared" si="1"/>
        <v>0</v>
      </c>
      <c r="I48" s="242"/>
      <c r="J48" s="224">
        <f t="shared" si="2"/>
        <v>0</v>
      </c>
      <c r="K48" s="221">
        <f t="shared" si="3"/>
        <v>0</v>
      </c>
      <c r="L48" s="221">
        <f t="shared" si="4"/>
        <v>0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0</v>
      </c>
      <c r="T48" s="229">
        <f t="shared" si="7"/>
        <v>0</v>
      </c>
      <c r="U48" s="230">
        <f t="shared" si="8"/>
        <v>0</v>
      </c>
      <c r="V48" s="230">
        <f t="shared" si="9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362"/>
      <c r="C49" s="363"/>
      <c r="D49" s="286"/>
      <c r="E49" s="364"/>
      <c r="F49" s="239"/>
      <c r="G49" s="240">
        <f t="shared" si="0"/>
        <v>0</v>
      </c>
      <c r="H49" s="241">
        <f t="shared" si="1"/>
        <v>0</v>
      </c>
      <c r="I49" s="242"/>
      <c r="J49" s="243">
        <f t="shared" si="2"/>
        <v>0</v>
      </c>
      <c r="K49" s="240">
        <f t="shared" si="3"/>
        <v>0</v>
      </c>
      <c r="L49" s="240">
        <f t="shared" si="4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0</v>
      </c>
      <c r="T49" s="248">
        <f t="shared" si="7"/>
        <v>0</v>
      </c>
      <c r="U49" s="249">
        <f t="shared" si="8"/>
        <v>0</v>
      </c>
      <c r="V49" s="249">
        <f t="shared" si="9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358"/>
      <c r="C50" s="365"/>
      <c r="D50" s="287"/>
      <c r="E50" s="361"/>
      <c r="F50" s="220"/>
      <c r="G50" s="221">
        <f t="shared" si="0"/>
        <v>0</v>
      </c>
      <c r="H50" s="222">
        <f t="shared" si="1"/>
        <v>0</v>
      </c>
      <c r="I50" s="242"/>
      <c r="J50" s="224">
        <f t="shared" si="2"/>
        <v>0</v>
      </c>
      <c r="K50" s="221">
        <f t="shared" si="3"/>
        <v>0</v>
      </c>
      <c r="L50" s="221">
        <f t="shared" si="4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0</v>
      </c>
      <c r="T50" s="229">
        <f t="shared" si="7"/>
        <v>0</v>
      </c>
      <c r="U50" s="230">
        <f t="shared" si="8"/>
        <v>0</v>
      </c>
      <c r="V50" s="230">
        <f t="shared" si="9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362"/>
      <c r="C51" s="363"/>
      <c r="D51" s="286"/>
      <c r="E51" s="364"/>
      <c r="F51" s="239"/>
      <c r="G51" s="240">
        <f t="shared" si="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6</v>
      </c>
      <c r="F61" s="265">
        <f>SUM(F18:F60)</f>
        <v>5332.65</v>
      </c>
      <c r="G61" s="266">
        <f>SUM(G18:G60)</f>
        <v>3755.39</v>
      </c>
      <c r="H61" s="267">
        <f>SUM(H18:H60)</f>
        <v>5332.65</v>
      </c>
      <c r="I61" s="268"/>
      <c r="J61" s="269">
        <f>SUM(J18:J60)</f>
        <v>6</v>
      </c>
      <c r="K61" s="266">
        <f>SUM(K18:K60)</f>
        <v>2026.4099999999999</v>
      </c>
      <c r="L61" s="267">
        <f>SUM(L18:L60)</f>
        <v>2026.4099999999999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2026.4099999999999</v>
      </c>
      <c r="T61" s="267">
        <f>SUM(T18:T60)</f>
        <v>2026.4099999999999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135" priority="3" stopIfTrue="1">
      <formula>$U$9&gt;100%</formula>
    </cfRule>
    <cfRule type="expression" dxfId="134" priority="4">
      <formula>$U$9&lt;50%</formula>
    </cfRule>
  </conditionalFormatting>
  <conditionalFormatting sqref="V9:V10">
    <cfRule type="expression" dxfId="133" priority="1">
      <formula>$V$9&lt;50%</formula>
    </cfRule>
    <cfRule type="expression" dxfId="132" priority="2">
      <formula>$V$9&gt;50%</formula>
    </cfRule>
  </conditionalFormatting>
  <dataValidations count="5">
    <dataValidation type="list" allowBlank="1" showInputMessage="1" showErrorMessage="1" sqref="F17 K17 Q17 Q14" xr:uid="{100F80A7-E363-4245-B99B-94ED0A8F126F}">
      <formula1>$Y$11:$Y$12</formula1>
    </dataValidation>
    <dataValidation type="list" allowBlank="1" showInputMessage="1" showErrorMessage="1" sqref="H13" xr:uid="{584470FC-FB32-4223-B91C-F9BD44EC1E8C}">
      <formula1>$Y$13:$Y$14</formula1>
    </dataValidation>
    <dataValidation type="list" allowBlank="1" showInputMessage="1" showErrorMessage="1" sqref="I13" xr:uid="{DA289728-B808-43BD-B392-710D174D83C0}">
      <formula1>$K$9:$K$9</formula1>
    </dataValidation>
    <dataValidation type="list" showInputMessage="1" showErrorMessage="1" sqref="D52:D60" xr:uid="{CB1E71DE-1EAC-4123-A080-84BAA8E9302A}">
      <formula1>$Z$18:$Z$29</formula1>
    </dataValidation>
    <dataValidation type="list" allowBlank="1" showInputMessage="1" showErrorMessage="1" sqref="M18:M60" xr:uid="{029FE8A2-12AA-4D5B-8A48-149AFAD67A68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18F10-6275-4E30-ABB4-A8D8755A3F4F}">
  <sheetPr>
    <pageSetUpPr fitToPage="1"/>
  </sheetPr>
  <dimension ref="A1:AB63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523" t="s">
        <v>2</v>
      </c>
      <c r="I1" s="524"/>
      <c r="J1" s="524"/>
      <c r="K1" s="525"/>
      <c r="L1" s="528" t="s">
        <v>3</v>
      </c>
      <c r="M1" s="529"/>
      <c r="N1" s="529"/>
      <c r="O1" s="529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77">
        <v>559019</v>
      </c>
      <c r="G2" s="549"/>
      <c r="H2" s="546" t="s">
        <v>7</v>
      </c>
      <c r="I2" s="550"/>
      <c r="J2" s="547"/>
      <c r="K2" s="148"/>
      <c r="L2" s="551" t="s">
        <v>8</v>
      </c>
      <c r="M2" s="552"/>
      <c r="N2" s="553"/>
      <c r="O2" s="149"/>
      <c r="P2" s="554">
        <f>H61</f>
        <v>7605.1100000000006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532" t="s">
        <v>13</v>
      </c>
      <c r="I3" s="536"/>
      <c r="J3" s="533"/>
      <c r="K3" s="154"/>
      <c r="L3" s="537" t="s">
        <v>14</v>
      </c>
      <c r="M3" s="538"/>
      <c r="N3" s="539"/>
      <c r="O3" s="149"/>
      <c r="P3" s="540">
        <f>L61</f>
        <v>3326.87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676" t="s">
        <v>243</v>
      </c>
      <c r="G4" s="673"/>
      <c r="H4" s="532" t="s">
        <v>19</v>
      </c>
      <c r="I4" s="536"/>
      <c r="J4" s="533"/>
      <c r="K4" s="154"/>
      <c r="L4" s="537" t="s">
        <v>20</v>
      </c>
      <c r="M4" s="538"/>
      <c r="N4" s="539"/>
      <c r="O4" s="149"/>
      <c r="P4" s="540">
        <f>P2-P3</f>
        <v>4278.2400000000007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667" t="s">
        <v>274</v>
      </c>
      <c r="G5" s="673"/>
      <c r="H5" s="532" t="s">
        <v>25</v>
      </c>
      <c r="I5" s="536"/>
      <c r="J5" s="533"/>
      <c r="K5" s="154"/>
      <c r="L5" s="558" t="s">
        <v>26</v>
      </c>
      <c r="M5" s="559"/>
      <c r="N5" s="560"/>
      <c r="O5" s="149"/>
      <c r="P5" s="561">
        <f>IFERROR((P2-P3)/P2,"")</f>
        <v>0.56254807622769432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72" t="s">
        <v>275</v>
      </c>
      <c r="G6" s="673"/>
      <c r="H6" s="532" t="s">
        <v>31</v>
      </c>
      <c r="I6" s="536"/>
      <c r="J6" s="533"/>
      <c r="K6" s="154"/>
      <c r="L6" s="574" t="s">
        <v>32</v>
      </c>
      <c r="M6" s="575"/>
      <c r="N6" s="576"/>
      <c r="O6" s="149"/>
      <c r="P6" s="577">
        <f>T61</f>
        <v>3326.87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671"/>
      <c r="G7" s="535"/>
      <c r="H7" s="532" t="s">
        <v>36</v>
      </c>
      <c r="I7" s="536"/>
      <c r="J7" s="533"/>
      <c r="K7" s="154"/>
      <c r="L7" s="564" t="s">
        <v>37</v>
      </c>
      <c r="M7" s="565"/>
      <c r="N7" s="56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532" t="s">
        <v>40</v>
      </c>
      <c r="I8" s="536"/>
      <c r="J8" s="533"/>
      <c r="K8" s="154"/>
      <c r="L8" s="564" t="s">
        <v>41</v>
      </c>
      <c r="M8" s="565"/>
      <c r="N8" s="56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391</v>
      </c>
      <c r="G9" s="535"/>
      <c r="H9" s="171"/>
      <c r="I9" s="172"/>
      <c r="J9" s="172"/>
      <c r="K9" s="173"/>
      <c r="L9" s="564" t="s">
        <v>47</v>
      </c>
      <c r="M9" s="565"/>
      <c r="N9" s="56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3326.87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542" t="s">
        <v>48</v>
      </c>
      <c r="M10" s="579"/>
      <c r="N10" s="543"/>
      <c r="O10" s="149"/>
      <c r="P10" s="580">
        <f>E61</f>
        <v>8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650" t="s">
        <v>50</v>
      </c>
      <c r="K11" s="651"/>
      <c r="L11" s="651"/>
      <c r="M11" s="651"/>
      <c r="N11" s="652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653"/>
      <c r="K12" s="654"/>
      <c r="L12" s="654"/>
      <c r="M12" s="654"/>
      <c r="N12" s="655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656"/>
      <c r="K13" s="657"/>
      <c r="L13" s="657"/>
      <c r="M13" s="657"/>
      <c r="N13" s="658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601" t="s">
        <v>59</v>
      </c>
      <c r="K14" s="602"/>
      <c r="L14" s="605" t="s">
        <v>60</v>
      </c>
      <c r="M14" s="606"/>
      <c r="N14" s="60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603"/>
      <c r="K15" s="604"/>
      <c r="L15" s="608"/>
      <c r="M15" s="609"/>
      <c r="N15" s="61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631" t="s">
        <v>69</v>
      </c>
      <c r="K16" s="201" t="s">
        <v>72</v>
      </c>
      <c r="L16" s="202" t="s">
        <v>73</v>
      </c>
      <c r="M16" s="633" t="s">
        <v>74</v>
      </c>
      <c r="N16" s="633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3"/>
      <c r="C17" s="625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632"/>
      <c r="K17" s="614" t="s">
        <v>52</v>
      </c>
      <c r="L17" s="615"/>
      <c r="M17" s="634"/>
      <c r="N17" s="634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 s="358" t="s">
        <v>245</v>
      </c>
      <c r="C18" s="217" t="s">
        <v>143</v>
      </c>
      <c r="D18" s="360">
        <v>500</v>
      </c>
      <c r="E18" s="361">
        <v>1</v>
      </c>
      <c r="F18" s="220">
        <v>134.32</v>
      </c>
      <c r="G18" s="221">
        <f t="shared" ref="G18:G60" si="0">ROUND(IF($F$17="USD $", F18*$E$15,F18*$D$15),2)</f>
        <v>94.59</v>
      </c>
      <c r="H18" s="222">
        <f t="shared" ref="H18:H60" si="1">ROUND(IF($H$17=$G$17,E18*G18,E18*F18),2)</f>
        <v>134.32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51.04</v>
      </c>
      <c r="L18" s="221">
        <f t="shared" ref="L18:L60" si="4">ROUND((J18*K18),2)</f>
        <v>51.04</v>
      </c>
      <c r="M18" s="220" t="s">
        <v>84</v>
      </c>
      <c r="N18" s="225">
        <v>0.62</v>
      </c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51.04</v>
      </c>
      <c r="T18" s="229">
        <f t="shared" ref="T18:T60" si="7">ROUND(L18-R18,2)</f>
        <v>51.04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362" t="s">
        <v>246</v>
      </c>
      <c r="C19" s="236" t="s">
        <v>143</v>
      </c>
      <c r="D19" s="286">
        <v>1000</v>
      </c>
      <c r="E19" s="364">
        <v>1</v>
      </c>
      <c r="F19" s="239">
        <v>122.23</v>
      </c>
      <c r="G19" s="240">
        <f t="shared" si="0"/>
        <v>86.08</v>
      </c>
      <c r="H19" s="241">
        <f t="shared" si="1"/>
        <v>122.23</v>
      </c>
      <c r="I19" s="242"/>
      <c r="J19" s="243">
        <f t="shared" si="2"/>
        <v>1</v>
      </c>
      <c r="K19" s="240">
        <f t="shared" si="3"/>
        <v>46.45</v>
      </c>
      <c r="L19" s="240">
        <f t="shared" si="4"/>
        <v>46.45</v>
      </c>
      <c r="M19" s="244" t="s">
        <v>84</v>
      </c>
      <c r="N19" s="245">
        <v>0.62</v>
      </c>
      <c r="O19" s="226"/>
      <c r="P19" s="246"/>
      <c r="Q19" s="239"/>
      <c r="R19" s="247">
        <f t="shared" si="5"/>
        <v>0</v>
      </c>
      <c r="S19" s="248">
        <f t="shared" si="6"/>
        <v>46.45</v>
      </c>
      <c r="T19" s="248">
        <f t="shared" si="7"/>
        <v>46.45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358" t="s">
        <v>276</v>
      </c>
      <c r="C20" s="252" t="s">
        <v>249</v>
      </c>
      <c r="D20" s="358">
        <v>375</v>
      </c>
      <c r="E20" s="361">
        <v>1</v>
      </c>
      <c r="F20" s="220">
        <v>29.05</v>
      </c>
      <c r="G20" s="221">
        <f t="shared" si="0"/>
        <v>20.46</v>
      </c>
      <c r="H20" s="222">
        <f t="shared" si="1"/>
        <v>29.05</v>
      </c>
      <c r="I20" s="242"/>
      <c r="J20" s="224">
        <f t="shared" si="2"/>
        <v>1</v>
      </c>
      <c r="K20" s="221">
        <f t="shared" si="3"/>
        <v>11.04</v>
      </c>
      <c r="L20" s="221">
        <f t="shared" si="4"/>
        <v>11.04</v>
      </c>
      <c r="M20" s="220" t="s">
        <v>84</v>
      </c>
      <c r="N20" s="254">
        <v>0.62</v>
      </c>
      <c r="O20" s="226"/>
      <c r="P20" s="255"/>
      <c r="Q20" s="228"/>
      <c r="R20" s="229">
        <f t="shared" si="5"/>
        <v>0</v>
      </c>
      <c r="S20" s="229">
        <f t="shared" si="6"/>
        <v>11.04</v>
      </c>
      <c r="T20" s="229">
        <f t="shared" si="7"/>
        <v>11.04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358" t="s">
        <v>277</v>
      </c>
      <c r="C21" s="236" t="s">
        <v>278</v>
      </c>
      <c r="D21" s="287">
        <v>500</v>
      </c>
      <c r="E21" s="361">
        <v>1</v>
      </c>
      <c r="F21" s="239">
        <v>135.72</v>
      </c>
      <c r="G21" s="240">
        <f t="shared" si="0"/>
        <v>95.58</v>
      </c>
      <c r="H21" s="241">
        <f t="shared" si="1"/>
        <v>135.72</v>
      </c>
      <c r="I21" s="242"/>
      <c r="J21" s="243">
        <f t="shared" si="2"/>
        <v>1</v>
      </c>
      <c r="K21" s="240">
        <f t="shared" si="3"/>
        <v>51.57</v>
      </c>
      <c r="L21" s="240">
        <f t="shared" si="4"/>
        <v>51.57</v>
      </c>
      <c r="M21" s="244" t="s">
        <v>84</v>
      </c>
      <c r="N21" s="245">
        <v>0.62</v>
      </c>
      <c r="O21" s="226"/>
      <c r="P21" s="246"/>
      <c r="Q21" s="239"/>
      <c r="R21" s="247">
        <f t="shared" si="5"/>
        <v>0</v>
      </c>
      <c r="S21" s="248">
        <f t="shared" si="6"/>
        <v>51.57</v>
      </c>
      <c r="T21" s="248">
        <f t="shared" si="7"/>
        <v>51.57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358" t="s">
        <v>279</v>
      </c>
      <c r="C22" s="252" t="s">
        <v>253</v>
      </c>
      <c r="D22" s="287">
        <v>500</v>
      </c>
      <c r="E22" s="361">
        <v>1</v>
      </c>
      <c r="F22" s="220">
        <v>152.63999999999999</v>
      </c>
      <c r="G22" s="221">
        <f t="shared" si="0"/>
        <v>107.49</v>
      </c>
      <c r="H22" s="222">
        <f t="shared" si="1"/>
        <v>152.63999999999999</v>
      </c>
      <c r="I22" s="242"/>
      <c r="J22" s="224">
        <f t="shared" si="2"/>
        <v>1</v>
      </c>
      <c r="K22" s="221">
        <f t="shared" si="3"/>
        <v>58</v>
      </c>
      <c r="L22" s="221">
        <f t="shared" si="4"/>
        <v>58</v>
      </c>
      <c r="M22" s="220" t="s">
        <v>84</v>
      </c>
      <c r="N22" s="254">
        <v>0.62</v>
      </c>
      <c r="O22" s="226"/>
      <c r="P22" s="255"/>
      <c r="Q22" s="228"/>
      <c r="R22" s="229">
        <f t="shared" si="5"/>
        <v>0</v>
      </c>
      <c r="S22" s="229">
        <f t="shared" si="6"/>
        <v>58</v>
      </c>
      <c r="T22" s="229">
        <f t="shared" si="7"/>
        <v>58</v>
      </c>
      <c r="U22" s="230">
        <f t="shared" si="8"/>
        <v>0</v>
      </c>
      <c r="V22" s="230">
        <f t="shared" si="9"/>
        <v>1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362" t="s">
        <v>280</v>
      </c>
      <c r="C23" s="153" t="s">
        <v>185</v>
      </c>
      <c r="D23" s="286">
        <v>6000</v>
      </c>
      <c r="E23" s="364">
        <v>1</v>
      </c>
      <c r="F23" s="239">
        <v>3306.11</v>
      </c>
      <c r="G23" s="240">
        <f t="shared" si="0"/>
        <v>2328.25</v>
      </c>
      <c r="H23" s="241">
        <f t="shared" si="1"/>
        <v>3306.11</v>
      </c>
      <c r="I23" s="242"/>
      <c r="J23" s="243">
        <f t="shared" si="2"/>
        <v>1</v>
      </c>
      <c r="K23" s="240">
        <f t="shared" si="3"/>
        <v>1256.32</v>
      </c>
      <c r="L23" s="240">
        <f t="shared" si="4"/>
        <v>1256.32</v>
      </c>
      <c r="M23" s="244" t="s">
        <v>84</v>
      </c>
      <c r="N23" s="245">
        <v>0.62</v>
      </c>
      <c r="O23" s="226"/>
      <c r="P23" s="246"/>
      <c r="Q23" s="239"/>
      <c r="R23" s="247">
        <f t="shared" si="5"/>
        <v>0</v>
      </c>
      <c r="S23" s="248">
        <f t="shared" si="6"/>
        <v>1256.32</v>
      </c>
      <c r="T23" s="248">
        <f t="shared" si="7"/>
        <v>1256.32</v>
      </c>
      <c r="U23" s="249">
        <f t="shared" si="8"/>
        <v>0</v>
      </c>
      <c r="V23" s="249">
        <f t="shared" si="9"/>
        <v>1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358" t="s">
        <v>281</v>
      </c>
      <c r="C24" s="153" t="s">
        <v>282</v>
      </c>
      <c r="D24" s="287">
        <v>6000</v>
      </c>
      <c r="E24" s="361">
        <v>1</v>
      </c>
      <c r="F24" s="220">
        <v>3020.3</v>
      </c>
      <c r="G24" s="221">
        <f t="shared" si="0"/>
        <v>2126.9699999999998</v>
      </c>
      <c r="H24" s="222">
        <f t="shared" si="1"/>
        <v>3020.3</v>
      </c>
      <c r="I24" s="242"/>
      <c r="J24" s="224">
        <f t="shared" si="2"/>
        <v>1</v>
      </c>
      <c r="K24" s="221">
        <f t="shared" si="3"/>
        <v>1147.71</v>
      </c>
      <c r="L24" s="221">
        <f t="shared" si="4"/>
        <v>1147.71</v>
      </c>
      <c r="M24" s="220" t="s">
        <v>84</v>
      </c>
      <c r="N24" s="254">
        <v>0.62</v>
      </c>
      <c r="O24" s="226"/>
      <c r="P24" s="255"/>
      <c r="Q24" s="228"/>
      <c r="R24" s="229">
        <f t="shared" si="5"/>
        <v>0</v>
      </c>
      <c r="S24" s="229">
        <f t="shared" si="6"/>
        <v>1147.71</v>
      </c>
      <c r="T24" s="229">
        <f t="shared" si="7"/>
        <v>1147.71</v>
      </c>
      <c r="U24" s="230">
        <f t="shared" si="8"/>
        <v>0</v>
      </c>
      <c r="V24" s="230">
        <f t="shared" si="9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 s="362" t="s">
        <v>283</v>
      </c>
      <c r="C25" s="257" t="s">
        <v>284</v>
      </c>
      <c r="D25" s="286">
        <v>6000</v>
      </c>
      <c r="E25" s="364">
        <v>1</v>
      </c>
      <c r="F25" s="239">
        <v>704.74</v>
      </c>
      <c r="G25" s="240">
        <f t="shared" si="0"/>
        <v>496.3</v>
      </c>
      <c r="H25" s="241">
        <f t="shared" si="1"/>
        <v>704.74</v>
      </c>
      <c r="I25" s="242"/>
      <c r="J25" s="243">
        <f t="shared" si="2"/>
        <v>1</v>
      </c>
      <c r="K25" s="240">
        <f t="shared" si="3"/>
        <v>704.74</v>
      </c>
      <c r="L25" s="240">
        <f t="shared" si="4"/>
        <v>704.74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704.74</v>
      </c>
      <c r="T25" s="248">
        <f t="shared" si="7"/>
        <v>704.74</v>
      </c>
      <c r="U25" s="249">
        <f t="shared" si="8"/>
        <v>0</v>
      </c>
      <c r="V25" s="249">
        <f t="shared" si="9"/>
        <v>1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 s="358"/>
      <c r="C26" s="153"/>
      <c r="D26" s="287"/>
      <c r="E26" s="361"/>
      <c r="F26" s="220"/>
      <c r="G26" s="221">
        <f t="shared" si="0"/>
        <v>0</v>
      </c>
      <c r="H26" s="222">
        <f t="shared" si="1"/>
        <v>0</v>
      </c>
      <c r="I26" s="242"/>
      <c r="J26" s="224">
        <f t="shared" si="2"/>
        <v>0</v>
      </c>
      <c r="K26" s="221">
        <f t="shared" si="3"/>
        <v>0</v>
      </c>
      <c r="L26" s="221">
        <f t="shared" si="4"/>
        <v>0</v>
      </c>
      <c r="M26" s="220" t="s">
        <v>84</v>
      </c>
      <c r="N26" s="254">
        <v>0.5</v>
      </c>
      <c r="O26" s="226"/>
      <c r="P26" s="255"/>
      <c r="Q26" s="228"/>
      <c r="R26" s="229">
        <f t="shared" si="5"/>
        <v>0</v>
      </c>
      <c r="S26" s="229">
        <f t="shared" si="6"/>
        <v>0</v>
      </c>
      <c r="T26" s="229">
        <f t="shared" si="7"/>
        <v>0</v>
      </c>
      <c r="U26" s="230">
        <f t="shared" si="8"/>
        <v>0</v>
      </c>
      <c r="V26" s="230">
        <f t="shared" si="9"/>
        <v>0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362"/>
      <c r="C27" s="363"/>
      <c r="D27" s="286"/>
      <c r="E27" s="364"/>
      <c r="F27" s="239"/>
      <c r="G27" s="240">
        <f t="shared" si="0"/>
        <v>0</v>
      </c>
      <c r="H27" s="241">
        <f t="shared" si="1"/>
        <v>0</v>
      </c>
      <c r="I27" s="242"/>
      <c r="J27" s="243">
        <f t="shared" si="2"/>
        <v>0</v>
      </c>
      <c r="K27" s="240">
        <f t="shared" si="3"/>
        <v>0</v>
      </c>
      <c r="L27" s="240">
        <f t="shared" si="4"/>
        <v>0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0</v>
      </c>
      <c r="T27" s="248">
        <f t="shared" si="7"/>
        <v>0</v>
      </c>
      <c r="U27" s="249">
        <f t="shared" si="8"/>
        <v>0</v>
      </c>
      <c r="V27" s="249">
        <f t="shared" si="9"/>
        <v>0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358"/>
      <c r="C28" s="365"/>
      <c r="D28" s="287"/>
      <c r="E28" s="361"/>
      <c r="F28" s="220"/>
      <c r="G28" s="221">
        <f t="shared" si="0"/>
        <v>0</v>
      </c>
      <c r="H28" s="222">
        <f t="shared" si="1"/>
        <v>0</v>
      </c>
      <c r="I28" s="242"/>
      <c r="J28" s="224">
        <f t="shared" si="2"/>
        <v>0</v>
      </c>
      <c r="K28" s="221">
        <f t="shared" si="3"/>
        <v>0</v>
      </c>
      <c r="L28" s="221">
        <f t="shared" si="4"/>
        <v>0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0</v>
      </c>
      <c r="T28" s="229">
        <f t="shared" si="7"/>
        <v>0</v>
      </c>
      <c r="U28" s="230">
        <f t="shared" si="8"/>
        <v>0</v>
      </c>
      <c r="V28" s="230">
        <f t="shared" si="9"/>
        <v>0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362"/>
      <c r="C29" s="363"/>
      <c r="D29" s="286"/>
      <c r="E29" s="364"/>
      <c r="F29" s="239"/>
      <c r="G29" s="240">
        <f t="shared" si="0"/>
        <v>0</v>
      </c>
      <c r="H29" s="241">
        <f t="shared" si="1"/>
        <v>0</v>
      </c>
      <c r="I29" s="242"/>
      <c r="J29" s="243">
        <f t="shared" si="2"/>
        <v>0</v>
      </c>
      <c r="K29" s="240">
        <f t="shared" si="3"/>
        <v>0</v>
      </c>
      <c r="L29" s="240">
        <f t="shared" si="4"/>
        <v>0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0</v>
      </c>
      <c r="T29" s="248">
        <f t="shared" si="7"/>
        <v>0</v>
      </c>
      <c r="U29" s="249">
        <f t="shared" si="8"/>
        <v>0</v>
      </c>
      <c r="V29" s="249">
        <f t="shared" si="9"/>
        <v>0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358"/>
      <c r="C30" s="365"/>
      <c r="D30" s="287"/>
      <c r="E30" s="361"/>
      <c r="F30" s="220"/>
      <c r="G30" s="221">
        <f t="shared" si="0"/>
        <v>0</v>
      </c>
      <c r="H30" s="222">
        <f t="shared" si="1"/>
        <v>0</v>
      </c>
      <c r="I30" s="242"/>
      <c r="J30" s="224">
        <f t="shared" si="2"/>
        <v>0</v>
      </c>
      <c r="K30" s="221">
        <f t="shared" si="3"/>
        <v>0</v>
      </c>
      <c r="L30" s="221">
        <f t="shared" si="4"/>
        <v>0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0</v>
      </c>
      <c r="T30" s="229">
        <f t="shared" si="7"/>
        <v>0</v>
      </c>
      <c r="U30" s="230">
        <f t="shared" si="8"/>
        <v>0</v>
      </c>
      <c r="V30" s="230">
        <f t="shared" si="9"/>
        <v>0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362"/>
      <c r="C31" s="363"/>
      <c r="D31" s="286"/>
      <c r="E31" s="364"/>
      <c r="F31" s="239"/>
      <c r="G31" s="240">
        <f t="shared" si="0"/>
        <v>0</v>
      </c>
      <c r="H31" s="241">
        <f t="shared" si="1"/>
        <v>0</v>
      </c>
      <c r="I31" s="242"/>
      <c r="J31" s="243">
        <f t="shared" si="2"/>
        <v>0</v>
      </c>
      <c r="K31" s="240">
        <f t="shared" si="3"/>
        <v>0</v>
      </c>
      <c r="L31" s="240">
        <f t="shared" si="4"/>
        <v>0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0</v>
      </c>
      <c r="T31" s="248">
        <f t="shared" si="7"/>
        <v>0</v>
      </c>
      <c r="U31" s="249">
        <f t="shared" si="8"/>
        <v>0</v>
      </c>
      <c r="V31" s="249">
        <f t="shared" si="9"/>
        <v>0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358"/>
      <c r="C32" s="365"/>
      <c r="D32" s="287"/>
      <c r="E32" s="361"/>
      <c r="F32" s="220"/>
      <c r="G32" s="221">
        <f t="shared" si="0"/>
        <v>0</v>
      </c>
      <c r="H32" s="222">
        <f t="shared" si="1"/>
        <v>0</v>
      </c>
      <c r="I32" s="242"/>
      <c r="J32" s="224">
        <f t="shared" si="2"/>
        <v>0</v>
      </c>
      <c r="K32" s="221">
        <f t="shared" si="3"/>
        <v>0</v>
      </c>
      <c r="L32" s="221">
        <f t="shared" si="4"/>
        <v>0</v>
      </c>
      <c r="M32" s="220" t="s">
        <v>84</v>
      </c>
      <c r="N32" s="254">
        <v>0.5</v>
      </c>
      <c r="O32" s="226"/>
      <c r="P32" s="255"/>
      <c r="Q32" s="228"/>
      <c r="R32" s="229">
        <f t="shared" si="5"/>
        <v>0</v>
      </c>
      <c r="S32" s="229">
        <f t="shared" si="6"/>
        <v>0</v>
      </c>
      <c r="T32" s="229">
        <f t="shared" si="7"/>
        <v>0</v>
      </c>
      <c r="U32" s="230">
        <f t="shared" si="8"/>
        <v>0</v>
      </c>
      <c r="V32" s="230">
        <f t="shared" si="9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362"/>
      <c r="C33" s="363"/>
      <c r="D33" s="286"/>
      <c r="E33" s="364"/>
      <c r="F33" s="239"/>
      <c r="G33" s="240">
        <f t="shared" si="0"/>
        <v>0</v>
      </c>
      <c r="H33" s="241">
        <f t="shared" si="1"/>
        <v>0</v>
      </c>
      <c r="I33" s="242"/>
      <c r="J33" s="243">
        <f t="shared" si="2"/>
        <v>0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358"/>
      <c r="C34" s="365"/>
      <c r="D34" s="287"/>
      <c r="E34" s="361"/>
      <c r="F34" s="220"/>
      <c r="G34" s="221">
        <f t="shared" si="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>
        <v>0.5</v>
      </c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362"/>
      <c r="C35" s="363"/>
      <c r="D35" s="286"/>
      <c r="E35" s="364"/>
      <c r="F35" s="239"/>
      <c r="G35" s="240">
        <f t="shared" si="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>
        <v>0.5</v>
      </c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358"/>
      <c r="C36" s="365"/>
      <c r="D36" s="287"/>
      <c r="E36" s="361"/>
      <c r="F36" s="220"/>
      <c r="G36" s="221">
        <f t="shared" si="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362"/>
      <c r="C37" s="363"/>
      <c r="D37" s="286"/>
      <c r="E37" s="364"/>
      <c r="F37" s="239"/>
      <c r="G37" s="240">
        <f t="shared" si="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358"/>
      <c r="C38" s="365"/>
      <c r="D38" s="287"/>
      <c r="E38" s="361"/>
      <c r="F38" s="220"/>
      <c r="G38" s="221">
        <f t="shared" si="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362"/>
      <c r="C39" s="363"/>
      <c r="D39" s="286"/>
      <c r="E39" s="364"/>
      <c r="F39" s="239"/>
      <c r="G39" s="240">
        <f t="shared" si="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358"/>
      <c r="C40" s="365"/>
      <c r="D40" s="287"/>
      <c r="E40" s="361"/>
      <c r="F40" s="220"/>
      <c r="G40" s="221">
        <f t="shared" si="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362"/>
      <c r="C41" s="363"/>
      <c r="D41" s="286"/>
      <c r="E41" s="364"/>
      <c r="F41" s="239"/>
      <c r="G41" s="240">
        <f t="shared" si="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358"/>
      <c r="C42" s="365"/>
      <c r="D42" s="287"/>
      <c r="E42" s="361"/>
      <c r="F42" s="220"/>
      <c r="G42" s="221">
        <f t="shared" si="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362"/>
      <c r="C43" s="363"/>
      <c r="D43" s="286"/>
      <c r="E43" s="364"/>
      <c r="F43" s="239"/>
      <c r="G43" s="240">
        <f t="shared" si="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358"/>
      <c r="C44" s="365"/>
      <c r="D44" s="287"/>
      <c r="E44" s="361"/>
      <c r="F44" s="220"/>
      <c r="G44" s="221">
        <f t="shared" si="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362"/>
      <c r="C45" s="363"/>
      <c r="D45" s="286"/>
      <c r="E45" s="364"/>
      <c r="F45" s="239"/>
      <c r="G45" s="240">
        <f t="shared" si="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358"/>
      <c r="C46" s="365"/>
      <c r="D46" s="287"/>
      <c r="E46" s="361"/>
      <c r="F46" s="220"/>
      <c r="G46" s="221">
        <f t="shared" si="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362"/>
      <c r="C47" s="363"/>
      <c r="D47" s="286"/>
      <c r="E47" s="364"/>
      <c r="F47" s="239"/>
      <c r="G47" s="240">
        <f t="shared" si="0"/>
        <v>0</v>
      </c>
      <c r="H47" s="241">
        <f t="shared" si="1"/>
        <v>0</v>
      </c>
      <c r="I47" s="242"/>
      <c r="J47" s="243">
        <f t="shared" si="2"/>
        <v>0</v>
      </c>
      <c r="K47" s="240">
        <f t="shared" si="3"/>
        <v>0</v>
      </c>
      <c r="L47" s="240">
        <f t="shared" si="4"/>
        <v>0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0</v>
      </c>
      <c r="T47" s="248">
        <f t="shared" si="7"/>
        <v>0</v>
      </c>
      <c r="U47" s="249">
        <f t="shared" si="8"/>
        <v>0</v>
      </c>
      <c r="V47" s="249">
        <f t="shared" si="9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358"/>
      <c r="C48" s="365"/>
      <c r="D48" s="287"/>
      <c r="E48" s="361"/>
      <c r="F48" s="220"/>
      <c r="G48" s="221">
        <f t="shared" si="0"/>
        <v>0</v>
      </c>
      <c r="H48" s="222">
        <f t="shared" si="1"/>
        <v>0</v>
      </c>
      <c r="I48" s="242"/>
      <c r="J48" s="224">
        <f t="shared" si="2"/>
        <v>0</v>
      </c>
      <c r="K48" s="221">
        <f t="shared" si="3"/>
        <v>0</v>
      </c>
      <c r="L48" s="221">
        <f t="shared" si="4"/>
        <v>0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0</v>
      </c>
      <c r="T48" s="229">
        <f t="shared" si="7"/>
        <v>0</v>
      </c>
      <c r="U48" s="230">
        <f t="shared" si="8"/>
        <v>0</v>
      </c>
      <c r="V48" s="230">
        <f t="shared" si="9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362"/>
      <c r="C49" s="363"/>
      <c r="D49" s="286"/>
      <c r="E49" s="364"/>
      <c r="F49" s="239"/>
      <c r="G49" s="240">
        <f t="shared" si="0"/>
        <v>0</v>
      </c>
      <c r="H49" s="241">
        <f t="shared" si="1"/>
        <v>0</v>
      </c>
      <c r="I49" s="242"/>
      <c r="J49" s="243">
        <f t="shared" si="2"/>
        <v>0</v>
      </c>
      <c r="K49" s="240">
        <f t="shared" si="3"/>
        <v>0</v>
      </c>
      <c r="L49" s="240">
        <f t="shared" si="4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0</v>
      </c>
      <c r="T49" s="248">
        <f t="shared" si="7"/>
        <v>0</v>
      </c>
      <c r="U49" s="249">
        <f t="shared" si="8"/>
        <v>0</v>
      </c>
      <c r="V49" s="249">
        <f t="shared" si="9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358"/>
      <c r="C50" s="365"/>
      <c r="D50" s="287"/>
      <c r="E50" s="361"/>
      <c r="F50" s="220"/>
      <c r="G50" s="221">
        <f t="shared" si="0"/>
        <v>0</v>
      </c>
      <c r="H50" s="222">
        <f t="shared" si="1"/>
        <v>0</v>
      </c>
      <c r="I50" s="242"/>
      <c r="J50" s="224">
        <f t="shared" si="2"/>
        <v>0</v>
      </c>
      <c r="K50" s="221">
        <f t="shared" si="3"/>
        <v>0</v>
      </c>
      <c r="L50" s="221">
        <f t="shared" si="4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0</v>
      </c>
      <c r="T50" s="229">
        <f t="shared" si="7"/>
        <v>0</v>
      </c>
      <c r="U50" s="230">
        <f t="shared" si="8"/>
        <v>0</v>
      </c>
      <c r="V50" s="230">
        <f t="shared" si="9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362"/>
      <c r="C51" s="363"/>
      <c r="D51" s="286"/>
      <c r="E51" s="364"/>
      <c r="F51" s="239"/>
      <c r="G51" s="240">
        <f t="shared" si="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8</v>
      </c>
      <c r="F61" s="265">
        <f>SUM(F18:F60)</f>
        <v>7605.1100000000006</v>
      </c>
      <c r="G61" s="266">
        <f>SUM(G18:G60)</f>
        <v>5355.72</v>
      </c>
      <c r="H61" s="267">
        <f>SUM(H18:H60)</f>
        <v>7605.1100000000006</v>
      </c>
      <c r="I61" s="268"/>
      <c r="J61" s="269">
        <f>SUM(J18:J60)</f>
        <v>8</v>
      </c>
      <c r="K61" s="266">
        <f>SUM(K18:K60)</f>
        <v>3326.87</v>
      </c>
      <c r="L61" s="267">
        <f>SUM(L18:L60)</f>
        <v>3326.87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3326.87</v>
      </c>
      <c r="T61" s="267">
        <f>SUM(T18:T60)</f>
        <v>3326.87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131" priority="3" stopIfTrue="1">
      <formula>$U$9&gt;100%</formula>
    </cfRule>
    <cfRule type="expression" dxfId="130" priority="4">
      <formula>$U$9&lt;50%</formula>
    </cfRule>
  </conditionalFormatting>
  <conditionalFormatting sqref="V9:V10">
    <cfRule type="expression" dxfId="129" priority="1">
      <formula>$V$9&lt;50%</formula>
    </cfRule>
    <cfRule type="expression" dxfId="128" priority="2">
      <formula>$V$9&gt;50%</formula>
    </cfRule>
  </conditionalFormatting>
  <dataValidations count="5">
    <dataValidation type="list" allowBlank="1" showInputMessage="1" showErrorMessage="1" sqref="M18:M60" xr:uid="{649C52E1-3B77-4F30-839E-6AFD10693917}">
      <formula1>$Y$31:$Y$32</formula1>
    </dataValidation>
    <dataValidation type="list" showInputMessage="1" showErrorMessage="1" sqref="D52:D60" xr:uid="{F34C8C36-FCC4-4CD4-80FE-ABC1D874C891}">
      <formula1>$Z$18:$Z$29</formula1>
    </dataValidation>
    <dataValidation type="list" allowBlank="1" showInputMessage="1" showErrorMessage="1" sqref="I13" xr:uid="{21FD8610-43D8-405A-A7F5-F5C38BF57BB2}">
      <formula1>$K$9:$K$9</formula1>
    </dataValidation>
    <dataValidation type="list" allowBlank="1" showInputMessage="1" showErrorMessage="1" sqref="H13" xr:uid="{DFF0AD35-89BF-4000-AD61-89C721D6E91D}">
      <formula1>$Y$13:$Y$14</formula1>
    </dataValidation>
    <dataValidation type="list" allowBlank="1" showInputMessage="1" showErrorMessage="1" sqref="F17 K17 Q17 Q14" xr:uid="{749B00EF-A19C-41D0-BB8F-1863FA4932E4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240D8-E888-4D02-B903-310799C86E04}">
  <sheetPr>
    <pageSetUpPr fitToPage="1"/>
  </sheetPr>
  <dimension ref="A1:AB63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523" t="s">
        <v>2</v>
      </c>
      <c r="I1" s="524"/>
      <c r="J1" s="524"/>
      <c r="K1" s="525"/>
      <c r="L1" s="528" t="s">
        <v>3</v>
      </c>
      <c r="M1" s="529"/>
      <c r="N1" s="529"/>
      <c r="O1" s="529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77">
        <v>5872</v>
      </c>
      <c r="G2" s="549"/>
      <c r="H2" s="546" t="s">
        <v>7</v>
      </c>
      <c r="I2" s="550"/>
      <c r="J2" s="547"/>
      <c r="K2" s="148"/>
      <c r="L2" s="551" t="s">
        <v>8</v>
      </c>
      <c r="M2" s="552"/>
      <c r="N2" s="553"/>
      <c r="O2" s="149"/>
      <c r="P2" s="554">
        <f>H61</f>
        <v>7576.1200000000008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532" t="s">
        <v>13</v>
      </c>
      <c r="I3" s="536"/>
      <c r="J3" s="533"/>
      <c r="K3" s="154"/>
      <c r="L3" s="537" t="s">
        <v>14</v>
      </c>
      <c r="M3" s="538"/>
      <c r="N3" s="539"/>
      <c r="O3" s="149"/>
      <c r="P3" s="540">
        <f>L61</f>
        <v>3297.88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676" t="s">
        <v>243</v>
      </c>
      <c r="G4" s="673"/>
      <c r="H4" s="532" t="s">
        <v>19</v>
      </c>
      <c r="I4" s="536"/>
      <c r="J4" s="533"/>
      <c r="K4" s="154"/>
      <c r="L4" s="537" t="s">
        <v>20</v>
      </c>
      <c r="M4" s="538"/>
      <c r="N4" s="539"/>
      <c r="O4" s="149"/>
      <c r="P4" s="540">
        <f>P2-P3</f>
        <v>4278.2400000000007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667" t="s">
        <v>285</v>
      </c>
      <c r="G5" s="673"/>
      <c r="H5" s="532" t="s">
        <v>25</v>
      </c>
      <c r="I5" s="536"/>
      <c r="J5" s="533"/>
      <c r="K5" s="154"/>
      <c r="L5" s="558" t="s">
        <v>26</v>
      </c>
      <c r="M5" s="559"/>
      <c r="N5" s="560"/>
      <c r="O5" s="149"/>
      <c r="P5" s="561">
        <f>IFERROR((P2-P3)/P2,"")</f>
        <v>0.56470066472019986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72" t="s">
        <v>286</v>
      </c>
      <c r="G6" s="673"/>
      <c r="H6" s="532" t="s">
        <v>31</v>
      </c>
      <c r="I6" s="536"/>
      <c r="J6" s="533"/>
      <c r="K6" s="154"/>
      <c r="L6" s="574" t="s">
        <v>32</v>
      </c>
      <c r="M6" s="575"/>
      <c r="N6" s="576"/>
      <c r="O6" s="149"/>
      <c r="P6" s="577">
        <f>T61</f>
        <v>3297.88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671"/>
      <c r="G7" s="535"/>
      <c r="H7" s="532" t="s">
        <v>36</v>
      </c>
      <c r="I7" s="536"/>
      <c r="J7" s="533"/>
      <c r="K7" s="154"/>
      <c r="L7" s="564" t="s">
        <v>37</v>
      </c>
      <c r="M7" s="565"/>
      <c r="N7" s="56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532" t="s">
        <v>40</v>
      </c>
      <c r="I8" s="536"/>
      <c r="J8" s="533"/>
      <c r="K8" s="154"/>
      <c r="L8" s="564" t="s">
        <v>41</v>
      </c>
      <c r="M8" s="565"/>
      <c r="N8" s="56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390</v>
      </c>
      <c r="G9" s="535"/>
      <c r="H9" s="171"/>
      <c r="I9" s="172"/>
      <c r="J9" s="172"/>
      <c r="K9" s="173"/>
      <c r="L9" s="564" t="s">
        <v>47</v>
      </c>
      <c r="M9" s="565"/>
      <c r="N9" s="56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3297.88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542" t="s">
        <v>48</v>
      </c>
      <c r="M10" s="579"/>
      <c r="N10" s="543"/>
      <c r="O10" s="149"/>
      <c r="P10" s="580">
        <f>E61</f>
        <v>8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650" t="s">
        <v>50</v>
      </c>
      <c r="K11" s="651"/>
      <c r="L11" s="651"/>
      <c r="M11" s="651"/>
      <c r="N11" s="652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653"/>
      <c r="K12" s="654"/>
      <c r="L12" s="654"/>
      <c r="M12" s="654"/>
      <c r="N12" s="655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656"/>
      <c r="K13" s="657"/>
      <c r="L13" s="657"/>
      <c r="M13" s="657"/>
      <c r="N13" s="658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601" t="s">
        <v>59</v>
      </c>
      <c r="K14" s="602"/>
      <c r="L14" s="605" t="s">
        <v>60</v>
      </c>
      <c r="M14" s="606"/>
      <c r="N14" s="60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603"/>
      <c r="K15" s="604"/>
      <c r="L15" s="608"/>
      <c r="M15" s="609"/>
      <c r="N15" s="61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631" t="s">
        <v>69</v>
      </c>
      <c r="K16" s="201" t="s">
        <v>72</v>
      </c>
      <c r="L16" s="202" t="s">
        <v>73</v>
      </c>
      <c r="M16" s="633" t="s">
        <v>74</v>
      </c>
      <c r="N16" s="633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3"/>
      <c r="C17" s="625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632"/>
      <c r="K17" s="614" t="s">
        <v>52</v>
      </c>
      <c r="L17" s="615"/>
      <c r="M17" s="634"/>
      <c r="N17" s="634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 s="358" t="s">
        <v>245</v>
      </c>
      <c r="C18" s="217" t="s">
        <v>143</v>
      </c>
      <c r="D18" s="360">
        <v>500</v>
      </c>
      <c r="E18" s="361">
        <v>1</v>
      </c>
      <c r="F18" s="220">
        <v>134.32</v>
      </c>
      <c r="G18" s="221">
        <f t="shared" ref="G18:G60" si="0">ROUND(IF($F$17="USD $", F18*$E$15,F18*$D$15),2)</f>
        <v>94.59</v>
      </c>
      <c r="H18" s="222">
        <f t="shared" ref="H18:H60" si="1">ROUND(IF($H$17=$G$17,E18*G18,E18*F18),2)</f>
        <v>134.32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51.04</v>
      </c>
      <c r="L18" s="221">
        <f t="shared" ref="L18:L60" si="4">ROUND((J18*K18),2)</f>
        <v>51.04</v>
      </c>
      <c r="M18" s="220" t="s">
        <v>84</v>
      </c>
      <c r="N18" s="225">
        <v>0.62</v>
      </c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51.04</v>
      </c>
      <c r="T18" s="229">
        <f t="shared" ref="T18:T60" si="7">ROUND(L18-R18,2)</f>
        <v>51.04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362" t="s">
        <v>246</v>
      </c>
      <c r="C19" s="236" t="s">
        <v>143</v>
      </c>
      <c r="D19" s="286">
        <v>1000</v>
      </c>
      <c r="E19" s="364">
        <v>1</v>
      </c>
      <c r="F19" s="239">
        <v>122.23</v>
      </c>
      <c r="G19" s="240">
        <f t="shared" si="0"/>
        <v>86.08</v>
      </c>
      <c r="H19" s="241">
        <f t="shared" si="1"/>
        <v>122.23</v>
      </c>
      <c r="I19" s="242"/>
      <c r="J19" s="243">
        <f t="shared" si="2"/>
        <v>1</v>
      </c>
      <c r="K19" s="240">
        <f t="shared" si="3"/>
        <v>46.45</v>
      </c>
      <c r="L19" s="240">
        <f t="shared" si="4"/>
        <v>46.45</v>
      </c>
      <c r="M19" s="244" t="s">
        <v>84</v>
      </c>
      <c r="N19" s="245">
        <v>0.62</v>
      </c>
      <c r="O19" s="226"/>
      <c r="P19" s="246"/>
      <c r="Q19" s="239"/>
      <c r="R19" s="247">
        <f t="shared" si="5"/>
        <v>0</v>
      </c>
      <c r="S19" s="248">
        <f t="shared" si="6"/>
        <v>46.45</v>
      </c>
      <c r="T19" s="248">
        <f t="shared" si="7"/>
        <v>46.45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358" t="s">
        <v>276</v>
      </c>
      <c r="C20" s="252" t="s">
        <v>249</v>
      </c>
      <c r="D20" s="358">
        <v>375</v>
      </c>
      <c r="E20" s="364">
        <v>1</v>
      </c>
      <c r="F20" s="220">
        <v>29.05</v>
      </c>
      <c r="G20" s="221">
        <f t="shared" si="0"/>
        <v>20.46</v>
      </c>
      <c r="H20" s="222">
        <f t="shared" si="1"/>
        <v>29.05</v>
      </c>
      <c r="I20" s="242"/>
      <c r="J20" s="224">
        <f t="shared" si="2"/>
        <v>1</v>
      </c>
      <c r="K20" s="221">
        <f t="shared" si="3"/>
        <v>11.04</v>
      </c>
      <c r="L20" s="221">
        <f t="shared" si="4"/>
        <v>11.04</v>
      </c>
      <c r="M20" s="220" t="s">
        <v>84</v>
      </c>
      <c r="N20" s="254">
        <v>0.62</v>
      </c>
      <c r="O20" s="226"/>
      <c r="P20" s="255"/>
      <c r="Q20" s="228"/>
      <c r="R20" s="229">
        <f t="shared" si="5"/>
        <v>0</v>
      </c>
      <c r="S20" s="229">
        <f t="shared" si="6"/>
        <v>11.04</v>
      </c>
      <c r="T20" s="229">
        <f t="shared" si="7"/>
        <v>11.04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358" t="s">
        <v>277</v>
      </c>
      <c r="C21" s="236" t="s">
        <v>251</v>
      </c>
      <c r="D21" s="287">
        <v>500</v>
      </c>
      <c r="E21" s="364">
        <v>1</v>
      </c>
      <c r="F21" s="239">
        <v>135.72</v>
      </c>
      <c r="G21" s="240">
        <f t="shared" si="0"/>
        <v>95.58</v>
      </c>
      <c r="H21" s="241">
        <f t="shared" si="1"/>
        <v>135.72</v>
      </c>
      <c r="I21" s="242"/>
      <c r="J21" s="243">
        <f t="shared" si="2"/>
        <v>1</v>
      </c>
      <c r="K21" s="240">
        <f t="shared" si="3"/>
        <v>51.57</v>
      </c>
      <c r="L21" s="240">
        <f t="shared" si="4"/>
        <v>51.57</v>
      </c>
      <c r="M21" s="244" t="s">
        <v>84</v>
      </c>
      <c r="N21" s="245">
        <v>0.62</v>
      </c>
      <c r="O21" s="226"/>
      <c r="P21" s="246"/>
      <c r="Q21" s="239"/>
      <c r="R21" s="247">
        <f t="shared" si="5"/>
        <v>0</v>
      </c>
      <c r="S21" s="248">
        <f t="shared" si="6"/>
        <v>51.57</v>
      </c>
      <c r="T21" s="248">
        <f t="shared" si="7"/>
        <v>51.57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358" t="s">
        <v>279</v>
      </c>
      <c r="C22" s="252" t="s">
        <v>253</v>
      </c>
      <c r="D22" s="287">
        <v>500</v>
      </c>
      <c r="E22" s="364">
        <v>1</v>
      </c>
      <c r="F22" s="220">
        <v>152.63999999999999</v>
      </c>
      <c r="G22" s="221">
        <f t="shared" si="0"/>
        <v>107.49</v>
      </c>
      <c r="H22" s="222">
        <f t="shared" si="1"/>
        <v>152.63999999999999</v>
      </c>
      <c r="I22" s="242"/>
      <c r="J22" s="224">
        <f t="shared" si="2"/>
        <v>1</v>
      </c>
      <c r="K22" s="221">
        <f t="shared" si="3"/>
        <v>58</v>
      </c>
      <c r="L22" s="221">
        <f t="shared" si="4"/>
        <v>58</v>
      </c>
      <c r="M22" s="220" t="s">
        <v>84</v>
      </c>
      <c r="N22" s="254">
        <v>0.62</v>
      </c>
      <c r="O22" s="226"/>
      <c r="P22" s="255"/>
      <c r="Q22" s="228"/>
      <c r="R22" s="229">
        <f t="shared" si="5"/>
        <v>0</v>
      </c>
      <c r="S22" s="229">
        <f t="shared" si="6"/>
        <v>58</v>
      </c>
      <c r="T22" s="229">
        <f t="shared" si="7"/>
        <v>58</v>
      </c>
      <c r="U22" s="230">
        <f t="shared" si="8"/>
        <v>0</v>
      </c>
      <c r="V22" s="230">
        <f t="shared" si="9"/>
        <v>1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362" t="s">
        <v>281</v>
      </c>
      <c r="C23" s="153" t="s">
        <v>282</v>
      </c>
      <c r="D23" s="286">
        <v>6000</v>
      </c>
      <c r="E23" s="364">
        <v>1</v>
      </c>
      <c r="F23" s="239">
        <v>3020.3</v>
      </c>
      <c r="G23" s="240">
        <f t="shared" si="0"/>
        <v>2126.9699999999998</v>
      </c>
      <c r="H23" s="241">
        <f t="shared" si="1"/>
        <v>3020.3</v>
      </c>
      <c r="I23" s="242"/>
      <c r="J23" s="243">
        <f t="shared" si="2"/>
        <v>1</v>
      </c>
      <c r="K23" s="240">
        <f t="shared" si="3"/>
        <v>1147.71</v>
      </c>
      <c r="L23" s="240">
        <f t="shared" si="4"/>
        <v>1147.71</v>
      </c>
      <c r="M23" s="244" t="s">
        <v>84</v>
      </c>
      <c r="N23" s="245">
        <v>0.62</v>
      </c>
      <c r="O23" s="226"/>
      <c r="P23" s="246"/>
      <c r="Q23" s="239"/>
      <c r="R23" s="247">
        <f t="shared" si="5"/>
        <v>0</v>
      </c>
      <c r="S23" s="248">
        <f t="shared" si="6"/>
        <v>1147.71</v>
      </c>
      <c r="T23" s="248">
        <f t="shared" si="7"/>
        <v>1147.71</v>
      </c>
      <c r="U23" s="249">
        <f t="shared" si="8"/>
        <v>0</v>
      </c>
      <c r="V23" s="249">
        <f t="shared" si="9"/>
        <v>1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358" t="s">
        <v>280</v>
      </c>
      <c r="C24" s="153" t="s">
        <v>185</v>
      </c>
      <c r="D24" s="287">
        <v>6000</v>
      </c>
      <c r="E24" s="364">
        <v>1</v>
      </c>
      <c r="F24" s="220">
        <v>3306.11</v>
      </c>
      <c r="G24" s="221">
        <f t="shared" si="0"/>
        <v>2328.25</v>
      </c>
      <c r="H24" s="222">
        <f t="shared" si="1"/>
        <v>3306.11</v>
      </c>
      <c r="I24" s="242"/>
      <c r="J24" s="224">
        <f t="shared" si="2"/>
        <v>1</v>
      </c>
      <c r="K24" s="221">
        <f t="shared" si="3"/>
        <v>1256.32</v>
      </c>
      <c r="L24" s="221">
        <f t="shared" si="4"/>
        <v>1256.32</v>
      </c>
      <c r="M24" s="220" t="s">
        <v>84</v>
      </c>
      <c r="N24" s="254">
        <v>0.62</v>
      </c>
      <c r="O24" s="226"/>
      <c r="P24" s="255"/>
      <c r="Q24" s="228"/>
      <c r="R24" s="229">
        <f t="shared" si="5"/>
        <v>0</v>
      </c>
      <c r="S24" s="229">
        <f t="shared" si="6"/>
        <v>1256.32</v>
      </c>
      <c r="T24" s="229">
        <f t="shared" si="7"/>
        <v>1256.32</v>
      </c>
      <c r="U24" s="230">
        <f t="shared" si="8"/>
        <v>0</v>
      </c>
      <c r="V24" s="230">
        <f t="shared" si="9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 s="362" t="s">
        <v>287</v>
      </c>
      <c r="C25" s="257" t="s">
        <v>284</v>
      </c>
      <c r="D25" s="286">
        <v>6000</v>
      </c>
      <c r="E25" s="364">
        <v>1</v>
      </c>
      <c r="F25" s="239">
        <v>675.75</v>
      </c>
      <c r="G25" s="240">
        <f t="shared" si="0"/>
        <v>475.88</v>
      </c>
      <c r="H25" s="241">
        <f t="shared" si="1"/>
        <v>675.75</v>
      </c>
      <c r="I25" s="242"/>
      <c r="J25" s="243">
        <f t="shared" si="2"/>
        <v>1</v>
      </c>
      <c r="K25" s="240">
        <f t="shared" si="3"/>
        <v>675.75</v>
      </c>
      <c r="L25" s="240">
        <f t="shared" si="4"/>
        <v>675.75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675.75</v>
      </c>
      <c r="T25" s="248">
        <f t="shared" si="7"/>
        <v>675.75</v>
      </c>
      <c r="U25" s="249">
        <f t="shared" si="8"/>
        <v>0</v>
      </c>
      <c r="V25" s="249">
        <f t="shared" si="9"/>
        <v>1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 s="358"/>
      <c r="C26" s="153"/>
      <c r="D26" s="287"/>
      <c r="E26" s="361"/>
      <c r="F26" s="220"/>
      <c r="G26" s="221">
        <f t="shared" si="0"/>
        <v>0</v>
      </c>
      <c r="H26" s="222">
        <f t="shared" si="1"/>
        <v>0</v>
      </c>
      <c r="I26" s="242"/>
      <c r="J26" s="224">
        <f t="shared" si="2"/>
        <v>0</v>
      </c>
      <c r="K26" s="221">
        <f t="shared" si="3"/>
        <v>0</v>
      </c>
      <c r="L26" s="221">
        <f t="shared" si="4"/>
        <v>0</v>
      </c>
      <c r="M26" s="220" t="s">
        <v>84</v>
      </c>
      <c r="N26" s="254">
        <v>0.5</v>
      </c>
      <c r="O26" s="226"/>
      <c r="P26" s="255"/>
      <c r="Q26" s="228"/>
      <c r="R26" s="229">
        <f t="shared" si="5"/>
        <v>0</v>
      </c>
      <c r="S26" s="229">
        <f t="shared" si="6"/>
        <v>0</v>
      </c>
      <c r="T26" s="229">
        <f t="shared" si="7"/>
        <v>0</v>
      </c>
      <c r="U26" s="230">
        <f t="shared" si="8"/>
        <v>0</v>
      </c>
      <c r="V26" s="230">
        <f t="shared" si="9"/>
        <v>0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362"/>
      <c r="C27" s="363"/>
      <c r="D27" s="286"/>
      <c r="E27" s="364"/>
      <c r="F27" s="239"/>
      <c r="G27" s="240">
        <f t="shared" si="0"/>
        <v>0</v>
      </c>
      <c r="H27" s="241">
        <f t="shared" si="1"/>
        <v>0</v>
      </c>
      <c r="I27" s="242"/>
      <c r="J27" s="243">
        <f t="shared" si="2"/>
        <v>0</v>
      </c>
      <c r="K27" s="240">
        <f t="shared" si="3"/>
        <v>0</v>
      </c>
      <c r="L27" s="240">
        <f t="shared" si="4"/>
        <v>0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0</v>
      </c>
      <c r="T27" s="248">
        <f t="shared" si="7"/>
        <v>0</v>
      </c>
      <c r="U27" s="249">
        <f t="shared" si="8"/>
        <v>0</v>
      </c>
      <c r="V27" s="249">
        <f t="shared" si="9"/>
        <v>0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358"/>
      <c r="C28" s="365"/>
      <c r="D28" s="287"/>
      <c r="E28" s="361"/>
      <c r="F28" s="220"/>
      <c r="G28" s="221">
        <f t="shared" si="0"/>
        <v>0</v>
      </c>
      <c r="H28" s="222">
        <f t="shared" si="1"/>
        <v>0</v>
      </c>
      <c r="I28" s="242"/>
      <c r="J28" s="224">
        <f t="shared" si="2"/>
        <v>0</v>
      </c>
      <c r="K28" s="221">
        <f t="shared" si="3"/>
        <v>0</v>
      </c>
      <c r="L28" s="221">
        <f t="shared" si="4"/>
        <v>0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0</v>
      </c>
      <c r="T28" s="229">
        <f t="shared" si="7"/>
        <v>0</v>
      </c>
      <c r="U28" s="230">
        <f t="shared" si="8"/>
        <v>0</v>
      </c>
      <c r="V28" s="230">
        <f t="shared" si="9"/>
        <v>0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362"/>
      <c r="C29" s="363"/>
      <c r="D29" s="286"/>
      <c r="E29" s="364"/>
      <c r="F29" s="239"/>
      <c r="G29" s="240">
        <f t="shared" si="0"/>
        <v>0</v>
      </c>
      <c r="H29" s="241">
        <f t="shared" si="1"/>
        <v>0</v>
      </c>
      <c r="I29" s="242"/>
      <c r="J29" s="243">
        <f t="shared" si="2"/>
        <v>0</v>
      </c>
      <c r="K29" s="240">
        <f t="shared" si="3"/>
        <v>0</v>
      </c>
      <c r="L29" s="240">
        <f t="shared" si="4"/>
        <v>0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0</v>
      </c>
      <c r="T29" s="248">
        <f t="shared" si="7"/>
        <v>0</v>
      </c>
      <c r="U29" s="249">
        <f t="shared" si="8"/>
        <v>0</v>
      </c>
      <c r="V29" s="249">
        <f t="shared" si="9"/>
        <v>0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358"/>
      <c r="C30" s="365"/>
      <c r="D30" s="287"/>
      <c r="E30" s="361"/>
      <c r="F30" s="220"/>
      <c r="G30" s="221">
        <f t="shared" si="0"/>
        <v>0</v>
      </c>
      <c r="H30" s="222">
        <f t="shared" si="1"/>
        <v>0</v>
      </c>
      <c r="I30" s="242"/>
      <c r="J30" s="224">
        <f t="shared" si="2"/>
        <v>0</v>
      </c>
      <c r="K30" s="221">
        <f t="shared" si="3"/>
        <v>0</v>
      </c>
      <c r="L30" s="221">
        <f t="shared" si="4"/>
        <v>0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0</v>
      </c>
      <c r="T30" s="229">
        <f t="shared" si="7"/>
        <v>0</v>
      </c>
      <c r="U30" s="230">
        <f t="shared" si="8"/>
        <v>0</v>
      </c>
      <c r="V30" s="230">
        <f t="shared" si="9"/>
        <v>0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362"/>
      <c r="C31" s="363"/>
      <c r="D31" s="286"/>
      <c r="E31" s="364"/>
      <c r="F31" s="239"/>
      <c r="G31" s="240">
        <f t="shared" si="0"/>
        <v>0</v>
      </c>
      <c r="H31" s="241">
        <f t="shared" si="1"/>
        <v>0</v>
      </c>
      <c r="I31" s="242"/>
      <c r="J31" s="243">
        <f t="shared" si="2"/>
        <v>0</v>
      </c>
      <c r="K31" s="240">
        <f t="shared" si="3"/>
        <v>0</v>
      </c>
      <c r="L31" s="240">
        <f t="shared" si="4"/>
        <v>0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0</v>
      </c>
      <c r="T31" s="248">
        <f t="shared" si="7"/>
        <v>0</v>
      </c>
      <c r="U31" s="249">
        <f t="shared" si="8"/>
        <v>0</v>
      </c>
      <c r="V31" s="249">
        <f t="shared" si="9"/>
        <v>0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358"/>
      <c r="C32" s="365"/>
      <c r="D32" s="287"/>
      <c r="E32" s="361"/>
      <c r="F32" s="220"/>
      <c r="G32" s="221">
        <f t="shared" si="0"/>
        <v>0</v>
      </c>
      <c r="H32" s="222">
        <f t="shared" si="1"/>
        <v>0</v>
      </c>
      <c r="I32" s="242"/>
      <c r="J32" s="224">
        <f t="shared" si="2"/>
        <v>0</v>
      </c>
      <c r="K32" s="221">
        <f t="shared" si="3"/>
        <v>0</v>
      </c>
      <c r="L32" s="221">
        <f t="shared" si="4"/>
        <v>0</v>
      </c>
      <c r="M32" s="220" t="s">
        <v>84</v>
      </c>
      <c r="N32" s="254">
        <v>0.5</v>
      </c>
      <c r="O32" s="226"/>
      <c r="P32" s="255"/>
      <c r="Q32" s="228"/>
      <c r="R32" s="229">
        <f t="shared" si="5"/>
        <v>0</v>
      </c>
      <c r="S32" s="229">
        <f t="shared" si="6"/>
        <v>0</v>
      </c>
      <c r="T32" s="229">
        <f t="shared" si="7"/>
        <v>0</v>
      </c>
      <c r="U32" s="230">
        <f t="shared" si="8"/>
        <v>0</v>
      </c>
      <c r="V32" s="230">
        <f t="shared" si="9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362"/>
      <c r="C33" s="363"/>
      <c r="D33" s="286"/>
      <c r="E33" s="364"/>
      <c r="F33" s="239"/>
      <c r="G33" s="240">
        <f t="shared" si="0"/>
        <v>0</v>
      </c>
      <c r="H33" s="241">
        <f t="shared" si="1"/>
        <v>0</v>
      </c>
      <c r="I33" s="242"/>
      <c r="J33" s="243">
        <f t="shared" si="2"/>
        <v>0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358"/>
      <c r="C34" s="365"/>
      <c r="D34" s="287"/>
      <c r="E34" s="361"/>
      <c r="F34" s="220"/>
      <c r="G34" s="221">
        <f t="shared" si="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>
        <v>0.5</v>
      </c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362"/>
      <c r="C35" s="363"/>
      <c r="D35" s="286"/>
      <c r="E35" s="364"/>
      <c r="F35" s="239"/>
      <c r="G35" s="240">
        <f t="shared" si="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>
        <v>0.5</v>
      </c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358"/>
      <c r="C36" s="365"/>
      <c r="D36" s="287"/>
      <c r="E36" s="361"/>
      <c r="F36" s="220"/>
      <c r="G36" s="221">
        <f t="shared" si="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362"/>
      <c r="C37" s="363"/>
      <c r="D37" s="286"/>
      <c r="E37" s="364"/>
      <c r="F37" s="239"/>
      <c r="G37" s="240">
        <f t="shared" si="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358"/>
      <c r="C38" s="365"/>
      <c r="D38" s="287"/>
      <c r="E38" s="361"/>
      <c r="F38" s="220"/>
      <c r="G38" s="221">
        <f t="shared" si="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362"/>
      <c r="C39" s="363"/>
      <c r="D39" s="286"/>
      <c r="E39" s="364"/>
      <c r="F39" s="239"/>
      <c r="G39" s="240">
        <f t="shared" si="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358"/>
      <c r="C40" s="365"/>
      <c r="D40" s="287"/>
      <c r="E40" s="361"/>
      <c r="F40" s="220"/>
      <c r="G40" s="221">
        <f t="shared" si="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362"/>
      <c r="C41" s="363"/>
      <c r="D41" s="286"/>
      <c r="E41" s="364"/>
      <c r="F41" s="239"/>
      <c r="G41" s="240">
        <f t="shared" si="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358"/>
      <c r="C42" s="365"/>
      <c r="D42" s="287"/>
      <c r="E42" s="361"/>
      <c r="F42" s="220"/>
      <c r="G42" s="221">
        <f t="shared" si="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362"/>
      <c r="C43" s="363"/>
      <c r="D43" s="286"/>
      <c r="E43" s="364"/>
      <c r="F43" s="239"/>
      <c r="G43" s="240">
        <f t="shared" si="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358"/>
      <c r="C44" s="365"/>
      <c r="D44" s="287"/>
      <c r="E44" s="361"/>
      <c r="F44" s="220"/>
      <c r="G44" s="221">
        <f t="shared" si="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362"/>
      <c r="C45" s="363"/>
      <c r="D45" s="286"/>
      <c r="E45" s="364"/>
      <c r="F45" s="239"/>
      <c r="G45" s="240">
        <f t="shared" si="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358"/>
      <c r="C46" s="365"/>
      <c r="D46" s="287"/>
      <c r="E46" s="361"/>
      <c r="F46" s="220"/>
      <c r="G46" s="221">
        <f t="shared" si="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362"/>
      <c r="C47" s="363"/>
      <c r="D47" s="286"/>
      <c r="E47" s="364"/>
      <c r="F47" s="239"/>
      <c r="G47" s="240">
        <f t="shared" si="0"/>
        <v>0</v>
      </c>
      <c r="H47" s="241">
        <f t="shared" si="1"/>
        <v>0</v>
      </c>
      <c r="I47" s="242"/>
      <c r="J47" s="243">
        <f t="shared" si="2"/>
        <v>0</v>
      </c>
      <c r="K47" s="240">
        <f t="shared" si="3"/>
        <v>0</v>
      </c>
      <c r="L47" s="240">
        <f t="shared" si="4"/>
        <v>0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0</v>
      </c>
      <c r="T47" s="248">
        <f t="shared" si="7"/>
        <v>0</v>
      </c>
      <c r="U47" s="249">
        <f t="shared" si="8"/>
        <v>0</v>
      </c>
      <c r="V47" s="249">
        <f t="shared" si="9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358"/>
      <c r="C48" s="365"/>
      <c r="D48" s="287"/>
      <c r="E48" s="361"/>
      <c r="F48" s="220"/>
      <c r="G48" s="221">
        <f t="shared" si="0"/>
        <v>0</v>
      </c>
      <c r="H48" s="222">
        <f t="shared" si="1"/>
        <v>0</v>
      </c>
      <c r="I48" s="242"/>
      <c r="J48" s="224">
        <f t="shared" si="2"/>
        <v>0</v>
      </c>
      <c r="K48" s="221">
        <f t="shared" si="3"/>
        <v>0</v>
      </c>
      <c r="L48" s="221">
        <f t="shared" si="4"/>
        <v>0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0</v>
      </c>
      <c r="T48" s="229">
        <f t="shared" si="7"/>
        <v>0</v>
      </c>
      <c r="U48" s="230">
        <f t="shared" si="8"/>
        <v>0</v>
      </c>
      <c r="V48" s="230">
        <f t="shared" si="9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362"/>
      <c r="C49" s="363"/>
      <c r="D49" s="286"/>
      <c r="E49" s="364"/>
      <c r="F49" s="239"/>
      <c r="G49" s="240">
        <f t="shared" si="0"/>
        <v>0</v>
      </c>
      <c r="H49" s="241">
        <f t="shared" si="1"/>
        <v>0</v>
      </c>
      <c r="I49" s="242"/>
      <c r="J49" s="243">
        <f t="shared" si="2"/>
        <v>0</v>
      </c>
      <c r="K49" s="240">
        <f t="shared" si="3"/>
        <v>0</v>
      </c>
      <c r="L49" s="240">
        <f t="shared" si="4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0</v>
      </c>
      <c r="T49" s="248">
        <f t="shared" si="7"/>
        <v>0</v>
      </c>
      <c r="U49" s="249">
        <f t="shared" si="8"/>
        <v>0</v>
      </c>
      <c r="V49" s="249">
        <f t="shared" si="9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358"/>
      <c r="C50" s="365"/>
      <c r="D50" s="287"/>
      <c r="E50" s="361"/>
      <c r="F50" s="220"/>
      <c r="G50" s="221">
        <f t="shared" si="0"/>
        <v>0</v>
      </c>
      <c r="H50" s="222">
        <f t="shared" si="1"/>
        <v>0</v>
      </c>
      <c r="I50" s="242"/>
      <c r="J50" s="224">
        <f t="shared" si="2"/>
        <v>0</v>
      </c>
      <c r="K50" s="221">
        <f t="shared" si="3"/>
        <v>0</v>
      </c>
      <c r="L50" s="221">
        <f t="shared" si="4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0</v>
      </c>
      <c r="T50" s="229">
        <f t="shared" si="7"/>
        <v>0</v>
      </c>
      <c r="U50" s="230">
        <f t="shared" si="8"/>
        <v>0</v>
      </c>
      <c r="V50" s="230">
        <f t="shared" si="9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362"/>
      <c r="C51" s="363"/>
      <c r="D51" s="286"/>
      <c r="E51" s="364"/>
      <c r="F51" s="239"/>
      <c r="G51" s="240">
        <f t="shared" si="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8</v>
      </c>
      <c r="F61" s="265">
        <f>SUM(F18:F60)</f>
        <v>7576.1200000000008</v>
      </c>
      <c r="G61" s="266">
        <f>SUM(G18:G60)</f>
        <v>5335.3</v>
      </c>
      <c r="H61" s="267">
        <f>SUM(H18:H60)</f>
        <v>7576.1200000000008</v>
      </c>
      <c r="I61" s="268"/>
      <c r="J61" s="269">
        <f>SUM(J18:J60)</f>
        <v>8</v>
      </c>
      <c r="K61" s="266">
        <f>SUM(K18:K60)</f>
        <v>3297.88</v>
      </c>
      <c r="L61" s="267">
        <f>SUM(L18:L60)</f>
        <v>3297.88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3297.88</v>
      </c>
      <c r="T61" s="267">
        <f>SUM(T18:T60)</f>
        <v>3297.88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127" priority="3" stopIfTrue="1">
      <formula>$U$9&gt;100%</formula>
    </cfRule>
    <cfRule type="expression" dxfId="126" priority="4">
      <formula>$U$9&lt;50%</formula>
    </cfRule>
  </conditionalFormatting>
  <conditionalFormatting sqref="V9:V10">
    <cfRule type="expression" dxfId="125" priority="1">
      <formula>$V$9&lt;50%</formula>
    </cfRule>
    <cfRule type="expression" dxfId="124" priority="2">
      <formula>$V$9&gt;50%</formula>
    </cfRule>
  </conditionalFormatting>
  <dataValidations count="5">
    <dataValidation type="list" allowBlank="1" showInputMessage="1" showErrorMessage="1" sqref="F17 K17 Q17 Q14" xr:uid="{DE235A94-88EE-4422-BE73-602F2314FE5E}">
      <formula1>$Y$11:$Y$12</formula1>
    </dataValidation>
    <dataValidation type="list" allowBlank="1" showInputMessage="1" showErrorMessage="1" sqref="H13" xr:uid="{50D53D08-3489-47C1-85AE-8EF08647279F}">
      <formula1>$Y$13:$Y$14</formula1>
    </dataValidation>
    <dataValidation type="list" allowBlank="1" showInputMessage="1" showErrorMessage="1" sqref="I13" xr:uid="{76A6DDAA-5A0D-4D1D-A1E8-CB4A459A1809}">
      <formula1>$K$9:$K$9</formula1>
    </dataValidation>
    <dataValidation type="list" showInputMessage="1" showErrorMessage="1" sqref="D52:D60" xr:uid="{673054F4-5E42-4DE6-A7D2-E7961710AA9C}">
      <formula1>$Z$18:$Z$29</formula1>
    </dataValidation>
    <dataValidation type="list" allowBlank="1" showInputMessage="1" showErrorMessage="1" sqref="M18:M60" xr:uid="{A0FB4BAE-9F6F-448A-8FD5-D5C065AA6B3C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5C2B6-F9FE-4043-87F2-FFB156CA0155}">
  <sheetPr>
    <pageSetUpPr fitToPage="1"/>
  </sheetPr>
  <dimension ref="A1:AB63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523" t="s">
        <v>2</v>
      </c>
      <c r="I1" s="524"/>
      <c r="J1" s="524"/>
      <c r="K1" s="525"/>
      <c r="L1" s="528" t="s">
        <v>3</v>
      </c>
      <c r="M1" s="529"/>
      <c r="N1" s="529"/>
      <c r="O1" s="529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77">
        <v>5873</v>
      </c>
      <c r="G2" s="549"/>
      <c r="H2" s="546" t="s">
        <v>7</v>
      </c>
      <c r="I2" s="550"/>
      <c r="J2" s="547"/>
      <c r="K2" s="148"/>
      <c r="L2" s="551" t="s">
        <v>8</v>
      </c>
      <c r="M2" s="552"/>
      <c r="N2" s="553"/>
      <c r="O2" s="149"/>
      <c r="P2" s="554">
        <f>H61</f>
        <v>7576.1200000000008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532" t="s">
        <v>13</v>
      </c>
      <c r="I3" s="536"/>
      <c r="J3" s="533"/>
      <c r="K3" s="154"/>
      <c r="L3" s="537" t="s">
        <v>14</v>
      </c>
      <c r="M3" s="538"/>
      <c r="N3" s="539"/>
      <c r="O3" s="149"/>
      <c r="P3" s="540">
        <f>L61</f>
        <v>3297.88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676" t="s">
        <v>243</v>
      </c>
      <c r="G4" s="673"/>
      <c r="H4" s="532" t="s">
        <v>19</v>
      </c>
      <c r="I4" s="536"/>
      <c r="J4" s="533"/>
      <c r="K4" s="154"/>
      <c r="L4" s="537" t="s">
        <v>20</v>
      </c>
      <c r="M4" s="538"/>
      <c r="N4" s="539"/>
      <c r="O4" s="149"/>
      <c r="P4" s="540">
        <f>P2-P3</f>
        <v>4278.2400000000007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667" t="s">
        <v>285</v>
      </c>
      <c r="G5" s="673"/>
      <c r="H5" s="532" t="s">
        <v>25</v>
      </c>
      <c r="I5" s="536"/>
      <c r="J5" s="533"/>
      <c r="K5" s="154"/>
      <c r="L5" s="558" t="s">
        <v>26</v>
      </c>
      <c r="M5" s="559"/>
      <c r="N5" s="560"/>
      <c r="O5" s="149"/>
      <c r="P5" s="561">
        <f>IFERROR((P2-P3)/P2,"")</f>
        <v>0.56470066472019986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72" t="s">
        <v>288</v>
      </c>
      <c r="G6" s="673"/>
      <c r="H6" s="532" t="s">
        <v>31</v>
      </c>
      <c r="I6" s="536"/>
      <c r="J6" s="533"/>
      <c r="K6" s="154"/>
      <c r="L6" s="574" t="s">
        <v>32</v>
      </c>
      <c r="M6" s="575"/>
      <c r="N6" s="576"/>
      <c r="O6" s="149"/>
      <c r="P6" s="577">
        <f>T61</f>
        <v>3297.88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671"/>
      <c r="G7" s="535"/>
      <c r="H7" s="532" t="s">
        <v>36</v>
      </c>
      <c r="I7" s="536"/>
      <c r="J7" s="533"/>
      <c r="K7" s="154"/>
      <c r="L7" s="564" t="s">
        <v>37</v>
      </c>
      <c r="M7" s="565"/>
      <c r="N7" s="56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532" t="s">
        <v>40</v>
      </c>
      <c r="I8" s="536"/>
      <c r="J8" s="533"/>
      <c r="K8" s="154"/>
      <c r="L8" s="564" t="s">
        <v>41</v>
      </c>
      <c r="M8" s="565"/>
      <c r="N8" s="56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390</v>
      </c>
      <c r="G9" s="535"/>
      <c r="H9" s="171"/>
      <c r="I9" s="172"/>
      <c r="J9" s="172"/>
      <c r="K9" s="173"/>
      <c r="L9" s="564" t="s">
        <v>47</v>
      </c>
      <c r="M9" s="565"/>
      <c r="N9" s="56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3297.88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542" t="s">
        <v>48</v>
      </c>
      <c r="M10" s="579"/>
      <c r="N10" s="543"/>
      <c r="O10" s="149"/>
      <c r="P10" s="580">
        <f>E61</f>
        <v>8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650" t="s">
        <v>50</v>
      </c>
      <c r="K11" s="651"/>
      <c r="L11" s="651"/>
      <c r="M11" s="651"/>
      <c r="N11" s="652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653"/>
      <c r="K12" s="654"/>
      <c r="L12" s="654"/>
      <c r="M12" s="654"/>
      <c r="N12" s="655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656"/>
      <c r="K13" s="657"/>
      <c r="L13" s="657"/>
      <c r="M13" s="657"/>
      <c r="N13" s="658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601" t="s">
        <v>59</v>
      </c>
      <c r="K14" s="602"/>
      <c r="L14" s="605" t="s">
        <v>60</v>
      </c>
      <c r="M14" s="606"/>
      <c r="N14" s="60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603"/>
      <c r="K15" s="604"/>
      <c r="L15" s="608"/>
      <c r="M15" s="609"/>
      <c r="N15" s="61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631" t="s">
        <v>69</v>
      </c>
      <c r="K16" s="201" t="s">
        <v>72</v>
      </c>
      <c r="L16" s="202" t="s">
        <v>73</v>
      </c>
      <c r="M16" s="633" t="s">
        <v>74</v>
      </c>
      <c r="N16" s="633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3"/>
      <c r="C17" s="625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632"/>
      <c r="K17" s="614" t="s">
        <v>52</v>
      </c>
      <c r="L17" s="615"/>
      <c r="M17" s="634"/>
      <c r="N17" s="634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 s="358" t="s">
        <v>245</v>
      </c>
      <c r="C18" s="217" t="s">
        <v>143</v>
      </c>
      <c r="D18" s="360">
        <v>500</v>
      </c>
      <c r="E18" s="361">
        <v>1</v>
      </c>
      <c r="F18" s="220">
        <v>134.32</v>
      </c>
      <c r="G18" s="221">
        <f t="shared" ref="G18:G60" si="0">ROUND(IF($F$17="USD $", F18*$E$15,F18*$D$15),2)</f>
        <v>94.59</v>
      </c>
      <c r="H18" s="222">
        <f t="shared" ref="H18:H60" si="1">ROUND(IF($H$17=$G$17,E18*G18,E18*F18),2)</f>
        <v>134.32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51.04</v>
      </c>
      <c r="L18" s="221">
        <f t="shared" ref="L18:L60" si="4">ROUND((J18*K18),2)</f>
        <v>51.04</v>
      </c>
      <c r="M18" s="220" t="s">
        <v>84</v>
      </c>
      <c r="N18" s="225">
        <v>0.62</v>
      </c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51.04</v>
      </c>
      <c r="T18" s="229">
        <f t="shared" ref="T18:T60" si="7">ROUND(L18-R18,2)</f>
        <v>51.04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362" t="s">
        <v>246</v>
      </c>
      <c r="C19" s="236" t="s">
        <v>143</v>
      </c>
      <c r="D19" s="286">
        <v>1000</v>
      </c>
      <c r="E19" s="364">
        <v>1</v>
      </c>
      <c r="F19" s="239">
        <v>122.23</v>
      </c>
      <c r="G19" s="240">
        <f t="shared" si="0"/>
        <v>86.08</v>
      </c>
      <c r="H19" s="241">
        <f t="shared" si="1"/>
        <v>122.23</v>
      </c>
      <c r="I19" s="242"/>
      <c r="J19" s="243">
        <f t="shared" si="2"/>
        <v>1</v>
      </c>
      <c r="K19" s="240">
        <f t="shared" si="3"/>
        <v>46.45</v>
      </c>
      <c r="L19" s="240">
        <f t="shared" si="4"/>
        <v>46.45</v>
      </c>
      <c r="M19" s="244" t="s">
        <v>84</v>
      </c>
      <c r="N19" s="245">
        <v>0.62</v>
      </c>
      <c r="O19" s="226"/>
      <c r="P19" s="246"/>
      <c r="Q19" s="239"/>
      <c r="R19" s="247">
        <f t="shared" si="5"/>
        <v>0</v>
      </c>
      <c r="S19" s="248">
        <f t="shared" si="6"/>
        <v>46.45</v>
      </c>
      <c r="T19" s="248">
        <f t="shared" si="7"/>
        <v>46.45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358" t="s">
        <v>276</v>
      </c>
      <c r="C20" s="252" t="s">
        <v>249</v>
      </c>
      <c r="D20" s="358">
        <v>375</v>
      </c>
      <c r="E20" s="364">
        <v>1</v>
      </c>
      <c r="F20" s="220">
        <v>29.05</v>
      </c>
      <c r="G20" s="221">
        <f t="shared" si="0"/>
        <v>20.46</v>
      </c>
      <c r="H20" s="222">
        <f t="shared" si="1"/>
        <v>29.05</v>
      </c>
      <c r="I20" s="242"/>
      <c r="J20" s="224">
        <f t="shared" si="2"/>
        <v>1</v>
      </c>
      <c r="K20" s="221">
        <f t="shared" si="3"/>
        <v>11.04</v>
      </c>
      <c r="L20" s="221">
        <f t="shared" si="4"/>
        <v>11.04</v>
      </c>
      <c r="M20" s="220" t="s">
        <v>84</v>
      </c>
      <c r="N20" s="254">
        <v>0.62</v>
      </c>
      <c r="O20" s="226"/>
      <c r="P20" s="255"/>
      <c r="Q20" s="228"/>
      <c r="R20" s="229">
        <f t="shared" si="5"/>
        <v>0</v>
      </c>
      <c r="S20" s="229">
        <f t="shared" si="6"/>
        <v>11.04</v>
      </c>
      <c r="T20" s="229">
        <f t="shared" si="7"/>
        <v>11.04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358" t="s">
        <v>277</v>
      </c>
      <c r="C21" s="236" t="s">
        <v>251</v>
      </c>
      <c r="D21" s="287">
        <v>500</v>
      </c>
      <c r="E21" s="364">
        <v>1</v>
      </c>
      <c r="F21" s="239">
        <v>135.72</v>
      </c>
      <c r="G21" s="240">
        <f t="shared" si="0"/>
        <v>95.58</v>
      </c>
      <c r="H21" s="241">
        <f t="shared" si="1"/>
        <v>135.72</v>
      </c>
      <c r="I21" s="242"/>
      <c r="J21" s="243">
        <f t="shared" si="2"/>
        <v>1</v>
      </c>
      <c r="K21" s="240">
        <f t="shared" si="3"/>
        <v>51.57</v>
      </c>
      <c r="L21" s="240">
        <f t="shared" si="4"/>
        <v>51.57</v>
      </c>
      <c r="M21" s="244" t="s">
        <v>84</v>
      </c>
      <c r="N21" s="245">
        <v>0.62</v>
      </c>
      <c r="O21" s="226"/>
      <c r="P21" s="246"/>
      <c r="Q21" s="239"/>
      <c r="R21" s="247">
        <f t="shared" si="5"/>
        <v>0</v>
      </c>
      <c r="S21" s="248">
        <f t="shared" si="6"/>
        <v>51.57</v>
      </c>
      <c r="T21" s="248">
        <f t="shared" si="7"/>
        <v>51.57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358" t="s">
        <v>279</v>
      </c>
      <c r="C22" s="252" t="s">
        <v>253</v>
      </c>
      <c r="D22" s="287">
        <v>500</v>
      </c>
      <c r="E22" s="364">
        <v>1</v>
      </c>
      <c r="F22" s="220">
        <v>152.63999999999999</v>
      </c>
      <c r="G22" s="221">
        <f t="shared" si="0"/>
        <v>107.49</v>
      </c>
      <c r="H22" s="222">
        <f t="shared" si="1"/>
        <v>152.63999999999999</v>
      </c>
      <c r="I22" s="242"/>
      <c r="J22" s="224">
        <f t="shared" si="2"/>
        <v>1</v>
      </c>
      <c r="K22" s="221">
        <f t="shared" si="3"/>
        <v>58</v>
      </c>
      <c r="L22" s="221">
        <f t="shared" si="4"/>
        <v>58</v>
      </c>
      <c r="M22" s="220" t="s">
        <v>84</v>
      </c>
      <c r="N22" s="254">
        <v>0.62</v>
      </c>
      <c r="O22" s="226"/>
      <c r="P22" s="255"/>
      <c r="Q22" s="228"/>
      <c r="R22" s="229">
        <f t="shared" si="5"/>
        <v>0</v>
      </c>
      <c r="S22" s="229">
        <f t="shared" si="6"/>
        <v>58</v>
      </c>
      <c r="T22" s="229">
        <f t="shared" si="7"/>
        <v>58</v>
      </c>
      <c r="U22" s="230">
        <f t="shared" si="8"/>
        <v>0</v>
      </c>
      <c r="V22" s="230">
        <f t="shared" si="9"/>
        <v>1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362" t="s">
        <v>281</v>
      </c>
      <c r="C23" s="153" t="s">
        <v>282</v>
      </c>
      <c r="D23" s="286">
        <v>6000</v>
      </c>
      <c r="E23" s="364">
        <v>1</v>
      </c>
      <c r="F23" s="239">
        <v>3020.3</v>
      </c>
      <c r="G23" s="240">
        <f t="shared" si="0"/>
        <v>2126.9699999999998</v>
      </c>
      <c r="H23" s="241">
        <f t="shared" si="1"/>
        <v>3020.3</v>
      </c>
      <c r="I23" s="242"/>
      <c r="J23" s="243">
        <f t="shared" si="2"/>
        <v>1</v>
      </c>
      <c r="K23" s="240">
        <f t="shared" si="3"/>
        <v>1147.71</v>
      </c>
      <c r="L23" s="240">
        <f t="shared" si="4"/>
        <v>1147.71</v>
      </c>
      <c r="M23" s="244" t="s">
        <v>84</v>
      </c>
      <c r="N23" s="245">
        <v>0.62</v>
      </c>
      <c r="O23" s="226"/>
      <c r="P23" s="246"/>
      <c r="Q23" s="239"/>
      <c r="R23" s="247">
        <f t="shared" si="5"/>
        <v>0</v>
      </c>
      <c r="S23" s="248">
        <f t="shared" si="6"/>
        <v>1147.71</v>
      </c>
      <c r="T23" s="248">
        <f t="shared" si="7"/>
        <v>1147.71</v>
      </c>
      <c r="U23" s="249">
        <f t="shared" si="8"/>
        <v>0</v>
      </c>
      <c r="V23" s="249">
        <f t="shared" si="9"/>
        <v>1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358" t="s">
        <v>280</v>
      </c>
      <c r="C24" s="153" t="s">
        <v>185</v>
      </c>
      <c r="D24" s="287">
        <v>6000</v>
      </c>
      <c r="E24" s="364">
        <v>1</v>
      </c>
      <c r="F24" s="220">
        <v>3306.11</v>
      </c>
      <c r="G24" s="221">
        <f t="shared" si="0"/>
        <v>2328.25</v>
      </c>
      <c r="H24" s="222">
        <f t="shared" si="1"/>
        <v>3306.11</v>
      </c>
      <c r="I24" s="242"/>
      <c r="J24" s="224">
        <f t="shared" si="2"/>
        <v>1</v>
      </c>
      <c r="K24" s="221">
        <f t="shared" si="3"/>
        <v>1256.32</v>
      </c>
      <c r="L24" s="221">
        <f t="shared" si="4"/>
        <v>1256.32</v>
      </c>
      <c r="M24" s="220" t="s">
        <v>84</v>
      </c>
      <c r="N24" s="254">
        <v>0.62</v>
      </c>
      <c r="O24" s="226"/>
      <c r="P24" s="255"/>
      <c r="Q24" s="228"/>
      <c r="R24" s="229">
        <f t="shared" si="5"/>
        <v>0</v>
      </c>
      <c r="S24" s="229">
        <f t="shared" si="6"/>
        <v>1256.32</v>
      </c>
      <c r="T24" s="229">
        <f t="shared" si="7"/>
        <v>1256.32</v>
      </c>
      <c r="U24" s="230">
        <f t="shared" si="8"/>
        <v>0</v>
      </c>
      <c r="V24" s="230">
        <f t="shared" si="9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 s="362" t="s">
        <v>287</v>
      </c>
      <c r="C25" s="257" t="s">
        <v>284</v>
      </c>
      <c r="D25" s="286">
        <v>6000</v>
      </c>
      <c r="E25" s="364">
        <v>1</v>
      </c>
      <c r="F25" s="239">
        <v>675.75</v>
      </c>
      <c r="G25" s="240">
        <f t="shared" si="0"/>
        <v>475.88</v>
      </c>
      <c r="H25" s="241">
        <f t="shared" si="1"/>
        <v>675.75</v>
      </c>
      <c r="I25" s="242"/>
      <c r="J25" s="243">
        <f t="shared" si="2"/>
        <v>1</v>
      </c>
      <c r="K25" s="240">
        <f t="shared" si="3"/>
        <v>675.75</v>
      </c>
      <c r="L25" s="240">
        <f t="shared" si="4"/>
        <v>675.75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675.75</v>
      </c>
      <c r="T25" s="248">
        <f t="shared" si="7"/>
        <v>675.75</v>
      </c>
      <c r="U25" s="249">
        <f t="shared" si="8"/>
        <v>0</v>
      </c>
      <c r="V25" s="249">
        <f t="shared" si="9"/>
        <v>1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 s="358"/>
      <c r="C26" s="153"/>
      <c r="D26" s="287"/>
      <c r="E26" s="361"/>
      <c r="F26" s="220"/>
      <c r="G26" s="221">
        <f t="shared" si="0"/>
        <v>0</v>
      </c>
      <c r="H26" s="222">
        <f t="shared" si="1"/>
        <v>0</v>
      </c>
      <c r="I26" s="242"/>
      <c r="J26" s="224">
        <f t="shared" si="2"/>
        <v>0</v>
      </c>
      <c r="K26" s="221">
        <f t="shared" si="3"/>
        <v>0</v>
      </c>
      <c r="L26" s="221">
        <f t="shared" si="4"/>
        <v>0</v>
      </c>
      <c r="M26" s="220" t="s">
        <v>84</v>
      </c>
      <c r="N26" s="254">
        <v>0.5</v>
      </c>
      <c r="O26" s="226"/>
      <c r="P26" s="255"/>
      <c r="Q26" s="228"/>
      <c r="R26" s="229">
        <f t="shared" si="5"/>
        <v>0</v>
      </c>
      <c r="S26" s="229">
        <f t="shared" si="6"/>
        <v>0</v>
      </c>
      <c r="T26" s="229">
        <f t="shared" si="7"/>
        <v>0</v>
      </c>
      <c r="U26" s="230">
        <f t="shared" si="8"/>
        <v>0</v>
      </c>
      <c r="V26" s="230">
        <f t="shared" si="9"/>
        <v>0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362"/>
      <c r="C27" s="363"/>
      <c r="D27" s="286"/>
      <c r="E27" s="364"/>
      <c r="F27" s="239"/>
      <c r="G27" s="240">
        <f t="shared" si="0"/>
        <v>0</v>
      </c>
      <c r="H27" s="241">
        <f t="shared" si="1"/>
        <v>0</v>
      </c>
      <c r="I27" s="242"/>
      <c r="J27" s="243">
        <f t="shared" si="2"/>
        <v>0</v>
      </c>
      <c r="K27" s="240">
        <f t="shared" si="3"/>
        <v>0</v>
      </c>
      <c r="L27" s="240">
        <f t="shared" si="4"/>
        <v>0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0</v>
      </c>
      <c r="T27" s="248">
        <f t="shared" si="7"/>
        <v>0</v>
      </c>
      <c r="U27" s="249">
        <f t="shared" si="8"/>
        <v>0</v>
      </c>
      <c r="V27" s="249">
        <f t="shared" si="9"/>
        <v>0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358"/>
      <c r="C28" s="365"/>
      <c r="D28" s="287"/>
      <c r="E28" s="361"/>
      <c r="F28" s="220"/>
      <c r="G28" s="221">
        <f t="shared" si="0"/>
        <v>0</v>
      </c>
      <c r="H28" s="222">
        <f t="shared" si="1"/>
        <v>0</v>
      </c>
      <c r="I28" s="242"/>
      <c r="J28" s="224">
        <f t="shared" si="2"/>
        <v>0</v>
      </c>
      <c r="K28" s="221">
        <f t="shared" si="3"/>
        <v>0</v>
      </c>
      <c r="L28" s="221">
        <f t="shared" si="4"/>
        <v>0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0</v>
      </c>
      <c r="T28" s="229">
        <f t="shared" si="7"/>
        <v>0</v>
      </c>
      <c r="U28" s="230">
        <f t="shared" si="8"/>
        <v>0</v>
      </c>
      <c r="V28" s="230">
        <f t="shared" si="9"/>
        <v>0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362"/>
      <c r="C29" s="363"/>
      <c r="D29" s="286"/>
      <c r="E29" s="364"/>
      <c r="F29" s="239"/>
      <c r="G29" s="240">
        <f t="shared" si="0"/>
        <v>0</v>
      </c>
      <c r="H29" s="241">
        <f t="shared" si="1"/>
        <v>0</v>
      </c>
      <c r="I29" s="242"/>
      <c r="J29" s="243">
        <f t="shared" si="2"/>
        <v>0</v>
      </c>
      <c r="K29" s="240">
        <f t="shared" si="3"/>
        <v>0</v>
      </c>
      <c r="L29" s="240">
        <f t="shared" si="4"/>
        <v>0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0</v>
      </c>
      <c r="T29" s="248">
        <f t="shared" si="7"/>
        <v>0</v>
      </c>
      <c r="U29" s="249">
        <f t="shared" si="8"/>
        <v>0</v>
      </c>
      <c r="V29" s="249">
        <f t="shared" si="9"/>
        <v>0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358"/>
      <c r="C30" s="365"/>
      <c r="D30" s="287"/>
      <c r="E30" s="361"/>
      <c r="F30" s="220"/>
      <c r="G30" s="221">
        <f t="shared" si="0"/>
        <v>0</v>
      </c>
      <c r="H30" s="222">
        <f t="shared" si="1"/>
        <v>0</v>
      </c>
      <c r="I30" s="242"/>
      <c r="J30" s="224">
        <f t="shared" si="2"/>
        <v>0</v>
      </c>
      <c r="K30" s="221">
        <f t="shared" si="3"/>
        <v>0</v>
      </c>
      <c r="L30" s="221">
        <f t="shared" si="4"/>
        <v>0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0</v>
      </c>
      <c r="T30" s="229">
        <f t="shared" si="7"/>
        <v>0</v>
      </c>
      <c r="U30" s="230">
        <f t="shared" si="8"/>
        <v>0</v>
      </c>
      <c r="V30" s="230">
        <f t="shared" si="9"/>
        <v>0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362"/>
      <c r="C31" s="363"/>
      <c r="D31" s="286"/>
      <c r="E31" s="364"/>
      <c r="F31" s="239"/>
      <c r="G31" s="240">
        <f t="shared" si="0"/>
        <v>0</v>
      </c>
      <c r="H31" s="241">
        <f t="shared" si="1"/>
        <v>0</v>
      </c>
      <c r="I31" s="242"/>
      <c r="J31" s="243">
        <f t="shared" si="2"/>
        <v>0</v>
      </c>
      <c r="K31" s="240">
        <f t="shared" si="3"/>
        <v>0</v>
      </c>
      <c r="L31" s="240">
        <f t="shared" si="4"/>
        <v>0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0</v>
      </c>
      <c r="T31" s="248">
        <f t="shared" si="7"/>
        <v>0</v>
      </c>
      <c r="U31" s="249">
        <f t="shared" si="8"/>
        <v>0</v>
      </c>
      <c r="V31" s="249">
        <f t="shared" si="9"/>
        <v>0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358"/>
      <c r="C32" s="365"/>
      <c r="D32" s="287"/>
      <c r="E32" s="361"/>
      <c r="F32" s="220"/>
      <c r="G32" s="221">
        <f t="shared" si="0"/>
        <v>0</v>
      </c>
      <c r="H32" s="222">
        <f t="shared" si="1"/>
        <v>0</v>
      </c>
      <c r="I32" s="242"/>
      <c r="J32" s="224">
        <f t="shared" si="2"/>
        <v>0</v>
      </c>
      <c r="K32" s="221">
        <f t="shared" si="3"/>
        <v>0</v>
      </c>
      <c r="L32" s="221">
        <f t="shared" si="4"/>
        <v>0</v>
      </c>
      <c r="M32" s="220" t="s">
        <v>84</v>
      </c>
      <c r="N32" s="254">
        <v>0.5</v>
      </c>
      <c r="O32" s="226"/>
      <c r="P32" s="255"/>
      <c r="Q32" s="228"/>
      <c r="R32" s="229">
        <f t="shared" si="5"/>
        <v>0</v>
      </c>
      <c r="S32" s="229">
        <f t="shared" si="6"/>
        <v>0</v>
      </c>
      <c r="T32" s="229">
        <f t="shared" si="7"/>
        <v>0</v>
      </c>
      <c r="U32" s="230">
        <f t="shared" si="8"/>
        <v>0</v>
      </c>
      <c r="V32" s="230">
        <f t="shared" si="9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362"/>
      <c r="C33" s="363"/>
      <c r="D33" s="286"/>
      <c r="E33" s="364"/>
      <c r="F33" s="239"/>
      <c r="G33" s="240">
        <f t="shared" si="0"/>
        <v>0</v>
      </c>
      <c r="H33" s="241">
        <f t="shared" si="1"/>
        <v>0</v>
      </c>
      <c r="I33" s="242"/>
      <c r="J33" s="243">
        <f t="shared" si="2"/>
        <v>0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358"/>
      <c r="C34" s="365"/>
      <c r="D34" s="287"/>
      <c r="E34" s="361"/>
      <c r="F34" s="220"/>
      <c r="G34" s="221">
        <f t="shared" si="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>
        <v>0.5</v>
      </c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362"/>
      <c r="C35" s="363"/>
      <c r="D35" s="286"/>
      <c r="E35" s="364"/>
      <c r="F35" s="239"/>
      <c r="G35" s="240">
        <f t="shared" si="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>
        <v>0.5</v>
      </c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358"/>
      <c r="C36" s="365"/>
      <c r="D36" s="287"/>
      <c r="E36" s="361"/>
      <c r="F36" s="220"/>
      <c r="G36" s="221">
        <f t="shared" si="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362"/>
      <c r="C37" s="363"/>
      <c r="D37" s="286"/>
      <c r="E37" s="364"/>
      <c r="F37" s="239"/>
      <c r="G37" s="240">
        <f t="shared" si="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358"/>
      <c r="C38" s="365"/>
      <c r="D38" s="287"/>
      <c r="E38" s="361"/>
      <c r="F38" s="220"/>
      <c r="G38" s="221">
        <f t="shared" si="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362"/>
      <c r="C39" s="363"/>
      <c r="D39" s="286"/>
      <c r="E39" s="364"/>
      <c r="F39" s="239"/>
      <c r="G39" s="240">
        <f t="shared" si="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358"/>
      <c r="C40" s="365"/>
      <c r="D40" s="287"/>
      <c r="E40" s="361"/>
      <c r="F40" s="220"/>
      <c r="G40" s="221">
        <f t="shared" si="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362"/>
      <c r="C41" s="363"/>
      <c r="D41" s="286"/>
      <c r="E41" s="364"/>
      <c r="F41" s="239"/>
      <c r="G41" s="240">
        <f t="shared" si="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358"/>
      <c r="C42" s="365"/>
      <c r="D42" s="287"/>
      <c r="E42" s="361"/>
      <c r="F42" s="220"/>
      <c r="G42" s="221">
        <f t="shared" si="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362"/>
      <c r="C43" s="363"/>
      <c r="D43" s="286"/>
      <c r="E43" s="364"/>
      <c r="F43" s="239"/>
      <c r="G43" s="240">
        <f t="shared" si="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358"/>
      <c r="C44" s="365"/>
      <c r="D44" s="287"/>
      <c r="E44" s="361"/>
      <c r="F44" s="220"/>
      <c r="G44" s="221">
        <f t="shared" si="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362"/>
      <c r="C45" s="363"/>
      <c r="D45" s="286"/>
      <c r="E45" s="364"/>
      <c r="F45" s="239"/>
      <c r="G45" s="240">
        <f t="shared" si="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358"/>
      <c r="C46" s="365"/>
      <c r="D46" s="287"/>
      <c r="E46" s="361"/>
      <c r="F46" s="220"/>
      <c r="G46" s="221">
        <f t="shared" si="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362"/>
      <c r="C47" s="363"/>
      <c r="D47" s="286"/>
      <c r="E47" s="364"/>
      <c r="F47" s="239"/>
      <c r="G47" s="240">
        <f t="shared" si="0"/>
        <v>0</v>
      </c>
      <c r="H47" s="241">
        <f t="shared" si="1"/>
        <v>0</v>
      </c>
      <c r="I47" s="242"/>
      <c r="J47" s="243">
        <f t="shared" si="2"/>
        <v>0</v>
      </c>
      <c r="K47" s="240">
        <f t="shared" si="3"/>
        <v>0</v>
      </c>
      <c r="L47" s="240">
        <f t="shared" si="4"/>
        <v>0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0</v>
      </c>
      <c r="T47" s="248">
        <f t="shared" si="7"/>
        <v>0</v>
      </c>
      <c r="U47" s="249">
        <f t="shared" si="8"/>
        <v>0</v>
      </c>
      <c r="V47" s="249">
        <f t="shared" si="9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358"/>
      <c r="C48" s="365"/>
      <c r="D48" s="287"/>
      <c r="E48" s="361"/>
      <c r="F48" s="220"/>
      <c r="G48" s="221">
        <f t="shared" si="0"/>
        <v>0</v>
      </c>
      <c r="H48" s="222">
        <f t="shared" si="1"/>
        <v>0</v>
      </c>
      <c r="I48" s="242"/>
      <c r="J48" s="224">
        <f t="shared" si="2"/>
        <v>0</v>
      </c>
      <c r="K48" s="221">
        <f t="shared" si="3"/>
        <v>0</v>
      </c>
      <c r="L48" s="221">
        <f t="shared" si="4"/>
        <v>0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0</v>
      </c>
      <c r="T48" s="229">
        <f t="shared" si="7"/>
        <v>0</v>
      </c>
      <c r="U48" s="230">
        <f t="shared" si="8"/>
        <v>0</v>
      </c>
      <c r="V48" s="230">
        <f t="shared" si="9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362"/>
      <c r="C49" s="363"/>
      <c r="D49" s="286"/>
      <c r="E49" s="364"/>
      <c r="F49" s="239"/>
      <c r="G49" s="240">
        <f t="shared" si="0"/>
        <v>0</v>
      </c>
      <c r="H49" s="241">
        <f t="shared" si="1"/>
        <v>0</v>
      </c>
      <c r="I49" s="242"/>
      <c r="J49" s="243">
        <f t="shared" si="2"/>
        <v>0</v>
      </c>
      <c r="K49" s="240">
        <f t="shared" si="3"/>
        <v>0</v>
      </c>
      <c r="L49" s="240">
        <f t="shared" si="4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0</v>
      </c>
      <c r="T49" s="248">
        <f t="shared" si="7"/>
        <v>0</v>
      </c>
      <c r="U49" s="249">
        <f t="shared" si="8"/>
        <v>0</v>
      </c>
      <c r="V49" s="249">
        <f t="shared" si="9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358"/>
      <c r="C50" s="365"/>
      <c r="D50" s="287"/>
      <c r="E50" s="361"/>
      <c r="F50" s="220"/>
      <c r="G50" s="221">
        <f t="shared" si="0"/>
        <v>0</v>
      </c>
      <c r="H50" s="222">
        <f t="shared" si="1"/>
        <v>0</v>
      </c>
      <c r="I50" s="242"/>
      <c r="J50" s="224">
        <f t="shared" si="2"/>
        <v>0</v>
      </c>
      <c r="K50" s="221">
        <f t="shared" si="3"/>
        <v>0</v>
      </c>
      <c r="L50" s="221">
        <f t="shared" si="4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0</v>
      </c>
      <c r="T50" s="229">
        <f t="shared" si="7"/>
        <v>0</v>
      </c>
      <c r="U50" s="230">
        <f t="shared" si="8"/>
        <v>0</v>
      </c>
      <c r="V50" s="230">
        <f t="shared" si="9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362"/>
      <c r="C51" s="363"/>
      <c r="D51" s="286"/>
      <c r="E51" s="364"/>
      <c r="F51" s="239"/>
      <c r="G51" s="240">
        <f t="shared" si="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8</v>
      </c>
      <c r="F61" s="265">
        <f>SUM(F18:F60)</f>
        <v>7576.1200000000008</v>
      </c>
      <c r="G61" s="266">
        <f>SUM(G18:G60)</f>
        <v>5335.3</v>
      </c>
      <c r="H61" s="267">
        <f>SUM(H18:H60)</f>
        <v>7576.1200000000008</v>
      </c>
      <c r="I61" s="268"/>
      <c r="J61" s="269">
        <f>SUM(J18:J60)</f>
        <v>8</v>
      </c>
      <c r="K61" s="266">
        <f>SUM(K18:K60)</f>
        <v>3297.88</v>
      </c>
      <c r="L61" s="267">
        <f>SUM(L18:L60)</f>
        <v>3297.88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3297.88</v>
      </c>
      <c r="T61" s="267">
        <f>SUM(T18:T60)</f>
        <v>3297.88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123" priority="3" stopIfTrue="1">
      <formula>$U$9&gt;100%</formula>
    </cfRule>
    <cfRule type="expression" dxfId="122" priority="4">
      <formula>$U$9&lt;50%</formula>
    </cfRule>
  </conditionalFormatting>
  <conditionalFormatting sqref="V9:V10">
    <cfRule type="expression" dxfId="121" priority="1">
      <formula>$V$9&lt;50%</formula>
    </cfRule>
    <cfRule type="expression" dxfId="120" priority="2">
      <formula>$V$9&gt;50%</formula>
    </cfRule>
  </conditionalFormatting>
  <dataValidations count="5">
    <dataValidation type="list" allowBlank="1" showInputMessage="1" showErrorMessage="1" sqref="M18:M60" xr:uid="{2F4DBC45-0881-420E-98D3-7D473848DD26}">
      <formula1>$Y$31:$Y$32</formula1>
    </dataValidation>
    <dataValidation type="list" showInputMessage="1" showErrorMessage="1" sqref="D52:D60" xr:uid="{4EB4D7BA-6E31-44EF-9495-92970D891AAC}">
      <formula1>$Z$18:$Z$29</formula1>
    </dataValidation>
    <dataValidation type="list" allowBlank="1" showInputMessage="1" showErrorMessage="1" sqref="I13" xr:uid="{CF9DB8D0-AE91-454B-9329-FC79B4F3752C}">
      <formula1>$K$9:$K$9</formula1>
    </dataValidation>
    <dataValidation type="list" allowBlank="1" showInputMessage="1" showErrorMessage="1" sqref="H13" xr:uid="{DA42EBA2-0762-4931-8667-8B5BEE080FF9}">
      <formula1>$Y$13:$Y$14</formula1>
    </dataValidation>
    <dataValidation type="list" allowBlank="1" showInputMessage="1" showErrorMessage="1" sqref="F17 K17 Q17 Q14" xr:uid="{A2C906E9-C9F0-47B2-AFA4-EBDDE16BA62C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10A15-C426-44DE-8510-D63EBBEFFE47}">
  <sheetPr>
    <pageSetUpPr fitToPage="1"/>
  </sheetPr>
  <dimension ref="A1:AB63"/>
  <sheetViews>
    <sheetView zoomScale="85" zoomScaleNormal="85" workbookViewId="0">
      <selection activeCell="F6" sqref="F6:G6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523" t="s">
        <v>2</v>
      </c>
      <c r="I1" s="524"/>
      <c r="J1" s="524"/>
      <c r="K1" s="525"/>
      <c r="L1" s="528" t="s">
        <v>3</v>
      </c>
      <c r="M1" s="529"/>
      <c r="N1" s="529"/>
      <c r="O1" s="529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59">
        <v>434636</v>
      </c>
      <c r="G2" s="549"/>
      <c r="H2" s="546" t="s">
        <v>7</v>
      </c>
      <c r="I2" s="550"/>
      <c r="J2" s="547"/>
      <c r="K2" s="148"/>
      <c r="L2" s="551" t="s">
        <v>8</v>
      </c>
      <c r="M2" s="552"/>
      <c r="N2" s="553"/>
      <c r="O2" s="149"/>
      <c r="P2" s="554">
        <f>H61</f>
        <v>7583.75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532" t="s">
        <v>13</v>
      </c>
      <c r="I3" s="536"/>
      <c r="J3" s="533"/>
      <c r="K3" s="154"/>
      <c r="L3" s="537" t="s">
        <v>14</v>
      </c>
      <c r="M3" s="538"/>
      <c r="N3" s="539"/>
      <c r="O3" s="149"/>
      <c r="P3" s="540">
        <f>L61</f>
        <v>6956.5700000000006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665" t="s">
        <v>289</v>
      </c>
      <c r="G4" s="666"/>
      <c r="H4" s="532" t="s">
        <v>19</v>
      </c>
      <c r="I4" s="536"/>
      <c r="J4" s="533"/>
      <c r="K4" s="154"/>
      <c r="L4" s="537" t="s">
        <v>20</v>
      </c>
      <c r="M4" s="538"/>
      <c r="N4" s="539"/>
      <c r="O4" s="149"/>
      <c r="P4" s="540">
        <f>P2-P3</f>
        <v>627.17999999999938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667">
        <v>10054</v>
      </c>
      <c r="G5" s="666"/>
      <c r="H5" s="532" t="s">
        <v>25</v>
      </c>
      <c r="I5" s="536"/>
      <c r="J5" s="533"/>
      <c r="K5" s="154"/>
      <c r="L5" s="558" t="s">
        <v>26</v>
      </c>
      <c r="M5" s="559"/>
      <c r="N5" s="560"/>
      <c r="O5" s="149"/>
      <c r="P5" s="561">
        <f>IFERROR((P2-P3)/P2,"")</f>
        <v>8.2700510960936127E-2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69" t="s">
        <v>389</v>
      </c>
      <c r="G6" s="666"/>
      <c r="H6" s="532" t="s">
        <v>31</v>
      </c>
      <c r="I6" s="536"/>
      <c r="J6" s="533"/>
      <c r="K6" s="154"/>
      <c r="L6" s="574" t="s">
        <v>32</v>
      </c>
      <c r="M6" s="575"/>
      <c r="N6" s="576"/>
      <c r="O6" s="149"/>
      <c r="P6" s="577">
        <f>T61</f>
        <v>6956.5700000000006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563"/>
      <c r="G7" s="535"/>
      <c r="H7" s="532" t="s">
        <v>36</v>
      </c>
      <c r="I7" s="536"/>
      <c r="J7" s="533"/>
      <c r="K7" s="154"/>
      <c r="L7" s="564" t="s">
        <v>37</v>
      </c>
      <c r="M7" s="565"/>
      <c r="N7" s="56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532" t="s">
        <v>40</v>
      </c>
      <c r="I8" s="536"/>
      <c r="J8" s="533"/>
      <c r="K8" s="154"/>
      <c r="L8" s="564" t="s">
        <v>41</v>
      </c>
      <c r="M8" s="565"/>
      <c r="N8" s="56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378</v>
      </c>
      <c r="G9" s="535"/>
      <c r="H9" s="171"/>
      <c r="I9" s="172"/>
      <c r="J9" s="172"/>
      <c r="K9" s="173"/>
      <c r="L9" s="564" t="s">
        <v>47</v>
      </c>
      <c r="M9" s="565"/>
      <c r="N9" s="56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6956.5700000000006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542" t="s">
        <v>48</v>
      </c>
      <c r="M10" s="579"/>
      <c r="N10" s="543"/>
      <c r="O10" s="149"/>
      <c r="P10" s="580">
        <f>E61</f>
        <v>18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650" t="s">
        <v>50</v>
      </c>
      <c r="K11" s="651"/>
      <c r="L11" s="651"/>
      <c r="M11" s="651"/>
      <c r="N11" s="652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653"/>
      <c r="K12" s="654"/>
      <c r="L12" s="654"/>
      <c r="M12" s="654"/>
      <c r="N12" s="655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656"/>
      <c r="K13" s="657"/>
      <c r="L13" s="657"/>
      <c r="M13" s="657"/>
      <c r="N13" s="658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601" t="s">
        <v>59</v>
      </c>
      <c r="K14" s="602"/>
      <c r="L14" s="605" t="s">
        <v>60</v>
      </c>
      <c r="M14" s="606"/>
      <c r="N14" s="60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603"/>
      <c r="K15" s="604"/>
      <c r="L15" s="608"/>
      <c r="M15" s="609"/>
      <c r="N15" s="61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631" t="s">
        <v>69</v>
      </c>
      <c r="K16" s="201" t="s">
        <v>72</v>
      </c>
      <c r="L16" s="202" t="s">
        <v>73</v>
      </c>
      <c r="M16" s="633" t="s">
        <v>74</v>
      </c>
      <c r="N16" s="633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8"/>
      <c r="C17" s="678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632"/>
      <c r="K17" s="614" t="s">
        <v>52</v>
      </c>
      <c r="L17" s="615"/>
      <c r="M17" s="634"/>
      <c r="N17" s="634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>
        <v>8036204</v>
      </c>
      <c r="C18" s="293" t="s">
        <v>290</v>
      </c>
      <c r="D18" s="295"/>
      <c r="E18" s="80">
        <v>1</v>
      </c>
      <c r="F18" s="81">
        <v>11.62</v>
      </c>
      <c r="G18" s="221">
        <f t="shared" ref="G18:G60" si="0">ROUND(IF($F$17="USD $", F18*$E$15,F18*$D$15),2)</f>
        <v>8.18</v>
      </c>
      <c r="H18" s="222">
        <f t="shared" ref="H18:H60" si="1">ROUND(IF($H$17=$G$17,E18*G18,E18*F18),2)</f>
        <v>11.62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4.42</v>
      </c>
      <c r="L18" s="221">
        <f t="shared" ref="L18:L60" si="4">ROUND((J18*K18),2)</f>
        <v>4.42</v>
      </c>
      <c r="M18" s="220" t="s">
        <v>84</v>
      </c>
      <c r="N18" s="225">
        <v>0.62</v>
      </c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4.42</v>
      </c>
      <c r="T18" s="229">
        <f t="shared" ref="T18:T60" si="7">ROUND(L18-R18,2)</f>
        <v>4.42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294">
        <v>70022846</v>
      </c>
      <c r="C19" s="291" t="s">
        <v>291</v>
      </c>
      <c r="D19" s="296"/>
      <c r="E19" s="97">
        <v>1</v>
      </c>
      <c r="F19" s="98">
        <v>106.5</v>
      </c>
      <c r="G19" s="240">
        <f t="shared" si="0"/>
        <v>75</v>
      </c>
      <c r="H19" s="241">
        <f t="shared" si="1"/>
        <v>106.5</v>
      </c>
      <c r="I19" s="242"/>
      <c r="J19" s="243">
        <f t="shared" si="2"/>
        <v>1</v>
      </c>
      <c r="K19" s="240">
        <f t="shared" si="3"/>
        <v>40.47</v>
      </c>
      <c r="L19" s="240">
        <f t="shared" si="4"/>
        <v>40.47</v>
      </c>
      <c r="M19" s="244" t="s">
        <v>84</v>
      </c>
      <c r="N19" s="245">
        <v>0.62</v>
      </c>
      <c r="O19" s="226"/>
      <c r="P19" s="246"/>
      <c r="Q19" s="239"/>
      <c r="R19" s="247">
        <f t="shared" si="5"/>
        <v>0</v>
      </c>
      <c r="S19" s="248">
        <f t="shared" si="6"/>
        <v>40.47</v>
      </c>
      <c r="T19" s="248">
        <f t="shared" si="7"/>
        <v>40.47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292">
        <v>70023812</v>
      </c>
      <c r="C20" s="292" t="s">
        <v>292</v>
      </c>
      <c r="D20" s="297"/>
      <c r="E20" s="80">
        <v>1</v>
      </c>
      <c r="F20" s="81">
        <v>122.73</v>
      </c>
      <c r="G20" s="221">
        <f t="shared" si="0"/>
        <v>86.43</v>
      </c>
      <c r="H20" s="222">
        <f t="shared" si="1"/>
        <v>122.73</v>
      </c>
      <c r="I20" s="242"/>
      <c r="J20" s="224">
        <f t="shared" si="2"/>
        <v>1</v>
      </c>
      <c r="K20" s="221">
        <f t="shared" si="3"/>
        <v>46.64</v>
      </c>
      <c r="L20" s="221">
        <f t="shared" si="4"/>
        <v>46.64</v>
      </c>
      <c r="M20" s="220" t="s">
        <v>84</v>
      </c>
      <c r="N20" s="254">
        <v>0.62</v>
      </c>
      <c r="O20" s="226"/>
      <c r="P20" s="255"/>
      <c r="Q20" s="228"/>
      <c r="R20" s="229">
        <f t="shared" si="5"/>
        <v>0</v>
      </c>
      <c r="S20" s="229">
        <f t="shared" si="6"/>
        <v>46.64</v>
      </c>
      <c r="T20" s="229">
        <f t="shared" si="7"/>
        <v>46.64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294">
        <v>70024284</v>
      </c>
      <c r="C21" s="294" t="s">
        <v>293</v>
      </c>
      <c r="D21" s="296"/>
      <c r="E21" s="97">
        <v>1</v>
      </c>
      <c r="F21" s="98">
        <v>115.02</v>
      </c>
      <c r="G21" s="240">
        <f t="shared" si="0"/>
        <v>81</v>
      </c>
      <c r="H21" s="241">
        <f t="shared" si="1"/>
        <v>115.02</v>
      </c>
      <c r="I21" s="242"/>
      <c r="J21" s="243">
        <f t="shared" si="2"/>
        <v>1</v>
      </c>
      <c r="K21" s="240">
        <f t="shared" si="3"/>
        <v>43.71</v>
      </c>
      <c r="L21" s="240">
        <f t="shared" si="4"/>
        <v>43.71</v>
      </c>
      <c r="M21" s="244" t="s">
        <v>84</v>
      </c>
      <c r="N21" s="245">
        <v>0.62</v>
      </c>
      <c r="O21" s="226"/>
      <c r="P21" s="246"/>
      <c r="Q21" s="239"/>
      <c r="R21" s="247">
        <f t="shared" si="5"/>
        <v>0</v>
      </c>
      <c r="S21" s="248">
        <f t="shared" si="6"/>
        <v>43.71</v>
      </c>
      <c r="T21" s="248">
        <f t="shared" si="7"/>
        <v>43.71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292">
        <v>70022846</v>
      </c>
      <c r="C22" s="292" t="s">
        <v>294</v>
      </c>
      <c r="D22" s="297"/>
      <c r="E22" s="80">
        <v>1</v>
      </c>
      <c r="F22" s="81">
        <v>106.5</v>
      </c>
      <c r="G22" s="221">
        <f t="shared" si="0"/>
        <v>75</v>
      </c>
      <c r="H22" s="222">
        <f t="shared" si="1"/>
        <v>106.5</v>
      </c>
      <c r="I22" s="242"/>
      <c r="J22" s="224">
        <f t="shared" si="2"/>
        <v>1</v>
      </c>
      <c r="K22" s="221">
        <f t="shared" si="3"/>
        <v>40.47</v>
      </c>
      <c r="L22" s="221">
        <f t="shared" si="4"/>
        <v>40.47</v>
      </c>
      <c r="M22" s="220" t="s">
        <v>84</v>
      </c>
      <c r="N22" s="254">
        <v>0.62</v>
      </c>
      <c r="O22" s="226"/>
      <c r="P22" s="255"/>
      <c r="Q22" s="228"/>
      <c r="R22" s="229">
        <f t="shared" si="5"/>
        <v>0</v>
      </c>
      <c r="S22" s="229">
        <f t="shared" si="6"/>
        <v>40.47</v>
      </c>
      <c r="T22" s="229">
        <f t="shared" si="7"/>
        <v>40.47</v>
      </c>
      <c r="U22" s="230">
        <f t="shared" si="8"/>
        <v>0</v>
      </c>
      <c r="V22" s="230">
        <f t="shared" si="9"/>
        <v>1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294">
        <v>70024177</v>
      </c>
      <c r="C23" s="294" t="s">
        <v>92</v>
      </c>
      <c r="D23" s="296"/>
      <c r="E23" s="97">
        <v>1</v>
      </c>
      <c r="F23" s="98">
        <v>126.52</v>
      </c>
      <c r="G23" s="240">
        <f t="shared" si="0"/>
        <v>89.1</v>
      </c>
      <c r="H23" s="241">
        <f t="shared" si="1"/>
        <v>126.52</v>
      </c>
      <c r="I23" s="242"/>
      <c r="J23" s="243">
        <f t="shared" si="2"/>
        <v>1</v>
      </c>
      <c r="K23" s="240">
        <f t="shared" si="3"/>
        <v>48.08</v>
      </c>
      <c r="L23" s="240">
        <f t="shared" si="4"/>
        <v>48.08</v>
      </c>
      <c r="M23" s="244" t="s">
        <v>84</v>
      </c>
      <c r="N23" s="245">
        <v>0.62</v>
      </c>
      <c r="O23" s="226"/>
      <c r="P23" s="246"/>
      <c r="Q23" s="239"/>
      <c r="R23" s="247">
        <f t="shared" si="5"/>
        <v>0</v>
      </c>
      <c r="S23" s="248">
        <f t="shared" si="6"/>
        <v>48.08</v>
      </c>
      <c r="T23" s="248">
        <f t="shared" si="7"/>
        <v>48.08</v>
      </c>
      <c r="U23" s="249">
        <f t="shared" si="8"/>
        <v>0</v>
      </c>
      <c r="V23" s="249">
        <f t="shared" si="9"/>
        <v>1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292">
        <v>8320265</v>
      </c>
      <c r="C24" s="292" t="s">
        <v>295</v>
      </c>
      <c r="D24" s="297"/>
      <c r="E24" s="80">
        <v>1</v>
      </c>
      <c r="F24" s="81">
        <v>70.06</v>
      </c>
      <c r="G24" s="221">
        <f t="shared" si="0"/>
        <v>49.34</v>
      </c>
      <c r="H24" s="222">
        <f t="shared" si="1"/>
        <v>70.06</v>
      </c>
      <c r="I24" s="242"/>
      <c r="J24" s="224">
        <f t="shared" si="2"/>
        <v>1</v>
      </c>
      <c r="K24" s="221">
        <f t="shared" si="3"/>
        <v>26.62</v>
      </c>
      <c r="L24" s="221">
        <f t="shared" si="4"/>
        <v>26.62</v>
      </c>
      <c r="M24" s="220" t="s">
        <v>84</v>
      </c>
      <c r="N24" s="254">
        <v>0.62</v>
      </c>
      <c r="O24" s="226"/>
      <c r="P24" s="255"/>
      <c r="Q24" s="228"/>
      <c r="R24" s="229">
        <f t="shared" si="5"/>
        <v>0</v>
      </c>
      <c r="S24" s="229">
        <f t="shared" si="6"/>
        <v>26.62</v>
      </c>
      <c r="T24" s="229">
        <f t="shared" si="7"/>
        <v>26.62</v>
      </c>
      <c r="U24" s="230">
        <f t="shared" si="8"/>
        <v>0</v>
      </c>
      <c r="V24" s="230">
        <f t="shared" si="9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 s="294">
        <v>7139077</v>
      </c>
      <c r="C25" s="294" t="s">
        <v>296</v>
      </c>
      <c r="D25" s="296"/>
      <c r="E25" s="97">
        <v>1</v>
      </c>
      <c r="F25" s="98">
        <v>58.82</v>
      </c>
      <c r="G25" s="240">
        <f t="shared" si="0"/>
        <v>41.42</v>
      </c>
      <c r="H25" s="241">
        <f t="shared" si="1"/>
        <v>58.82</v>
      </c>
      <c r="I25" s="242"/>
      <c r="J25" s="243">
        <f t="shared" si="2"/>
        <v>1</v>
      </c>
      <c r="K25" s="240">
        <f t="shared" si="3"/>
        <v>58.82</v>
      </c>
      <c r="L25" s="240">
        <f t="shared" si="4"/>
        <v>58.82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58.82</v>
      </c>
      <c r="T25" s="248">
        <f t="shared" si="7"/>
        <v>58.82</v>
      </c>
      <c r="U25" s="249">
        <f t="shared" si="8"/>
        <v>0</v>
      </c>
      <c r="V25" s="249">
        <f t="shared" si="9"/>
        <v>1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 s="292">
        <v>1319726</v>
      </c>
      <c r="C26" s="292" t="s">
        <v>297</v>
      </c>
      <c r="D26" s="297"/>
      <c r="E26" s="80">
        <v>6</v>
      </c>
      <c r="F26" s="81">
        <v>72.89</v>
      </c>
      <c r="G26" s="221">
        <f t="shared" si="0"/>
        <v>51.33</v>
      </c>
      <c r="H26" s="222">
        <f t="shared" si="1"/>
        <v>437.34</v>
      </c>
      <c r="I26" s="242"/>
      <c r="J26" s="224">
        <f t="shared" si="2"/>
        <v>6</v>
      </c>
      <c r="K26" s="221">
        <f t="shared" si="3"/>
        <v>36.450000000000003</v>
      </c>
      <c r="L26" s="221">
        <f t="shared" si="4"/>
        <v>218.7</v>
      </c>
      <c r="M26" s="220" t="s">
        <v>84</v>
      </c>
      <c r="N26" s="254">
        <v>0.5</v>
      </c>
      <c r="O26" s="226"/>
      <c r="P26" s="255"/>
      <c r="Q26" s="228"/>
      <c r="R26" s="229">
        <f t="shared" si="5"/>
        <v>0</v>
      </c>
      <c r="S26" s="229">
        <f t="shared" si="6"/>
        <v>36.450000000000003</v>
      </c>
      <c r="T26" s="229">
        <f t="shared" si="7"/>
        <v>218.7</v>
      </c>
      <c r="U26" s="230">
        <f t="shared" si="8"/>
        <v>0</v>
      </c>
      <c r="V26" s="230">
        <f t="shared" si="9"/>
        <v>1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294">
        <v>70024588</v>
      </c>
      <c r="C27" s="294" t="s">
        <v>298</v>
      </c>
      <c r="D27" s="300"/>
      <c r="E27" s="283">
        <v>4</v>
      </c>
      <c r="F27" s="239">
        <v>1607.16</v>
      </c>
      <c r="G27" s="240">
        <f t="shared" si="0"/>
        <v>1131.8</v>
      </c>
      <c r="H27" s="241">
        <f t="shared" si="1"/>
        <v>6428.64</v>
      </c>
      <c r="I27" s="242"/>
      <c r="J27" s="243">
        <f t="shared" si="2"/>
        <v>4</v>
      </c>
      <c r="K27" s="240">
        <f t="shared" si="3"/>
        <v>1607.16</v>
      </c>
      <c r="L27" s="240">
        <f t="shared" si="4"/>
        <v>6428.64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1607.16</v>
      </c>
      <c r="T27" s="248">
        <f t="shared" si="7"/>
        <v>6428.64</v>
      </c>
      <c r="U27" s="249">
        <f t="shared" si="8"/>
        <v>0</v>
      </c>
      <c r="V27" s="249">
        <f t="shared" si="9"/>
        <v>1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298"/>
      <c r="C28" s="298"/>
      <c r="D28" s="301"/>
      <c r="E28" s="279"/>
      <c r="F28" s="220"/>
      <c r="G28" s="221">
        <f t="shared" si="0"/>
        <v>0</v>
      </c>
      <c r="H28" s="222">
        <f t="shared" si="1"/>
        <v>0</v>
      </c>
      <c r="I28" s="242"/>
      <c r="J28" s="224">
        <f t="shared" si="2"/>
        <v>0</v>
      </c>
      <c r="K28" s="221">
        <f t="shared" si="3"/>
        <v>0</v>
      </c>
      <c r="L28" s="221">
        <f t="shared" si="4"/>
        <v>0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0</v>
      </c>
      <c r="T28" s="229">
        <f t="shared" si="7"/>
        <v>0</v>
      </c>
      <c r="U28" s="230">
        <f t="shared" si="8"/>
        <v>0</v>
      </c>
      <c r="V28" s="230">
        <f t="shared" si="9"/>
        <v>0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299"/>
      <c r="C29" s="299"/>
      <c r="D29" s="300"/>
      <c r="E29" s="283"/>
      <c r="F29" s="239"/>
      <c r="G29" s="240">
        <f t="shared" si="0"/>
        <v>0</v>
      </c>
      <c r="H29" s="241">
        <f t="shared" si="1"/>
        <v>0</v>
      </c>
      <c r="I29" s="242"/>
      <c r="J29" s="243">
        <f t="shared" si="2"/>
        <v>0</v>
      </c>
      <c r="K29" s="240">
        <f t="shared" si="3"/>
        <v>0</v>
      </c>
      <c r="L29" s="240">
        <f t="shared" si="4"/>
        <v>0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0</v>
      </c>
      <c r="T29" s="248">
        <f t="shared" si="7"/>
        <v>0</v>
      </c>
      <c r="U29" s="249">
        <f t="shared" si="8"/>
        <v>0</v>
      </c>
      <c r="V29" s="249">
        <f t="shared" si="9"/>
        <v>0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276"/>
      <c r="C30" s="277"/>
      <c r="D30" s="285"/>
      <c r="E30" s="279"/>
      <c r="F30" s="220"/>
      <c r="G30" s="221">
        <f t="shared" si="0"/>
        <v>0</v>
      </c>
      <c r="H30" s="222">
        <f t="shared" si="1"/>
        <v>0</v>
      </c>
      <c r="I30" s="242"/>
      <c r="J30" s="224">
        <f t="shared" si="2"/>
        <v>0</v>
      </c>
      <c r="K30" s="221">
        <f t="shared" si="3"/>
        <v>0</v>
      </c>
      <c r="L30" s="221">
        <f t="shared" si="4"/>
        <v>0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0</v>
      </c>
      <c r="T30" s="229">
        <f t="shared" si="7"/>
        <v>0</v>
      </c>
      <c r="U30" s="230">
        <f t="shared" si="8"/>
        <v>0</v>
      </c>
      <c r="V30" s="230">
        <f t="shared" si="9"/>
        <v>0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280"/>
      <c r="C31" s="281"/>
      <c r="D31" s="282"/>
      <c r="E31" s="283"/>
      <c r="F31" s="239"/>
      <c r="G31" s="240">
        <f t="shared" si="0"/>
        <v>0</v>
      </c>
      <c r="H31" s="241">
        <f t="shared" si="1"/>
        <v>0</v>
      </c>
      <c r="I31" s="242"/>
      <c r="J31" s="243">
        <f t="shared" si="2"/>
        <v>0</v>
      </c>
      <c r="K31" s="240">
        <f t="shared" si="3"/>
        <v>0</v>
      </c>
      <c r="L31" s="240">
        <f t="shared" si="4"/>
        <v>0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0</v>
      </c>
      <c r="T31" s="248">
        <f t="shared" si="7"/>
        <v>0</v>
      </c>
      <c r="U31" s="249">
        <f t="shared" si="8"/>
        <v>0</v>
      </c>
      <c r="V31" s="249">
        <f t="shared" si="9"/>
        <v>0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276"/>
      <c r="C32" s="284"/>
      <c r="D32" s="285"/>
      <c r="E32" s="279"/>
      <c r="F32" s="220"/>
      <c r="G32" s="221">
        <f t="shared" si="0"/>
        <v>0</v>
      </c>
      <c r="H32" s="222">
        <f t="shared" si="1"/>
        <v>0</v>
      </c>
      <c r="I32" s="242"/>
      <c r="J32" s="224">
        <f t="shared" si="2"/>
        <v>0</v>
      </c>
      <c r="K32" s="221">
        <f t="shared" si="3"/>
        <v>0</v>
      </c>
      <c r="L32" s="221">
        <f t="shared" si="4"/>
        <v>0</v>
      </c>
      <c r="M32" s="220" t="s">
        <v>84</v>
      </c>
      <c r="N32" s="254">
        <v>0.5</v>
      </c>
      <c r="O32" s="226"/>
      <c r="P32" s="255"/>
      <c r="Q32" s="228"/>
      <c r="R32" s="229">
        <f t="shared" si="5"/>
        <v>0</v>
      </c>
      <c r="S32" s="229">
        <f t="shared" si="6"/>
        <v>0</v>
      </c>
      <c r="T32" s="229">
        <f t="shared" si="7"/>
        <v>0</v>
      </c>
      <c r="U32" s="230">
        <f t="shared" si="8"/>
        <v>0</v>
      </c>
      <c r="V32" s="230">
        <f t="shared" si="9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280"/>
      <c r="C33" s="281"/>
      <c r="D33" s="282"/>
      <c r="E33" s="283"/>
      <c r="F33" s="239"/>
      <c r="G33" s="240">
        <f t="shared" si="0"/>
        <v>0</v>
      </c>
      <c r="H33" s="241">
        <f t="shared" si="1"/>
        <v>0</v>
      </c>
      <c r="I33" s="242"/>
      <c r="J33" s="243">
        <f t="shared" si="2"/>
        <v>0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276"/>
      <c r="C34" s="284"/>
      <c r="D34" s="285"/>
      <c r="E34" s="279"/>
      <c r="F34" s="220"/>
      <c r="G34" s="221">
        <f t="shared" si="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>
        <v>0.5</v>
      </c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280"/>
      <c r="C35" s="281"/>
      <c r="D35" s="282"/>
      <c r="E35" s="283"/>
      <c r="F35" s="239"/>
      <c r="G35" s="240">
        <f t="shared" si="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>
        <v>0.5</v>
      </c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276"/>
      <c r="C36" s="284"/>
      <c r="D36" s="285"/>
      <c r="E36" s="279"/>
      <c r="F36" s="220"/>
      <c r="G36" s="221">
        <f t="shared" si="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280"/>
      <c r="C37" s="281"/>
      <c r="D37" s="282"/>
      <c r="E37" s="283"/>
      <c r="F37" s="239"/>
      <c r="G37" s="240">
        <f t="shared" si="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276"/>
      <c r="C38" s="284"/>
      <c r="D38" s="285"/>
      <c r="E38" s="279"/>
      <c r="F38" s="220"/>
      <c r="G38" s="221">
        <f t="shared" si="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280"/>
      <c r="C39" s="281"/>
      <c r="D39" s="282"/>
      <c r="E39" s="283"/>
      <c r="F39" s="239"/>
      <c r="G39" s="240">
        <f t="shared" si="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276"/>
      <c r="C40" s="284"/>
      <c r="D40" s="285"/>
      <c r="E40" s="279"/>
      <c r="F40" s="220"/>
      <c r="G40" s="221">
        <f t="shared" si="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280"/>
      <c r="C41" s="281"/>
      <c r="D41" s="282"/>
      <c r="E41" s="283"/>
      <c r="F41" s="239"/>
      <c r="G41" s="240">
        <f t="shared" si="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276"/>
      <c r="C42" s="284"/>
      <c r="D42" s="285"/>
      <c r="E42" s="279"/>
      <c r="F42" s="220"/>
      <c r="G42" s="221">
        <f t="shared" si="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280"/>
      <c r="C43" s="281"/>
      <c r="D43" s="282"/>
      <c r="E43" s="283"/>
      <c r="F43" s="239"/>
      <c r="G43" s="240">
        <f t="shared" si="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276"/>
      <c r="C44" s="284"/>
      <c r="D44" s="285"/>
      <c r="E44" s="279"/>
      <c r="F44" s="220"/>
      <c r="G44" s="221">
        <f t="shared" si="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280"/>
      <c r="C45" s="281"/>
      <c r="D45" s="282"/>
      <c r="E45" s="283"/>
      <c r="F45" s="239"/>
      <c r="G45" s="240">
        <f t="shared" si="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276"/>
      <c r="C46" s="284"/>
      <c r="D46" s="285"/>
      <c r="E46" s="279"/>
      <c r="F46" s="220"/>
      <c r="G46" s="221">
        <f t="shared" si="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280"/>
      <c r="C47" s="281"/>
      <c r="D47" s="282"/>
      <c r="E47" s="283"/>
      <c r="F47" s="239"/>
      <c r="G47" s="240">
        <f t="shared" si="0"/>
        <v>0</v>
      </c>
      <c r="H47" s="241">
        <f t="shared" si="1"/>
        <v>0</v>
      </c>
      <c r="I47" s="242"/>
      <c r="J47" s="243">
        <f t="shared" si="2"/>
        <v>0</v>
      </c>
      <c r="K47" s="240">
        <f t="shared" si="3"/>
        <v>0</v>
      </c>
      <c r="L47" s="240">
        <f t="shared" si="4"/>
        <v>0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0</v>
      </c>
      <c r="T47" s="248">
        <f t="shared" si="7"/>
        <v>0</v>
      </c>
      <c r="U47" s="249">
        <f t="shared" si="8"/>
        <v>0</v>
      </c>
      <c r="V47" s="249">
        <f t="shared" si="9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276"/>
      <c r="C48" s="284"/>
      <c r="D48" s="285"/>
      <c r="E48" s="279"/>
      <c r="F48" s="220"/>
      <c r="G48" s="221">
        <f t="shared" si="0"/>
        <v>0</v>
      </c>
      <c r="H48" s="222">
        <f t="shared" si="1"/>
        <v>0</v>
      </c>
      <c r="I48" s="242"/>
      <c r="J48" s="224">
        <f t="shared" si="2"/>
        <v>0</v>
      </c>
      <c r="K48" s="221">
        <f t="shared" si="3"/>
        <v>0</v>
      </c>
      <c r="L48" s="221">
        <f t="shared" si="4"/>
        <v>0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0</v>
      </c>
      <c r="T48" s="229">
        <f t="shared" si="7"/>
        <v>0</v>
      </c>
      <c r="U48" s="230">
        <f t="shared" si="8"/>
        <v>0</v>
      </c>
      <c r="V48" s="230">
        <f t="shared" si="9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280"/>
      <c r="C49" s="281"/>
      <c r="D49" s="282"/>
      <c r="E49" s="283"/>
      <c r="F49" s="239"/>
      <c r="G49" s="240">
        <f t="shared" si="0"/>
        <v>0</v>
      </c>
      <c r="H49" s="241">
        <f t="shared" si="1"/>
        <v>0</v>
      </c>
      <c r="I49" s="242"/>
      <c r="J49" s="243">
        <f t="shared" si="2"/>
        <v>0</v>
      </c>
      <c r="K49" s="240">
        <f t="shared" si="3"/>
        <v>0</v>
      </c>
      <c r="L49" s="240">
        <f t="shared" si="4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0</v>
      </c>
      <c r="T49" s="248">
        <f t="shared" si="7"/>
        <v>0</v>
      </c>
      <c r="U49" s="249">
        <f t="shared" si="8"/>
        <v>0</v>
      </c>
      <c r="V49" s="249">
        <f t="shared" si="9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276"/>
      <c r="C50" s="284"/>
      <c r="D50" s="285"/>
      <c r="E50" s="279"/>
      <c r="F50" s="220"/>
      <c r="G50" s="221">
        <f t="shared" si="0"/>
        <v>0</v>
      </c>
      <c r="H50" s="222">
        <f t="shared" si="1"/>
        <v>0</v>
      </c>
      <c r="I50" s="242"/>
      <c r="J50" s="224">
        <f t="shared" si="2"/>
        <v>0</v>
      </c>
      <c r="K50" s="221">
        <f t="shared" si="3"/>
        <v>0</v>
      </c>
      <c r="L50" s="221">
        <f t="shared" si="4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0</v>
      </c>
      <c r="T50" s="229">
        <f t="shared" si="7"/>
        <v>0</v>
      </c>
      <c r="U50" s="230">
        <f t="shared" si="8"/>
        <v>0</v>
      </c>
      <c r="V50" s="230">
        <f t="shared" si="9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280"/>
      <c r="C51" s="281"/>
      <c r="D51" s="282"/>
      <c r="E51" s="283"/>
      <c r="F51" s="239"/>
      <c r="G51" s="240">
        <f t="shared" si="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18</v>
      </c>
      <c r="F61" s="265">
        <f>SUM(F18:F60)</f>
        <v>2397.8200000000002</v>
      </c>
      <c r="G61" s="266">
        <f>SUM(G18:G60)</f>
        <v>1688.6</v>
      </c>
      <c r="H61" s="267">
        <f>SUM(H18:H60)</f>
        <v>7583.75</v>
      </c>
      <c r="I61" s="268"/>
      <c r="J61" s="269">
        <f>SUM(J18:J60)</f>
        <v>18</v>
      </c>
      <c r="K61" s="266">
        <f>SUM(K18:K60)</f>
        <v>1952.8400000000001</v>
      </c>
      <c r="L61" s="267">
        <f>SUM(L18:L60)</f>
        <v>6956.5700000000006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1952.8400000000001</v>
      </c>
      <c r="T61" s="267">
        <f>SUM(T18:T60)</f>
        <v>6956.5700000000006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19" priority="3" stopIfTrue="1">
      <formula>$U$9&gt;100%</formula>
    </cfRule>
    <cfRule type="expression" dxfId="118" priority="4">
      <formula>$U$9&lt;50%</formula>
    </cfRule>
  </conditionalFormatting>
  <conditionalFormatting sqref="V9:V10">
    <cfRule type="expression" dxfId="117" priority="1">
      <formula>$V$9&lt;50%</formula>
    </cfRule>
    <cfRule type="expression" dxfId="116" priority="2">
      <formula>$V$9&gt;50%</formula>
    </cfRule>
  </conditionalFormatting>
  <dataValidations count="5">
    <dataValidation type="list" allowBlank="1" showInputMessage="1" showErrorMessage="1" sqref="M18:M60" xr:uid="{DB06EDD6-6730-4E90-BBDC-FEFD2E4FB8FE}">
      <formula1>$Y$31:$Y$32</formula1>
    </dataValidation>
    <dataValidation type="list" showInputMessage="1" showErrorMessage="1" sqref="D52:D60 D18:D26" xr:uid="{91B1DD0E-51F2-4996-B402-B050F4DF7676}">
      <formula1>$Z$18:$Z$29</formula1>
    </dataValidation>
    <dataValidation type="list" allowBlank="1" showInputMessage="1" showErrorMessage="1" sqref="I13" xr:uid="{274C1D85-6420-4093-B225-B74BDF6B5842}">
      <formula1>$K$9:$K$9</formula1>
    </dataValidation>
    <dataValidation type="list" allowBlank="1" showInputMessage="1" showErrorMessage="1" sqref="H13" xr:uid="{C498BEF0-5E98-4918-BF05-4C7A358F8662}">
      <formula1>$Y$13:$Y$14</formula1>
    </dataValidation>
    <dataValidation type="list" allowBlank="1" showInputMessage="1" showErrorMessage="1" sqref="F17 K17 Q17 Q14" xr:uid="{C9E52A4B-9950-4BB4-BEE7-F8C394412B0C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5275D-9B91-420B-A1B5-3AE0BAE7D10C}">
  <sheetPr>
    <pageSetUpPr fitToPage="1"/>
  </sheetPr>
  <dimension ref="A1:AB63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523" t="s">
        <v>2</v>
      </c>
      <c r="I1" s="524"/>
      <c r="J1" s="524"/>
      <c r="K1" s="525"/>
      <c r="L1" s="528" t="s">
        <v>3</v>
      </c>
      <c r="M1" s="529"/>
      <c r="N1" s="529"/>
      <c r="O1" s="529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59">
        <v>434641</v>
      </c>
      <c r="G2" s="549"/>
      <c r="H2" s="546" t="s">
        <v>7</v>
      </c>
      <c r="I2" s="550"/>
      <c r="J2" s="547"/>
      <c r="K2" s="148"/>
      <c r="L2" s="551" t="s">
        <v>8</v>
      </c>
      <c r="M2" s="552"/>
      <c r="N2" s="553"/>
      <c r="O2" s="149"/>
      <c r="P2" s="554">
        <f>H61</f>
        <v>7583.75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532" t="s">
        <v>13</v>
      </c>
      <c r="I3" s="536"/>
      <c r="J3" s="533"/>
      <c r="K3" s="154"/>
      <c r="L3" s="537" t="s">
        <v>14</v>
      </c>
      <c r="M3" s="538"/>
      <c r="N3" s="539"/>
      <c r="O3" s="149"/>
      <c r="P3" s="540">
        <f>L61</f>
        <v>6956.5700000000006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665" t="s">
        <v>289</v>
      </c>
      <c r="G4" s="666"/>
      <c r="H4" s="532" t="s">
        <v>19</v>
      </c>
      <c r="I4" s="536"/>
      <c r="J4" s="533"/>
      <c r="K4" s="154"/>
      <c r="L4" s="537" t="s">
        <v>20</v>
      </c>
      <c r="M4" s="538"/>
      <c r="N4" s="539"/>
      <c r="O4" s="149"/>
      <c r="P4" s="540">
        <f>P2-P3</f>
        <v>627.17999999999938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667">
        <v>10054</v>
      </c>
      <c r="G5" s="666"/>
      <c r="H5" s="532" t="s">
        <v>25</v>
      </c>
      <c r="I5" s="536"/>
      <c r="J5" s="533"/>
      <c r="K5" s="154"/>
      <c r="L5" s="558" t="s">
        <v>26</v>
      </c>
      <c r="M5" s="559"/>
      <c r="N5" s="560"/>
      <c r="O5" s="149"/>
      <c r="P5" s="561">
        <f>IFERROR((P2-P3)/P2,"")</f>
        <v>8.2700510960936127E-2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69" t="s">
        <v>388</v>
      </c>
      <c r="G6" s="666"/>
      <c r="H6" s="532" t="s">
        <v>31</v>
      </c>
      <c r="I6" s="536"/>
      <c r="J6" s="533"/>
      <c r="K6" s="154"/>
      <c r="L6" s="574" t="s">
        <v>32</v>
      </c>
      <c r="M6" s="575"/>
      <c r="N6" s="576"/>
      <c r="O6" s="149"/>
      <c r="P6" s="577">
        <f>T61</f>
        <v>6956.5700000000006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563"/>
      <c r="G7" s="535"/>
      <c r="H7" s="532" t="s">
        <v>36</v>
      </c>
      <c r="I7" s="536"/>
      <c r="J7" s="533"/>
      <c r="K7" s="154"/>
      <c r="L7" s="564" t="s">
        <v>37</v>
      </c>
      <c r="M7" s="565"/>
      <c r="N7" s="56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532" t="s">
        <v>40</v>
      </c>
      <c r="I8" s="536"/>
      <c r="J8" s="533"/>
      <c r="K8" s="154"/>
      <c r="L8" s="564" t="s">
        <v>41</v>
      </c>
      <c r="M8" s="565"/>
      <c r="N8" s="56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378</v>
      </c>
      <c r="G9" s="535"/>
      <c r="H9" s="171"/>
      <c r="I9" s="172"/>
      <c r="J9" s="172"/>
      <c r="K9" s="173"/>
      <c r="L9" s="564" t="s">
        <v>47</v>
      </c>
      <c r="M9" s="565"/>
      <c r="N9" s="56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6956.5700000000006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542" t="s">
        <v>48</v>
      </c>
      <c r="M10" s="579"/>
      <c r="N10" s="543"/>
      <c r="O10" s="149"/>
      <c r="P10" s="580">
        <f>E61</f>
        <v>18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650" t="s">
        <v>50</v>
      </c>
      <c r="K11" s="651"/>
      <c r="L11" s="651"/>
      <c r="M11" s="651"/>
      <c r="N11" s="652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653"/>
      <c r="K12" s="654"/>
      <c r="L12" s="654"/>
      <c r="M12" s="654"/>
      <c r="N12" s="655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656"/>
      <c r="K13" s="657"/>
      <c r="L13" s="657"/>
      <c r="M13" s="657"/>
      <c r="N13" s="658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601" t="s">
        <v>59</v>
      </c>
      <c r="K14" s="602"/>
      <c r="L14" s="605" t="s">
        <v>60</v>
      </c>
      <c r="M14" s="606"/>
      <c r="N14" s="60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603"/>
      <c r="K15" s="604"/>
      <c r="L15" s="608"/>
      <c r="M15" s="609"/>
      <c r="N15" s="61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631" t="s">
        <v>69</v>
      </c>
      <c r="K16" s="201" t="s">
        <v>72</v>
      </c>
      <c r="L16" s="202" t="s">
        <v>73</v>
      </c>
      <c r="M16" s="633" t="s">
        <v>74</v>
      </c>
      <c r="N16" s="633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8"/>
      <c r="C17" s="678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632"/>
      <c r="K17" s="614" t="s">
        <v>52</v>
      </c>
      <c r="L17" s="615"/>
      <c r="M17" s="634"/>
      <c r="N17" s="634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>
        <v>8036204</v>
      </c>
      <c r="C18" s="293" t="s">
        <v>290</v>
      </c>
      <c r="D18" s="295"/>
      <c r="E18" s="80">
        <v>1</v>
      </c>
      <c r="F18" s="81">
        <v>11.62</v>
      </c>
      <c r="G18" s="221">
        <f t="shared" ref="G18:G60" si="0">ROUND(IF($F$17="USD $", F18*$E$15,F18*$D$15),2)</f>
        <v>8.18</v>
      </c>
      <c r="H18" s="222">
        <f t="shared" ref="H18:H60" si="1">ROUND(IF($H$17=$G$17,E18*G18,E18*F18),2)</f>
        <v>11.62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4.42</v>
      </c>
      <c r="L18" s="221">
        <f t="shared" ref="L18:L60" si="4">ROUND((J18*K18),2)</f>
        <v>4.42</v>
      </c>
      <c r="M18" s="220" t="s">
        <v>84</v>
      </c>
      <c r="N18" s="225">
        <v>0.62</v>
      </c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4.42</v>
      </c>
      <c r="T18" s="229">
        <f t="shared" ref="T18:T60" si="7">ROUND(L18-R18,2)</f>
        <v>4.42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294">
        <v>70022846</v>
      </c>
      <c r="C19" s="291" t="s">
        <v>291</v>
      </c>
      <c r="D19" s="296"/>
      <c r="E19" s="97">
        <v>1</v>
      </c>
      <c r="F19" s="98">
        <v>106.5</v>
      </c>
      <c r="G19" s="240">
        <f t="shared" si="0"/>
        <v>75</v>
      </c>
      <c r="H19" s="241">
        <f t="shared" si="1"/>
        <v>106.5</v>
      </c>
      <c r="I19" s="242"/>
      <c r="J19" s="243">
        <f t="shared" si="2"/>
        <v>1</v>
      </c>
      <c r="K19" s="240">
        <f t="shared" si="3"/>
        <v>40.47</v>
      </c>
      <c r="L19" s="240">
        <f t="shared" si="4"/>
        <v>40.47</v>
      </c>
      <c r="M19" s="244" t="s">
        <v>84</v>
      </c>
      <c r="N19" s="245">
        <v>0.62</v>
      </c>
      <c r="O19" s="226"/>
      <c r="P19" s="246"/>
      <c r="Q19" s="239"/>
      <c r="R19" s="247">
        <f t="shared" si="5"/>
        <v>0</v>
      </c>
      <c r="S19" s="248">
        <f t="shared" si="6"/>
        <v>40.47</v>
      </c>
      <c r="T19" s="248">
        <f t="shared" si="7"/>
        <v>40.47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292">
        <v>70023812</v>
      </c>
      <c r="C20" s="292" t="s">
        <v>292</v>
      </c>
      <c r="D20" s="297"/>
      <c r="E20" s="80">
        <v>1</v>
      </c>
      <c r="F20" s="81">
        <v>122.73</v>
      </c>
      <c r="G20" s="221">
        <f t="shared" si="0"/>
        <v>86.43</v>
      </c>
      <c r="H20" s="222">
        <f t="shared" si="1"/>
        <v>122.73</v>
      </c>
      <c r="I20" s="242"/>
      <c r="J20" s="224">
        <f t="shared" si="2"/>
        <v>1</v>
      </c>
      <c r="K20" s="221">
        <f t="shared" si="3"/>
        <v>46.64</v>
      </c>
      <c r="L20" s="221">
        <f t="shared" si="4"/>
        <v>46.64</v>
      </c>
      <c r="M20" s="220" t="s">
        <v>84</v>
      </c>
      <c r="N20" s="254">
        <v>0.62</v>
      </c>
      <c r="O20" s="226"/>
      <c r="P20" s="255"/>
      <c r="Q20" s="228"/>
      <c r="R20" s="229">
        <f t="shared" si="5"/>
        <v>0</v>
      </c>
      <c r="S20" s="229">
        <f t="shared" si="6"/>
        <v>46.64</v>
      </c>
      <c r="T20" s="229">
        <f t="shared" si="7"/>
        <v>46.64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294">
        <v>70024284</v>
      </c>
      <c r="C21" s="294" t="s">
        <v>293</v>
      </c>
      <c r="D21" s="296"/>
      <c r="E21" s="97">
        <v>1</v>
      </c>
      <c r="F21" s="98">
        <v>115.02</v>
      </c>
      <c r="G21" s="240">
        <f t="shared" si="0"/>
        <v>81</v>
      </c>
      <c r="H21" s="241">
        <f t="shared" si="1"/>
        <v>115.02</v>
      </c>
      <c r="I21" s="242"/>
      <c r="J21" s="243">
        <f t="shared" si="2"/>
        <v>1</v>
      </c>
      <c r="K21" s="240">
        <f t="shared" si="3"/>
        <v>43.71</v>
      </c>
      <c r="L21" s="240">
        <f t="shared" si="4"/>
        <v>43.71</v>
      </c>
      <c r="M21" s="244" t="s">
        <v>84</v>
      </c>
      <c r="N21" s="245">
        <v>0.62</v>
      </c>
      <c r="O21" s="226"/>
      <c r="P21" s="246"/>
      <c r="Q21" s="239"/>
      <c r="R21" s="247">
        <f t="shared" si="5"/>
        <v>0</v>
      </c>
      <c r="S21" s="248">
        <f t="shared" si="6"/>
        <v>43.71</v>
      </c>
      <c r="T21" s="248">
        <f t="shared" si="7"/>
        <v>43.71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292">
        <v>70022846</v>
      </c>
      <c r="C22" s="292" t="s">
        <v>294</v>
      </c>
      <c r="D22" s="297"/>
      <c r="E22" s="80">
        <v>1</v>
      </c>
      <c r="F22" s="81">
        <v>106.5</v>
      </c>
      <c r="G22" s="221">
        <f t="shared" si="0"/>
        <v>75</v>
      </c>
      <c r="H22" s="222">
        <f t="shared" si="1"/>
        <v>106.5</v>
      </c>
      <c r="I22" s="242"/>
      <c r="J22" s="224">
        <f t="shared" si="2"/>
        <v>1</v>
      </c>
      <c r="K22" s="221">
        <f t="shared" si="3"/>
        <v>40.47</v>
      </c>
      <c r="L22" s="221">
        <f t="shared" si="4"/>
        <v>40.47</v>
      </c>
      <c r="M22" s="220" t="s">
        <v>84</v>
      </c>
      <c r="N22" s="254">
        <v>0.62</v>
      </c>
      <c r="O22" s="226"/>
      <c r="P22" s="255"/>
      <c r="Q22" s="228"/>
      <c r="R22" s="229">
        <f t="shared" si="5"/>
        <v>0</v>
      </c>
      <c r="S22" s="229">
        <f t="shared" si="6"/>
        <v>40.47</v>
      </c>
      <c r="T22" s="229">
        <f t="shared" si="7"/>
        <v>40.47</v>
      </c>
      <c r="U22" s="230">
        <f t="shared" si="8"/>
        <v>0</v>
      </c>
      <c r="V22" s="230">
        <f t="shared" si="9"/>
        <v>1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294">
        <v>70024177</v>
      </c>
      <c r="C23" s="294" t="s">
        <v>92</v>
      </c>
      <c r="D23" s="296"/>
      <c r="E23" s="97">
        <v>1</v>
      </c>
      <c r="F23" s="98">
        <v>126.52</v>
      </c>
      <c r="G23" s="240">
        <f t="shared" si="0"/>
        <v>89.1</v>
      </c>
      <c r="H23" s="241">
        <f t="shared" si="1"/>
        <v>126.52</v>
      </c>
      <c r="I23" s="242"/>
      <c r="J23" s="243">
        <f t="shared" si="2"/>
        <v>1</v>
      </c>
      <c r="K23" s="240">
        <f t="shared" si="3"/>
        <v>48.08</v>
      </c>
      <c r="L23" s="240">
        <f t="shared" si="4"/>
        <v>48.08</v>
      </c>
      <c r="M23" s="244" t="s">
        <v>84</v>
      </c>
      <c r="N23" s="245">
        <v>0.62</v>
      </c>
      <c r="O23" s="226"/>
      <c r="P23" s="246"/>
      <c r="Q23" s="239"/>
      <c r="R23" s="247">
        <f t="shared" si="5"/>
        <v>0</v>
      </c>
      <c r="S23" s="248">
        <f t="shared" si="6"/>
        <v>48.08</v>
      </c>
      <c r="T23" s="248">
        <f t="shared" si="7"/>
        <v>48.08</v>
      </c>
      <c r="U23" s="249">
        <f t="shared" si="8"/>
        <v>0</v>
      </c>
      <c r="V23" s="249">
        <f t="shared" si="9"/>
        <v>1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292">
        <v>8320265</v>
      </c>
      <c r="C24" s="292" t="s">
        <v>295</v>
      </c>
      <c r="D24" s="297"/>
      <c r="E24" s="80">
        <v>1</v>
      </c>
      <c r="F24" s="81">
        <v>70.06</v>
      </c>
      <c r="G24" s="221">
        <f t="shared" si="0"/>
        <v>49.34</v>
      </c>
      <c r="H24" s="222">
        <f t="shared" si="1"/>
        <v>70.06</v>
      </c>
      <c r="I24" s="242"/>
      <c r="J24" s="224">
        <f t="shared" si="2"/>
        <v>1</v>
      </c>
      <c r="K24" s="221">
        <f t="shared" si="3"/>
        <v>26.62</v>
      </c>
      <c r="L24" s="221">
        <f t="shared" si="4"/>
        <v>26.62</v>
      </c>
      <c r="M24" s="220" t="s">
        <v>84</v>
      </c>
      <c r="N24" s="254">
        <v>0.62</v>
      </c>
      <c r="O24" s="226"/>
      <c r="P24" s="255"/>
      <c r="Q24" s="228"/>
      <c r="R24" s="229">
        <f t="shared" si="5"/>
        <v>0</v>
      </c>
      <c r="S24" s="229">
        <f t="shared" si="6"/>
        <v>26.62</v>
      </c>
      <c r="T24" s="229">
        <f t="shared" si="7"/>
        <v>26.62</v>
      </c>
      <c r="U24" s="230">
        <f t="shared" si="8"/>
        <v>0</v>
      </c>
      <c r="V24" s="230">
        <f t="shared" si="9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 s="294">
        <v>7139077</v>
      </c>
      <c r="C25" s="294" t="s">
        <v>296</v>
      </c>
      <c r="D25" s="296"/>
      <c r="E25" s="97">
        <v>1</v>
      </c>
      <c r="F25" s="98">
        <v>58.82</v>
      </c>
      <c r="G25" s="240">
        <f t="shared" si="0"/>
        <v>41.42</v>
      </c>
      <c r="H25" s="241">
        <f t="shared" si="1"/>
        <v>58.82</v>
      </c>
      <c r="I25" s="242"/>
      <c r="J25" s="243">
        <f t="shared" si="2"/>
        <v>1</v>
      </c>
      <c r="K25" s="240">
        <f t="shared" si="3"/>
        <v>58.82</v>
      </c>
      <c r="L25" s="240">
        <f t="shared" si="4"/>
        <v>58.82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58.82</v>
      </c>
      <c r="T25" s="248">
        <f t="shared" si="7"/>
        <v>58.82</v>
      </c>
      <c r="U25" s="249">
        <f t="shared" si="8"/>
        <v>0</v>
      </c>
      <c r="V25" s="249">
        <f t="shared" si="9"/>
        <v>1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 s="292">
        <v>1319726</v>
      </c>
      <c r="C26" s="292" t="s">
        <v>297</v>
      </c>
      <c r="D26" s="297"/>
      <c r="E26" s="80">
        <v>6</v>
      </c>
      <c r="F26" s="81">
        <v>72.89</v>
      </c>
      <c r="G26" s="221">
        <f t="shared" si="0"/>
        <v>51.33</v>
      </c>
      <c r="H26" s="222">
        <f t="shared" si="1"/>
        <v>437.34</v>
      </c>
      <c r="I26" s="242"/>
      <c r="J26" s="224">
        <f t="shared" si="2"/>
        <v>6</v>
      </c>
      <c r="K26" s="221">
        <f t="shared" si="3"/>
        <v>36.450000000000003</v>
      </c>
      <c r="L26" s="221">
        <f t="shared" si="4"/>
        <v>218.7</v>
      </c>
      <c r="M26" s="220" t="s">
        <v>84</v>
      </c>
      <c r="N26" s="254">
        <v>0.5</v>
      </c>
      <c r="O26" s="226"/>
      <c r="P26" s="255"/>
      <c r="Q26" s="228"/>
      <c r="R26" s="229">
        <f t="shared" si="5"/>
        <v>0</v>
      </c>
      <c r="S26" s="229">
        <f t="shared" si="6"/>
        <v>36.450000000000003</v>
      </c>
      <c r="T26" s="229">
        <f t="shared" si="7"/>
        <v>218.7</v>
      </c>
      <c r="U26" s="230">
        <f t="shared" si="8"/>
        <v>0</v>
      </c>
      <c r="V26" s="230">
        <f t="shared" si="9"/>
        <v>1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294">
        <v>70024588</v>
      </c>
      <c r="C27" s="294" t="s">
        <v>298</v>
      </c>
      <c r="D27" s="300"/>
      <c r="E27" s="283">
        <v>4</v>
      </c>
      <c r="F27" s="239">
        <v>1607.16</v>
      </c>
      <c r="G27" s="240">
        <f t="shared" si="0"/>
        <v>1131.8</v>
      </c>
      <c r="H27" s="241">
        <f t="shared" si="1"/>
        <v>6428.64</v>
      </c>
      <c r="I27" s="242"/>
      <c r="J27" s="243">
        <f t="shared" si="2"/>
        <v>4</v>
      </c>
      <c r="K27" s="240">
        <f t="shared" si="3"/>
        <v>1607.16</v>
      </c>
      <c r="L27" s="240">
        <f t="shared" si="4"/>
        <v>6428.64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1607.16</v>
      </c>
      <c r="T27" s="248">
        <f t="shared" si="7"/>
        <v>6428.64</v>
      </c>
      <c r="U27" s="249">
        <f t="shared" si="8"/>
        <v>0</v>
      </c>
      <c r="V27" s="249">
        <f t="shared" si="9"/>
        <v>1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298"/>
      <c r="C28" s="298"/>
      <c r="D28" s="301"/>
      <c r="E28" s="279"/>
      <c r="F28" s="220"/>
      <c r="G28" s="221">
        <f t="shared" si="0"/>
        <v>0</v>
      </c>
      <c r="H28" s="222">
        <f t="shared" si="1"/>
        <v>0</v>
      </c>
      <c r="I28" s="242"/>
      <c r="J28" s="224">
        <f t="shared" si="2"/>
        <v>0</v>
      </c>
      <c r="K28" s="221">
        <f t="shared" si="3"/>
        <v>0</v>
      </c>
      <c r="L28" s="221">
        <f t="shared" si="4"/>
        <v>0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0</v>
      </c>
      <c r="T28" s="229">
        <f t="shared" si="7"/>
        <v>0</v>
      </c>
      <c r="U28" s="230">
        <f t="shared" si="8"/>
        <v>0</v>
      </c>
      <c r="V28" s="230">
        <f t="shared" si="9"/>
        <v>0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299"/>
      <c r="C29" s="299"/>
      <c r="D29" s="300"/>
      <c r="E29" s="283"/>
      <c r="F29" s="239"/>
      <c r="G29" s="240">
        <f t="shared" si="0"/>
        <v>0</v>
      </c>
      <c r="H29" s="241">
        <f t="shared" si="1"/>
        <v>0</v>
      </c>
      <c r="I29" s="242"/>
      <c r="J29" s="243">
        <f t="shared" si="2"/>
        <v>0</v>
      </c>
      <c r="K29" s="240">
        <f t="shared" si="3"/>
        <v>0</v>
      </c>
      <c r="L29" s="240">
        <f t="shared" si="4"/>
        <v>0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0</v>
      </c>
      <c r="T29" s="248">
        <f t="shared" si="7"/>
        <v>0</v>
      </c>
      <c r="U29" s="249">
        <f t="shared" si="8"/>
        <v>0</v>
      </c>
      <c r="V29" s="249">
        <f t="shared" si="9"/>
        <v>0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276"/>
      <c r="C30" s="277"/>
      <c r="D30" s="285"/>
      <c r="E30" s="279"/>
      <c r="F30" s="220"/>
      <c r="G30" s="221">
        <f t="shared" si="0"/>
        <v>0</v>
      </c>
      <c r="H30" s="222">
        <f t="shared" si="1"/>
        <v>0</v>
      </c>
      <c r="I30" s="242"/>
      <c r="J30" s="224">
        <f t="shared" si="2"/>
        <v>0</v>
      </c>
      <c r="K30" s="221">
        <f t="shared" si="3"/>
        <v>0</v>
      </c>
      <c r="L30" s="221">
        <f t="shared" si="4"/>
        <v>0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0</v>
      </c>
      <c r="T30" s="229">
        <f t="shared" si="7"/>
        <v>0</v>
      </c>
      <c r="U30" s="230">
        <f t="shared" si="8"/>
        <v>0</v>
      </c>
      <c r="V30" s="230">
        <f t="shared" si="9"/>
        <v>0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280"/>
      <c r="C31" s="281"/>
      <c r="D31" s="282"/>
      <c r="E31" s="283"/>
      <c r="F31" s="239"/>
      <c r="G31" s="240">
        <f t="shared" si="0"/>
        <v>0</v>
      </c>
      <c r="H31" s="241">
        <f t="shared" si="1"/>
        <v>0</v>
      </c>
      <c r="I31" s="242"/>
      <c r="J31" s="243">
        <f t="shared" si="2"/>
        <v>0</v>
      </c>
      <c r="K31" s="240">
        <f t="shared" si="3"/>
        <v>0</v>
      </c>
      <c r="L31" s="240">
        <f t="shared" si="4"/>
        <v>0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0</v>
      </c>
      <c r="T31" s="248">
        <f t="shared" si="7"/>
        <v>0</v>
      </c>
      <c r="U31" s="249">
        <f t="shared" si="8"/>
        <v>0</v>
      </c>
      <c r="V31" s="249">
        <f t="shared" si="9"/>
        <v>0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276"/>
      <c r="C32" s="284"/>
      <c r="D32" s="285"/>
      <c r="E32" s="279"/>
      <c r="F32" s="220"/>
      <c r="G32" s="221">
        <f t="shared" si="0"/>
        <v>0</v>
      </c>
      <c r="H32" s="222">
        <f t="shared" si="1"/>
        <v>0</v>
      </c>
      <c r="I32" s="242"/>
      <c r="J32" s="224">
        <f t="shared" si="2"/>
        <v>0</v>
      </c>
      <c r="K32" s="221">
        <f t="shared" si="3"/>
        <v>0</v>
      </c>
      <c r="L32" s="221">
        <f t="shared" si="4"/>
        <v>0</v>
      </c>
      <c r="M32" s="220" t="s">
        <v>84</v>
      </c>
      <c r="N32" s="254">
        <v>0.5</v>
      </c>
      <c r="O32" s="226"/>
      <c r="P32" s="255"/>
      <c r="Q32" s="228"/>
      <c r="R32" s="229">
        <f t="shared" si="5"/>
        <v>0</v>
      </c>
      <c r="S32" s="229">
        <f t="shared" si="6"/>
        <v>0</v>
      </c>
      <c r="T32" s="229">
        <f t="shared" si="7"/>
        <v>0</v>
      </c>
      <c r="U32" s="230">
        <f t="shared" si="8"/>
        <v>0</v>
      </c>
      <c r="V32" s="230">
        <f t="shared" si="9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280"/>
      <c r="C33" s="281"/>
      <c r="D33" s="282"/>
      <c r="E33" s="283"/>
      <c r="F33" s="239"/>
      <c r="G33" s="240">
        <f t="shared" si="0"/>
        <v>0</v>
      </c>
      <c r="H33" s="241">
        <f t="shared" si="1"/>
        <v>0</v>
      </c>
      <c r="I33" s="242"/>
      <c r="J33" s="243">
        <f t="shared" si="2"/>
        <v>0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276"/>
      <c r="C34" s="284"/>
      <c r="D34" s="285"/>
      <c r="E34" s="279"/>
      <c r="F34" s="220"/>
      <c r="G34" s="221">
        <f t="shared" si="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>
        <v>0.5</v>
      </c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280"/>
      <c r="C35" s="281"/>
      <c r="D35" s="282"/>
      <c r="E35" s="283"/>
      <c r="F35" s="239"/>
      <c r="G35" s="240">
        <f t="shared" si="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>
        <v>0.5</v>
      </c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276"/>
      <c r="C36" s="284"/>
      <c r="D36" s="285"/>
      <c r="E36" s="279"/>
      <c r="F36" s="220"/>
      <c r="G36" s="221">
        <f t="shared" si="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280"/>
      <c r="C37" s="281"/>
      <c r="D37" s="282"/>
      <c r="E37" s="283"/>
      <c r="F37" s="239"/>
      <c r="G37" s="240">
        <f t="shared" si="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276"/>
      <c r="C38" s="284"/>
      <c r="D38" s="285"/>
      <c r="E38" s="279"/>
      <c r="F38" s="220"/>
      <c r="G38" s="221">
        <f t="shared" si="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280"/>
      <c r="C39" s="281"/>
      <c r="D39" s="282"/>
      <c r="E39" s="283"/>
      <c r="F39" s="239"/>
      <c r="G39" s="240">
        <f t="shared" si="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276"/>
      <c r="C40" s="284"/>
      <c r="D40" s="285"/>
      <c r="E40" s="279"/>
      <c r="F40" s="220"/>
      <c r="G40" s="221">
        <f t="shared" si="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280"/>
      <c r="C41" s="281"/>
      <c r="D41" s="282"/>
      <c r="E41" s="283"/>
      <c r="F41" s="239"/>
      <c r="G41" s="240">
        <f t="shared" si="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276"/>
      <c r="C42" s="284"/>
      <c r="D42" s="285"/>
      <c r="E42" s="279"/>
      <c r="F42" s="220"/>
      <c r="G42" s="221">
        <f t="shared" si="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280"/>
      <c r="C43" s="281"/>
      <c r="D43" s="282"/>
      <c r="E43" s="283"/>
      <c r="F43" s="239"/>
      <c r="G43" s="240">
        <f t="shared" si="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276"/>
      <c r="C44" s="284"/>
      <c r="D44" s="285"/>
      <c r="E44" s="279"/>
      <c r="F44" s="220"/>
      <c r="G44" s="221">
        <f t="shared" si="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280"/>
      <c r="C45" s="281"/>
      <c r="D45" s="282"/>
      <c r="E45" s="283"/>
      <c r="F45" s="239"/>
      <c r="G45" s="240">
        <f t="shared" si="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276"/>
      <c r="C46" s="284"/>
      <c r="D46" s="285"/>
      <c r="E46" s="279"/>
      <c r="F46" s="220"/>
      <c r="G46" s="221">
        <f t="shared" si="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280"/>
      <c r="C47" s="281"/>
      <c r="D47" s="282"/>
      <c r="E47" s="283"/>
      <c r="F47" s="239"/>
      <c r="G47" s="240">
        <f t="shared" si="0"/>
        <v>0</v>
      </c>
      <c r="H47" s="241">
        <f t="shared" si="1"/>
        <v>0</v>
      </c>
      <c r="I47" s="242"/>
      <c r="J47" s="243">
        <f t="shared" si="2"/>
        <v>0</v>
      </c>
      <c r="K47" s="240">
        <f t="shared" si="3"/>
        <v>0</v>
      </c>
      <c r="L47" s="240">
        <f t="shared" si="4"/>
        <v>0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0</v>
      </c>
      <c r="T47" s="248">
        <f t="shared" si="7"/>
        <v>0</v>
      </c>
      <c r="U47" s="249">
        <f t="shared" si="8"/>
        <v>0</v>
      </c>
      <c r="V47" s="249">
        <f t="shared" si="9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276"/>
      <c r="C48" s="284"/>
      <c r="D48" s="285"/>
      <c r="E48" s="279"/>
      <c r="F48" s="220"/>
      <c r="G48" s="221">
        <f t="shared" si="0"/>
        <v>0</v>
      </c>
      <c r="H48" s="222">
        <f t="shared" si="1"/>
        <v>0</v>
      </c>
      <c r="I48" s="242"/>
      <c r="J48" s="224">
        <f t="shared" si="2"/>
        <v>0</v>
      </c>
      <c r="K48" s="221">
        <f t="shared" si="3"/>
        <v>0</v>
      </c>
      <c r="L48" s="221">
        <f t="shared" si="4"/>
        <v>0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0</v>
      </c>
      <c r="T48" s="229">
        <f t="shared" si="7"/>
        <v>0</v>
      </c>
      <c r="U48" s="230">
        <f t="shared" si="8"/>
        <v>0</v>
      </c>
      <c r="V48" s="230">
        <f t="shared" si="9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280"/>
      <c r="C49" s="281"/>
      <c r="D49" s="282"/>
      <c r="E49" s="283"/>
      <c r="F49" s="239"/>
      <c r="G49" s="240">
        <f t="shared" si="0"/>
        <v>0</v>
      </c>
      <c r="H49" s="241">
        <f t="shared" si="1"/>
        <v>0</v>
      </c>
      <c r="I49" s="242"/>
      <c r="J49" s="243">
        <f t="shared" si="2"/>
        <v>0</v>
      </c>
      <c r="K49" s="240">
        <f t="shared" si="3"/>
        <v>0</v>
      </c>
      <c r="L49" s="240">
        <f t="shared" si="4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0</v>
      </c>
      <c r="T49" s="248">
        <f t="shared" si="7"/>
        <v>0</v>
      </c>
      <c r="U49" s="249">
        <f t="shared" si="8"/>
        <v>0</v>
      </c>
      <c r="V49" s="249">
        <f t="shared" si="9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276"/>
      <c r="C50" s="284"/>
      <c r="D50" s="285"/>
      <c r="E50" s="279"/>
      <c r="F50" s="220"/>
      <c r="G50" s="221">
        <f t="shared" si="0"/>
        <v>0</v>
      </c>
      <c r="H50" s="222">
        <f t="shared" si="1"/>
        <v>0</v>
      </c>
      <c r="I50" s="242"/>
      <c r="J50" s="224">
        <f t="shared" si="2"/>
        <v>0</v>
      </c>
      <c r="K50" s="221">
        <f t="shared" si="3"/>
        <v>0</v>
      </c>
      <c r="L50" s="221">
        <f t="shared" si="4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0</v>
      </c>
      <c r="T50" s="229">
        <f t="shared" si="7"/>
        <v>0</v>
      </c>
      <c r="U50" s="230">
        <f t="shared" si="8"/>
        <v>0</v>
      </c>
      <c r="V50" s="230">
        <f t="shared" si="9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280"/>
      <c r="C51" s="281"/>
      <c r="D51" s="282"/>
      <c r="E51" s="283"/>
      <c r="F51" s="239"/>
      <c r="G51" s="240">
        <f t="shared" si="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18</v>
      </c>
      <c r="F61" s="265">
        <f>SUM(F18:F60)</f>
        <v>2397.8200000000002</v>
      </c>
      <c r="G61" s="266">
        <f>SUM(G18:G60)</f>
        <v>1688.6</v>
      </c>
      <c r="H61" s="267">
        <f>SUM(H18:H60)</f>
        <v>7583.75</v>
      </c>
      <c r="I61" s="268"/>
      <c r="J61" s="269">
        <f>SUM(J18:J60)</f>
        <v>18</v>
      </c>
      <c r="K61" s="266">
        <f>SUM(K18:K60)</f>
        <v>1952.8400000000001</v>
      </c>
      <c r="L61" s="267">
        <f>SUM(L18:L60)</f>
        <v>6956.5700000000006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1952.8400000000001</v>
      </c>
      <c r="T61" s="267">
        <f>SUM(T18:T60)</f>
        <v>6956.5700000000006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15" priority="3" stopIfTrue="1">
      <formula>$U$9&gt;100%</formula>
    </cfRule>
    <cfRule type="expression" dxfId="114" priority="4">
      <formula>$U$9&lt;50%</formula>
    </cfRule>
  </conditionalFormatting>
  <conditionalFormatting sqref="V9:V10">
    <cfRule type="expression" dxfId="113" priority="1">
      <formula>$V$9&lt;50%</formula>
    </cfRule>
    <cfRule type="expression" dxfId="112" priority="2">
      <formula>$V$9&gt;50%</formula>
    </cfRule>
  </conditionalFormatting>
  <dataValidations count="5">
    <dataValidation type="list" allowBlank="1" showInputMessage="1" showErrorMessage="1" sqref="F17 K17 Q17 Q14" xr:uid="{922E9B89-85B6-416C-8917-E2E50AD027AC}">
      <formula1>$Y$11:$Y$12</formula1>
    </dataValidation>
    <dataValidation type="list" allowBlank="1" showInputMessage="1" showErrorMessage="1" sqref="H13" xr:uid="{815C3231-307D-4EFE-A1CE-D9063DDABF96}">
      <formula1>$Y$13:$Y$14</formula1>
    </dataValidation>
    <dataValidation type="list" allowBlank="1" showInputMessage="1" showErrorMessage="1" sqref="I13" xr:uid="{21EB2768-8CFD-4904-8A18-29C09DEB2441}">
      <formula1>$K$9:$K$9</formula1>
    </dataValidation>
    <dataValidation type="list" showInputMessage="1" showErrorMessage="1" sqref="D52:D60 D18:D26" xr:uid="{C66F1C8D-FCAA-4EE8-83E3-F99EC04E19C4}">
      <formula1>$Z$18:$Z$29</formula1>
    </dataValidation>
    <dataValidation type="list" allowBlank="1" showInputMessage="1" showErrorMessage="1" sqref="M18:M60" xr:uid="{B26F40D5-4CB1-4255-9583-04A17163A0EF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8843D-40DD-4F29-A16A-A61DC506B203}">
  <sheetPr>
    <pageSetUpPr fitToPage="1"/>
  </sheetPr>
  <dimension ref="A1:AB63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523" t="s">
        <v>2</v>
      </c>
      <c r="I1" s="524"/>
      <c r="J1" s="524"/>
      <c r="K1" s="525"/>
      <c r="L1" s="528" t="s">
        <v>3</v>
      </c>
      <c r="M1" s="529"/>
      <c r="N1" s="529"/>
      <c r="O1" s="529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59">
        <v>434705</v>
      </c>
      <c r="G2" s="549"/>
      <c r="H2" s="546" t="s">
        <v>7</v>
      </c>
      <c r="I2" s="550"/>
      <c r="J2" s="547"/>
      <c r="K2" s="148"/>
      <c r="L2" s="551" t="s">
        <v>8</v>
      </c>
      <c r="M2" s="552"/>
      <c r="N2" s="553"/>
      <c r="O2" s="149"/>
      <c r="P2" s="554">
        <f>H61</f>
        <v>7583.75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532" t="s">
        <v>13</v>
      </c>
      <c r="I3" s="536"/>
      <c r="J3" s="533"/>
      <c r="K3" s="154"/>
      <c r="L3" s="537" t="s">
        <v>14</v>
      </c>
      <c r="M3" s="538"/>
      <c r="N3" s="539"/>
      <c r="O3" s="149"/>
      <c r="P3" s="540">
        <f>L61</f>
        <v>6956.5700000000006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665" t="s">
        <v>289</v>
      </c>
      <c r="G4" s="666"/>
      <c r="H4" s="532" t="s">
        <v>19</v>
      </c>
      <c r="I4" s="536"/>
      <c r="J4" s="533"/>
      <c r="K4" s="154"/>
      <c r="L4" s="537" t="s">
        <v>20</v>
      </c>
      <c r="M4" s="538"/>
      <c r="N4" s="539"/>
      <c r="O4" s="149"/>
      <c r="P4" s="540">
        <f>P2-P3</f>
        <v>627.17999999999938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679">
        <v>10054</v>
      </c>
      <c r="G5" s="680"/>
      <c r="H5" s="532" t="s">
        <v>25</v>
      </c>
      <c r="I5" s="536"/>
      <c r="J5" s="533"/>
      <c r="K5" s="154"/>
      <c r="L5" s="558" t="s">
        <v>26</v>
      </c>
      <c r="M5" s="559"/>
      <c r="N5" s="560"/>
      <c r="O5" s="149"/>
      <c r="P5" s="561">
        <f>IFERROR((P2-P3)/P2,"")</f>
        <v>8.2700510960936127E-2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81"/>
      <c r="G6" s="666"/>
      <c r="H6" s="532" t="s">
        <v>31</v>
      </c>
      <c r="I6" s="536"/>
      <c r="J6" s="533"/>
      <c r="K6" s="154"/>
      <c r="L6" s="574" t="s">
        <v>32</v>
      </c>
      <c r="M6" s="575"/>
      <c r="N6" s="576"/>
      <c r="O6" s="149"/>
      <c r="P6" s="577">
        <f>T61</f>
        <v>6956.5700000000006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563"/>
      <c r="G7" s="535"/>
      <c r="H7" s="532" t="s">
        <v>36</v>
      </c>
      <c r="I7" s="536"/>
      <c r="J7" s="533"/>
      <c r="K7" s="154"/>
      <c r="L7" s="564" t="s">
        <v>37</v>
      </c>
      <c r="M7" s="565"/>
      <c r="N7" s="56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532" t="s">
        <v>40</v>
      </c>
      <c r="I8" s="536"/>
      <c r="J8" s="533"/>
      <c r="K8" s="154"/>
      <c r="L8" s="564" t="s">
        <v>41</v>
      </c>
      <c r="M8" s="565"/>
      <c r="N8" s="56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378</v>
      </c>
      <c r="G9" s="535"/>
      <c r="H9" s="171"/>
      <c r="I9" s="172"/>
      <c r="J9" s="172"/>
      <c r="K9" s="173"/>
      <c r="L9" s="564" t="s">
        <v>47</v>
      </c>
      <c r="M9" s="565"/>
      <c r="N9" s="56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6956.5700000000006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542" t="s">
        <v>48</v>
      </c>
      <c r="M10" s="579"/>
      <c r="N10" s="543"/>
      <c r="O10" s="149"/>
      <c r="P10" s="580">
        <f>E61</f>
        <v>18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650" t="s">
        <v>50</v>
      </c>
      <c r="K11" s="651"/>
      <c r="L11" s="651"/>
      <c r="M11" s="651"/>
      <c r="N11" s="652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653"/>
      <c r="K12" s="654"/>
      <c r="L12" s="654"/>
      <c r="M12" s="654"/>
      <c r="N12" s="655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656"/>
      <c r="K13" s="657"/>
      <c r="L13" s="657"/>
      <c r="M13" s="657"/>
      <c r="N13" s="658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601" t="s">
        <v>59</v>
      </c>
      <c r="K14" s="602"/>
      <c r="L14" s="605" t="s">
        <v>60</v>
      </c>
      <c r="M14" s="606"/>
      <c r="N14" s="60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603"/>
      <c r="K15" s="604"/>
      <c r="L15" s="608"/>
      <c r="M15" s="609"/>
      <c r="N15" s="61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631" t="s">
        <v>69</v>
      </c>
      <c r="K16" s="201" t="s">
        <v>72</v>
      </c>
      <c r="L16" s="202" t="s">
        <v>73</v>
      </c>
      <c r="M16" s="633" t="s">
        <v>74</v>
      </c>
      <c r="N16" s="633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8"/>
      <c r="C17" s="678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632"/>
      <c r="K17" s="614" t="s">
        <v>52</v>
      </c>
      <c r="L17" s="615"/>
      <c r="M17" s="634"/>
      <c r="N17" s="634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>
        <v>8036204</v>
      </c>
      <c r="C18" s="293" t="s">
        <v>290</v>
      </c>
      <c r="D18" s="295"/>
      <c r="E18" s="80">
        <v>1</v>
      </c>
      <c r="F18" s="81">
        <v>11.62</v>
      </c>
      <c r="G18" s="221">
        <f t="shared" ref="G18:G60" si="0">ROUND(IF($F$17="USD $", F18*$E$15,F18*$D$15),2)</f>
        <v>8.18</v>
      </c>
      <c r="H18" s="222">
        <f t="shared" ref="H18:H60" si="1">ROUND(IF($H$17=$G$17,E18*G18,E18*F18),2)</f>
        <v>11.62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4.42</v>
      </c>
      <c r="L18" s="221">
        <f t="shared" ref="L18:L60" si="4">ROUND((J18*K18),2)</f>
        <v>4.42</v>
      </c>
      <c r="M18" s="220" t="s">
        <v>84</v>
      </c>
      <c r="N18" s="225">
        <v>0.62</v>
      </c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4.42</v>
      </c>
      <c r="T18" s="229">
        <f t="shared" ref="T18:T60" si="7">ROUND(L18-R18,2)</f>
        <v>4.42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294">
        <v>70022846</v>
      </c>
      <c r="C19" s="291" t="s">
        <v>291</v>
      </c>
      <c r="D19" s="296"/>
      <c r="E19" s="97">
        <v>1</v>
      </c>
      <c r="F19" s="98">
        <v>106.5</v>
      </c>
      <c r="G19" s="240">
        <f t="shared" si="0"/>
        <v>75</v>
      </c>
      <c r="H19" s="241">
        <f t="shared" si="1"/>
        <v>106.5</v>
      </c>
      <c r="I19" s="242"/>
      <c r="J19" s="243">
        <f t="shared" si="2"/>
        <v>1</v>
      </c>
      <c r="K19" s="240">
        <f t="shared" si="3"/>
        <v>40.47</v>
      </c>
      <c r="L19" s="240">
        <f t="shared" si="4"/>
        <v>40.47</v>
      </c>
      <c r="M19" s="244" t="s">
        <v>84</v>
      </c>
      <c r="N19" s="245">
        <v>0.62</v>
      </c>
      <c r="O19" s="226"/>
      <c r="P19" s="246"/>
      <c r="Q19" s="239"/>
      <c r="R19" s="247">
        <f t="shared" si="5"/>
        <v>0</v>
      </c>
      <c r="S19" s="248">
        <f t="shared" si="6"/>
        <v>40.47</v>
      </c>
      <c r="T19" s="248">
        <f t="shared" si="7"/>
        <v>40.47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292">
        <v>70023812</v>
      </c>
      <c r="C20" s="292" t="s">
        <v>292</v>
      </c>
      <c r="D20" s="297"/>
      <c r="E20" s="80">
        <v>1</v>
      </c>
      <c r="F20" s="81">
        <v>122.73</v>
      </c>
      <c r="G20" s="221">
        <f t="shared" si="0"/>
        <v>86.43</v>
      </c>
      <c r="H20" s="222">
        <f t="shared" si="1"/>
        <v>122.73</v>
      </c>
      <c r="I20" s="242"/>
      <c r="J20" s="224">
        <f t="shared" si="2"/>
        <v>1</v>
      </c>
      <c r="K20" s="221">
        <f t="shared" si="3"/>
        <v>46.64</v>
      </c>
      <c r="L20" s="221">
        <f t="shared" si="4"/>
        <v>46.64</v>
      </c>
      <c r="M20" s="220" t="s">
        <v>84</v>
      </c>
      <c r="N20" s="254">
        <v>0.62</v>
      </c>
      <c r="O20" s="226"/>
      <c r="P20" s="255"/>
      <c r="Q20" s="228"/>
      <c r="R20" s="229">
        <f t="shared" si="5"/>
        <v>0</v>
      </c>
      <c r="S20" s="229">
        <f t="shared" si="6"/>
        <v>46.64</v>
      </c>
      <c r="T20" s="229">
        <f t="shared" si="7"/>
        <v>46.64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294">
        <v>70024284</v>
      </c>
      <c r="C21" s="294" t="s">
        <v>293</v>
      </c>
      <c r="D21" s="296"/>
      <c r="E21" s="97">
        <v>1</v>
      </c>
      <c r="F21" s="98">
        <v>115.02</v>
      </c>
      <c r="G21" s="240">
        <f t="shared" si="0"/>
        <v>81</v>
      </c>
      <c r="H21" s="241">
        <f t="shared" si="1"/>
        <v>115.02</v>
      </c>
      <c r="I21" s="242"/>
      <c r="J21" s="243">
        <f t="shared" si="2"/>
        <v>1</v>
      </c>
      <c r="K21" s="240">
        <f t="shared" si="3"/>
        <v>43.71</v>
      </c>
      <c r="L21" s="240">
        <f t="shared" si="4"/>
        <v>43.71</v>
      </c>
      <c r="M21" s="244" t="s">
        <v>84</v>
      </c>
      <c r="N21" s="245">
        <v>0.62</v>
      </c>
      <c r="O21" s="226"/>
      <c r="P21" s="246"/>
      <c r="Q21" s="239"/>
      <c r="R21" s="247">
        <f t="shared" si="5"/>
        <v>0</v>
      </c>
      <c r="S21" s="248">
        <f t="shared" si="6"/>
        <v>43.71</v>
      </c>
      <c r="T21" s="248">
        <f t="shared" si="7"/>
        <v>43.71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292">
        <v>70022846</v>
      </c>
      <c r="C22" s="292" t="s">
        <v>294</v>
      </c>
      <c r="D22" s="297"/>
      <c r="E22" s="80">
        <v>1</v>
      </c>
      <c r="F22" s="81">
        <v>106.5</v>
      </c>
      <c r="G22" s="221">
        <f t="shared" si="0"/>
        <v>75</v>
      </c>
      <c r="H22" s="222">
        <f t="shared" si="1"/>
        <v>106.5</v>
      </c>
      <c r="I22" s="242"/>
      <c r="J22" s="224">
        <f t="shared" si="2"/>
        <v>1</v>
      </c>
      <c r="K22" s="221">
        <f t="shared" si="3"/>
        <v>40.47</v>
      </c>
      <c r="L22" s="221">
        <f t="shared" si="4"/>
        <v>40.47</v>
      </c>
      <c r="M22" s="220" t="s">
        <v>84</v>
      </c>
      <c r="N22" s="254">
        <v>0.62</v>
      </c>
      <c r="O22" s="226"/>
      <c r="P22" s="255"/>
      <c r="Q22" s="228"/>
      <c r="R22" s="229">
        <f t="shared" si="5"/>
        <v>0</v>
      </c>
      <c r="S22" s="229">
        <f t="shared" si="6"/>
        <v>40.47</v>
      </c>
      <c r="T22" s="229">
        <f t="shared" si="7"/>
        <v>40.47</v>
      </c>
      <c r="U22" s="230">
        <f t="shared" si="8"/>
        <v>0</v>
      </c>
      <c r="V22" s="230">
        <f t="shared" si="9"/>
        <v>1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294">
        <v>70024177</v>
      </c>
      <c r="C23" s="294" t="s">
        <v>92</v>
      </c>
      <c r="D23" s="296"/>
      <c r="E23" s="97">
        <v>1</v>
      </c>
      <c r="F23" s="98">
        <v>126.52</v>
      </c>
      <c r="G23" s="240">
        <f t="shared" si="0"/>
        <v>89.1</v>
      </c>
      <c r="H23" s="241">
        <f t="shared" si="1"/>
        <v>126.52</v>
      </c>
      <c r="I23" s="242"/>
      <c r="J23" s="243">
        <f t="shared" si="2"/>
        <v>1</v>
      </c>
      <c r="K23" s="240">
        <f t="shared" si="3"/>
        <v>48.08</v>
      </c>
      <c r="L23" s="240">
        <f t="shared" si="4"/>
        <v>48.08</v>
      </c>
      <c r="M23" s="244" t="s">
        <v>84</v>
      </c>
      <c r="N23" s="245">
        <v>0.62</v>
      </c>
      <c r="O23" s="226"/>
      <c r="P23" s="246"/>
      <c r="Q23" s="239"/>
      <c r="R23" s="247">
        <f t="shared" si="5"/>
        <v>0</v>
      </c>
      <c r="S23" s="248">
        <f t="shared" si="6"/>
        <v>48.08</v>
      </c>
      <c r="T23" s="248">
        <f t="shared" si="7"/>
        <v>48.08</v>
      </c>
      <c r="U23" s="249">
        <f t="shared" si="8"/>
        <v>0</v>
      </c>
      <c r="V23" s="249">
        <f t="shared" si="9"/>
        <v>1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292">
        <v>8320265</v>
      </c>
      <c r="C24" s="292" t="s">
        <v>295</v>
      </c>
      <c r="D24" s="297"/>
      <c r="E24" s="80">
        <v>1</v>
      </c>
      <c r="F24" s="81">
        <v>70.06</v>
      </c>
      <c r="G24" s="221">
        <f t="shared" si="0"/>
        <v>49.34</v>
      </c>
      <c r="H24" s="222">
        <f t="shared" si="1"/>
        <v>70.06</v>
      </c>
      <c r="I24" s="242"/>
      <c r="J24" s="224">
        <f t="shared" si="2"/>
        <v>1</v>
      </c>
      <c r="K24" s="221">
        <f t="shared" si="3"/>
        <v>26.62</v>
      </c>
      <c r="L24" s="221">
        <f t="shared" si="4"/>
        <v>26.62</v>
      </c>
      <c r="M24" s="220" t="s">
        <v>84</v>
      </c>
      <c r="N24" s="254">
        <v>0.62</v>
      </c>
      <c r="O24" s="226"/>
      <c r="P24" s="255"/>
      <c r="Q24" s="228"/>
      <c r="R24" s="229">
        <f t="shared" si="5"/>
        <v>0</v>
      </c>
      <c r="S24" s="229">
        <f t="shared" si="6"/>
        <v>26.62</v>
      </c>
      <c r="T24" s="229">
        <f t="shared" si="7"/>
        <v>26.62</v>
      </c>
      <c r="U24" s="230">
        <f t="shared" si="8"/>
        <v>0</v>
      </c>
      <c r="V24" s="230">
        <f t="shared" si="9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 s="294">
        <v>7139077</v>
      </c>
      <c r="C25" s="294" t="s">
        <v>296</v>
      </c>
      <c r="D25" s="296"/>
      <c r="E25" s="97">
        <v>1</v>
      </c>
      <c r="F25" s="98">
        <v>58.82</v>
      </c>
      <c r="G25" s="240">
        <f t="shared" si="0"/>
        <v>41.42</v>
      </c>
      <c r="H25" s="241">
        <f t="shared" si="1"/>
        <v>58.82</v>
      </c>
      <c r="I25" s="242"/>
      <c r="J25" s="243">
        <f t="shared" si="2"/>
        <v>1</v>
      </c>
      <c r="K25" s="240">
        <f t="shared" si="3"/>
        <v>58.82</v>
      </c>
      <c r="L25" s="240">
        <f t="shared" si="4"/>
        <v>58.82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58.82</v>
      </c>
      <c r="T25" s="248">
        <f t="shared" si="7"/>
        <v>58.82</v>
      </c>
      <c r="U25" s="249">
        <f t="shared" si="8"/>
        <v>0</v>
      </c>
      <c r="V25" s="249">
        <f t="shared" si="9"/>
        <v>1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 s="292">
        <v>1319726</v>
      </c>
      <c r="C26" s="292" t="s">
        <v>297</v>
      </c>
      <c r="D26" s="297"/>
      <c r="E26" s="80">
        <v>6</v>
      </c>
      <c r="F26" s="81">
        <v>72.89</v>
      </c>
      <c r="G26" s="221">
        <f t="shared" si="0"/>
        <v>51.33</v>
      </c>
      <c r="H26" s="222">
        <f t="shared" si="1"/>
        <v>437.34</v>
      </c>
      <c r="I26" s="242"/>
      <c r="J26" s="224">
        <f t="shared" si="2"/>
        <v>6</v>
      </c>
      <c r="K26" s="221">
        <f t="shared" si="3"/>
        <v>36.450000000000003</v>
      </c>
      <c r="L26" s="221">
        <f t="shared" si="4"/>
        <v>218.7</v>
      </c>
      <c r="M26" s="220" t="s">
        <v>84</v>
      </c>
      <c r="N26" s="254">
        <v>0.5</v>
      </c>
      <c r="O26" s="226"/>
      <c r="P26" s="255"/>
      <c r="Q26" s="228"/>
      <c r="R26" s="229">
        <f t="shared" si="5"/>
        <v>0</v>
      </c>
      <c r="S26" s="229">
        <f t="shared" si="6"/>
        <v>36.450000000000003</v>
      </c>
      <c r="T26" s="229">
        <f t="shared" si="7"/>
        <v>218.7</v>
      </c>
      <c r="U26" s="230">
        <f t="shared" si="8"/>
        <v>0</v>
      </c>
      <c r="V26" s="230">
        <f t="shared" si="9"/>
        <v>1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294">
        <v>70024588</v>
      </c>
      <c r="C27" s="294" t="s">
        <v>298</v>
      </c>
      <c r="D27" s="300"/>
      <c r="E27" s="283">
        <v>4</v>
      </c>
      <c r="F27" s="239">
        <v>1607.16</v>
      </c>
      <c r="G27" s="240">
        <f t="shared" si="0"/>
        <v>1131.8</v>
      </c>
      <c r="H27" s="241">
        <f t="shared" si="1"/>
        <v>6428.64</v>
      </c>
      <c r="I27" s="242"/>
      <c r="J27" s="243">
        <f t="shared" si="2"/>
        <v>4</v>
      </c>
      <c r="K27" s="240">
        <f t="shared" si="3"/>
        <v>1607.16</v>
      </c>
      <c r="L27" s="240">
        <f t="shared" si="4"/>
        <v>6428.64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1607.16</v>
      </c>
      <c r="T27" s="248">
        <f t="shared" si="7"/>
        <v>6428.64</v>
      </c>
      <c r="U27" s="249">
        <f t="shared" si="8"/>
        <v>0</v>
      </c>
      <c r="V27" s="249">
        <f t="shared" si="9"/>
        <v>1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298"/>
      <c r="C28" s="298"/>
      <c r="D28" s="301"/>
      <c r="E28" s="279"/>
      <c r="F28" s="220"/>
      <c r="G28" s="221">
        <f t="shared" si="0"/>
        <v>0</v>
      </c>
      <c r="H28" s="222">
        <f t="shared" si="1"/>
        <v>0</v>
      </c>
      <c r="I28" s="242"/>
      <c r="J28" s="224">
        <f t="shared" si="2"/>
        <v>0</v>
      </c>
      <c r="K28" s="221">
        <f t="shared" si="3"/>
        <v>0</v>
      </c>
      <c r="L28" s="221">
        <f t="shared" si="4"/>
        <v>0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0</v>
      </c>
      <c r="T28" s="229">
        <f t="shared" si="7"/>
        <v>0</v>
      </c>
      <c r="U28" s="230">
        <f t="shared" si="8"/>
        <v>0</v>
      </c>
      <c r="V28" s="230">
        <f t="shared" si="9"/>
        <v>0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299"/>
      <c r="C29" s="299"/>
      <c r="D29" s="300"/>
      <c r="E29" s="283"/>
      <c r="F29" s="239"/>
      <c r="G29" s="240">
        <f t="shared" si="0"/>
        <v>0</v>
      </c>
      <c r="H29" s="241">
        <f t="shared" si="1"/>
        <v>0</v>
      </c>
      <c r="I29" s="242"/>
      <c r="J29" s="243">
        <f t="shared" si="2"/>
        <v>0</v>
      </c>
      <c r="K29" s="240">
        <f t="shared" si="3"/>
        <v>0</v>
      </c>
      <c r="L29" s="240">
        <f t="shared" si="4"/>
        <v>0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0</v>
      </c>
      <c r="T29" s="248">
        <f t="shared" si="7"/>
        <v>0</v>
      </c>
      <c r="U29" s="249">
        <f t="shared" si="8"/>
        <v>0</v>
      </c>
      <c r="V29" s="249">
        <f t="shared" si="9"/>
        <v>0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276"/>
      <c r="C30" s="277"/>
      <c r="D30" s="285"/>
      <c r="E30" s="279"/>
      <c r="F30" s="220"/>
      <c r="G30" s="221">
        <f t="shared" si="0"/>
        <v>0</v>
      </c>
      <c r="H30" s="222">
        <f t="shared" si="1"/>
        <v>0</v>
      </c>
      <c r="I30" s="242"/>
      <c r="J30" s="224">
        <f t="shared" si="2"/>
        <v>0</v>
      </c>
      <c r="K30" s="221">
        <f t="shared" si="3"/>
        <v>0</v>
      </c>
      <c r="L30" s="221">
        <f t="shared" si="4"/>
        <v>0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0</v>
      </c>
      <c r="T30" s="229">
        <f t="shared" si="7"/>
        <v>0</v>
      </c>
      <c r="U30" s="230">
        <f t="shared" si="8"/>
        <v>0</v>
      </c>
      <c r="V30" s="230">
        <f t="shared" si="9"/>
        <v>0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280"/>
      <c r="C31" s="281"/>
      <c r="D31" s="282"/>
      <c r="E31" s="283"/>
      <c r="F31" s="239"/>
      <c r="G31" s="240">
        <f t="shared" si="0"/>
        <v>0</v>
      </c>
      <c r="H31" s="241">
        <f t="shared" si="1"/>
        <v>0</v>
      </c>
      <c r="I31" s="242"/>
      <c r="J31" s="243">
        <f t="shared" si="2"/>
        <v>0</v>
      </c>
      <c r="K31" s="240">
        <f t="shared" si="3"/>
        <v>0</v>
      </c>
      <c r="L31" s="240">
        <f t="shared" si="4"/>
        <v>0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0</v>
      </c>
      <c r="T31" s="248">
        <f t="shared" si="7"/>
        <v>0</v>
      </c>
      <c r="U31" s="249">
        <f t="shared" si="8"/>
        <v>0</v>
      </c>
      <c r="V31" s="249">
        <f t="shared" si="9"/>
        <v>0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276"/>
      <c r="C32" s="284"/>
      <c r="D32" s="285"/>
      <c r="E32" s="279"/>
      <c r="F32" s="220"/>
      <c r="G32" s="221">
        <f t="shared" si="0"/>
        <v>0</v>
      </c>
      <c r="H32" s="222">
        <f t="shared" si="1"/>
        <v>0</v>
      </c>
      <c r="I32" s="242"/>
      <c r="J32" s="224">
        <f t="shared" si="2"/>
        <v>0</v>
      </c>
      <c r="K32" s="221">
        <f t="shared" si="3"/>
        <v>0</v>
      </c>
      <c r="L32" s="221">
        <f t="shared" si="4"/>
        <v>0</v>
      </c>
      <c r="M32" s="220" t="s">
        <v>84</v>
      </c>
      <c r="N32" s="254">
        <v>0.5</v>
      </c>
      <c r="O32" s="226"/>
      <c r="P32" s="255"/>
      <c r="Q32" s="228"/>
      <c r="R32" s="229">
        <f t="shared" si="5"/>
        <v>0</v>
      </c>
      <c r="S32" s="229">
        <f t="shared" si="6"/>
        <v>0</v>
      </c>
      <c r="T32" s="229">
        <f t="shared" si="7"/>
        <v>0</v>
      </c>
      <c r="U32" s="230">
        <f t="shared" si="8"/>
        <v>0</v>
      </c>
      <c r="V32" s="230">
        <f t="shared" si="9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280"/>
      <c r="C33" s="281"/>
      <c r="D33" s="282"/>
      <c r="E33" s="283"/>
      <c r="F33" s="239"/>
      <c r="G33" s="240">
        <f t="shared" si="0"/>
        <v>0</v>
      </c>
      <c r="H33" s="241">
        <f t="shared" si="1"/>
        <v>0</v>
      </c>
      <c r="I33" s="242"/>
      <c r="J33" s="243">
        <f t="shared" si="2"/>
        <v>0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276"/>
      <c r="C34" s="284"/>
      <c r="D34" s="285"/>
      <c r="E34" s="279"/>
      <c r="F34" s="220"/>
      <c r="G34" s="221">
        <f t="shared" si="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>
        <v>0.5</v>
      </c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280"/>
      <c r="C35" s="281"/>
      <c r="D35" s="282"/>
      <c r="E35" s="283"/>
      <c r="F35" s="239"/>
      <c r="G35" s="240">
        <f t="shared" si="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>
        <v>0.5</v>
      </c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276"/>
      <c r="C36" s="284"/>
      <c r="D36" s="285"/>
      <c r="E36" s="279"/>
      <c r="F36" s="220"/>
      <c r="G36" s="221">
        <f t="shared" si="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280"/>
      <c r="C37" s="281"/>
      <c r="D37" s="282"/>
      <c r="E37" s="283"/>
      <c r="F37" s="239"/>
      <c r="G37" s="240">
        <f t="shared" si="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276"/>
      <c r="C38" s="284"/>
      <c r="D38" s="285"/>
      <c r="E38" s="279"/>
      <c r="F38" s="220"/>
      <c r="G38" s="221">
        <f t="shared" si="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280"/>
      <c r="C39" s="281"/>
      <c r="D39" s="282"/>
      <c r="E39" s="283"/>
      <c r="F39" s="239"/>
      <c r="G39" s="240">
        <f t="shared" si="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276"/>
      <c r="C40" s="284"/>
      <c r="D40" s="285"/>
      <c r="E40" s="279"/>
      <c r="F40" s="220"/>
      <c r="G40" s="221">
        <f t="shared" si="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280"/>
      <c r="C41" s="281"/>
      <c r="D41" s="282"/>
      <c r="E41" s="283"/>
      <c r="F41" s="239"/>
      <c r="G41" s="240">
        <f t="shared" si="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276"/>
      <c r="C42" s="284"/>
      <c r="D42" s="285"/>
      <c r="E42" s="279"/>
      <c r="F42" s="220"/>
      <c r="G42" s="221">
        <f t="shared" si="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280"/>
      <c r="C43" s="281"/>
      <c r="D43" s="282"/>
      <c r="E43" s="283"/>
      <c r="F43" s="239"/>
      <c r="G43" s="240">
        <f t="shared" si="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276"/>
      <c r="C44" s="284"/>
      <c r="D44" s="285"/>
      <c r="E44" s="279"/>
      <c r="F44" s="220"/>
      <c r="G44" s="221">
        <f t="shared" si="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280"/>
      <c r="C45" s="281"/>
      <c r="D45" s="282"/>
      <c r="E45" s="283"/>
      <c r="F45" s="239"/>
      <c r="G45" s="240">
        <f t="shared" si="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276"/>
      <c r="C46" s="284"/>
      <c r="D46" s="285"/>
      <c r="E46" s="279"/>
      <c r="F46" s="220"/>
      <c r="G46" s="221">
        <f t="shared" si="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280"/>
      <c r="C47" s="281"/>
      <c r="D47" s="282"/>
      <c r="E47" s="283"/>
      <c r="F47" s="239"/>
      <c r="G47" s="240">
        <f t="shared" si="0"/>
        <v>0</v>
      </c>
      <c r="H47" s="241">
        <f t="shared" si="1"/>
        <v>0</v>
      </c>
      <c r="I47" s="242"/>
      <c r="J47" s="243">
        <f t="shared" si="2"/>
        <v>0</v>
      </c>
      <c r="K47" s="240">
        <f t="shared" si="3"/>
        <v>0</v>
      </c>
      <c r="L47" s="240">
        <f t="shared" si="4"/>
        <v>0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0</v>
      </c>
      <c r="T47" s="248">
        <f t="shared" si="7"/>
        <v>0</v>
      </c>
      <c r="U47" s="249">
        <f t="shared" si="8"/>
        <v>0</v>
      </c>
      <c r="V47" s="249">
        <f t="shared" si="9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276"/>
      <c r="C48" s="284"/>
      <c r="D48" s="285"/>
      <c r="E48" s="279"/>
      <c r="F48" s="220"/>
      <c r="G48" s="221">
        <f t="shared" si="0"/>
        <v>0</v>
      </c>
      <c r="H48" s="222">
        <f t="shared" si="1"/>
        <v>0</v>
      </c>
      <c r="I48" s="242"/>
      <c r="J48" s="224">
        <f t="shared" si="2"/>
        <v>0</v>
      </c>
      <c r="K48" s="221">
        <f t="shared" si="3"/>
        <v>0</v>
      </c>
      <c r="L48" s="221">
        <f t="shared" si="4"/>
        <v>0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0</v>
      </c>
      <c r="T48" s="229">
        <f t="shared" si="7"/>
        <v>0</v>
      </c>
      <c r="U48" s="230">
        <f t="shared" si="8"/>
        <v>0</v>
      </c>
      <c r="V48" s="230">
        <f t="shared" si="9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280"/>
      <c r="C49" s="281"/>
      <c r="D49" s="282"/>
      <c r="E49" s="283"/>
      <c r="F49" s="239"/>
      <c r="G49" s="240">
        <f t="shared" si="0"/>
        <v>0</v>
      </c>
      <c r="H49" s="241">
        <f t="shared" si="1"/>
        <v>0</v>
      </c>
      <c r="I49" s="242"/>
      <c r="J49" s="243">
        <f t="shared" si="2"/>
        <v>0</v>
      </c>
      <c r="K49" s="240">
        <f t="shared" si="3"/>
        <v>0</v>
      </c>
      <c r="L49" s="240">
        <f t="shared" si="4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0</v>
      </c>
      <c r="T49" s="248">
        <f t="shared" si="7"/>
        <v>0</v>
      </c>
      <c r="U49" s="249">
        <f t="shared" si="8"/>
        <v>0</v>
      </c>
      <c r="V49" s="249">
        <f t="shared" si="9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276"/>
      <c r="C50" s="284"/>
      <c r="D50" s="285"/>
      <c r="E50" s="279"/>
      <c r="F50" s="220"/>
      <c r="G50" s="221">
        <f t="shared" si="0"/>
        <v>0</v>
      </c>
      <c r="H50" s="222">
        <f t="shared" si="1"/>
        <v>0</v>
      </c>
      <c r="I50" s="242"/>
      <c r="J50" s="224">
        <f t="shared" si="2"/>
        <v>0</v>
      </c>
      <c r="K50" s="221">
        <f t="shared" si="3"/>
        <v>0</v>
      </c>
      <c r="L50" s="221">
        <f t="shared" si="4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0</v>
      </c>
      <c r="T50" s="229">
        <f t="shared" si="7"/>
        <v>0</v>
      </c>
      <c r="U50" s="230">
        <f t="shared" si="8"/>
        <v>0</v>
      </c>
      <c r="V50" s="230">
        <f t="shared" si="9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280"/>
      <c r="C51" s="281"/>
      <c r="D51" s="282"/>
      <c r="E51" s="283"/>
      <c r="F51" s="239"/>
      <c r="G51" s="240">
        <f t="shared" si="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18</v>
      </c>
      <c r="F61" s="265">
        <f>SUM(F18:F60)</f>
        <v>2397.8200000000002</v>
      </c>
      <c r="G61" s="266">
        <f>SUM(G18:G60)</f>
        <v>1688.6</v>
      </c>
      <c r="H61" s="267">
        <f>SUM(H18:H60)</f>
        <v>7583.75</v>
      </c>
      <c r="I61" s="268"/>
      <c r="J61" s="269">
        <f>SUM(J18:J60)</f>
        <v>18</v>
      </c>
      <c r="K61" s="266">
        <f>SUM(K18:K60)</f>
        <v>1952.8400000000001</v>
      </c>
      <c r="L61" s="267">
        <f>SUM(L18:L60)</f>
        <v>6956.5700000000006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1952.8400000000001</v>
      </c>
      <c r="T61" s="267">
        <f>SUM(T18:T60)</f>
        <v>6956.5700000000006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11" priority="3" stopIfTrue="1">
      <formula>$U$9&gt;100%</formula>
    </cfRule>
    <cfRule type="expression" dxfId="110" priority="4">
      <formula>$U$9&lt;50%</formula>
    </cfRule>
  </conditionalFormatting>
  <conditionalFormatting sqref="V9:V10">
    <cfRule type="expression" dxfId="109" priority="1">
      <formula>$V$9&lt;50%</formula>
    </cfRule>
    <cfRule type="expression" dxfId="108" priority="2">
      <formula>$V$9&gt;50%</formula>
    </cfRule>
  </conditionalFormatting>
  <dataValidations count="5">
    <dataValidation type="list" allowBlank="1" showInputMessage="1" showErrorMessage="1" sqref="F17 K17 Q17 Q14" xr:uid="{62575969-CF53-4AB3-89EE-AA6C9FDC299F}">
      <formula1>$Y$11:$Y$12</formula1>
    </dataValidation>
    <dataValidation type="list" allowBlank="1" showInputMessage="1" showErrorMessage="1" sqref="H13" xr:uid="{129EFDE4-FA1A-463E-B05E-510F95E329E7}">
      <formula1>$Y$13:$Y$14</formula1>
    </dataValidation>
    <dataValidation type="list" allowBlank="1" showInputMessage="1" showErrorMessage="1" sqref="I13" xr:uid="{E94423C9-0F6A-4B3F-8EBE-A22BB48B05EE}">
      <formula1>$K$9:$K$9</formula1>
    </dataValidation>
    <dataValidation type="list" showInputMessage="1" showErrorMessage="1" sqref="D52:D60 D18:D26" xr:uid="{215E9C24-D0C9-45BC-98E6-2BCBF9BE6B2A}">
      <formula1>$Z$18:$Z$29</formula1>
    </dataValidation>
    <dataValidation type="list" allowBlank="1" showInputMessage="1" showErrorMessage="1" sqref="M18:M60" xr:uid="{2871EA90-9C9F-4696-B6B9-C5415E12C423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FBEBA-BBC1-4FFD-A883-D8368B9B12AB}">
  <sheetPr>
    <pageSetUpPr fitToPage="1"/>
  </sheetPr>
  <dimension ref="A1:AB63"/>
  <sheetViews>
    <sheetView zoomScale="85" zoomScaleNormal="85" workbookViewId="0">
      <selection activeCell="F6" sqref="F6:G6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523" t="s">
        <v>2</v>
      </c>
      <c r="I1" s="524"/>
      <c r="J1" s="524"/>
      <c r="K1" s="525"/>
      <c r="L1" s="528" t="s">
        <v>3</v>
      </c>
      <c r="M1" s="529"/>
      <c r="N1" s="529"/>
      <c r="O1" s="529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59">
        <v>434706</v>
      </c>
      <c r="G2" s="549"/>
      <c r="H2" s="546" t="s">
        <v>7</v>
      </c>
      <c r="I2" s="550"/>
      <c r="J2" s="547"/>
      <c r="K2" s="148"/>
      <c r="L2" s="551" t="s">
        <v>8</v>
      </c>
      <c r="M2" s="552"/>
      <c r="N2" s="553"/>
      <c r="O2" s="149"/>
      <c r="P2" s="554">
        <f>H61</f>
        <v>7583.75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532" t="s">
        <v>13</v>
      </c>
      <c r="I3" s="536"/>
      <c r="J3" s="533"/>
      <c r="K3" s="154"/>
      <c r="L3" s="537" t="s">
        <v>14</v>
      </c>
      <c r="M3" s="538"/>
      <c r="N3" s="539"/>
      <c r="O3" s="149"/>
      <c r="P3" s="540">
        <f>L61</f>
        <v>6956.5700000000006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665" t="s">
        <v>289</v>
      </c>
      <c r="G4" s="666"/>
      <c r="H4" s="532" t="s">
        <v>19</v>
      </c>
      <c r="I4" s="536"/>
      <c r="J4" s="533"/>
      <c r="K4" s="154"/>
      <c r="L4" s="537" t="s">
        <v>20</v>
      </c>
      <c r="M4" s="538"/>
      <c r="N4" s="539"/>
      <c r="O4" s="149"/>
      <c r="P4" s="540">
        <f>P2-P3</f>
        <v>627.17999999999938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679">
        <v>10054</v>
      </c>
      <c r="G5" s="680"/>
      <c r="H5" s="532" t="s">
        <v>25</v>
      </c>
      <c r="I5" s="536"/>
      <c r="J5" s="533"/>
      <c r="K5" s="154"/>
      <c r="L5" s="558" t="s">
        <v>26</v>
      </c>
      <c r="M5" s="559"/>
      <c r="N5" s="560"/>
      <c r="O5" s="149"/>
      <c r="P5" s="561">
        <f>IFERROR((P2-P3)/P2,"")</f>
        <v>8.2700510960936127E-2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81" t="s">
        <v>387</v>
      </c>
      <c r="G6" s="666"/>
      <c r="H6" s="532" t="s">
        <v>31</v>
      </c>
      <c r="I6" s="536"/>
      <c r="J6" s="533"/>
      <c r="K6" s="154"/>
      <c r="L6" s="574" t="s">
        <v>32</v>
      </c>
      <c r="M6" s="575"/>
      <c r="N6" s="576"/>
      <c r="O6" s="149"/>
      <c r="P6" s="577">
        <f>T61</f>
        <v>6956.5700000000006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563"/>
      <c r="G7" s="535"/>
      <c r="H7" s="532" t="s">
        <v>36</v>
      </c>
      <c r="I7" s="536"/>
      <c r="J7" s="533"/>
      <c r="K7" s="154"/>
      <c r="L7" s="564" t="s">
        <v>37</v>
      </c>
      <c r="M7" s="565"/>
      <c r="N7" s="56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532" t="s">
        <v>40</v>
      </c>
      <c r="I8" s="536"/>
      <c r="J8" s="533"/>
      <c r="K8" s="154"/>
      <c r="L8" s="564" t="s">
        <v>41</v>
      </c>
      <c r="M8" s="565"/>
      <c r="N8" s="56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378</v>
      </c>
      <c r="G9" s="535"/>
      <c r="H9" s="171"/>
      <c r="I9" s="172"/>
      <c r="J9" s="172"/>
      <c r="K9" s="173"/>
      <c r="L9" s="564" t="s">
        <v>47</v>
      </c>
      <c r="M9" s="565"/>
      <c r="N9" s="56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6956.5700000000006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542" t="s">
        <v>48</v>
      </c>
      <c r="M10" s="579"/>
      <c r="N10" s="543"/>
      <c r="O10" s="149"/>
      <c r="P10" s="580">
        <f>E61</f>
        <v>18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650" t="s">
        <v>50</v>
      </c>
      <c r="K11" s="651"/>
      <c r="L11" s="651"/>
      <c r="M11" s="651"/>
      <c r="N11" s="652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653"/>
      <c r="K12" s="654"/>
      <c r="L12" s="654"/>
      <c r="M12" s="654"/>
      <c r="N12" s="655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656"/>
      <c r="K13" s="657"/>
      <c r="L13" s="657"/>
      <c r="M13" s="657"/>
      <c r="N13" s="658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601" t="s">
        <v>59</v>
      </c>
      <c r="K14" s="602"/>
      <c r="L14" s="605" t="s">
        <v>60</v>
      </c>
      <c r="M14" s="606"/>
      <c r="N14" s="60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603"/>
      <c r="K15" s="604"/>
      <c r="L15" s="608"/>
      <c r="M15" s="609"/>
      <c r="N15" s="61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631" t="s">
        <v>69</v>
      </c>
      <c r="K16" s="201" t="s">
        <v>72</v>
      </c>
      <c r="L16" s="202" t="s">
        <v>73</v>
      </c>
      <c r="M16" s="633" t="s">
        <v>74</v>
      </c>
      <c r="N16" s="633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8"/>
      <c r="C17" s="678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632"/>
      <c r="K17" s="614" t="s">
        <v>52</v>
      </c>
      <c r="L17" s="615"/>
      <c r="M17" s="634"/>
      <c r="N17" s="634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>
        <v>8036204</v>
      </c>
      <c r="C18" s="293" t="s">
        <v>290</v>
      </c>
      <c r="D18" s="295"/>
      <c r="E18" s="80">
        <v>1</v>
      </c>
      <c r="F18" s="81">
        <v>11.62</v>
      </c>
      <c r="G18" s="221">
        <f t="shared" ref="G18:G60" si="0">ROUND(IF($F$17="USD $", F18*$E$15,F18*$D$15),2)</f>
        <v>8.18</v>
      </c>
      <c r="H18" s="222">
        <f t="shared" ref="H18:H60" si="1">ROUND(IF($H$17=$G$17,E18*G18,E18*F18),2)</f>
        <v>11.62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4.42</v>
      </c>
      <c r="L18" s="221">
        <f t="shared" ref="L18:L60" si="4">ROUND((J18*K18),2)</f>
        <v>4.42</v>
      </c>
      <c r="M18" s="220" t="s">
        <v>84</v>
      </c>
      <c r="N18" s="225">
        <v>0.62</v>
      </c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4.42</v>
      </c>
      <c r="T18" s="229">
        <f t="shared" ref="T18:T60" si="7">ROUND(L18-R18,2)</f>
        <v>4.42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294">
        <v>70022846</v>
      </c>
      <c r="C19" s="291" t="s">
        <v>291</v>
      </c>
      <c r="D19" s="296"/>
      <c r="E19" s="97">
        <v>1</v>
      </c>
      <c r="F19" s="98">
        <v>106.5</v>
      </c>
      <c r="G19" s="240">
        <f t="shared" si="0"/>
        <v>75</v>
      </c>
      <c r="H19" s="241">
        <f t="shared" si="1"/>
        <v>106.5</v>
      </c>
      <c r="I19" s="242"/>
      <c r="J19" s="243">
        <f t="shared" si="2"/>
        <v>1</v>
      </c>
      <c r="K19" s="240">
        <f t="shared" si="3"/>
        <v>40.47</v>
      </c>
      <c r="L19" s="240">
        <f t="shared" si="4"/>
        <v>40.47</v>
      </c>
      <c r="M19" s="244" t="s">
        <v>84</v>
      </c>
      <c r="N19" s="245">
        <v>0.62</v>
      </c>
      <c r="O19" s="226"/>
      <c r="P19" s="246"/>
      <c r="Q19" s="239"/>
      <c r="R19" s="247">
        <f t="shared" si="5"/>
        <v>0</v>
      </c>
      <c r="S19" s="248">
        <f t="shared" si="6"/>
        <v>40.47</v>
      </c>
      <c r="T19" s="248">
        <f t="shared" si="7"/>
        <v>40.47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292">
        <v>70023812</v>
      </c>
      <c r="C20" s="292" t="s">
        <v>292</v>
      </c>
      <c r="D20" s="297"/>
      <c r="E20" s="80">
        <v>1</v>
      </c>
      <c r="F20" s="81">
        <v>122.73</v>
      </c>
      <c r="G20" s="221">
        <f t="shared" si="0"/>
        <v>86.43</v>
      </c>
      <c r="H20" s="222">
        <f t="shared" si="1"/>
        <v>122.73</v>
      </c>
      <c r="I20" s="242"/>
      <c r="J20" s="224">
        <f t="shared" si="2"/>
        <v>1</v>
      </c>
      <c r="K20" s="221">
        <f t="shared" si="3"/>
        <v>46.64</v>
      </c>
      <c r="L20" s="221">
        <f t="shared" si="4"/>
        <v>46.64</v>
      </c>
      <c r="M20" s="220" t="s">
        <v>84</v>
      </c>
      <c r="N20" s="254">
        <v>0.62</v>
      </c>
      <c r="O20" s="226"/>
      <c r="P20" s="255"/>
      <c r="Q20" s="228"/>
      <c r="R20" s="229">
        <f t="shared" si="5"/>
        <v>0</v>
      </c>
      <c r="S20" s="229">
        <f t="shared" si="6"/>
        <v>46.64</v>
      </c>
      <c r="T20" s="229">
        <f t="shared" si="7"/>
        <v>46.64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294">
        <v>70024284</v>
      </c>
      <c r="C21" s="294" t="s">
        <v>293</v>
      </c>
      <c r="D21" s="296"/>
      <c r="E21" s="97">
        <v>1</v>
      </c>
      <c r="F21" s="98">
        <v>115.02</v>
      </c>
      <c r="G21" s="240">
        <f t="shared" si="0"/>
        <v>81</v>
      </c>
      <c r="H21" s="241">
        <f t="shared" si="1"/>
        <v>115.02</v>
      </c>
      <c r="I21" s="242"/>
      <c r="J21" s="243">
        <f t="shared" si="2"/>
        <v>1</v>
      </c>
      <c r="K21" s="240">
        <f t="shared" si="3"/>
        <v>43.71</v>
      </c>
      <c r="L21" s="240">
        <f t="shared" si="4"/>
        <v>43.71</v>
      </c>
      <c r="M21" s="244" t="s">
        <v>84</v>
      </c>
      <c r="N21" s="245">
        <v>0.62</v>
      </c>
      <c r="O21" s="226"/>
      <c r="P21" s="246"/>
      <c r="Q21" s="239"/>
      <c r="R21" s="247">
        <f t="shared" si="5"/>
        <v>0</v>
      </c>
      <c r="S21" s="248">
        <f t="shared" si="6"/>
        <v>43.71</v>
      </c>
      <c r="T21" s="248">
        <f t="shared" si="7"/>
        <v>43.71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292">
        <v>70022846</v>
      </c>
      <c r="C22" s="292" t="s">
        <v>294</v>
      </c>
      <c r="D22" s="297"/>
      <c r="E22" s="80">
        <v>1</v>
      </c>
      <c r="F22" s="81">
        <v>106.5</v>
      </c>
      <c r="G22" s="221">
        <f t="shared" si="0"/>
        <v>75</v>
      </c>
      <c r="H22" s="222">
        <f t="shared" si="1"/>
        <v>106.5</v>
      </c>
      <c r="I22" s="242"/>
      <c r="J22" s="224">
        <f t="shared" si="2"/>
        <v>1</v>
      </c>
      <c r="K22" s="221">
        <f t="shared" si="3"/>
        <v>40.47</v>
      </c>
      <c r="L22" s="221">
        <f t="shared" si="4"/>
        <v>40.47</v>
      </c>
      <c r="M22" s="220" t="s">
        <v>84</v>
      </c>
      <c r="N22" s="254">
        <v>0.62</v>
      </c>
      <c r="O22" s="226"/>
      <c r="P22" s="255"/>
      <c r="Q22" s="228"/>
      <c r="R22" s="229">
        <f t="shared" si="5"/>
        <v>0</v>
      </c>
      <c r="S22" s="229">
        <f t="shared" si="6"/>
        <v>40.47</v>
      </c>
      <c r="T22" s="229">
        <f t="shared" si="7"/>
        <v>40.47</v>
      </c>
      <c r="U22" s="230">
        <f t="shared" si="8"/>
        <v>0</v>
      </c>
      <c r="V22" s="230">
        <f t="shared" si="9"/>
        <v>1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294">
        <v>70024177</v>
      </c>
      <c r="C23" s="294" t="s">
        <v>92</v>
      </c>
      <c r="D23" s="296"/>
      <c r="E23" s="97">
        <v>1</v>
      </c>
      <c r="F23" s="98">
        <v>126.52</v>
      </c>
      <c r="G23" s="240">
        <f t="shared" si="0"/>
        <v>89.1</v>
      </c>
      <c r="H23" s="241">
        <f t="shared" si="1"/>
        <v>126.52</v>
      </c>
      <c r="I23" s="242"/>
      <c r="J23" s="243">
        <f t="shared" si="2"/>
        <v>1</v>
      </c>
      <c r="K23" s="240">
        <f t="shared" si="3"/>
        <v>48.08</v>
      </c>
      <c r="L23" s="240">
        <f t="shared" si="4"/>
        <v>48.08</v>
      </c>
      <c r="M23" s="244" t="s">
        <v>84</v>
      </c>
      <c r="N23" s="245">
        <v>0.62</v>
      </c>
      <c r="O23" s="226"/>
      <c r="P23" s="246"/>
      <c r="Q23" s="239"/>
      <c r="R23" s="247">
        <f t="shared" si="5"/>
        <v>0</v>
      </c>
      <c r="S23" s="248">
        <f t="shared" si="6"/>
        <v>48.08</v>
      </c>
      <c r="T23" s="248">
        <f t="shared" si="7"/>
        <v>48.08</v>
      </c>
      <c r="U23" s="249">
        <f t="shared" si="8"/>
        <v>0</v>
      </c>
      <c r="V23" s="249">
        <f t="shared" si="9"/>
        <v>1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292">
        <v>8320265</v>
      </c>
      <c r="C24" s="292" t="s">
        <v>295</v>
      </c>
      <c r="D24" s="297"/>
      <c r="E24" s="80">
        <v>1</v>
      </c>
      <c r="F24" s="81">
        <v>70.06</v>
      </c>
      <c r="G24" s="221">
        <f t="shared" si="0"/>
        <v>49.34</v>
      </c>
      <c r="H24" s="222">
        <f t="shared" si="1"/>
        <v>70.06</v>
      </c>
      <c r="I24" s="242"/>
      <c r="J24" s="224">
        <f t="shared" si="2"/>
        <v>1</v>
      </c>
      <c r="K24" s="221">
        <f t="shared" si="3"/>
        <v>26.62</v>
      </c>
      <c r="L24" s="221">
        <f t="shared" si="4"/>
        <v>26.62</v>
      </c>
      <c r="M24" s="220" t="s">
        <v>84</v>
      </c>
      <c r="N24" s="254">
        <v>0.62</v>
      </c>
      <c r="O24" s="226"/>
      <c r="P24" s="255"/>
      <c r="Q24" s="228"/>
      <c r="R24" s="229">
        <f t="shared" si="5"/>
        <v>0</v>
      </c>
      <c r="S24" s="229">
        <f t="shared" si="6"/>
        <v>26.62</v>
      </c>
      <c r="T24" s="229">
        <f t="shared" si="7"/>
        <v>26.62</v>
      </c>
      <c r="U24" s="230">
        <f t="shared" si="8"/>
        <v>0</v>
      </c>
      <c r="V24" s="230">
        <f t="shared" si="9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 s="294">
        <v>7139077</v>
      </c>
      <c r="C25" s="294" t="s">
        <v>296</v>
      </c>
      <c r="D25" s="296"/>
      <c r="E25" s="97">
        <v>1</v>
      </c>
      <c r="F25" s="98">
        <v>58.82</v>
      </c>
      <c r="G25" s="240">
        <f t="shared" si="0"/>
        <v>41.42</v>
      </c>
      <c r="H25" s="241">
        <f t="shared" si="1"/>
        <v>58.82</v>
      </c>
      <c r="I25" s="242"/>
      <c r="J25" s="243">
        <f t="shared" si="2"/>
        <v>1</v>
      </c>
      <c r="K25" s="240">
        <f t="shared" si="3"/>
        <v>58.82</v>
      </c>
      <c r="L25" s="240">
        <f t="shared" si="4"/>
        <v>58.82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58.82</v>
      </c>
      <c r="T25" s="248">
        <f t="shared" si="7"/>
        <v>58.82</v>
      </c>
      <c r="U25" s="249">
        <f t="shared" si="8"/>
        <v>0</v>
      </c>
      <c r="V25" s="249">
        <f t="shared" si="9"/>
        <v>1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 s="292">
        <v>1319726</v>
      </c>
      <c r="C26" s="292" t="s">
        <v>297</v>
      </c>
      <c r="D26" s="297"/>
      <c r="E26" s="80">
        <v>6</v>
      </c>
      <c r="F26" s="81">
        <v>72.89</v>
      </c>
      <c r="G26" s="221">
        <f t="shared" si="0"/>
        <v>51.33</v>
      </c>
      <c r="H26" s="222">
        <f t="shared" si="1"/>
        <v>437.34</v>
      </c>
      <c r="I26" s="242"/>
      <c r="J26" s="224">
        <f t="shared" si="2"/>
        <v>6</v>
      </c>
      <c r="K26" s="221">
        <f t="shared" si="3"/>
        <v>36.450000000000003</v>
      </c>
      <c r="L26" s="221">
        <f t="shared" si="4"/>
        <v>218.7</v>
      </c>
      <c r="M26" s="220" t="s">
        <v>84</v>
      </c>
      <c r="N26" s="254">
        <v>0.5</v>
      </c>
      <c r="O26" s="226"/>
      <c r="P26" s="255"/>
      <c r="Q26" s="228"/>
      <c r="R26" s="229">
        <f t="shared" si="5"/>
        <v>0</v>
      </c>
      <c r="S26" s="229">
        <f t="shared" si="6"/>
        <v>36.450000000000003</v>
      </c>
      <c r="T26" s="229">
        <f t="shared" si="7"/>
        <v>218.7</v>
      </c>
      <c r="U26" s="230">
        <f t="shared" si="8"/>
        <v>0</v>
      </c>
      <c r="V26" s="230">
        <f t="shared" si="9"/>
        <v>1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294">
        <v>70024588</v>
      </c>
      <c r="C27" s="294" t="s">
        <v>298</v>
      </c>
      <c r="D27" s="300"/>
      <c r="E27" s="283">
        <v>4</v>
      </c>
      <c r="F27" s="239">
        <v>1607.16</v>
      </c>
      <c r="G27" s="240">
        <f t="shared" si="0"/>
        <v>1131.8</v>
      </c>
      <c r="H27" s="241">
        <f t="shared" si="1"/>
        <v>6428.64</v>
      </c>
      <c r="I27" s="242"/>
      <c r="J27" s="243">
        <f t="shared" si="2"/>
        <v>4</v>
      </c>
      <c r="K27" s="240">
        <f t="shared" si="3"/>
        <v>1607.16</v>
      </c>
      <c r="L27" s="240">
        <f t="shared" si="4"/>
        <v>6428.64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1607.16</v>
      </c>
      <c r="T27" s="248">
        <f t="shared" si="7"/>
        <v>6428.64</v>
      </c>
      <c r="U27" s="249">
        <f t="shared" si="8"/>
        <v>0</v>
      </c>
      <c r="V27" s="249">
        <f t="shared" si="9"/>
        <v>1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298"/>
      <c r="C28" s="298"/>
      <c r="D28" s="301"/>
      <c r="E28" s="279"/>
      <c r="F28" s="220"/>
      <c r="G28" s="221">
        <f t="shared" si="0"/>
        <v>0</v>
      </c>
      <c r="H28" s="222">
        <f t="shared" si="1"/>
        <v>0</v>
      </c>
      <c r="I28" s="242"/>
      <c r="J28" s="224">
        <f t="shared" si="2"/>
        <v>0</v>
      </c>
      <c r="K28" s="221">
        <f t="shared" si="3"/>
        <v>0</v>
      </c>
      <c r="L28" s="221">
        <f t="shared" si="4"/>
        <v>0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0</v>
      </c>
      <c r="T28" s="229">
        <f t="shared" si="7"/>
        <v>0</v>
      </c>
      <c r="U28" s="230">
        <f t="shared" si="8"/>
        <v>0</v>
      </c>
      <c r="V28" s="230">
        <f t="shared" si="9"/>
        <v>0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299"/>
      <c r="C29" s="299"/>
      <c r="D29" s="300"/>
      <c r="E29" s="283"/>
      <c r="F29" s="239"/>
      <c r="G29" s="240">
        <f t="shared" si="0"/>
        <v>0</v>
      </c>
      <c r="H29" s="241">
        <f t="shared" si="1"/>
        <v>0</v>
      </c>
      <c r="I29" s="242"/>
      <c r="J29" s="243">
        <f t="shared" si="2"/>
        <v>0</v>
      </c>
      <c r="K29" s="240">
        <f t="shared" si="3"/>
        <v>0</v>
      </c>
      <c r="L29" s="240">
        <f t="shared" si="4"/>
        <v>0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0</v>
      </c>
      <c r="T29" s="248">
        <f t="shared" si="7"/>
        <v>0</v>
      </c>
      <c r="U29" s="249">
        <f t="shared" si="8"/>
        <v>0</v>
      </c>
      <c r="V29" s="249">
        <f t="shared" si="9"/>
        <v>0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276"/>
      <c r="C30" s="277"/>
      <c r="D30" s="285"/>
      <c r="E30" s="279"/>
      <c r="F30" s="220"/>
      <c r="G30" s="221">
        <f t="shared" si="0"/>
        <v>0</v>
      </c>
      <c r="H30" s="222">
        <f t="shared" si="1"/>
        <v>0</v>
      </c>
      <c r="I30" s="242"/>
      <c r="J30" s="224">
        <f t="shared" si="2"/>
        <v>0</v>
      </c>
      <c r="K30" s="221">
        <f t="shared" si="3"/>
        <v>0</v>
      </c>
      <c r="L30" s="221">
        <f t="shared" si="4"/>
        <v>0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0</v>
      </c>
      <c r="T30" s="229">
        <f t="shared" si="7"/>
        <v>0</v>
      </c>
      <c r="U30" s="230">
        <f t="shared" si="8"/>
        <v>0</v>
      </c>
      <c r="V30" s="230">
        <f t="shared" si="9"/>
        <v>0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280"/>
      <c r="C31" s="281"/>
      <c r="D31" s="282"/>
      <c r="E31" s="283"/>
      <c r="F31" s="239"/>
      <c r="G31" s="240">
        <f t="shared" si="0"/>
        <v>0</v>
      </c>
      <c r="H31" s="241">
        <f t="shared" si="1"/>
        <v>0</v>
      </c>
      <c r="I31" s="242"/>
      <c r="J31" s="243">
        <f t="shared" si="2"/>
        <v>0</v>
      </c>
      <c r="K31" s="240">
        <f t="shared" si="3"/>
        <v>0</v>
      </c>
      <c r="L31" s="240">
        <f t="shared" si="4"/>
        <v>0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0</v>
      </c>
      <c r="T31" s="248">
        <f t="shared" si="7"/>
        <v>0</v>
      </c>
      <c r="U31" s="249">
        <f t="shared" si="8"/>
        <v>0</v>
      </c>
      <c r="V31" s="249">
        <f t="shared" si="9"/>
        <v>0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276"/>
      <c r="C32" s="284"/>
      <c r="D32" s="285"/>
      <c r="E32" s="279"/>
      <c r="F32" s="220"/>
      <c r="G32" s="221">
        <f t="shared" si="0"/>
        <v>0</v>
      </c>
      <c r="H32" s="222">
        <f t="shared" si="1"/>
        <v>0</v>
      </c>
      <c r="I32" s="242"/>
      <c r="J32" s="224">
        <f t="shared" si="2"/>
        <v>0</v>
      </c>
      <c r="K32" s="221">
        <f t="shared" si="3"/>
        <v>0</v>
      </c>
      <c r="L32" s="221">
        <f t="shared" si="4"/>
        <v>0</v>
      </c>
      <c r="M32" s="220" t="s">
        <v>84</v>
      </c>
      <c r="N32" s="254">
        <v>0.5</v>
      </c>
      <c r="O32" s="226"/>
      <c r="P32" s="255"/>
      <c r="Q32" s="228"/>
      <c r="R32" s="229">
        <f t="shared" si="5"/>
        <v>0</v>
      </c>
      <c r="S32" s="229">
        <f t="shared" si="6"/>
        <v>0</v>
      </c>
      <c r="T32" s="229">
        <f t="shared" si="7"/>
        <v>0</v>
      </c>
      <c r="U32" s="230">
        <f t="shared" si="8"/>
        <v>0</v>
      </c>
      <c r="V32" s="230">
        <f t="shared" si="9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280"/>
      <c r="C33" s="281"/>
      <c r="D33" s="282"/>
      <c r="E33" s="283"/>
      <c r="F33" s="239"/>
      <c r="G33" s="240">
        <f t="shared" si="0"/>
        <v>0</v>
      </c>
      <c r="H33" s="241">
        <f t="shared" si="1"/>
        <v>0</v>
      </c>
      <c r="I33" s="242"/>
      <c r="J33" s="243">
        <f t="shared" si="2"/>
        <v>0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276"/>
      <c r="C34" s="284"/>
      <c r="D34" s="285"/>
      <c r="E34" s="279"/>
      <c r="F34" s="220"/>
      <c r="G34" s="221">
        <f t="shared" si="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>
        <v>0.5</v>
      </c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280"/>
      <c r="C35" s="281"/>
      <c r="D35" s="282"/>
      <c r="E35" s="283"/>
      <c r="F35" s="239"/>
      <c r="G35" s="240">
        <f t="shared" si="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>
        <v>0.5</v>
      </c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276"/>
      <c r="C36" s="284"/>
      <c r="D36" s="285"/>
      <c r="E36" s="279"/>
      <c r="F36" s="220"/>
      <c r="G36" s="221">
        <f t="shared" si="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280"/>
      <c r="C37" s="281"/>
      <c r="D37" s="282"/>
      <c r="E37" s="283"/>
      <c r="F37" s="239"/>
      <c r="G37" s="240">
        <f t="shared" si="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276"/>
      <c r="C38" s="284"/>
      <c r="D38" s="285"/>
      <c r="E38" s="279"/>
      <c r="F38" s="220"/>
      <c r="G38" s="221">
        <f t="shared" si="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280"/>
      <c r="C39" s="281"/>
      <c r="D39" s="282"/>
      <c r="E39" s="283"/>
      <c r="F39" s="239"/>
      <c r="G39" s="240">
        <f t="shared" si="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276"/>
      <c r="C40" s="284"/>
      <c r="D40" s="285"/>
      <c r="E40" s="279"/>
      <c r="F40" s="220"/>
      <c r="G40" s="221">
        <f t="shared" si="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280"/>
      <c r="C41" s="281"/>
      <c r="D41" s="282"/>
      <c r="E41" s="283"/>
      <c r="F41" s="239"/>
      <c r="G41" s="240">
        <f t="shared" si="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276"/>
      <c r="C42" s="284"/>
      <c r="D42" s="285"/>
      <c r="E42" s="279"/>
      <c r="F42" s="220"/>
      <c r="G42" s="221">
        <f t="shared" si="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280"/>
      <c r="C43" s="281"/>
      <c r="D43" s="282"/>
      <c r="E43" s="283"/>
      <c r="F43" s="239"/>
      <c r="G43" s="240">
        <f t="shared" si="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276"/>
      <c r="C44" s="284"/>
      <c r="D44" s="285"/>
      <c r="E44" s="279"/>
      <c r="F44" s="220"/>
      <c r="G44" s="221">
        <f t="shared" si="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280"/>
      <c r="C45" s="281"/>
      <c r="D45" s="282"/>
      <c r="E45" s="283"/>
      <c r="F45" s="239"/>
      <c r="G45" s="240">
        <f t="shared" si="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276"/>
      <c r="C46" s="284"/>
      <c r="D46" s="285"/>
      <c r="E46" s="279"/>
      <c r="F46" s="220"/>
      <c r="G46" s="221">
        <f t="shared" si="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280"/>
      <c r="C47" s="281"/>
      <c r="D47" s="282"/>
      <c r="E47" s="283"/>
      <c r="F47" s="239"/>
      <c r="G47" s="240">
        <f t="shared" si="0"/>
        <v>0</v>
      </c>
      <c r="H47" s="241">
        <f t="shared" si="1"/>
        <v>0</v>
      </c>
      <c r="I47" s="242"/>
      <c r="J47" s="243">
        <f t="shared" si="2"/>
        <v>0</v>
      </c>
      <c r="K47" s="240">
        <f t="shared" si="3"/>
        <v>0</v>
      </c>
      <c r="L47" s="240">
        <f t="shared" si="4"/>
        <v>0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0</v>
      </c>
      <c r="T47" s="248">
        <f t="shared" si="7"/>
        <v>0</v>
      </c>
      <c r="U47" s="249">
        <f t="shared" si="8"/>
        <v>0</v>
      </c>
      <c r="V47" s="249">
        <f t="shared" si="9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276"/>
      <c r="C48" s="284"/>
      <c r="D48" s="285"/>
      <c r="E48" s="279"/>
      <c r="F48" s="220"/>
      <c r="G48" s="221">
        <f t="shared" si="0"/>
        <v>0</v>
      </c>
      <c r="H48" s="222">
        <f t="shared" si="1"/>
        <v>0</v>
      </c>
      <c r="I48" s="242"/>
      <c r="J48" s="224">
        <f t="shared" si="2"/>
        <v>0</v>
      </c>
      <c r="K48" s="221">
        <f t="shared" si="3"/>
        <v>0</v>
      </c>
      <c r="L48" s="221">
        <f t="shared" si="4"/>
        <v>0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0</v>
      </c>
      <c r="T48" s="229">
        <f t="shared" si="7"/>
        <v>0</v>
      </c>
      <c r="U48" s="230">
        <f t="shared" si="8"/>
        <v>0</v>
      </c>
      <c r="V48" s="230">
        <f t="shared" si="9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280"/>
      <c r="C49" s="281"/>
      <c r="D49" s="282"/>
      <c r="E49" s="283"/>
      <c r="F49" s="239"/>
      <c r="G49" s="240">
        <f t="shared" si="0"/>
        <v>0</v>
      </c>
      <c r="H49" s="241">
        <f t="shared" si="1"/>
        <v>0</v>
      </c>
      <c r="I49" s="242"/>
      <c r="J49" s="243">
        <f t="shared" si="2"/>
        <v>0</v>
      </c>
      <c r="K49" s="240">
        <f t="shared" si="3"/>
        <v>0</v>
      </c>
      <c r="L49" s="240">
        <f t="shared" si="4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0</v>
      </c>
      <c r="T49" s="248">
        <f t="shared" si="7"/>
        <v>0</v>
      </c>
      <c r="U49" s="249">
        <f t="shared" si="8"/>
        <v>0</v>
      </c>
      <c r="V49" s="249">
        <f t="shared" si="9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276"/>
      <c r="C50" s="284"/>
      <c r="D50" s="285"/>
      <c r="E50" s="279"/>
      <c r="F50" s="220"/>
      <c r="G50" s="221">
        <f t="shared" si="0"/>
        <v>0</v>
      </c>
      <c r="H50" s="222">
        <f t="shared" si="1"/>
        <v>0</v>
      </c>
      <c r="I50" s="242"/>
      <c r="J50" s="224">
        <f t="shared" si="2"/>
        <v>0</v>
      </c>
      <c r="K50" s="221">
        <f t="shared" si="3"/>
        <v>0</v>
      </c>
      <c r="L50" s="221">
        <f t="shared" si="4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0</v>
      </c>
      <c r="T50" s="229">
        <f t="shared" si="7"/>
        <v>0</v>
      </c>
      <c r="U50" s="230">
        <f t="shared" si="8"/>
        <v>0</v>
      </c>
      <c r="V50" s="230">
        <f t="shared" si="9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280"/>
      <c r="C51" s="281"/>
      <c r="D51" s="282"/>
      <c r="E51" s="283"/>
      <c r="F51" s="239"/>
      <c r="G51" s="240">
        <f t="shared" si="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18</v>
      </c>
      <c r="F61" s="265">
        <f>SUM(F18:F60)</f>
        <v>2397.8200000000002</v>
      </c>
      <c r="G61" s="266">
        <f>SUM(G18:G60)</f>
        <v>1688.6</v>
      </c>
      <c r="H61" s="267">
        <f>SUM(H18:H60)</f>
        <v>7583.75</v>
      </c>
      <c r="I61" s="268"/>
      <c r="J61" s="269">
        <f>SUM(J18:J60)</f>
        <v>18</v>
      </c>
      <c r="K61" s="266">
        <f>SUM(K18:K60)</f>
        <v>1952.8400000000001</v>
      </c>
      <c r="L61" s="267">
        <f>SUM(L18:L60)</f>
        <v>6956.5700000000006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1952.8400000000001</v>
      </c>
      <c r="T61" s="267">
        <f>SUM(T18:T60)</f>
        <v>6956.5700000000006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107" priority="3" stopIfTrue="1">
      <formula>$U$9&gt;100%</formula>
    </cfRule>
    <cfRule type="expression" dxfId="106" priority="4">
      <formula>$U$9&lt;50%</formula>
    </cfRule>
  </conditionalFormatting>
  <conditionalFormatting sqref="V9:V10">
    <cfRule type="expression" dxfId="105" priority="1">
      <formula>$V$9&lt;50%</formula>
    </cfRule>
    <cfRule type="expression" dxfId="104" priority="2">
      <formula>$V$9&gt;50%</formula>
    </cfRule>
  </conditionalFormatting>
  <dataValidations count="5">
    <dataValidation type="list" allowBlank="1" showInputMessage="1" showErrorMessage="1" sqref="M18:M60" xr:uid="{0481602D-F082-474B-88EC-292FD6844B8F}">
      <formula1>$Y$31:$Y$32</formula1>
    </dataValidation>
    <dataValidation type="list" showInputMessage="1" showErrorMessage="1" sqref="D52:D60 D18:D26" xr:uid="{4EB9347C-226B-46C3-8D67-3750819D9BB0}">
      <formula1>$Z$18:$Z$29</formula1>
    </dataValidation>
    <dataValidation type="list" allowBlank="1" showInputMessage="1" showErrorMessage="1" sqref="I13" xr:uid="{00ACBB04-84E0-40F0-9C75-0E9548C312AC}">
      <formula1>$K$9:$K$9</formula1>
    </dataValidation>
    <dataValidation type="list" allowBlank="1" showInputMessage="1" showErrorMessage="1" sqref="H13" xr:uid="{70281362-39AF-42A3-A638-B5AA4AABFD41}">
      <formula1>$Y$13:$Y$14</formula1>
    </dataValidation>
    <dataValidation type="list" allowBlank="1" showInputMessage="1" showErrorMessage="1" sqref="F17 K17 Q17 Q14" xr:uid="{C9BFA0AA-2087-498D-B687-D94EDD91DBDC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39AF3-3931-46F6-AF82-0573605153B8}">
  <sheetPr>
    <pageSetUpPr fitToPage="1"/>
  </sheetPr>
  <dimension ref="A1:AB63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523" t="s">
        <v>2</v>
      </c>
      <c r="I1" s="524"/>
      <c r="J1" s="524"/>
      <c r="K1" s="525"/>
      <c r="L1" s="528" t="s">
        <v>3</v>
      </c>
      <c r="M1" s="529"/>
      <c r="N1" s="529"/>
      <c r="O1" s="529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59">
        <v>434707</v>
      </c>
      <c r="G2" s="549"/>
      <c r="H2" s="546" t="s">
        <v>7</v>
      </c>
      <c r="I2" s="550"/>
      <c r="J2" s="547"/>
      <c r="K2" s="148"/>
      <c r="L2" s="551" t="s">
        <v>8</v>
      </c>
      <c r="M2" s="552"/>
      <c r="N2" s="553"/>
      <c r="O2" s="149"/>
      <c r="P2" s="554">
        <f>H61</f>
        <v>7583.75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532" t="s">
        <v>13</v>
      </c>
      <c r="I3" s="536"/>
      <c r="J3" s="533"/>
      <c r="K3" s="154"/>
      <c r="L3" s="537" t="s">
        <v>14</v>
      </c>
      <c r="M3" s="538"/>
      <c r="N3" s="539"/>
      <c r="O3" s="149"/>
      <c r="P3" s="540">
        <f>L61</f>
        <v>6956.5700000000006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665" t="s">
        <v>289</v>
      </c>
      <c r="G4" s="666"/>
      <c r="H4" s="532" t="s">
        <v>19</v>
      </c>
      <c r="I4" s="536"/>
      <c r="J4" s="533"/>
      <c r="K4" s="154"/>
      <c r="L4" s="537" t="s">
        <v>20</v>
      </c>
      <c r="M4" s="538"/>
      <c r="N4" s="539"/>
      <c r="O4" s="149"/>
      <c r="P4" s="540">
        <f>P2-P3</f>
        <v>627.17999999999938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679">
        <v>10054</v>
      </c>
      <c r="G5" s="680"/>
      <c r="H5" s="532" t="s">
        <v>25</v>
      </c>
      <c r="I5" s="536"/>
      <c r="J5" s="533"/>
      <c r="K5" s="154"/>
      <c r="L5" s="558" t="s">
        <v>26</v>
      </c>
      <c r="M5" s="559"/>
      <c r="N5" s="560"/>
      <c r="O5" s="149"/>
      <c r="P5" s="561">
        <f>IFERROR((P2-P3)/P2,"")</f>
        <v>8.2700510960936127E-2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81"/>
      <c r="G6" s="666"/>
      <c r="H6" s="532" t="s">
        <v>31</v>
      </c>
      <c r="I6" s="536"/>
      <c r="J6" s="533"/>
      <c r="K6" s="154"/>
      <c r="L6" s="574" t="s">
        <v>32</v>
      </c>
      <c r="M6" s="575"/>
      <c r="N6" s="576"/>
      <c r="O6" s="149"/>
      <c r="P6" s="577">
        <f>T61</f>
        <v>6956.5700000000006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563"/>
      <c r="G7" s="535"/>
      <c r="H7" s="532" t="s">
        <v>36</v>
      </c>
      <c r="I7" s="536"/>
      <c r="J7" s="533"/>
      <c r="K7" s="154"/>
      <c r="L7" s="564" t="s">
        <v>37</v>
      </c>
      <c r="M7" s="565"/>
      <c r="N7" s="56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532" t="s">
        <v>40</v>
      </c>
      <c r="I8" s="536"/>
      <c r="J8" s="533"/>
      <c r="K8" s="154"/>
      <c r="L8" s="564" t="s">
        <v>41</v>
      </c>
      <c r="M8" s="565"/>
      <c r="N8" s="56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378</v>
      </c>
      <c r="G9" s="535"/>
      <c r="H9" s="171"/>
      <c r="I9" s="172"/>
      <c r="J9" s="172"/>
      <c r="K9" s="173"/>
      <c r="L9" s="564" t="s">
        <v>47</v>
      </c>
      <c r="M9" s="565"/>
      <c r="N9" s="56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6956.5700000000006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542" t="s">
        <v>48</v>
      </c>
      <c r="M10" s="579"/>
      <c r="N10" s="543"/>
      <c r="O10" s="149"/>
      <c r="P10" s="580">
        <f>E61</f>
        <v>18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650" t="s">
        <v>50</v>
      </c>
      <c r="K11" s="651"/>
      <c r="L11" s="651"/>
      <c r="M11" s="651"/>
      <c r="N11" s="652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653"/>
      <c r="K12" s="654"/>
      <c r="L12" s="654"/>
      <c r="M12" s="654"/>
      <c r="N12" s="655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656"/>
      <c r="K13" s="657"/>
      <c r="L13" s="657"/>
      <c r="M13" s="657"/>
      <c r="N13" s="658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601" t="s">
        <v>59</v>
      </c>
      <c r="K14" s="602"/>
      <c r="L14" s="605" t="s">
        <v>60</v>
      </c>
      <c r="M14" s="606"/>
      <c r="N14" s="60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603"/>
      <c r="K15" s="604"/>
      <c r="L15" s="608"/>
      <c r="M15" s="609"/>
      <c r="N15" s="61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631" t="s">
        <v>69</v>
      </c>
      <c r="K16" s="201" t="s">
        <v>72</v>
      </c>
      <c r="L16" s="202" t="s">
        <v>73</v>
      </c>
      <c r="M16" s="633" t="s">
        <v>74</v>
      </c>
      <c r="N16" s="633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8"/>
      <c r="C17" s="678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632"/>
      <c r="K17" s="614" t="s">
        <v>52</v>
      </c>
      <c r="L17" s="615"/>
      <c r="M17" s="634"/>
      <c r="N17" s="634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>
        <v>8036204</v>
      </c>
      <c r="C18" s="293" t="s">
        <v>290</v>
      </c>
      <c r="D18" s="295"/>
      <c r="E18" s="80">
        <v>1</v>
      </c>
      <c r="F18" s="81">
        <v>11.62</v>
      </c>
      <c r="G18" s="221">
        <f t="shared" ref="G18:G60" si="0">ROUND(IF($F$17="USD $", F18*$E$15,F18*$D$15),2)</f>
        <v>8.18</v>
      </c>
      <c r="H18" s="222">
        <f t="shared" ref="H18:H60" si="1">ROUND(IF($H$17=$G$17,E18*G18,E18*F18),2)</f>
        <v>11.62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4.42</v>
      </c>
      <c r="L18" s="221">
        <f t="shared" ref="L18:L60" si="4">ROUND((J18*K18),2)</f>
        <v>4.42</v>
      </c>
      <c r="M18" s="220" t="s">
        <v>84</v>
      </c>
      <c r="N18" s="225">
        <v>0.62</v>
      </c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4.42</v>
      </c>
      <c r="T18" s="229">
        <f t="shared" ref="T18:T60" si="7">ROUND(L18-R18,2)</f>
        <v>4.42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294">
        <v>70022846</v>
      </c>
      <c r="C19" s="291" t="s">
        <v>291</v>
      </c>
      <c r="D19" s="296"/>
      <c r="E19" s="97">
        <v>1</v>
      </c>
      <c r="F19" s="98">
        <v>106.5</v>
      </c>
      <c r="G19" s="240">
        <f t="shared" si="0"/>
        <v>75</v>
      </c>
      <c r="H19" s="241">
        <f t="shared" si="1"/>
        <v>106.5</v>
      </c>
      <c r="I19" s="242"/>
      <c r="J19" s="243">
        <f t="shared" si="2"/>
        <v>1</v>
      </c>
      <c r="K19" s="240">
        <f t="shared" si="3"/>
        <v>40.47</v>
      </c>
      <c r="L19" s="240">
        <f t="shared" si="4"/>
        <v>40.47</v>
      </c>
      <c r="M19" s="244" t="s">
        <v>84</v>
      </c>
      <c r="N19" s="245">
        <v>0.62</v>
      </c>
      <c r="O19" s="226"/>
      <c r="P19" s="246"/>
      <c r="Q19" s="239"/>
      <c r="R19" s="247">
        <f t="shared" si="5"/>
        <v>0</v>
      </c>
      <c r="S19" s="248">
        <f t="shared" si="6"/>
        <v>40.47</v>
      </c>
      <c r="T19" s="248">
        <f t="shared" si="7"/>
        <v>40.47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292">
        <v>70023812</v>
      </c>
      <c r="C20" s="292" t="s">
        <v>292</v>
      </c>
      <c r="D20" s="297"/>
      <c r="E20" s="80">
        <v>1</v>
      </c>
      <c r="F20" s="81">
        <v>122.73</v>
      </c>
      <c r="G20" s="221">
        <f t="shared" si="0"/>
        <v>86.43</v>
      </c>
      <c r="H20" s="222">
        <f t="shared" si="1"/>
        <v>122.73</v>
      </c>
      <c r="I20" s="242"/>
      <c r="J20" s="224">
        <f t="shared" si="2"/>
        <v>1</v>
      </c>
      <c r="K20" s="221">
        <f t="shared" si="3"/>
        <v>46.64</v>
      </c>
      <c r="L20" s="221">
        <f t="shared" si="4"/>
        <v>46.64</v>
      </c>
      <c r="M20" s="220" t="s">
        <v>84</v>
      </c>
      <c r="N20" s="254">
        <v>0.62</v>
      </c>
      <c r="O20" s="226"/>
      <c r="P20" s="255"/>
      <c r="Q20" s="228"/>
      <c r="R20" s="229">
        <f t="shared" si="5"/>
        <v>0</v>
      </c>
      <c r="S20" s="229">
        <f t="shared" si="6"/>
        <v>46.64</v>
      </c>
      <c r="T20" s="229">
        <f t="shared" si="7"/>
        <v>46.64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294">
        <v>70024284</v>
      </c>
      <c r="C21" s="294" t="s">
        <v>293</v>
      </c>
      <c r="D21" s="296"/>
      <c r="E21" s="97">
        <v>1</v>
      </c>
      <c r="F21" s="98">
        <v>115.02</v>
      </c>
      <c r="G21" s="240">
        <f t="shared" si="0"/>
        <v>81</v>
      </c>
      <c r="H21" s="241">
        <f t="shared" si="1"/>
        <v>115.02</v>
      </c>
      <c r="I21" s="242"/>
      <c r="J21" s="243">
        <f t="shared" si="2"/>
        <v>1</v>
      </c>
      <c r="K21" s="240">
        <f t="shared" si="3"/>
        <v>43.71</v>
      </c>
      <c r="L21" s="240">
        <f t="shared" si="4"/>
        <v>43.71</v>
      </c>
      <c r="M21" s="244" t="s">
        <v>84</v>
      </c>
      <c r="N21" s="245">
        <v>0.62</v>
      </c>
      <c r="O21" s="226"/>
      <c r="P21" s="246"/>
      <c r="Q21" s="239"/>
      <c r="R21" s="247">
        <f t="shared" si="5"/>
        <v>0</v>
      </c>
      <c r="S21" s="248">
        <f t="shared" si="6"/>
        <v>43.71</v>
      </c>
      <c r="T21" s="248">
        <f t="shared" si="7"/>
        <v>43.71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292">
        <v>70022846</v>
      </c>
      <c r="C22" s="292" t="s">
        <v>294</v>
      </c>
      <c r="D22" s="297"/>
      <c r="E22" s="80">
        <v>1</v>
      </c>
      <c r="F22" s="81">
        <v>106.5</v>
      </c>
      <c r="G22" s="221">
        <f t="shared" si="0"/>
        <v>75</v>
      </c>
      <c r="H22" s="222">
        <f t="shared" si="1"/>
        <v>106.5</v>
      </c>
      <c r="I22" s="242"/>
      <c r="J22" s="224">
        <f t="shared" si="2"/>
        <v>1</v>
      </c>
      <c r="K22" s="221">
        <f t="shared" si="3"/>
        <v>40.47</v>
      </c>
      <c r="L22" s="221">
        <f t="shared" si="4"/>
        <v>40.47</v>
      </c>
      <c r="M22" s="220" t="s">
        <v>84</v>
      </c>
      <c r="N22" s="254">
        <v>0.62</v>
      </c>
      <c r="O22" s="226"/>
      <c r="P22" s="255"/>
      <c r="Q22" s="228"/>
      <c r="R22" s="229">
        <f t="shared" si="5"/>
        <v>0</v>
      </c>
      <c r="S22" s="229">
        <f t="shared" si="6"/>
        <v>40.47</v>
      </c>
      <c r="T22" s="229">
        <f t="shared" si="7"/>
        <v>40.47</v>
      </c>
      <c r="U22" s="230">
        <f t="shared" si="8"/>
        <v>0</v>
      </c>
      <c r="V22" s="230">
        <f t="shared" si="9"/>
        <v>1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294">
        <v>70024177</v>
      </c>
      <c r="C23" s="294" t="s">
        <v>92</v>
      </c>
      <c r="D23" s="296"/>
      <c r="E23" s="97">
        <v>1</v>
      </c>
      <c r="F23" s="98">
        <v>126.52</v>
      </c>
      <c r="G23" s="240">
        <f t="shared" si="0"/>
        <v>89.1</v>
      </c>
      <c r="H23" s="241">
        <f t="shared" si="1"/>
        <v>126.52</v>
      </c>
      <c r="I23" s="242"/>
      <c r="J23" s="243">
        <f t="shared" si="2"/>
        <v>1</v>
      </c>
      <c r="K23" s="240">
        <f t="shared" si="3"/>
        <v>48.08</v>
      </c>
      <c r="L23" s="240">
        <f t="shared" si="4"/>
        <v>48.08</v>
      </c>
      <c r="M23" s="244" t="s">
        <v>84</v>
      </c>
      <c r="N23" s="245">
        <v>0.62</v>
      </c>
      <c r="O23" s="226"/>
      <c r="P23" s="246"/>
      <c r="Q23" s="239"/>
      <c r="R23" s="247">
        <f t="shared" si="5"/>
        <v>0</v>
      </c>
      <c r="S23" s="248">
        <f t="shared" si="6"/>
        <v>48.08</v>
      </c>
      <c r="T23" s="248">
        <f t="shared" si="7"/>
        <v>48.08</v>
      </c>
      <c r="U23" s="249">
        <f t="shared" si="8"/>
        <v>0</v>
      </c>
      <c r="V23" s="249">
        <f t="shared" si="9"/>
        <v>1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292">
        <v>8320265</v>
      </c>
      <c r="C24" s="292" t="s">
        <v>295</v>
      </c>
      <c r="D24" s="297"/>
      <c r="E24" s="80">
        <v>1</v>
      </c>
      <c r="F24" s="81">
        <v>70.06</v>
      </c>
      <c r="G24" s="221">
        <f t="shared" si="0"/>
        <v>49.34</v>
      </c>
      <c r="H24" s="222">
        <f t="shared" si="1"/>
        <v>70.06</v>
      </c>
      <c r="I24" s="242"/>
      <c r="J24" s="224">
        <f t="shared" si="2"/>
        <v>1</v>
      </c>
      <c r="K24" s="221">
        <f t="shared" si="3"/>
        <v>26.62</v>
      </c>
      <c r="L24" s="221">
        <f t="shared" si="4"/>
        <v>26.62</v>
      </c>
      <c r="M24" s="220" t="s">
        <v>84</v>
      </c>
      <c r="N24" s="254">
        <v>0.62</v>
      </c>
      <c r="O24" s="226"/>
      <c r="P24" s="255"/>
      <c r="Q24" s="228"/>
      <c r="R24" s="229">
        <f t="shared" si="5"/>
        <v>0</v>
      </c>
      <c r="S24" s="229">
        <f t="shared" si="6"/>
        <v>26.62</v>
      </c>
      <c r="T24" s="229">
        <f t="shared" si="7"/>
        <v>26.62</v>
      </c>
      <c r="U24" s="230">
        <f t="shared" si="8"/>
        <v>0</v>
      </c>
      <c r="V24" s="230">
        <f t="shared" si="9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 s="294">
        <v>7139077</v>
      </c>
      <c r="C25" s="294" t="s">
        <v>296</v>
      </c>
      <c r="D25" s="296"/>
      <c r="E25" s="97">
        <v>1</v>
      </c>
      <c r="F25" s="98">
        <v>58.82</v>
      </c>
      <c r="G25" s="240">
        <f t="shared" si="0"/>
        <v>41.42</v>
      </c>
      <c r="H25" s="241">
        <f t="shared" si="1"/>
        <v>58.82</v>
      </c>
      <c r="I25" s="242"/>
      <c r="J25" s="243">
        <f t="shared" si="2"/>
        <v>1</v>
      </c>
      <c r="K25" s="240">
        <f t="shared" si="3"/>
        <v>58.82</v>
      </c>
      <c r="L25" s="240">
        <f t="shared" si="4"/>
        <v>58.82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58.82</v>
      </c>
      <c r="T25" s="248">
        <f t="shared" si="7"/>
        <v>58.82</v>
      </c>
      <c r="U25" s="249">
        <f t="shared" si="8"/>
        <v>0</v>
      </c>
      <c r="V25" s="249">
        <f t="shared" si="9"/>
        <v>1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 s="292">
        <v>1319726</v>
      </c>
      <c r="C26" s="292" t="s">
        <v>297</v>
      </c>
      <c r="D26" s="297"/>
      <c r="E26" s="80">
        <v>6</v>
      </c>
      <c r="F26" s="81">
        <v>72.89</v>
      </c>
      <c r="G26" s="221">
        <f t="shared" si="0"/>
        <v>51.33</v>
      </c>
      <c r="H26" s="222">
        <f t="shared" si="1"/>
        <v>437.34</v>
      </c>
      <c r="I26" s="242"/>
      <c r="J26" s="224">
        <f t="shared" si="2"/>
        <v>6</v>
      </c>
      <c r="K26" s="221">
        <f t="shared" si="3"/>
        <v>36.450000000000003</v>
      </c>
      <c r="L26" s="221">
        <f t="shared" si="4"/>
        <v>218.7</v>
      </c>
      <c r="M26" s="220" t="s">
        <v>84</v>
      </c>
      <c r="N26" s="254">
        <v>0.5</v>
      </c>
      <c r="O26" s="226"/>
      <c r="P26" s="255"/>
      <c r="Q26" s="228"/>
      <c r="R26" s="229">
        <f t="shared" si="5"/>
        <v>0</v>
      </c>
      <c r="S26" s="229">
        <f t="shared" si="6"/>
        <v>36.450000000000003</v>
      </c>
      <c r="T26" s="229">
        <f t="shared" si="7"/>
        <v>218.7</v>
      </c>
      <c r="U26" s="230">
        <f t="shared" si="8"/>
        <v>0</v>
      </c>
      <c r="V26" s="230">
        <f t="shared" si="9"/>
        <v>1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294">
        <v>70024588</v>
      </c>
      <c r="C27" s="294" t="s">
        <v>298</v>
      </c>
      <c r="D27" s="300"/>
      <c r="E27" s="283">
        <v>4</v>
      </c>
      <c r="F27" s="239">
        <v>1607.16</v>
      </c>
      <c r="G27" s="240">
        <f t="shared" si="0"/>
        <v>1131.8</v>
      </c>
      <c r="H27" s="241">
        <f t="shared" si="1"/>
        <v>6428.64</v>
      </c>
      <c r="I27" s="242"/>
      <c r="J27" s="243">
        <f t="shared" si="2"/>
        <v>4</v>
      </c>
      <c r="K27" s="240">
        <f t="shared" si="3"/>
        <v>1607.16</v>
      </c>
      <c r="L27" s="240">
        <f t="shared" si="4"/>
        <v>6428.64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1607.16</v>
      </c>
      <c r="T27" s="248">
        <f t="shared" si="7"/>
        <v>6428.64</v>
      </c>
      <c r="U27" s="249">
        <f t="shared" si="8"/>
        <v>0</v>
      </c>
      <c r="V27" s="249">
        <f t="shared" si="9"/>
        <v>1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298"/>
      <c r="C28" s="298"/>
      <c r="D28" s="301"/>
      <c r="E28" s="279"/>
      <c r="F28" s="220"/>
      <c r="G28" s="221">
        <f t="shared" si="0"/>
        <v>0</v>
      </c>
      <c r="H28" s="222">
        <f t="shared" si="1"/>
        <v>0</v>
      </c>
      <c r="I28" s="242"/>
      <c r="J28" s="224">
        <f t="shared" si="2"/>
        <v>0</v>
      </c>
      <c r="K28" s="221">
        <f t="shared" si="3"/>
        <v>0</v>
      </c>
      <c r="L28" s="221">
        <f t="shared" si="4"/>
        <v>0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0</v>
      </c>
      <c r="T28" s="229">
        <f t="shared" si="7"/>
        <v>0</v>
      </c>
      <c r="U28" s="230">
        <f t="shared" si="8"/>
        <v>0</v>
      </c>
      <c r="V28" s="230">
        <f t="shared" si="9"/>
        <v>0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299"/>
      <c r="C29" s="299"/>
      <c r="D29" s="300"/>
      <c r="E29" s="283"/>
      <c r="F29" s="239"/>
      <c r="G29" s="240">
        <f t="shared" si="0"/>
        <v>0</v>
      </c>
      <c r="H29" s="241">
        <f t="shared" si="1"/>
        <v>0</v>
      </c>
      <c r="I29" s="242"/>
      <c r="J29" s="243">
        <f t="shared" si="2"/>
        <v>0</v>
      </c>
      <c r="K29" s="240">
        <f t="shared" si="3"/>
        <v>0</v>
      </c>
      <c r="L29" s="240">
        <f t="shared" si="4"/>
        <v>0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0</v>
      </c>
      <c r="T29" s="248">
        <f t="shared" si="7"/>
        <v>0</v>
      </c>
      <c r="U29" s="249">
        <f t="shared" si="8"/>
        <v>0</v>
      </c>
      <c r="V29" s="249">
        <f t="shared" si="9"/>
        <v>0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276"/>
      <c r="C30" s="277"/>
      <c r="D30" s="285"/>
      <c r="E30" s="279"/>
      <c r="F30" s="220"/>
      <c r="G30" s="221">
        <f t="shared" si="0"/>
        <v>0</v>
      </c>
      <c r="H30" s="222">
        <f t="shared" si="1"/>
        <v>0</v>
      </c>
      <c r="I30" s="242"/>
      <c r="J30" s="224">
        <f t="shared" si="2"/>
        <v>0</v>
      </c>
      <c r="K30" s="221">
        <f t="shared" si="3"/>
        <v>0</v>
      </c>
      <c r="L30" s="221">
        <f t="shared" si="4"/>
        <v>0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0</v>
      </c>
      <c r="T30" s="229">
        <f t="shared" si="7"/>
        <v>0</v>
      </c>
      <c r="U30" s="230">
        <f t="shared" si="8"/>
        <v>0</v>
      </c>
      <c r="V30" s="230">
        <f t="shared" si="9"/>
        <v>0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280"/>
      <c r="C31" s="281"/>
      <c r="D31" s="282"/>
      <c r="E31" s="283"/>
      <c r="F31" s="239"/>
      <c r="G31" s="240">
        <f t="shared" si="0"/>
        <v>0</v>
      </c>
      <c r="H31" s="241">
        <f t="shared" si="1"/>
        <v>0</v>
      </c>
      <c r="I31" s="242"/>
      <c r="J31" s="243">
        <f t="shared" si="2"/>
        <v>0</v>
      </c>
      <c r="K31" s="240">
        <f t="shared" si="3"/>
        <v>0</v>
      </c>
      <c r="L31" s="240">
        <f t="shared" si="4"/>
        <v>0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0</v>
      </c>
      <c r="T31" s="248">
        <f t="shared" si="7"/>
        <v>0</v>
      </c>
      <c r="U31" s="249">
        <f t="shared" si="8"/>
        <v>0</v>
      </c>
      <c r="V31" s="249">
        <f t="shared" si="9"/>
        <v>0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276"/>
      <c r="C32" s="284"/>
      <c r="D32" s="285"/>
      <c r="E32" s="279"/>
      <c r="F32" s="220"/>
      <c r="G32" s="221">
        <f t="shared" si="0"/>
        <v>0</v>
      </c>
      <c r="H32" s="222">
        <f t="shared" si="1"/>
        <v>0</v>
      </c>
      <c r="I32" s="242"/>
      <c r="J32" s="224">
        <f t="shared" si="2"/>
        <v>0</v>
      </c>
      <c r="K32" s="221">
        <f t="shared" si="3"/>
        <v>0</v>
      </c>
      <c r="L32" s="221">
        <f t="shared" si="4"/>
        <v>0</v>
      </c>
      <c r="M32" s="220" t="s">
        <v>84</v>
      </c>
      <c r="N32" s="254">
        <v>0.5</v>
      </c>
      <c r="O32" s="226"/>
      <c r="P32" s="255"/>
      <c r="Q32" s="228"/>
      <c r="R32" s="229">
        <f t="shared" si="5"/>
        <v>0</v>
      </c>
      <c r="S32" s="229">
        <f t="shared" si="6"/>
        <v>0</v>
      </c>
      <c r="T32" s="229">
        <f t="shared" si="7"/>
        <v>0</v>
      </c>
      <c r="U32" s="230">
        <f t="shared" si="8"/>
        <v>0</v>
      </c>
      <c r="V32" s="230">
        <f t="shared" si="9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280"/>
      <c r="C33" s="281"/>
      <c r="D33" s="282"/>
      <c r="E33" s="283"/>
      <c r="F33" s="239"/>
      <c r="G33" s="240">
        <f t="shared" si="0"/>
        <v>0</v>
      </c>
      <c r="H33" s="241">
        <f t="shared" si="1"/>
        <v>0</v>
      </c>
      <c r="I33" s="242"/>
      <c r="J33" s="243">
        <f t="shared" si="2"/>
        <v>0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276"/>
      <c r="C34" s="284"/>
      <c r="D34" s="285"/>
      <c r="E34" s="279"/>
      <c r="F34" s="220"/>
      <c r="G34" s="221">
        <f t="shared" si="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>
        <v>0.5</v>
      </c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280"/>
      <c r="C35" s="281"/>
      <c r="D35" s="282"/>
      <c r="E35" s="283"/>
      <c r="F35" s="239"/>
      <c r="G35" s="240">
        <f t="shared" si="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>
        <v>0.5</v>
      </c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276"/>
      <c r="C36" s="284"/>
      <c r="D36" s="285"/>
      <c r="E36" s="279"/>
      <c r="F36" s="220"/>
      <c r="G36" s="221">
        <f t="shared" si="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280"/>
      <c r="C37" s="281"/>
      <c r="D37" s="282"/>
      <c r="E37" s="283"/>
      <c r="F37" s="239"/>
      <c r="G37" s="240">
        <f t="shared" si="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276"/>
      <c r="C38" s="284"/>
      <c r="D38" s="285"/>
      <c r="E38" s="279"/>
      <c r="F38" s="220"/>
      <c r="G38" s="221">
        <f t="shared" si="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280"/>
      <c r="C39" s="281"/>
      <c r="D39" s="282"/>
      <c r="E39" s="283"/>
      <c r="F39" s="239"/>
      <c r="G39" s="240">
        <f t="shared" si="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276"/>
      <c r="C40" s="284"/>
      <c r="D40" s="285"/>
      <c r="E40" s="279"/>
      <c r="F40" s="220"/>
      <c r="G40" s="221">
        <f t="shared" si="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280"/>
      <c r="C41" s="281"/>
      <c r="D41" s="282"/>
      <c r="E41" s="283"/>
      <c r="F41" s="239"/>
      <c r="G41" s="240">
        <f t="shared" si="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276"/>
      <c r="C42" s="284"/>
      <c r="D42" s="285"/>
      <c r="E42" s="279"/>
      <c r="F42" s="220"/>
      <c r="G42" s="221">
        <f t="shared" si="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280"/>
      <c r="C43" s="281"/>
      <c r="D43" s="282"/>
      <c r="E43" s="283"/>
      <c r="F43" s="239"/>
      <c r="G43" s="240">
        <f t="shared" si="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276"/>
      <c r="C44" s="284"/>
      <c r="D44" s="285"/>
      <c r="E44" s="279"/>
      <c r="F44" s="220"/>
      <c r="G44" s="221">
        <f t="shared" si="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280"/>
      <c r="C45" s="281"/>
      <c r="D45" s="282"/>
      <c r="E45" s="283"/>
      <c r="F45" s="239"/>
      <c r="G45" s="240">
        <f t="shared" si="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276"/>
      <c r="C46" s="284"/>
      <c r="D46" s="285"/>
      <c r="E46" s="279"/>
      <c r="F46" s="220"/>
      <c r="G46" s="221">
        <f t="shared" si="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280"/>
      <c r="C47" s="281"/>
      <c r="D47" s="282"/>
      <c r="E47" s="283"/>
      <c r="F47" s="239"/>
      <c r="G47" s="240">
        <f t="shared" si="0"/>
        <v>0</v>
      </c>
      <c r="H47" s="241">
        <f t="shared" si="1"/>
        <v>0</v>
      </c>
      <c r="I47" s="242"/>
      <c r="J47" s="243">
        <f t="shared" si="2"/>
        <v>0</v>
      </c>
      <c r="K47" s="240">
        <f t="shared" si="3"/>
        <v>0</v>
      </c>
      <c r="L47" s="240">
        <f t="shared" si="4"/>
        <v>0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0</v>
      </c>
      <c r="T47" s="248">
        <f t="shared" si="7"/>
        <v>0</v>
      </c>
      <c r="U47" s="249">
        <f t="shared" si="8"/>
        <v>0</v>
      </c>
      <c r="V47" s="249">
        <f t="shared" si="9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276"/>
      <c r="C48" s="284"/>
      <c r="D48" s="285"/>
      <c r="E48" s="279"/>
      <c r="F48" s="220"/>
      <c r="G48" s="221">
        <f t="shared" si="0"/>
        <v>0</v>
      </c>
      <c r="H48" s="222">
        <f t="shared" si="1"/>
        <v>0</v>
      </c>
      <c r="I48" s="242"/>
      <c r="J48" s="224">
        <f t="shared" si="2"/>
        <v>0</v>
      </c>
      <c r="K48" s="221">
        <f t="shared" si="3"/>
        <v>0</v>
      </c>
      <c r="L48" s="221">
        <f t="shared" si="4"/>
        <v>0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0</v>
      </c>
      <c r="T48" s="229">
        <f t="shared" si="7"/>
        <v>0</v>
      </c>
      <c r="U48" s="230">
        <f t="shared" si="8"/>
        <v>0</v>
      </c>
      <c r="V48" s="230">
        <f t="shared" si="9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280"/>
      <c r="C49" s="281"/>
      <c r="D49" s="282"/>
      <c r="E49" s="283"/>
      <c r="F49" s="239"/>
      <c r="G49" s="240">
        <f t="shared" si="0"/>
        <v>0</v>
      </c>
      <c r="H49" s="241">
        <f t="shared" si="1"/>
        <v>0</v>
      </c>
      <c r="I49" s="242"/>
      <c r="J49" s="243">
        <f t="shared" si="2"/>
        <v>0</v>
      </c>
      <c r="K49" s="240">
        <f t="shared" si="3"/>
        <v>0</v>
      </c>
      <c r="L49" s="240">
        <f t="shared" si="4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0</v>
      </c>
      <c r="T49" s="248">
        <f t="shared" si="7"/>
        <v>0</v>
      </c>
      <c r="U49" s="249">
        <f t="shared" si="8"/>
        <v>0</v>
      </c>
      <c r="V49" s="249">
        <f t="shared" si="9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276"/>
      <c r="C50" s="284"/>
      <c r="D50" s="285"/>
      <c r="E50" s="279"/>
      <c r="F50" s="220"/>
      <c r="G50" s="221">
        <f t="shared" si="0"/>
        <v>0</v>
      </c>
      <c r="H50" s="222">
        <f t="shared" si="1"/>
        <v>0</v>
      </c>
      <c r="I50" s="242"/>
      <c r="J50" s="224">
        <f t="shared" si="2"/>
        <v>0</v>
      </c>
      <c r="K50" s="221">
        <f t="shared" si="3"/>
        <v>0</v>
      </c>
      <c r="L50" s="221">
        <f t="shared" si="4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0</v>
      </c>
      <c r="T50" s="229">
        <f t="shared" si="7"/>
        <v>0</v>
      </c>
      <c r="U50" s="230">
        <f t="shared" si="8"/>
        <v>0</v>
      </c>
      <c r="V50" s="230">
        <f t="shared" si="9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280"/>
      <c r="C51" s="281"/>
      <c r="D51" s="282"/>
      <c r="E51" s="283"/>
      <c r="F51" s="239"/>
      <c r="G51" s="240">
        <f t="shared" si="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18</v>
      </c>
      <c r="F61" s="265">
        <f>SUM(F18:F60)</f>
        <v>2397.8200000000002</v>
      </c>
      <c r="G61" s="266">
        <f>SUM(G18:G60)</f>
        <v>1688.6</v>
      </c>
      <c r="H61" s="267">
        <f>SUM(H18:H60)</f>
        <v>7583.75</v>
      </c>
      <c r="I61" s="268"/>
      <c r="J61" s="269">
        <f>SUM(J18:J60)</f>
        <v>18</v>
      </c>
      <c r="K61" s="266">
        <f>SUM(K18:K60)</f>
        <v>1952.8400000000001</v>
      </c>
      <c r="L61" s="267">
        <f>SUM(L18:L60)</f>
        <v>6956.5700000000006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1952.8400000000001</v>
      </c>
      <c r="T61" s="267">
        <f>SUM(T18:T60)</f>
        <v>6956.5700000000006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103" priority="3" stopIfTrue="1">
      <formula>$U$9&gt;100%</formula>
    </cfRule>
    <cfRule type="expression" dxfId="102" priority="4">
      <formula>$U$9&lt;50%</formula>
    </cfRule>
  </conditionalFormatting>
  <conditionalFormatting sqref="V9:V10">
    <cfRule type="expression" dxfId="101" priority="1">
      <formula>$V$9&lt;50%</formula>
    </cfRule>
    <cfRule type="expression" dxfId="100" priority="2">
      <formula>$V$9&gt;50%</formula>
    </cfRule>
  </conditionalFormatting>
  <dataValidations count="5">
    <dataValidation type="list" allowBlank="1" showInputMessage="1" showErrorMessage="1" sqref="M18:M60" xr:uid="{E36AAFAD-1A3F-4516-9C1C-12C8DDEA0BC4}">
      <formula1>$Y$31:$Y$32</formula1>
    </dataValidation>
    <dataValidation type="list" showInputMessage="1" showErrorMessage="1" sqref="D52:D60 D18:D26" xr:uid="{99132AC2-187C-4EE4-A5AA-55A95BCE1BAA}">
      <formula1>$Z$18:$Z$29</formula1>
    </dataValidation>
    <dataValidation type="list" allowBlank="1" showInputMessage="1" showErrorMessage="1" sqref="I13" xr:uid="{440ECA00-D1A4-4BA8-81D9-8565AF5C2CE8}">
      <formula1>$K$9:$K$9</formula1>
    </dataValidation>
    <dataValidation type="list" allowBlank="1" showInputMessage="1" showErrorMessage="1" sqref="H13" xr:uid="{AA951F9A-42C9-4970-A0DF-A872284815CB}">
      <formula1>$Y$13:$Y$14</formula1>
    </dataValidation>
    <dataValidation type="list" allowBlank="1" showInputMessage="1" showErrorMessage="1" sqref="F17 K17 Q17 Q14" xr:uid="{11AA92ED-57E7-4809-B0F8-49B2F1DDF77D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FC9A0-B670-4B26-9275-3F8B455B2A48}">
  <sheetPr>
    <pageSetUpPr fitToPage="1"/>
  </sheetPr>
  <dimension ref="A1:AB63"/>
  <sheetViews>
    <sheetView zoomScale="85" zoomScaleNormal="85" workbookViewId="0">
      <selection activeCell="F7" sqref="F7:G7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523" t="s">
        <v>2</v>
      </c>
      <c r="I1" s="524"/>
      <c r="J1" s="524"/>
      <c r="K1" s="525"/>
      <c r="L1" s="528" t="s">
        <v>3</v>
      </c>
      <c r="M1" s="529"/>
      <c r="N1" s="529"/>
      <c r="O1" s="529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59">
        <v>434711</v>
      </c>
      <c r="G2" s="549"/>
      <c r="H2" s="546" t="s">
        <v>7</v>
      </c>
      <c r="I2" s="550"/>
      <c r="J2" s="547"/>
      <c r="K2" s="148"/>
      <c r="L2" s="551" t="s">
        <v>8</v>
      </c>
      <c r="M2" s="552"/>
      <c r="N2" s="553"/>
      <c r="O2" s="149"/>
      <c r="P2" s="554">
        <f>H61</f>
        <v>7583.75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532" t="s">
        <v>13</v>
      </c>
      <c r="I3" s="536"/>
      <c r="J3" s="533"/>
      <c r="K3" s="154"/>
      <c r="L3" s="537" t="s">
        <v>14</v>
      </c>
      <c r="M3" s="538"/>
      <c r="N3" s="539"/>
      <c r="O3" s="149"/>
      <c r="P3" s="540">
        <f>L61</f>
        <v>6956.5700000000006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665" t="s">
        <v>289</v>
      </c>
      <c r="G4" s="666"/>
      <c r="H4" s="532" t="s">
        <v>19</v>
      </c>
      <c r="I4" s="536"/>
      <c r="J4" s="533"/>
      <c r="K4" s="154"/>
      <c r="L4" s="537" t="s">
        <v>20</v>
      </c>
      <c r="M4" s="538"/>
      <c r="N4" s="539"/>
      <c r="O4" s="149"/>
      <c r="P4" s="540">
        <f>P2-P3</f>
        <v>627.17999999999938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679">
        <v>10054</v>
      </c>
      <c r="G5" s="680"/>
      <c r="H5" s="532" t="s">
        <v>25</v>
      </c>
      <c r="I5" s="536"/>
      <c r="J5" s="533"/>
      <c r="K5" s="154"/>
      <c r="L5" s="558" t="s">
        <v>26</v>
      </c>
      <c r="M5" s="559"/>
      <c r="N5" s="560"/>
      <c r="O5" s="149"/>
      <c r="P5" s="561">
        <f>IFERROR((P2-P3)/P2,"")</f>
        <v>8.2700510960936127E-2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69" t="s">
        <v>386</v>
      </c>
      <c r="G6" s="666"/>
      <c r="H6" s="532" t="s">
        <v>31</v>
      </c>
      <c r="I6" s="536"/>
      <c r="J6" s="533"/>
      <c r="K6" s="154"/>
      <c r="L6" s="574" t="s">
        <v>32</v>
      </c>
      <c r="M6" s="575"/>
      <c r="N6" s="576"/>
      <c r="O6" s="149"/>
      <c r="P6" s="577">
        <f>T61</f>
        <v>6956.5700000000006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563"/>
      <c r="G7" s="535"/>
      <c r="H7" s="532" t="s">
        <v>36</v>
      </c>
      <c r="I7" s="536"/>
      <c r="J7" s="533"/>
      <c r="K7" s="154"/>
      <c r="L7" s="564" t="s">
        <v>37</v>
      </c>
      <c r="M7" s="565"/>
      <c r="N7" s="56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532" t="s">
        <v>40</v>
      </c>
      <c r="I8" s="536"/>
      <c r="J8" s="533"/>
      <c r="K8" s="154"/>
      <c r="L8" s="564" t="s">
        <v>41</v>
      </c>
      <c r="M8" s="565"/>
      <c r="N8" s="56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378</v>
      </c>
      <c r="G9" s="535"/>
      <c r="H9" s="171"/>
      <c r="I9" s="172"/>
      <c r="J9" s="172"/>
      <c r="K9" s="173"/>
      <c r="L9" s="564" t="s">
        <v>47</v>
      </c>
      <c r="M9" s="565"/>
      <c r="N9" s="56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6956.5700000000006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542" t="s">
        <v>48</v>
      </c>
      <c r="M10" s="579"/>
      <c r="N10" s="543"/>
      <c r="O10" s="149"/>
      <c r="P10" s="580">
        <f>E61</f>
        <v>18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650" t="s">
        <v>50</v>
      </c>
      <c r="K11" s="651"/>
      <c r="L11" s="651"/>
      <c r="M11" s="651"/>
      <c r="N11" s="652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653"/>
      <c r="K12" s="654"/>
      <c r="L12" s="654"/>
      <c r="M12" s="654"/>
      <c r="N12" s="655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656"/>
      <c r="K13" s="657"/>
      <c r="L13" s="657"/>
      <c r="M13" s="657"/>
      <c r="N13" s="658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601" t="s">
        <v>59</v>
      </c>
      <c r="K14" s="602"/>
      <c r="L14" s="605" t="s">
        <v>60</v>
      </c>
      <c r="M14" s="606"/>
      <c r="N14" s="60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603"/>
      <c r="K15" s="604"/>
      <c r="L15" s="608"/>
      <c r="M15" s="609"/>
      <c r="N15" s="61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631" t="s">
        <v>69</v>
      </c>
      <c r="K16" s="201" t="s">
        <v>72</v>
      </c>
      <c r="L16" s="202" t="s">
        <v>73</v>
      </c>
      <c r="M16" s="633" t="s">
        <v>74</v>
      </c>
      <c r="N16" s="633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8"/>
      <c r="C17" s="678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632"/>
      <c r="K17" s="614" t="s">
        <v>52</v>
      </c>
      <c r="L17" s="615"/>
      <c r="M17" s="634"/>
      <c r="N17" s="634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>
        <v>8036204</v>
      </c>
      <c r="C18" s="293" t="s">
        <v>290</v>
      </c>
      <c r="D18" s="295"/>
      <c r="E18" s="80">
        <v>1</v>
      </c>
      <c r="F18" s="81">
        <v>11.62</v>
      </c>
      <c r="G18" s="221">
        <f t="shared" ref="G18:G60" si="0">ROUND(IF($F$17="USD $", F18*$E$15,F18*$D$15),2)</f>
        <v>8.18</v>
      </c>
      <c r="H18" s="222">
        <f t="shared" ref="H18:H60" si="1">ROUND(IF($H$17=$G$17,E18*G18,E18*F18),2)</f>
        <v>11.62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4.42</v>
      </c>
      <c r="L18" s="221">
        <f t="shared" ref="L18:L60" si="4">ROUND((J18*K18),2)</f>
        <v>4.42</v>
      </c>
      <c r="M18" s="220" t="s">
        <v>84</v>
      </c>
      <c r="N18" s="225">
        <v>0.62</v>
      </c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4.42</v>
      </c>
      <c r="T18" s="229">
        <f t="shared" ref="T18:T60" si="7">ROUND(L18-R18,2)</f>
        <v>4.42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294">
        <v>70022846</v>
      </c>
      <c r="C19" s="291" t="s">
        <v>291</v>
      </c>
      <c r="D19" s="296"/>
      <c r="E19" s="97">
        <v>1</v>
      </c>
      <c r="F19" s="98">
        <v>106.5</v>
      </c>
      <c r="G19" s="240">
        <f t="shared" si="0"/>
        <v>75</v>
      </c>
      <c r="H19" s="241">
        <f t="shared" si="1"/>
        <v>106.5</v>
      </c>
      <c r="I19" s="242"/>
      <c r="J19" s="243">
        <f t="shared" si="2"/>
        <v>1</v>
      </c>
      <c r="K19" s="240">
        <f t="shared" si="3"/>
        <v>40.47</v>
      </c>
      <c r="L19" s="240">
        <f t="shared" si="4"/>
        <v>40.47</v>
      </c>
      <c r="M19" s="244" t="s">
        <v>84</v>
      </c>
      <c r="N19" s="245">
        <v>0.62</v>
      </c>
      <c r="O19" s="226"/>
      <c r="P19" s="246"/>
      <c r="Q19" s="239"/>
      <c r="R19" s="247">
        <f t="shared" si="5"/>
        <v>0</v>
      </c>
      <c r="S19" s="248">
        <f t="shared" si="6"/>
        <v>40.47</v>
      </c>
      <c r="T19" s="248">
        <f t="shared" si="7"/>
        <v>40.47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292">
        <v>70023812</v>
      </c>
      <c r="C20" s="292" t="s">
        <v>292</v>
      </c>
      <c r="D20" s="297"/>
      <c r="E20" s="80">
        <v>1</v>
      </c>
      <c r="F20" s="81">
        <v>122.73</v>
      </c>
      <c r="G20" s="221">
        <f t="shared" si="0"/>
        <v>86.43</v>
      </c>
      <c r="H20" s="222">
        <f t="shared" si="1"/>
        <v>122.73</v>
      </c>
      <c r="I20" s="242"/>
      <c r="J20" s="224">
        <f t="shared" si="2"/>
        <v>1</v>
      </c>
      <c r="K20" s="221">
        <f t="shared" si="3"/>
        <v>46.64</v>
      </c>
      <c r="L20" s="221">
        <f t="shared" si="4"/>
        <v>46.64</v>
      </c>
      <c r="M20" s="220" t="s">
        <v>84</v>
      </c>
      <c r="N20" s="254">
        <v>0.62</v>
      </c>
      <c r="O20" s="226"/>
      <c r="P20" s="255"/>
      <c r="Q20" s="228"/>
      <c r="R20" s="229">
        <f t="shared" si="5"/>
        <v>0</v>
      </c>
      <c r="S20" s="229">
        <f t="shared" si="6"/>
        <v>46.64</v>
      </c>
      <c r="T20" s="229">
        <f t="shared" si="7"/>
        <v>46.64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294">
        <v>70024284</v>
      </c>
      <c r="C21" s="294" t="s">
        <v>293</v>
      </c>
      <c r="D21" s="296"/>
      <c r="E21" s="97">
        <v>1</v>
      </c>
      <c r="F21" s="98">
        <v>115.02</v>
      </c>
      <c r="G21" s="240">
        <f t="shared" si="0"/>
        <v>81</v>
      </c>
      <c r="H21" s="241">
        <f t="shared" si="1"/>
        <v>115.02</v>
      </c>
      <c r="I21" s="242"/>
      <c r="J21" s="243">
        <f t="shared" si="2"/>
        <v>1</v>
      </c>
      <c r="K21" s="240">
        <f t="shared" si="3"/>
        <v>43.71</v>
      </c>
      <c r="L21" s="240">
        <f t="shared" si="4"/>
        <v>43.71</v>
      </c>
      <c r="M21" s="244" t="s">
        <v>84</v>
      </c>
      <c r="N21" s="245">
        <v>0.62</v>
      </c>
      <c r="O21" s="226"/>
      <c r="P21" s="246"/>
      <c r="Q21" s="239"/>
      <c r="R21" s="247">
        <f t="shared" si="5"/>
        <v>0</v>
      </c>
      <c r="S21" s="248">
        <f t="shared" si="6"/>
        <v>43.71</v>
      </c>
      <c r="T21" s="248">
        <f t="shared" si="7"/>
        <v>43.71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292">
        <v>70022846</v>
      </c>
      <c r="C22" s="292" t="s">
        <v>294</v>
      </c>
      <c r="D22" s="297"/>
      <c r="E22" s="80">
        <v>1</v>
      </c>
      <c r="F22" s="81">
        <v>106.5</v>
      </c>
      <c r="G22" s="221">
        <f t="shared" si="0"/>
        <v>75</v>
      </c>
      <c r="H22" s="222">
        <f t="shared" si="1"/>
        <v>106.5</v>
      </c>
      <c r="I22" s="242"/>
      <c r="J22" s="224">
        <f t="shared" si="2"/>
        <v>1</v>
      </c>
      <c r="K22" s="221">
        <f t="shared" si="3"/>
        <v>40.47</v>
      </c>
      <c r="L22" s="221">
        <f t="shared" si="4"/>
        <v>40.47</v>
      </c>
      <c r="M22" s="220" t="s">
        <v>84</v>
      </c>
      <c r="N22" s="254">
        <v>0.62</v>
      </c>
      <c r="O22" s="226"/>
      <c r="P22" s="255"/>
      <c r="Q22" s="228"/>
      <c r="R22" s="229">
        <f t="shared" si="5"/>
        <v>0</v>
      </c>
      <c r="S22" s="229">
        <f t="shared" si="6"/>
        <v>40.47</v>
      </c>
      <c r="T22" s="229">
        <f t="shared" si="7"/>
        <v>40.47</v>
      </c>
      <c r="U22" s="230">
        <f t="shared" si="8"/>
        <v>0</v>
      </c>
      <c r="V22" s="230">
        <f t="shared" si="9"/>
        <v>1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294">
        <v>70024177</v>
      </c>
      <c r="C23" s="294" t="s">
        <v>92</v>
      </c>
      <c r="D23" s="296"/>
      <c r="E23" s="97">
        <v>1</v>
      </c>
      <c r="F23" s="98">
        <v>126.52</v>
      </c>
      <c r="G23" s="240">
        <f t="shared" si="0"/>
        <v>89.1</v>
      </c>
      <c r="H23" s="241">
        <f t="shared" si="1"/>
        <v>126.52</v>
      </c>
      <c r="I23" s="242"/>
      <c r="J23" s="243">
        <f t="shared" si="2"/>
        <v>1</v>
      </c>
      <c r="K23" s="240">
        <f t="shared" si="3"/>
        <v>48.08</v>
      </c>
      <c r="L23" s="240">
        <f t="shared" si="4"/>
        <v>48.08</v>
      </c>
      <c r="M23" s="244" t="s">
        <v>84</v>
      </c>
      <c r="N23" s="245">
        <v>0.62</v>
      </c>
      <c r="O23" s="226"/>
      <c r="P23" s="246"/>
      <c r="Q23" s="239"/>
      <c r="R23" s="247">
        <f t="shared" si="5"/>
        <v>0</v>
      </c>
      <c r="S23" s="248">
        <f t="shared" si="6"/>
        <v>48.08</v>
      </c>
      <c r="T23" s="248">
        <f t="shared" si="7"/>
        <v>48.08</v>
      </c>
      <c r="U23" s="249">
        <f t="shared" si="8"/>
        <v>0</v>
      </c>
      <c r="V23" s="249">
        <f t="shared" si="9"/>
        <v>1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292">
        <v>8320265</v>
      </c>
      <c r="C24" s="292" t="s">
        <v>295</v>
      </c>
      <c r="D24" s="297"/>
      <c r="E24" s="80">
        <v>1</v>
      </c>
      <c r="F24" s="81">
        <v>70.06</v>
      </c>
      <c r="G24" s="221">
        <f t="shared" si="0"/>
        <v>49.34</v>
      </c>
      <c r="H24" s="222">
        <f t="shared" si="1"/>
        <v>70.06</v>
      </c>
      <c r="I24" s="242"/>
      <c r="J24" s="224">
        <f t="shared" si="2"/>
        <v>1</v>
      </c>
      <c r="K24" s="221">
        <f t="shared" si="3"/>
        <v>26.62</v>
      </c>
      <c r="L24" s="221">
        <f t="shared" si="4"/>
        <v>26.62</v>
      </c>
      <c r="M24" s="220" t="s">
        <v>84</v>
      </c>
      <c r="N24" s="254">
        <v>0.62</v>
      </c>
      <c r="O24" s="226"/>
      <c r="P24" s="255"/>
      <c r="Q24" s="228"/>
      <c r="R24" s="229">
        <f t="shared" si="5"/>
        <v>0</v>
      </c>
      <c r="S24" s="229">
        <f t="shared" si="6"/>
        <v>26.62</v>
      </c>
      <c r="T24" s="229">
        <f t="shared" si="7"/>
        <v>26.62</v>
      </c>
      <c r="U24" s="230">
        <f t="shared" si="8"/>
        <v>0</v>
      </c>
      <c r="V24" s="230">
        <f t="shared" si="9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 s="294">
        <v>7139077</v>
      </c>
      <c r="C25" s="294" t="s">
        <v>296</v>
      </c>
      <c r="D25" s="296"/>
      <c r="E25" s="97">
        <v>1</v>
      </c>
      <c r="F25" s="98">
        <v>58.82</v>
      </c>
      <c r="G25" s="240">
        <f t="shared" si="0"/>
        <v>41.42</v>
      </c>
      <c r="H25" s="241">
        <f t="shared" si="1"/>
        <v>58.82</v>
      </c>
      <c r="I25" s="242"/>
      <c r="J25" s="243">
        <f t="shared" si="2"/>
        <v>1</v>
      </c>
      <c r="K25" s="240">
        <f t="shared" si="3"/>
        <v>58.82</v>
      </c>
      <c r="L25" s="240">
        <f t="shared" si="4"/>
        <v>58.82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58.82</v>
      </c>
      <c r="T25" s="248">
        <f t="shared" si="7"/>
        <v>58.82</v>
      </c>
      <c r="U25" s="249">
        <f t="shared" si="8"/>
        <v>0</v>
      </c>
      <c r="V25" s="249">
        <f t="shared" si="9"/>
        <v>1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 s="292">
        <v>1319726</v>
      </c>
      <c r="C26" s="292" t="s">
        <v>297</v>
      </c>
      <c r="D26" s="297"/>
      <c r="E26" s="80">
        <v>6</v>
      </c>
      <c r="F26" s="81">
        <v>72.89</v>
      </c>
      <c r="G26" s="221">
        <f t="shared" si="0"/>
        <v>51.33</v>
      </c>
      <c r="H26" s="222">
        <f t="shared" si="1"/>
        <v>437.34</v>
      </c>
      <c r="I26" s="242"/>
      <c r="J26" s="224">
        <f t="shared" si="2"/>
        <v>6</v>
      </c>
      <c r="K26" s="221">
        <f t="shared" si="3"/>
        <v>36.450000000000003</v>
      </c>
      <c r="L26" s="221">
        <f t="shared" si="4"/>
        <v>218.7</v>
      </c>
      <c r="M26" s="220" t="s">
        <v>84</v>
      </c>
      <c r="N26" s="254">
        <v>0.5</v>
      </c>
      <c r="O26" s="226"/>
      <c r="P26" s="255"/>
      <c r="Q26" s="228"/>
      <c r="R26" s="229">
        <f t="shared" si="5"/>
        <v>0</v>
      </c>
      <c r="S26" s="229">
        <f t="shared" si="6"/>
        <v>36.450000000000003</v>
      </c>
      <c r="T26" s="229">
        <f t="shared" si="7"/>
        <v>218.7</v>
      </c>
      <c r="U26" s="230">
        <f t="shared" si="8"/>
        <v>0</v>
      </c>
      <c r="V26" s="230">
        <f t="shared" si="9"/>
        <v>1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294">
        <v>70024588</v>
      </c>
      <c r="C27" s="294" t="s">
        <v>298</v>
      </c>
      <c r="D27" s="300"/>
      <c r="E27" s="283">
        <v>4</v>
      </c>
      <c r="F27" s="239">
        <v>1607.16</v>
      </c>
      <c r="G27" s="240">
        <f t="shared" si="0"/>
        <v>1131.8</v>
      </c>
      <c r="H27" s="241">
        <f t="shared" si="1"/>
        <v>6428.64</v>
      </c>
      <c r="I27" s="242"/>
      <c r="J27" s="243">
        <f t="shared" si="2"/>
        <v>4</v>
      </c>
      <c r="K27" s="240">
        <f t="shared" si="3"/>
        <v>1607.16</v>
      </c>
      <c r="L27" s="240">
        <f t="shared" si="4"/>
        <v>6428.64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1607.16</v>
      </c>
      <c r="T27" s="248">
        <f t="shared" si="7"/>
        <v>6428.64</v>
      </c>
      <c r="U27" s="249">
        <f t="shared" si="8"/>
        <v>0</v>
      </c>
      <c r="V27" s="249">
        <f t="shared" si="9"/>
        <v>1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298"/>
      <c r="C28" s="298"/>
      <c r="D28" s="301"/>
      <c r="E28" s="279"/>
      <c r="F28" s="220"/>
      <c r="G28" s="221">
        <f t="shared" si="0"/>
        <v>0</v>
      </c>
      <c r="H28" s="222">
        <f t="shared" si="1"/>
        <v>0</v>
      </c>
      <c r="I28" s="242"/>
      <c r="J28" s="224">
        <f t="shared" si="2"/>
        <v>0</v>
      </c>
      <c r="K28" s="221">
        <f t="shared" si="3"/>
        <v>0</v>
      </c>
      <c r="L28" s="221">
        <f t="shared" si="4"/>
        <v>0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0</v>
      </c>
      <c r="T28" s="229">
        <f t="shared" si="7"/>
        <v>0</v>
      </c>
      <c r="U28" s="230">
        <f t="shared" si="8"/>
        <v>0</v>
      </c>
      <c r="V28" s="230">
        <f t="shared" si="9"/>
        <v>0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299"/>
      <c r="C29" s="299"/>
      <c r="D29" s="300"/>
      <c r="E29" s="283"/>
      <c r="F29" s="239"/>
      <c r="G29" s="240">
        <f t="shared" si="0"/>
        <v>0</v>
      </c>
      <c r="H29" s="241">
        <f t="shared" si="1"/>
        <v>0</v>
      </c>
      <c r="I29" s="242"/>
      <c r="J29" s="243">
        <f t="shared" si="2"/>
        <v>0</v>
      </c>
      <c r="K29" s="240">
        <f t="shared" si="3"/>
        <v>0</v>
      </c>
      <c r="L29" s="240">
        <f t="shared" si="4"/>
        <v>0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0</v>
      </c>
      <c r="T29" s="248">
        <f t="shared" si="7"/>
        <v>0</v>
      </c>
      <c r="U29" s="249">
        <f t="shared" si="8"/>
        <v>0</v>
      </c>
      <c r="V29" s="249">
        <f t="shared" si="9"/>
        <v>0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276"/>
      <c r="C30" s="277"/>
      <c r="D30" s="285"/>
      <c r="E30" s="279"/>
      <c r="F30" s="220"/>
      <c r="G30" s="221">
        <f t="shared" si="0"/>
        <v>0</v>
      </c>
      <c r="H30" s="222">
        <f t="shared" si="1"/>
        <v>0</v>
      </c>
      <c r="I30" s="242"/>
      <c r="J30" s="224">
        <f t="shared" si="2"/>
        <v>0</v>
      </c>
      <c r="K30" s="221">
        <f t="shared" si="3"/>
        <v>0</v>
      </c>
      <c r="L30" s="221">
        <f t="shared" si="4"/>
        <v>0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0</v>
      </c>
      <c r="T30" s="229">
        <f t="shared" si="7"/>
        <v>0</v>
      </c>
      <c r="U30" s="230">
        <f t="shared" si="8"/>
        <v>0</v>
      </c>
      <c r="V30" s="230">
        <f t="shared" si="9"/>
        <v>0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280"/>
      <c r="C31" s="281"/>
      <c r="D31" s="282"/>
      <c r="E31" s="283"/>
      <c r="F31" s="239"/>
      <c r="G31" s="240">
        <f t="shared" si="0"/>
        <v>0</v>
      </c>
      <c r="H31" s="241">
        <f t="shared" si="1"/>
        <v>0</v>
      </c>
      <c r="I31" s="242"/>
      <c r="J31" s="243">
        <f t="shared" si="2"/>
        <v>0</v>
      </c>
      <c r="K31" s="240">
        <f t="shared" si="3"/>
        <v>0</v>
      </c>
      <c r="L31" s="240">
        <f t="shared" si="4"/>
        <v>0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0</v>
      </c>
      <c r="T31" s="248">
        <f t="shared" si="7"/>
        <v>0</v>
      </c>
      <c r="U31" s="249">
        <f t="shared" si="8"/>
        <v>0</v>
      </c>
      <c r="V31" s="249">
        <f t="shared" si="9"/>
        <v>0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276"/>
      <c r="C32" s="284"/>
      <c r="D32" s="285"/>
      <c r="E32" s="279"/>
      <c r="F32" s="220"/>
      <c r="G32" s="221">
        <f t="shared" si="0"/>
        <v>0</v>
      </c>
      <c r="H32" s="222">
        <f t="shared" si="1"/>
        <v>0</v>
      </c>
      <c r="I32" s="242"/>
      <c r="J32" s="224">
        <f t="shared" si="2"/>
        <v>0</v>
      </c>
      <c r="K32" s="221">
        <f t="shared" si="3"/>
        <v>0</v>
      </c>
      <c r="L32" s="221">
        <f t="shared" si="4"/>
        <v>0</v>
      </c>
      <c r="M32" s="220" t="s">
        <v>84</v>
      </c>
      <c r="N32" s="254">
        <v>0.5</v>
      </c>
      <c r="O32" s="226"/>
      <c r="P32" s="255"/>
      <c r="Q32" s="228"/>
      <c r="R32" s="229">
        <f t="shared" si="5"/>
        <v>0</v>
      </c>
      <c r="S32" s="229">
        <f t="shared" si="6"/>
        <v>0</v>
      </c>
      <c r="T32" s="229">
        <f t="shared" si="7"/>
        <v>0</v>
      </c>
      <c r="U32" s="230">
        <f t="shared" si="8"/>
        <v>0</v>
      </c>
      <c r="V32" s="230">
        <f t="shared" si="9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280"/>
      <c r="C33" s="281"/>
      <c r="D33" s="282"/>
      <c r="E33" s="283"/>
      <c r="F33" s="239"/>
      <c r="G33" s="240">
        <f t="shared" si="0"/>
        <v>0</v>
      </c>
      <c r="H33" s="241">
        <f t="shared" si="1"/>
        <v>0</v>
      </c>
      <c r="I33" s="242"/>
      <c r="J33" s="243">
        <f t="shared" si="2"/>
        <v>0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276"/>
      <c r="C34" s="284"/>
      <c r="D34" s="285"/>
      <c r="E34" s="279"/>
      <c r="F34" s="220"/>
      <c r="G34" s="221">
        <f t="shared" si="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>
        <v>0.5</v>
      </c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280"/>
      <c r="C35" s="281"/>
      <c r="D35" s="282"/>
      <c r="E35" s="283"/>
      <c r="F35" s="239"/>
      <c r="G35" s="240">
        <f t="shared" si="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>
        <v>0.5</v>
      </c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276"/>
      <c r="C36" s="284"/>
      <c r="D36" s="285"/>
      <c r="E36" s="279"/>
      <c r="F36" s="220"/>
      <c r="G36" s="221">
        <f t="shared" si="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280"/>
      <c r="C37" s="281"/>
      <c r="D37" s="282"/>
      <c r="E37" s="283"/>
      <c r="F37" s="239"/>
      <c r="G37" s="240">
        <f t="shared" si="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276"/>
      <c r="C38" s="284"/>
      <c r="D38" s="285"/>
      <c r="E38" s="279"/>
      <c r="F38" s="220"/>
      <c r="G38" s="221">
        <f t="shared" si="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280"/>
      <c r="C39" s="281"/>
      <c r="D39" s="282"/>
      <c r="E39" s="283"/>
      <c r="F39" s="239"/>
      <c r="G39" s="240">
        <f t="shared" si="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276"/>
      <c r="C40" s="284"/>
      <c r="D40" s="285"/>
      <c r="E40" s="279"/>
      <c r="F40" s="220"/>
      <c r="G40" s="221">
        <f t="shared" si="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280"/>
      <c r="C41" s="281"/>
      <c r="D41" s="282"/>
      <c r="E41" s="283"/>
      <c r="F41" s="239"/>
      <c r="G41" s="240">
        <f t="shared" si="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276"/>
      <c r="C42" s="284"/>
      <c r="D42" s="285"/>
      <c r="E42" s="279"/>
      <c r="F42" s="220"/>
      <c r="G42" s="221">
        <f t="shared" si="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280"/>
      <c r="C43" s="281"/>
      <c r="D43" s="282"/>
      <c r="E43" s="283"/>
      <c r="F43" s="239"/>
      <c r="G43" s="240">
        <f t="shared" si="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276"/>
      <c r="C44" s="284"/>
      <c r="D44" s="285"/>
      <c r="E44" s="279"/>
      <c r="F44" s="220"/>
      <c r="G44" s="221">
        <f t="shared" si="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280"/>
      <c r="C45" s="281"/>
      <c r="D45" s="282"/>
      <c r="E45" s="283"/>
      <c r="F45" s="239"/>
      <c r="G45" s="240">
        <f t="shared" si="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276"/>
      <c r="C46" s="284"/>
      <c r="D46" s="285"/>
      <c r="E46" s="279"/>
      <c r="F46" s="220"/>
      <c r="G46" s="221">
        <f t="shared" si="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280"/>
      <c r="C47" s="281"/>
      <c r="D47" s="282"/>
      <c r="E47" s="283"/>
      <c r="F47" s="239"/>
      <c r="G47" s="240">
        <f t="shared" si="0"/>
        <v>0</v>
      </c>
      <c r="H47" s="241">
        <f t="shared" si="1"/>
        <v>0</v>
      </c>
      <c r="I47" s="242"/>
      <c r="J47" s="243">
        <f t="shared" si="2"/>
        <v>0</v>
      </c>
      <c r="K47" s="240">
        <f t="shared" si="3"/>
        <v>0</v>
      </c>
      <c r="L47" s="240">
        <f t="shared" si="4"/>
        <v>0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0</v>
      </c>
      <c r="T47" s="248">
        <f t="shared" si="7"/>
        <v>0</v>
      </c>
      <c r="U47" s="249">
        <f t="shared" si="8"/>
        <v>0</v>
      </c>
      <c r="V47" s="249">
        <f t="shared" si="9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276"/>
      <c r="C48" s="284"/>
      <c r="D48" s="285"/>
      <c r="E48" s="279"/>
      <c r="F48" s="220"/>
      <c r="G48" s="221">
        <f t="shared" si="0"/>
        <v>0</v>
      </c>
      <c r="H48" s="222">
        <f t="shared" si="1"/>
        <v>0</v>
      </c>
      <c r="I48" s="242"/>
      <c r="J48" s="224">
        <f t="shared" si="2"/>
        <v>0</v>
      </c>
      <c r="K48" s="221">
        <f t="shared" si="3"/>
        <v>0</v>
      </c>
      <c r="L48" s="221">
        <f t="shared" si="4"/>
        <v>0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0</v>
      </c>
      <c r="T48" s="229">
        <f t="shared" si="7"/>
        <v>0</v>
      </c>
      <c r="U48" s="230">
        <f t="shared" si="8"/>
        <v>0</v>
      </c>
      <c r="V48" s="230">
        <f t="shared" si="9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280"/>
      <c r="C49" s="281"/>
      <c r="D49" s="282"/>
      <c r="E49" s="283"/>
      <c r="F49" s="239"/>
      <c r="G49" s="240">
        <f t="shared" si="0"/>
        <v>0</v>
      </c>
      <c r="H49" s="241">
        <f t="shared" si="1"/>
        <v>0</v>
      </c>
      <c r="I49" s="242"/>
      <c r="J49" s="243">
        <f t="shared" si="2"/>
        <v>0</v>
      </c>
      <c r="K49" s="240">
        <f t="shared" si="3"/>
        <v>0</v>
      </c>
      <c r="L49" s="240">
        <f t="shared" si="4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0</v>
      </c>
      <c r="T49" s="248">
        <f t="shared" si="7"/>
        <v>0</v>
      </c>
      <c r="U49" s="249">
        <f t="shared" si="8"/>
        <v>0</v>
      </c>
      <c r="V49" s="249">
        <f t="shared" si="9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276"/>
      <c r="C50" s="284"/>
      <c r="D50" s="285"/>
      <c r="E50" s="279"/>
      <c r="F50" s="220"/>
      <c r="G50" s="221">
        <f t="shared" si="0"/>
        <v>0</v>
      </c>
      <c r="H50" s="222">
        <f t="shared" si="1"/>
        <v>0</v>
      </c>
      <c r="I50" s="242"/>
      <c r="J50" s="224">
        <f t="shared" si="2"/>
        <v>0</v>
      </c>
      <c r="K50" s="221">
        <f t="shared" si="3"/>
        <v>0</v>
      </c>
      <c r="L50" s="221">
        <f t="shared" si="4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0</v>
      </c>
      <c r="T50" s="229">
        <f t="shared" si="7"/>
        <v>0</v>
      </c>
      <c r="U50" s="230">
        <f t="shared" si="8"/>
        <v>0</v>
      </c>
      <c r="V50" s="230">
        <f t="shared" si="9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280"/>
      <c r="C51" s="281"/>
      <c r="D51" s="282"/>
      <c r="E51" s="283"/>
      <c r="F51" s="239"/>
      <c r="G51" s="240">
        <f t="shared" si="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18</v>
      </c>
      <c r="F61" s="265">
        <f>SUM(F18:F60)</f>
        <v>2397.8200000000002</v>
      </c>
      <c r="G61" s="266">
        <f>SUM(G18:G60)</f>
        <v>1688.6</v>
      </c>
      <c r="H61" s="267">
        <f>SUM(H18:H60)</f>
        <v>7583.75</v>
      </c>
      <c r="I61" s="268"/>
      <c r="J61" s="269">
        <f>SUM(J18:J60)</f>
        <v>18</v>
      </c>
      <c r="K61" s="266">
        <f>SUM(K18:K60)</f>
        <v>1952.8400000000001</v>
      </c>
      <c r="L61" s="267">
        <f>SUM(L18:L60)</f>
        <v>6956.5700000000006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1952.8400000000001</v>
      </c>
      <c r="T61" s="267">
        <f>SUM(T18:T60)</f>
        <v>6956.5700000000006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99" priority="3" stopIfTrue="1">
      <formula>$U$9&gt;100%</formula>
    </cfRule>
    <cfRule type="expression" dxfId="98" priority="4">
      <formula>$U$9&lt;50%</formula>
    </cfRule>
  </conditionalFormatting>
  <conditionalFormatting sqref="V9:V10">
    <cfRule type="expression" dxfId="97" priority="1">
      <formula>$V$9&lt;50%</formula>
    </cfRule>
    <cfRule type="expression" dxfId="96" priority="2">
      <formula>$V$9&gt;50%</formula>
    </cfRule>
  </conditionalFormatting>
  <dataValidations count="5">
    <dataValidation type="list" allowBlank="1" showInputMessage="1" showErrorMessage="1" sqref="F17 K17 Q17 Q14" xr:uid="{059E9EC6-ADB7-4461-8DD0-3686A2C74458}">
      <formula1>$Y$11:$Y$12</formula1>
    </dataValidation>
    <dataValidation type="list" allowBlank="1" showInputMessage="1" showErrorMessage="1" sqref="H13" xr:uid="{3DC9DE93-31C9-4C41-A126-7ABAF336D07B}">
      <formula1>$Y$13:$Y$14</formula1>
    </dataValidation>
    <dataValidation type="list" allowBlank="1" showInputMessage="1" showErrorMessage="1" sqref="I13" xr:uid="{7161AEF4-E14C-48B1-861C-E159056EA87F}">
      <formula1>$K$9:$K$9</formula1>
    </dataValidation>
    <dataValidation type="list" showInputMessage="1" showErrorMessage="1" sqref="D52:D60 D18:D26" xr:uid="{5F35DA43-90F2-4028-B590-3AB584B2D1D4}">
      <formula1>$Z$18:$Z$29</formula1>
    </dataValidation>
    <dataValidation type="list" allowBlank="1" showInputMessage="1" showErrorMessage="1" sqref="M18:M60" xr:uid="{B91C6B6C-1611-4BC7-B4F3-C8206854C53F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4E9D-18ED-45B2-BE3B-246E91E4620D}">
  <sheetPr>
    <pageSetUpPr fitToPage="1"/>
  </sheetPr>
  <dimension ref="A1:AB63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523" t="s">
        <v>2</v>
      </c>
      <c r="I1" s="524"/>
      <c r="J1" s="524"/>
      <c r="K1" s="525"/>
      <c r="L1" s="528" t="s">
        <v>3</v>
      </c>
      <c r="M1" s="529"/>
      <c r="N1" s="529"/>
      <c r="O1" s="529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59">
        <v>434712</v>
      </c>
      <c r="G2" s="549"/>
      <c r="H2" s="546" t="s">
        <v>7</v>
      </c>
      <c r="I2" s="550"/>
      <c r="J2" s="547"/>
      <c r="K2" s="148"/>
      <c r="L2" s="551" t="s">
        <v>8</v>
      </c>
      <c r="M2" s="552"/>
      <c r="N2" s="553"/>
      <c r="O2" s="149"/>
      <c r="P2" s="554">
        <f>H61</f>
        <v>7583.75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532" t="s">
        <v>13</v>
      </c>
      <c r="I3" s="536"/>
      <c r="J3" s="533"/>
      <c r="K3" s="154"/>
      <c r="L3" s="537" t="s">
        <v>14</v>
      </c>
      <c r="M3" s="538"/>
      <c r="N3" s="539"/>
      <c r="O3" s="149"/>
      <c r="P3" s="540">
        <f>L61</f>
        <v>6956.5700000000006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665" t="s">
        <v>289</v>
      </c>
      <c r="G4" s="666"/>
      <c r="H4" s="532" t="s">
        <v>19</v>
      </c>
      <c r="I4" s="536"/>
      <c r="J4" s="533"/>
      <c r="K4" s="154"/>
      <c r="L4" s="537" t="s">
        <v>20</v>
      </c>
      <c r="M4" s="538"/>
      <c r="N4" s="539"/>
      <c r="O4" s="149"/>
      <c r="P4" s="540">
        <f>P2-P3</f>
        <v>627.17999999999938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679">
        <v>10054</v>
      </c>
      <c r="G5" s="680"/>
      <c r="H5" s="532" t="s">
        <v>25</v>
      </c>
      <c r="I5" s="536"/>
      <c r="J5" s="533"/>
      <c r="K5" s="154"/>
      <c r="L5" s="558" t="s">
        <v>26</v>
      </c>
      <c r="M5" s="559"/>
      <c r="N5" s="560"/>
      <c r="O5" s="149"/>
      <c r="P5" s="561">
        <f>IFERROR((P2-P3)/P2,"")</f>
        <v>8.2700510960936127E-2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69"/>
      <c r="G6" s="666"/>
      <c r="H6" s="532" t="s">
        <v>31</v>
      </c>
      <c r="I6" s="536"/>
      <c r="J6" s="533"/>
      <c r="K6" s="154"/>
      <c r="L6" s="574" t="s">
        <v>32</v>
      </c>
      <c r="M6" s="575"/>
      <c r="N6" s="576"/>
      <c r="O6" s="149"/>
      <c r="P6" s="577">
        <f>T61</f>
        <v>6956.5700000000006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563"/>
      <c r="G7" s="535"/>
      <c r="H7" s="532" t="s">
        <v>36</v>
      </c>
      <c r="I7" s="536"/>
      <c r="J7" s="533"/>
      <c r="K7" s="154"/>
      <c r="L7" s="564" t="s">
        <v>37</v>
      </c>
      <c r="M7" s="565"/>
      <c r="N7" s="56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532" t="s">
        <v>40</v>
      </c>
      <c r="I8" s="536"/>
      <c r="J8" s="533"/>
      <c r="K8" s="154"/>
      <c r="L8" s="564" t="s">
        <v>41</v>
      </c>
      <c r="M8" s="565"/>
      <c r="N8" s="56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378</v>
      </c>
      <c r="G9" s="535"/>
      <c r="H9" s="171"/>
      <c r="I9" s="172"/>
      <c r="J9" s="172"/>
      <c r="K9" s="173"/>
      <c r="L9" s="564" t="s">
        <v>47</v>
      </c>
      <c r="M9" s="565"/>
      <c r="N9" s="56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6956.5700000000006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542" t="s">
        <v>48</v>
      </c>
      <c r="M10" s="579"/>
      <c r="N10" s="543"/>
      <c r="O10" s="149"/>
      <c r="P10" s="580">
        <f>E61</f>
        <v>18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650" t="s">
        <v>50</v>
      </c>
      <c r="K11" s="651"/>
      <c r="L11" s="651"/>
      <c r="M11" s="651"/>
      <c r="N11" s="652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653"/>
      <c r="K12" s="654"/>
      <c r="L12" s="654"/>
      <c r="M12" s="654"/>
      <c r="N12" s="655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656"/>
      <c r="K13" s="657"/>
      <c r="L13" s="657"/>
      <c r="M13" s="657"/>
      <c r="N13" s="658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601" t="s">
        <v>59</v>
      </c>
      <c r="K14" s="602"/>
      <c r="L14" s="605" t="s">
        <v>60</v>
      </c>
      <c r="M14" s="606"/>
      <c r="N14" s="60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603"/>
      <c r="K15" s="604"/>
      <c r="L15" s="608"/>
      <c r="M15" s="609"/>
      <c r="N15" s="61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631" t="s">
        <v>69</v>
      </c>
      <c r="K16" s="201" t="s">
        <v>72</v>
      </c>
      <c r="L16" s="202" t="s">
        <v>73</v>
      </c>
      <c r="M16" s="633" t="s">
        <v>74</v>
      </c>
      <c r="N16" s="633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8"/>
      <c r="C17" s="678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632"/>
      <c r="K17" s="614" t="s">
        <v>52</v>
      </c>
      <c r="L17" s="615"/>
      <c r="M17" s="634"/>
      <c r="N17" s="634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>
        <v>8036204</v>
      </c>
      <c r="C18" s="293" t="s">
        <v>290</v>
      </c>
      <c r="D18" s="295"/>
      <c r="E18" s="80">
        <v>1</v>
      </c>
      <c r="F18" s="81">
        <v>11.62</v>
      </c>
      <c r="G18" s="221">
        <f t="shared" ref="G18:G60" si="0">ROUND(IF($F$17="USD $", F18*$E$15,F18*$D$15),2)</f>
        <v>8.18</v>
      </c>
      <c r="H18" s="222">
        <f t="shared" ref="H18:H60" si="1">ROUND(IF($H$17=$G$17,E18*G18,E18*F18),2)</f>
        <v>11.62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4.42</v>
      </c>
      <c r="L18" s="221">
        <f t="shared" ref="L18:L60" si="4">ROUND((J18*K18),2)</f>
        <v>4.42</v>
      </c>
      <c r="M18" s="220" t="s">
        <v>84</v>
      </c>
      <c r="N18" s="225">
        <v>0.62</v>
      </c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4.42</v>
      </c>
      <c r="T18" s="229">
        <f t="shared" ref="T18:T60" si="7">ROUND(L18-R18,2)</f>
        <v>4.42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294">
        <v>70022846</v>
      </c>
      <c r="C19" s="291" t="s">
        <v>291</v>
      </c>
      <c r="D19" s="296"/>
      <c r="E19" s="97">
        <v>1</v>
      </c>
      <c r="F19" s="98">
        <v>106.5</v>
      </c>
      <c r="G19" s="240">
        <f t="shared" si="0"/>
        <v>75</v>
      </c>
      <c r="H19" s="241">
        <f t="shared" si="1"/>
        <v>106.5</v>
      </c>
      <c r="I19" s="242"/>
      <c r="J19" s="243">
        <f t="shared" si="2"/>
        <v>1</v>
      </c>
      <c r="K19" s="240">
        <f t="shared" si="3"/>
        <v>40.47</v>
      </c>
      <c r="L19" s="240">
        <f t="shared" si="4"/>
        <v>40.47</v>
      </c>
      <c r="M19" s="244" t="s">
        <v>84</v>
      </c>
      <c r="N19" s="245">
        <v>0.62</v>
      </c>
      <c r="O19" s="226"/>
      <c r="P19" s="246"/>
      <c r="Q19" s="239"/>
      <c r="R19" s="247">
        <f t="shared" si="5"/>
        <v>0</v>
      </c>
      <c r="S19" s="248">
        <f t="shared" si="6"/>
        <v>40.47</v>
      </c>
      <c r="T19" s="248">
        <f t="shared" si="7"/>
        <v>40.47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292">
        <v>70023812</v>
      </c>
      <c r="C20" s="292" t="s">
        <v>292</v>
      </c>
      <c r="D20" s="297"/>
      <c r="E20" s="80">
        <v>1</v>
      </c>
      <c r="F20" s="81">
        <v>122.73</v>
      </c>
      <c r="G20" s="221">
        <f t="shared" si="0"/>
        <v>86.43</v>
      </c>
      <c r="H20" s="222">
        <f t="shared" si="1"/>
        <v>122.73</v>
      </c>
      <c r="I20" s="242"/>
      <c r="J20" s="224">
        <f t="shared" si="2"/>
        <v>1</v>
      </c>
      <c r="K20" s="221">
        <f t="shared" si="3"/>
        <v>46.64</v>
      </c>
      <c r="L20" s="221">
        <f t="shared" si="4"/>
        <v>46.64</v>
      </c>
      <c r="M20" s="220" t="s">
        <v>84</v>
      </c>
      <c r="N20" s="254">
        <v>0.62</v>
      </c>
      <c r="O20" s="226"/>
      <c r="P20" s="255"/>
      <c r="Q20" s="228"/>
      <c r="R20" s="229">
        <f t="shared" si="5"/>
        <v>0</v>
      </c>
      <c r="S20" s="229">
        <f t="shared" si="6"/>
        <v>46.64</v>
      </c>
      <c r="T20" s="229">
        <f t="shared" si="7"/>
        <v>46.64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294">
        <v>70024284</v>
      </c>
      <c r="C21" s="294" t="s">
        <v>293</v>
      </c>
      <c r="D21" s="296"/>
      <c r="E21" s="97">
        <v>1</v>
      </c>
      <c r="F21" s="98">
        <v>115.02</v>
      </c>
      <c r="G21" s="240">
        <f t="shared" si="0"/>
        <v>81</v>
      </c>
      <c r="H21" s="241">
        <f t="shared" si="1"/>
        <v>115.02</v>
      </c>
      <c r="I21" s="242"/>
      <c r="J21" s="243">
        <f t="shared" si="2"/>
        <v>1</v>
      </c>
      <c r="K21" s="240">
        <f t="shared" si="3"/>
        <v>43.71</v>
      </c>
      <c r="L21" s="240">
        <f t="shared" si="4"/>
        <v>43.71</v>
      </c>
      <c r="M21" s="244" t="s">
        <v>84</v>
      </c>
      <c r="N21" s="245">
        <v>0.62</v>
      </c>
      <c r="O21" s="226"/>
      <c r="P21" s="246"/>
      <c r="Q21" s="239"/>
      <c r="R21" s="247">
        <f t="shared" si="5"/>
        <v>0</v>
      </c>
      <c r="S21" s="248">
        <f t="shared" si="6"/>
        <v>43.71</v>
      </c>
      <c r="T21" s="248">
        <f t="shared" si="7"/>
        <v>43.71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292">
        <v>70022846</v>
      </c>
      <c r="C22" s="292" t="s">
        <v>294</v>
      </c>
      <c r="D22" s="297"/>
      <c r="E22" s="80">
        <v>1</v>
      </c>
      <c r="F22" s="81">
        <v>106.5</v>
      </c>
      <c r="G22" s="221">
        <f t="shared" si="0"/>
        <v>75</v>
      </c>
      <c r="H22" s="222">
        <f t="shared" si="1"/>
        <v>106.5</v>
      </c>
      <c r="I22" s="242"/>
      <c r="J22" s="224">
        <f t="shared" si="2"/>
        <v>1</v>
      </c>
      <c r="K22" s="221">
        <f t="shared" si="3"/>
        <v>40.47</v>
      </c>
      <c r="L22" s="221">
        <f t="shared" si="4"/>
        <v>40.47</v>
      </c>
      <c r="M22" s="220" t="s">
        <v>84</v>
      </c>
      <c r="N22" s="254">
        <v>0.62</v>
      </c>
      <c r="O22" s="226"/>
      <c r="P22" s="255"/>
      <c r="Q22" s="228"/>
      <c r="R22" s="229">
        <f t="shared" si="5"/>
        <v>0</v>
      </c>
      <c r="S22" s="229">
        <f t="shared" si="6"/>
        <v>40.47</v>
      </c>
      <c r="T22" s="229">
        <f t="shared" si="7"/>
        <v>40.47</v>
      </c>
      <c r="U22" s="230">
        <f t="shared" si="8"/>
        <v>0</v>
      </c>
      <c r="V22" s="230">
        <f t="shared" si="9"/>
        <v>1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294">
        <v>70024177</v>
      </c>
      <c r="C23" s="294" t="s">
        <v>92</v>
      </c>
      <c r="D23" s="296"/>
      <c r="E23" s="97">
        <v>1</v>
      </c>
      <c r="F23" s="98">
        <v>126.52</v>
      </c>
      <c r="G23" s="240">
        <f t="shared" si="0"/>
        <v>89.1</v>
      </c>
      <c r="H23" s="241">
        <f t="shared" si="1"/>
        <v>126.52</v>
      </c>
      <c r="I23" s="242"/>
      <c r="J23" s="243">
        <f t="shared" si="2"/>
        <v>1</v>
      </c>
      <c r="K23" s="240">
        <f t="shared" si="3"/>
        <v>48.08</v>
      </c>
      <c r="L23" s="240">
        <f t="shared" si="4"/>
        <v>48.08</v>
      </c>
      <c r="M23" s="244" t="s">
        <v>84</v>
      </c>
      <c r="N23" s="245">
        <v>0.62</v>
      </c>
      <c r="O23" s="226"/>
      <c r="P23" s="246"/>
      <c r="Q23" s="239"/>
      <c r="R23" s="247">
        <f t="shared" si="5"/>
        <v>0</v>
      </c>
      <c r="S23" s="248">
        <f t="shared" si="6"/>
        <v>48.08</v>
      </c>
      <c r="T23" s="248">
        <f t="shared" si="7"/>
        <v>48.08</v>
      </c>
      <c r="U23" s="249">
        <f t="shared" si="8"/>
        <v>0</v>
      </c>
      <c r="V23" s="249">
        <f t="shared" si="9"/>
        <v>1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292">
        <v>8320265</v>
      </c>
      <c r="C24" s="292" t="s">
        <v>295</v>
      </c>
      <c r="D24" s="297"/>
      <c r="E24" s="80">
        <v>1</v>
      </c>
      <c r="F24" s="81">
        <v>70.06</v>
      </c>
      <c r="G24" s="221">
        <f t="shared" si="0"/>
        <v>49.34</v>
      </c>
      <c r="H24" s="222">
        <f t="shared" si="1"/>
        <v>70.06</v>
      </c>
      <c r="I24" s="242"/>
      <c r="J24" s="224">
        <f t="shared" si="2"/>
        <v>1</v>
      </c>
      <c r="K24" s="221">
        <f t="shared" si="3"/>
        <v>26.62</v>
      </c>
      <c r="L24" s="221">
        <f t="shared" si="4"/>
        <v>26.62</v>
      </c>
      <c r="M24" s="220" t="s">
        <v>84</v>
      </c>
      <c r="N24" s="254">
        <v>0.62</v>
      </c>
      <c r="O24" s="226"/>
      <c r="P24" s="255"/>
      <c r="Q24" s="228"/>
      <c r="R24" s="229">
        <f t="shared" si="5"/>
        <v>0</v>
      </c>
      <c r="S24" s="229">
        <f t="shared" si="6"/>
        <v>26.62</v>
      </c>
      <c r="T24" s="229">
        <f t="shared" si="7"/>
        <v>26.62</v>
      </c>
      <c r="U24" s="230">
        <f t="shared" si="8"/>
        <v>0</v>
      </c>
      <c r="V24" s="230">
        <f t="shared" si="9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 s="294">
        <v>7139077</v>
      </c>
      <c r="C25" s="294" t="s">
        <v>296</v>
      </c>
      <c r="D25" s="296"/>
      <c r="E25" s="97">
        <v>1</v>
      </c>
      <c r="F25" s="98">
        <v>58.82</v>
      </c>
      <c r="G25" s="240">
        <f t="shared" si="0"/>
        <v>41.42</v>
      </c>
      <c r="H25" s="241">
        <f t="shared" si="1"/>
        <v>58.82</v>
      </c>
      <c r="I25" s="242"/>
      <c r="J25" s="243">
        <f t="shared" si="2"/>
        <v>1</v>
      </c>
      <c r="K25" s="240">
        <f t="shared" si="3"/>
        <v>58.82</v>
      </c>
      <c r="L25" s="240">
        <f t="shared" si="4"/>
        <v>58.82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58.82</v>
      </c>
      <c r="T25" s="248">
        <f t="shared" si="7"/>
        <v>58.82</v>
      </c>
      <c r="U25" s="249">
        <f t="shared" si="8"/>
        <v>0</v>
      </c>
      <c r="V25" s="249">
        <f t="shared" si="9"/>
        <v>1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 s="292">
        <v>1319726</v>
      </c>
      <c r="C26" s="292" t="s">
        <v>297</v>
      </c>
      <c r="D26" s="297"/>
      <c r="E26" s="80">
        <v>6</v>
      </c>
      <c r="F26" s="81">
        <v>72.89</v>
      </c>
      <c r="G26" s="221">
        <f t="shared" si="0"/>
        <v>51.33</v>
      </c>
      <c r="H26" s="222">
        <f t="shared" si="1"/>
        <v>437.34</v>
      </c>
      <c r="I26" s="242"/>
      <c r="J26" s="224">
        <f t="shared" si="2"/>
        <v>6</v>
      </c>
      <c r="K26" s="221">
        <f t="shared" si="3"/>
        <v>36.450000000000003</v>
      </c>
      <c r="L26" s="221">
        <f t="shared" si="4"/>
        <v>218.7</v>
      </c>
      <c r="M26" s="220" t="s">
        <v>84</v>
      </c>
      <c r="N26" s="254">
        <v>0.5</v>
      </c>
      <c r="O26" s="226"/>
      <c r="P26" s="255"/>
      <c r="Q26" s="228"/>
      <c r="R26" s="229">
        <f t="shared" si="5"/>
        <v>0</v>
      </c>
      <c r="S26" s="229">
        <f t="shared" si="6"/>
        <v>36.450000000000003</v>
      </c>
      <c r="T26" s="229">
        <f t="shared" si="7"/>
        <v>218.7</v>
      </c>
      <c r="U26" s="230">
        <f t="shared" si="8"/>
        <v>0</v>
      </c>
      <c r="V26" s="230">
        <f t="shared" si="9"/>
        <v>1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294">
        <v>70024588</v>
      </c>
      <c r="C27" s="294" t="s">
        <v>298</v>
      </c>
      <c r="D27" s="300"/>
      <c r="E27" s="283">
        <v>4</v>
      </c>
      <c r="F27" s="239">
        <v>1607.16</v>
      </c>
      <c r="G27" s="240">
        <f t="shared" si="0"/>
        <v>1131.8</v>
      </c>
      <c r="H27" s="241">
        <f t="shared" si="1"/>
        <v>6428.64</v>
      </c>
      <c r="I27" s="242"/>
      <c r="J27" s="243">
        <f t="shared" si="2"/>
        <v>4</v>
      </c>
      <c r="K27" s="240">
        <f t="shared" si="3"/>
        <v>1607.16</v>
      </c>
      <c r="L27" s="240">
        <f t="shared" si="4"/>
        <v>6428.64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1607.16</v>
      </c>
      <c r="T27" s="248">
        <f t="shared" si="7"/>
        <v>6428.64</v>
      </c>
      <c r="U27" s="249">
        <f t="shared" si="8"/>
        <v>0</v>
      </c>
      <c r="V27" s="249">
        <f t="shared" si="9"/>
        <v>1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298"/>
      <c r="C28" s="298"/>
      <c r="D28" s="301"/>
      <c r="E28" s="279"/>
      <c r="F28" s="220"/>
      <c r="G28" s="221">
        <f t="shared" si="0"/>
        <v>0</v>
      </c>
      <c r="H28" s="222">
        <f t="shared" si="1"/>
        <v>0</v>
      </c>
      <c r="I28" s="242"/>
      <c r="J28" s="224">
        <f t="shared" si="2"/>
        <v>0</v>
      </c>
      <c r="K28" s="221">
        <f t="shared" si="3"/>
        <v>0</v>
      </c>
      <c r="L28" s="221">
        <f t="shared" si="4"/>
        <v>0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0</v>
      </c>
      <c r="T28" s="229">
        <f t="shared" si="7"/>
        <v>0</v>
      </c>
      <c r="U28" s="230">
        <f t="shared" si="8"/>
        <v>0</v>
      </c>
      <c r="V28" s="230">
        <f t="shared" si="9"/>
        <v>0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299"/>
      <c r="C29" s="299"/>
      <c r="D29" s="300"/>
      <c r="E29" s="283"/>
      <c r="F29" s="239"/>
      <c r="G29" s="240">
        <f t="shared" si="0"/>
        <v>0</v>
      </c>
      <c r="H29" s="241">
        <f t="shared" si="1"/>
        <v>0</v>
      </c>
      <c r="I29" s="242"/>
      <c r="J29" s="243">
        <f t="shared" si="2"/>
        <v>0</v>
      </c>
      <c r="K29" s="240">
        <f t="shared" si="3"/>
        <v>0</v>
      </c>
      <c r="L29" s="240">
        <f t="shared" si="4"/>
        <v>0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0</v>
      </c>
      <c r="T29" s="248">
        <f t="shared" si="7"/>
        <v>0</v>
      </c>
      <c r="U29" s="249">
        <f t="shared" si="8"/>
        <v>0</v>
      </c>
      <c r="V29" s="249">
        <f t="shared" si="9"/>
        <v>0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276"/>
      <c r="C30" s="277"/>
      <c r="D30" s="285"/>
      <c r="E30" s="279"/>
      <c r="F30" s="220"/>
      <c r="G30" s="221">
        <f t="shared" si="0"/>
        <v>0</v>
      </c>
      <c r="H30" s="222">
        <f t="shared" si="1"/>
        <v>0</v>
      </c>
      <c r="I30" s="242"/>
      <c r="J30" s="224">
        <f t="shared" si="2"/>
        <v>0</v>
      </c>
      <c r="K30" s="221">
        <f t="shared" si="3"/>
        <v>0</v>
      </c>
      <c r="L30" s="221">
        <f t="shared" si="4"/>
        <v>0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0</v>
      </c>
      <c r="T30" s="229">
        <f t="shared" si="7"/>
        <v>0</v>
      </c>
      <c r="U30" s="230">
        <f t="shared" si="8"/>
        <v>0</v>
      </c>
      <c r="V30" s="230">
        <f t="shared" si="9"/>
        <v>0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280"/>
      <c r="C31" s="281"/>
      <c r="D31" s="282"/>
      <c r="E31" s="283"/>
      <c r="F31" s="239"/>
      <c r="G31" s="240">
        <f t="shared" si="0"/>
        <v>0</v>
      </c>
      <c r="H31" s="241">
        <f t="shared" si="1"/>
        <v>0</v>
      </c>
      <c r="I31" s="242"/>
      <c r="J31" s="243">
        <f t="shared" si="2"/>
        <v>0</v>
      </c>
      <c r="K31" s="240">
        <f t="shared" si="3"/>
        <v>0</v>
      </c>
      <c r="L31" s="240">
        <f t="shared" si="4"/>
        <v>0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0</v>
      </c>
      <c r="T31" s="248">
        <f t="shared" si="7"/>
        <v>0</v>
      </c>
      <c r="U31" s="249">
        <f t="shared" si="8"/>
        <v>0</v>
      </c>
      <c r="V31" s="249">
        <f t="shared" si="9"/>
        <v>0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276"/>
      <c r="C32" s="284"/>
      <c r="D32" s="285"/>
      <c r="E32" s="279"/>
      <c r="F32" s="220"/>
      <c r="G32" s="221">
        <f t="shared" si="0"/>
        <v>0</v>
      </c>
      <c r="H32" s="222">
        <f t="shared" si="1"/>
        <v>0</v>
      </c>
      <c r="I32" s="242"/>
      <c r="J32" s="224">
        <f t="shared" si="2"/>
        <v>0</v>
      </c>
      <c r="K32" s="221">
        <f t="shared" si="3"/>
        <v>0</v>
      </c>
      <c r="L32" s="221">
        <f t="shared" si="4"/>
        <v>0</v>
      </c>
      <c r="M32" s="220" t="s">
        <v>84</v>
      </c>
      <c r="N32" s="254">
        <v>0.5</v>
      </c>
      <c r="O32" s="226"/>
      <c r="P32" s="255"/>
      <c r="Q32" s="228"/>
      <c r="R32" s="229">
        <f t="shared" si="5"/>
        <v>0</v>
      </c>
      <c r="S32" s="229">
        <f t="shared" si="6"/>
        <v>0</v>
      </c>
      <c r="T32" s="229">
        <f t="shared" si="7"/>
        <v>0</v>
      </c>
      <c r="U32" s="230">
        <f t="shared" si="8"/>
        <v>0</v>
      </c>
      <c r="V32" s="230">
        <f t="shared" si="9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280"/>
      <c r="C33" s="281"/>
      <c r="D33" s="282"/>
      <c r="E33" s="283"/>
      <c r="F33" s="239"/>
      <c r="G33" s="240">
        <f t="shared" si="0"/>
        <v>0</v>
      </c>
      <c r="H33" s="241">
        <f t="shared" si="1"/>
        <v>0</v>
      </c>
      <c r="I33" s="242"/>
      <c r="J33" s="243">
        <f t="shared" si="2"/>
        <v>0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276"/>
      <c r="C34" s="284"/>
      <c r="D34" s="285"/>
      <c r="E34" s="279"/>
      <c r="F34" s="220"/>
      <c r="G34" s="221">
        <f t="shared" si="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>
        <v>0.5</v>
      </c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280"/>
      <c r="C35" s="281"/>
      <c r="D35" s="282"/>
      <c r="E35" s="283"/>
      <c r="F35" s="239"/>
      <c r="G35" s="240">
        <f t="shared" si="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>
        <v>0.5</v>
      </c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276"/>
      <c r="C36" s="284"/>
      <c r="D36" s="285"/>
      <c r="E36" s="279"/>
      <c r="F36" s="220"/>
      <c r="G36" s="221">
        <f t="shared" si="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280"/>
      <c r="C37" s="281"/>
      <c r="D37" s="282"/>
      <c r="E37" s="283"/>
      <c r="F37" s="239"/>
      <c r="G37" s="240">
        <f t="shared" si="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276"/>
      <c r="C38" s="284"/>
      <c r="D38" s="285"/>
      <c r="E38" s="279"/>
      <c r="F38" s="220"/>
      <c r="G38" s="221">
        <f t="shared" si="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280"/>
      <c r="C39" s="281"/>
      <c r="D39" s="282"/>
      <c r="E39" s="283"/>
      <c r="F39" s="239"/>
      <c r="G39" s="240">
        <f t="shared" si="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276"/>
      <c r="C40" s="284"/>
      <c r="D40" s="285"/>
      <c r="E40" s="279"/>
      <c r="F40" s="220"/>
      <c r="G40" s="221">
        <f t="shared" si="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280"/>
      <c r="C41" s="281"/>
      <c r="D41" s="282"/>
      <c r="E41" s="283"/>
      <c r="F41" s="239"/>
      <c r="G41" s="240">
        <f t="shared" si="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276"/>
      <c r="C42" s="284"/>
      <c r="D42" s="285"/>
      <c r="E42" s="279"/>
      <c r="F42" s="220"/>
      <c r="G42" s="221">
        <f t="shared" si="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280"/>
      <c r="C43" s="281"/>
      <c r="D43" s="282"/>
      <c r="E43" s="283"/>
      <c r="F43" s="239"/>
      <c r="G43" s="240">
        <f t="shared" si="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276"/>
      <c r="C44" s="284"/>
      <c r="D44" s="285"/>
      <c r="E44" s="279"/>
      <c r="F44" s="220"/>
      <c r="G44" s="221">
        <f t="shared" si="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280"/>
      <c r="C45" s="281"/>
      <c r="D45" s="282"/>
      <c r="E45" s="283"/>
      <c r="F45" s="239"/>
      <c r="G45" s="240">
        <f t="shared" si="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276"/>
      <c r="C46" s="284"/>
      <c r="D46" s="285"/>
      <c r="E46" s="279"/>
      <c r="F46" s="220"/>
      <c r="G46" s="221">
        <f t="shared" si="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280"/>
      <c r="C47" s="281"/>
      <c r="D47" s="282"/>
      <c r="E47" s="283"/>
      <c r="F47" s="239"/>
      <c r="G47" s="240">
        <f t="shared" si="0"/>
        <v>0</v>
      </c>
      <c r="H47" s="241">
        <f t="shared" si="1"/>
        <v>0</v>
      </c>
      <c r="I47" s="242"/>
      <c r="J47" s="243">
        <f t="shared" si="2"/>
        <v>0</v>
      </c>
      <c r="K47" s="240">
        <f t="shared" si="3"/>
        <v>0</v>
      </c>
      <c r="L47" s="240">
        <f t="shared" si="4"/>
        <v>0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0</v>
      </c>
      <c r="T47" s="248">
        <f t="shared" si="7"/>
        <v>0</v>
      </c>
      <c r="U47" s="249">
        <f t="shared" si="8"/>
        <v>0</v>
      </c>
      <c r="V47" s="249">
        <f t="shared" si="9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276"/>
      <c r="C48" s="284"/>
      <c r="D48" s="285"/>
      <c r="E48" s="279"/>
      <c r="F48" s="220"/>
      <c r="G48" s="221">
        <f t="shared" si="0"/>
        <v>0</v>
      </c>
      <c r="H48" s="222">
        <f t="shared" si="1"/>
        <v>0</v>
      </c>
      <c r="I48" s="242"/>
      <c r="J48" s="224">
        <f t="shared" si="2"/>
        <v>0</v>
      </c>
      <c r="K48" s="221">
        <f t="shared" si="3"/>
        <v>0</v>
      </c>
      <c r="L48" s="221">
        <f t="shared" si="4"/>
        <v>0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0</v>
      </c>
      <c r="T48" s="229">
        <f t="shared" si="7"/>
        <v>0</v>
      </c>
      <c r="U48" s="230">
        <f t="shared" si="8"/>
        <v>0</v>
      </c>
      <c r="V48" s="230">
        <f t="shared" si="9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280"/>
      <c r="C49" s="281"/>
      <c r="D49" s="282"/>
      <c r="E49" s="283"/>
      <c r="F49" s="239"/>
      <c r="G49" s="240">
        <f t="shared" si="0"/>
        <v>0</v>
      </c>
      <c r="H49" s="241">
        <f t="shared" si="1"/>
        <v>0</v>
      </c>
      <c r="I49" s="242"/>
      <c r="J49" s="243">
        <f t="shared" si="2"/>
        <v>0</v>
      </c>
      <c r="K49" s="240">
        <f t="shared" si="3"/>
        <v>0</v>
      </c>
      <c r="L49" s="240">
        <f t="shared" si="4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0</v>
      </c>
      <c r="T49" s="248">
        <f t="shared" si="7"/>
        <v>0</v>
      </c>
      <c r="U49" s="249">
        <f t="shared" si="8"/>
        <v>0</v>
      </c>
      <c r="V49" s="249">
        <f t="shared" si="9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276"/>
      <c r="C50" s="284"/>
      <c r="D50" s="285"/>
      <c r="E50" s="279"/>
      <c r="F50" s="220"/>
      <c r="G50" s="221">
        <f t="shared" si="0"/>
        <v>0</v>
      </c>
      <c r="H50" s="222">
        <f t="shared" si="1"/>
        <v>0</v>
      </c>
      <c r="I50" s="242"/>
      <c r="J50" s="224">
        <f t="shared" si="2"/>
        <v>0</v>
      </c>
      <c r="K50" s="221">
        <f t="shared" si="3"/>
        <v>0</v>
      </c>
      <c r="L50" s="221">
        <f t="shared" si="4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0</v>
      </c>
      <c r="T50" s="229">
        <f t="shared" si="7"/>
        <v>0</v>
      </c>
      <c r="U50" s="230">
        <f t="shared" si="8"/>
        <v>0</v>
      </c>
      <c r="V50" s="230">
        <f t="shared" si="9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280"/>
      <c r="C51" s="281"/>
      <c r="D51" s="282"/>
      <c r="E51" s="283"/>
      <c r="F51" s="239"/>
      <c r="G51" s="240">
        <f t="shared" si="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18</v>
      </c>
      <c r="F61" s="265">
        <f>SUM(F18:F60)</f>
        <v>2397.8200000000002</v>
      </c>
      <c r="G61" s="266">
        <f>SUM(G18:G60)</f>
        <v>1688.6</v>
      </c>
      <c r="H61" s="267">
        <f>SUM(H18:H60)</f>
        <v>7583.75</v>
      </c>
      <c r="I61" s="268"/>
      <c r="J61" s="269">
        <f>SUM(J18:J60)</f>
        <v>18</v>
      </c>
      <c r="K61" s="266">
        <f>SUM(K18:K60)</f>
        <v>1952.8400000000001</v>
      </c>
      <c r="L61" s="267">
        <f>SUM(L18:L60)</f>
        <v>6956.5700000000006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1952.8400000000001</v>
      </c>
      <c r="T61" s="267">
        <f>SUM(T18:T60)</f>
        <v>6956.5700000000006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95" priority="3" stopIfTrue="1">
      <formula>$U$9&gt;100%</formula>
    </cfRule>
    <cfRule type="expression" dxfId="94" priority="4">
      <formula>$U$9&lt;50%</formula>
    </cfRule>
  </conditionalFormatting>
  <conditionalFormatting sqref="V9:V10">
    <cfRule type="expression" dxfId="93" priority="1">
      <formula>$V$9&lt;50%</formula>
    </cfRule>
    <cfRule type="expression" dxfId="92" priority="2">
      <formula>$V$9&gt;50%</formula>
    </cfRule>
  </conditionalFormatting>
  <dataValidations count="5">
    <dataValidation type="list" allowBlank="1" showInputMessage="1" showErrorMessage="1" sqref="M18:M60" xr:uid="{7F764F41-26AA-4C98-9965-D70AD2584FEF}">
      <formula1>$Y$31:$Y$32</formula1>
    </dataValidation>
    <dataValidation type="list" showInputMessage="1" showErrorMessage="1" sqref="D52:D60 D18:D26" xr:uid="{7B7DA1D8-ECD7-49B8-A255-BD0A005FAAFA}">
      <formula1>$Z$18:$Z$29</formula1>
    </dataValidation>
    <dataValidation type="list" allowBlank="1" showInputMessage="1" showErrorMessage="1" sqref="I13" xr:uid="{C437676C-6700-4BBB-BF1F-1C93F3B26F55}">
      <formula1>$K$9:$K$9</formula1>
    </dataValidation>
    <dataValidation type="list" allowBlank="1" showInputMessage="1" showErrorMessage="1" sqref="H13" xr:uid="{0C10747B-9291-4439-968D-231898D1D6DD}">
      <formula1>$Y$13:$Y$14</formula1>
    </dataValidation>
    <dataValidation type="list" allowBlank="1" showInputMessage="1" showErrorMessage="1" sqref="F17 K17 Q17 Q14" xr:uid="{EA85ACED-2254-4CDE-96C4-F69BBBF6874D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D6837-574D-4AF0-8DBC-BD0A2D0C6F54}">
  <sheetPr>
    <pageSetUpPr fitToPage="1"/>
  </sheetPr>
  <dimension ref="A1:AB63"/>
  <sheetViews>
    <sheetView zoomScale="85" zoomScaleNormal="85" workbookViewId="0">
      <selection activeCell="F6" sqref="F6:G6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523" t="s">
        <v>2</v>
      </c>
      <c r="I1" s="524"/>
      <c r="J1" s="524"/>
      <c r="K1" s="525"/>
      <c r="L1" s="528" t="s">
        <v>3</v>
      </c>
      <c r="M1" s="529"/>
      <c r="N1" s="529"/>
      <c r="O1" s="529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59">
        <v>438110</v>
      </c>
      <c r="G2" s="549"/>
      <c r="H2" s="546" t="s">
        <v>7</v>
      </c>
      <c r="I2" s="550"/>
      <c r="J2" s="547"/>
      <c r="K2" s="148"/>
      <c r="L2" s="551" t="s">
        <v>8</v>
      </c>
      <c r="M2" s="552"/>
      <c r="N2" s="553"/>
      <c r="O2" s="149"/>
      <c r="P2" s="554">
        <f>H61</f>
        <v>2132.67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532" t="s">
        <v>13</v>
      </c>
      <c r="I3" s="536"/>
      <c r="J3" s="533"/>
      <c r="K3" s="154"/>
      <c r="L3" s="537" t="s">
        <v>14</v>
      </c>
      <c r="M3" s="538"/>
      <c r="N3" s="539"/>
      <c r="O3" s="149"/>
      <c r="P3" s="540">
        <f>L61</f>
        <v>1958.28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665" t="s">
        <v>289</v>
      </c>
      <c r="G4" s="666"/>
      <c r="H4" s="532" t="s">
        <v>19</v>
      </c>
      <c r="I4" s="536"/>
      <c r="J4" s="533"/>
      <c r="K4" s="154"/>
      <c r="L4" s="537" t="s">
        <v>20</v>
      </c>
      <c r="M4" s="538"/>
      <c r="N4" s="539"/>
      <c r="O4" s="149"/>
      <c r="P4" s="540">
        <f>P2-P3</f>
        <v>174.3900000000001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679" t="s">
        <v>299</v>
      </c>
      <c r="G5" s="680"/>
      <c r="H5" s="532" t="s">
        <v>25</v>
      </c>
      <c r="I5" s="536"/>
      <c r="J5" s="533"/>
      <c r="K5" s="154"/>
      <c r="L5" s="558" t="s">
        <v>26</v>
      </c>
      <c r="M5" s="559"/>
      <c r="N5" s="560"/>
      <c r="O5" s="149"/>
      <c r="P5" s="561">
        <f>IFERROR((P2-P3)/P2,"")</f>
        <v>8.1770738088874556E-2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69" t="s">
        <v>384</v>
      </c>
      <c r="G6" s="666"/>
      <c r="H6" s="532" t="s">
        <v>31</v>
      </c>
      <c r="I6" s="536"/>
      <c r="J6" s="533"/>
      <c r="K6" s="154"/>
      <c r="L6" s="574" t="s">
        <v>32</v>
      </c>
      <c r="M6" s="575"/>
      <c r="N6" s="576"/>
      <c r="O6" s="149"/>
      <c r="P6" s="577">
        <f>T61</f>
        <v>1958.28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563"/>
      <c r="G7" s="535"/>
      <c r="H7" s="532" t="s">
        <v>36</v>
      </c>
      <c r="I7" s="536"/>
      <c r="J7" s="533"/>
      <c r="K7" s="154"/>
      <c r="L7" s="564" t="s">
        <v>37</v>
      </c>
      <c r="M7" s="565"/>
      <c r="N7" s="56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532" t="s">
        <v>40</v>
      </c>
      <c r="I8" s="536"/>
      <c r="J8" s="533"/>
      <c r="K8" s="154"/>
      <c r="L8" s="564" t="s">
        <v>41</v>
      </c>
      <c r="M8" s="565"/>
      <c r="N8" s="56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383</v>
      </c>
      <c r="G9" s="535"/>
      <c r="H9" s="171"/>
      <c r="I9" s="172"/>
      <c r="J9" s="172"/>
      <c r="K9" s="173"/>
      <c r="L9" s="564" t="s">
        <v>47</v>
      </c>
      <c r="M9" s="565"/>
      <c r="N9" s="56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1958.28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542" t="s">
        <v>48</v>
      </c>
      <c r="M10" s="579"/>
      <c r="N10" s="543"/>
      <c r="O10" s="149"/>
      <c r="P10" s="580">
        <f>E61</f>
        <v>17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650" t="s">
        <v>50</v>
      </c>
      <c r="K11" s="651"/>
      <c r="L11" s="651"/>
      <c r="M11" s="651"/>
      <c r="N11" s="652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653"/>
      <c r="K12" s="654"/>
      <c r="L12" s="654"/>
      <c r="M12" s="654"/>
      <c r="N12" s="655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656"/>
      <c r="K13" s="657"/>
      <c r="L13" s="657"/>
      <c r="M13" s="657"/>
      <c r="N13" s="658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601" t="s">
        <v>59</v>
      </c>
      <c r="K14" s="602"/>
      <c r="L14" s="605" t="s">
        <v>60</v>
      </c>
      <c r="M14" s="606"/>
      <c r="N14" s="60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603"/>
      <c r="K15" s="604"/>
      <c r="L15" s="608"/>
      <c r="M15" s="609"/>
      <c r="N15" s="61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631" t="s">
        <v>69</v>
      </c>
      <c r="K16" s="201" t="s">
        <v>72</v>
      </c>
      <c r="L16" s="202" t="s">
        <v>73</v>
      </c>
      <c r="M16" s="633" t="s">
        <v>74</v>
      </c>
      <c r="N16" s="633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8"/>
      <c r="C17" s="678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632"/>
      <c r="K17" s="614" t="s">
        <v>52</v>
      </c>
      <c r="L17" s="615"/>
      <c r="M17" s="634"/>
      <c r="N17" s="634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 s="292">
        <v>7026811</v>
      </c>
      <c r="C18" s="293" t="s">
        <v>290</v>
      </c>
      <c r="D18" s="295"/>
      <c r="E18" s="80">
        <v>1</v>
      </c>
      <c r="F18" s="81">
        <v>29.93</v>
      </c>
      <c r="G18" s="221">
        <f t="shared" ref="G18:G60" si="0">ROUND(IF($F$17="USD $", F18*$E$15,F18*$D$15),2)</f>
        <v>21.08</v>
      </c>
      <c r="H18" s="222">
        <f t="shared" ref="H18:H60" si="1">ROUND(IF($H$17=$G$17,E18*G18,E18*F18),2)</f>
        <v>29.93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11.37</v>
      </c>
      <c r="L18" s="221">
        <f t="shared" ref="L18:L60" si="4">ROUND((J18*K18),2)</f>
        <v>11.37</v>
      </c>
      <c r="M18" s="220" t="s">
        <v>84</v>
      </c>
      <c r="N18" s="225">
        <v>0.62</v>
      </c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11.37</v>
      </c>
      <c r="T18" s="229">
        <f t="shared" ref="T18:T60" si="7">ROUND(L18-R18,2)</f>
        <v>11.37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294">
        <v>7016328</v>
      </c>
      <c r="C19" s="294" t="s">
        <v>291</v>
      </c>
      <c r="D19" s="296"/>
      <c r="E19" s="97">
        <v>1</v>
      </c>
      <c r="F19" s="98">
        <v>23.25</v>
      </c>
      <c r="G19" s="240">
        <f t="shared" si="0"/>
        <v>16.37</v>
      </c>
      <c r="H19" s="241">
        <f t="shared" si="1"/>
        <v>23.25</v>
      </c>
      <c r="I19" s="242"/>
      <c r="J19" s="243">
        <f t="shared" si="2"/>
        <v>1</v>
      </c>
      <c r="K19" s="240">
        <f t="shared" si="3"/>
        <v>8.84</v>
      </c>
      <c r="L19" s="240">
        <f t="shared" si="4"/>
        <v>8.84</v>
      </c>
      <c r="M19" s="244" t="s">
        <v>84</v>
      </c>
      <c r="N19" s="245">
        <v>0.62</v>
      </c>
      <c r="O19" s="226"/>
      <c r="P19" s="246"/>
      <c r="Q19" s="239"/>
      <c r="R19" s="247">
        <f t="shared" si="5"/>
        <v>0</v>
      </c>
      <c r="S19" s="248">
        <f t="shared" si="6"/>
        <v>8.84</v>
      </c>
      <c r="T19" s="248">
        <f t="shared" si="7"/>
        <v>8.84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292">
        <v>7026830</v>
      </c>
      <c r="C20" s="292" t="s">
        <v>292</v>
      </c>
      <c r="D20" s="297"/>
      <c r="E20" s="80">
        <v>1</v>
      </c>
      <c r="F20" s="81">
        <v>97.24</v>
      </c>
      <c r="G20" s="221">
        <f t="shared" si="0"/>
        <v>68.48</v>
      </c>
      <c r="H20" s="222">
        <f t="shared" si="1"/>
        <v>97.24</v>
      </c>
      <c r="I20" s="242"/>
      <c r="J20" s="224">
        <f t="shared" si="2"/>
        <v>1</v>
      </c>
      <c r="K20" s="221">
        <f t="shared" si="3"/>
        <v>36.950000000000003</v>
      </c>
      <c r="L20" s="221">
        <f t="shared" si="4"/>
        <v>36.950000000000003</v>
      </c>
      <c r="M20" s="220" t="s">
        <v>84</v>
      </c>
      <c r="N20" s="254">
        <v>0.62</v>
      </c>
      <c r="O20" s="226"/>
      <c r="P20" s="255"/>
      <c r="Q20" s="228"/>
      <c r="R20" s="229">
        <f t="shared" si="5"/>
        <v>0</v>
      </c>
      <c r="S20" s="229">
        <f t="shared" si="6"/>
        <v>36.950000000000003</v>
      </c>
      <c r="T20" s="229">
        <f t="shared" si="7"/>
        <v>36.950000000000003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294">
        <v>91083218</v>
      </c>
      <c r="C21" s="294" t="s">
        <v>300</v>
      </c>
      <c r="D21" s="296"/>
      <c r="E21" s="97">
        <v>1</v>
      </c>
      <c r="F21" s="98">
        <v>31.47</v>
      </c>
      <c r="G21" s="240">
        <f t="shared" si="0"/>
        <v>22.16</v>
      </c>
      <c r="H21" s="241">
        <f t="shared" si="1"/>
        <v>31.47</v>
      </c>
      <c r="I21" s="242"/>
      <c r="J21" s="243">
        <f t="shared" si="2"/>
        <v>1</v>
      </c>
      <c r="K21" s="240">
        <f t="shared" si="3"/>
        <v>11.96</v>
      </c>
      <c r="L21" s="240">
        <f t="shared" si="4"/>
        <v>11.96</v>
      </c>
      <c r="M21" s="244" t="s">
        <v>84</v>
      </c>
      <c r="N21" s="245">
        <v>0.62</v>
      </c>
      <c r="O21" s="226"/>
      <c r="P21" s="246"/>
      <c r="Q21" s="239"/>
      <c r="R21" s="247">
        <f t="shared" si="5"/>
        <v>0</v>
      </c>
      <c r="S21" s="248">
        <f t="shared" si="6"/>
        <v>11.96</v>
      </c>
      <c r="T21" s="248">
        <f t="shared" si="7"/>
        <v>11.96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292">
        <v>7012664</v>
      </c>
      <c r="C22" s="292" t="s">
        <v>294</v>
      </c>
      <c r="D22" s="297"/>
      <c r="E22" s="80">
        <v>1</v>
      </c>
      <c r="F22" s="81">
        <v>55.71</v>
      </c>
      <c r="G22" s="221">
        <f t="shared" si="0"/>
        <v>39.229999999999997</v>
      </c>
      <c r="H22" s="222">
        <f t="shared" si="1"/>
        <v>55.71</v>
      </c>
      <c r="I22" s="242"/>
      <c r="J22" s="224">
        <f t="shared" si="2"/>
        <v>1</v>
      </c>
      <c r="K22" s="221">
        <f t="shared" si="3"/>
        <v>21.17</v>
      </c>
      <c r="L22" s="221">
        <f t="shared" si="4"/>
        <v>21.17</v>
      </c>
      <c r="M22" s="220" t="s">
        <v>84</v>
      </c>
      <c r="N22" s="254">
        <v>0.62</v>
      </c>
      <c r="O22" s="226"/>
      <c r="P22" s="255"/>
      <c r="Q22" s="228"/>
      <c r="R22" s="229">
        <f t="shared" si="5"/>
        <v>0</v>
      </c>
      <c r="S22" s="229">
        <f t="shared" si="6"/>
        <v>21.17</v>
      </c>
      <c r="T22" s="229">
        <f t="shared" si="7"/>
        <v>21.17</v>
      </c>
      <c r="U22" s="230">
        <f t="shared" si="8"/>
        <v>0</v>
      </c>
      <c r="V22" s="230">
        <f t="shared" si="9"/>
        <v>1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294"/>
      <c r="C23" s="294"/>
      <c r="D23" s="296"/>
      <c r="E23" s="97"/>
      <c r="F23" s="98"/>
      <c r="G23" s="240">
        <f t="shared" si="0"/>
        <v>0</v>
      </c>
      <c r="H23" s="241">
        <f t="shared" si="1"/>
        <v>0</v>
      </c>
      <c r="I23" s="242"/>
      <c r="J23" s="243">
        <f t="shared" si="2"/>
        <v>0</v>
      </c>
      <c r="K23" s="240">
        <f t="shared" si="3"/>
        <v>0</v>
      </c>
      <c r="L23" s="240">
        <f t="shared" si="4"/>
        <v>0</v>
      </c>
      <c r="M23" s="244" t="s">
        <v>84</v>
      </c>
      <c r="N23" s="245">
        <v>0.62</v>
      </c>
      <c r="O23" s="226"/>
      <c r="P23" s="246"/>
      <c r="Q23" s="239"/>
      <c r="R23" s="247">
        <f t="shared" si="5"/>
        <v>0</v>
      </c>
      <c r="S23" s="248">
        <f t="shared" si="6"/>
        <v>0</v>
      </c>
      <c r="T23" s="248">
        <f t="shared" si="7"/>
        <v>0</v>
      </c>
      <c r="U23" s="249">
        <f t="shared" si="8"/>
        <v>0</v>
      </c>
      <c r="V23" s="249">
        <f t="shared" si="9"/>
        <v>0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292">
        <v>2120210</v>
      </c>
      <c r="C24" s="292" t="s">
        <v>301</v>
      </c>
      <c r="D24" s="297"/>
      <c r="E24" s="80">
        <v>1</v>
      </c>
      <c r="F24" s="81">
        <v>43.67</v>
      </c>
      <c r="G24" s="221">
        <f t="shared" si="0"/>
        <v>30.75</v>
      </c>
      <c r="H24" s="222">
        <f t="shared" si="1"/>
        <v>43.67</v>
      </c>
      <c r="I24" s="242"/>
      <c r="J24" s="224">
        <f t="shared" si="2"/>
        <v>1</v>
      </c>
      <c r="K24" s="221">
        <f t="shared" si="3"/>
        <v>16.59</v>
      </c>
      <c r="L24" s="221">
        <f t="shared" si="4"/>
        <v>16.59</v>
      </c>
      <c r="M24" s="220" t="s">
        <v>84</v>
      </c>
      <c r="N24" s="254">
        <v>0.62</v>
      </c>
      <c r="O24" s="226"/>
      <c r="P24" s="255"/>
      <c r="Q24" s="228"/>
      <c r="R24" s="229">
        <f t="shared" si="5"/>
        <v>0</v>
      </c>
      <c r="S24" s="229">
        <f t="shared" si="6"/>
        <v>16.59</v>
      </c>
      <c r="T24" s="229">
        <f t="shared" si="7"/>
        <v>16.59</v>
      </c>
      <c r="U24" s="230">
        <f t="shared" si="8"/>
        <v>0</v>
      </c>
      <c r="V24" s="230">
        <f t="shared" si="9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 s="294">
        <v>2120149</v>
      </c>
      <c r="C25" s="294" t="s">
        <v>295</v>
      </c>
      <c r="D25" s="296"/>
      <c r="E25" s="97">
        <v>1</v>
      </c>
      <c r="F25" s="98">
        <v>55.08</v>
      </c>
      <c r="G25" s="240">
        <f t="shared" si="0"/>
        <v>38.79</v>
      </c>
      <c r="H25" s="241">
        <f t="shared" si="1"/>
        <v>55.08</v>
      </c>
      <c r="I25" s="242"/>
      <c r="J25" s="243">
        <f t="shared" si="2"/>
        <v>1</v>
      </c>
      <c r="K25" s="240">
        <f t="shared" si="3"/>
        <v>55.08</v>
      </c>
      <c r="L25" s="240">
        <f t="shared" si="4"/>
        <v>55.08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55.08</v>
      </c>
      <c r="T25" s="248">
        <f t="shared" si="7"/>
        <v>55.08</v>
      </c>
      <c r="U25" s="249">
        <f t="shared" si="8"/>
        <v>0</v>
      </c>
      <c r="V25" s="249">
        <f t="shared" si="9"/>
        <v>1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 s="292"/>
      <c r="C26" s="292"/>
      <c r="D26" s="297"/>
      <c r="E26" s="80">
        <v>6</v>
      </c>
      <c r="F26" s="81"/>
      <c r="G26" s="221">
        <f t="shared" si="0"/>
        <v>0</v>
      </c>
      <c r="H26" s="222">
        <f t="shared" si="1"/>
        <v>0</v>
      </c>
      <c r="I26" s="242"/>
      <c r="J26" s="224">
        <f t="shared" si="2"/>
        <v>6</v>
      </c>
      <c r="K26" s="221">
        <f t="shared" si="3"/>
        <v>0</v>
      </c>
      <c r="L26" s="221">
        <f t="shared" si="4"/>
        <v>0</v>
      </c>
      <c r="M26" s="220" t="s">
        <v>84</v>
      </c>
      <c r="N26" s="254">
        <v>0.5</v>
      </c>
      <c r="O26" s="226"/>
      <c r="P26" s="255"/>
      <c r="Q26" s="228"/>
      <c r="R26" s="229">
        <f t="shared" si="5"/>
        <v>0</v>
      </c>
      <c r="S26" s="229">
        <f t="shared" si="6"/>
        <v>0</v>
      </c>
      <c r="T26" s="229">
        <f t="shared" si="7"/>
        <v>0</v>
      </c>
      <c r="U26" s="230">
        <f t="shared" si="8"/>
        <v>0</v>
      </c>
      <c r="V26" s="230">
        <f t="shared" si="9"/>
        <v>0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294">
        <v>70003478</v>
      </c>
      <c r="C27" s="294" t="s">
        <v>298</v>
      </c>
      <c r="D27" s="300"/>
      <c r="E27" s="283">
        <v>4</v>
      </c>
      <c r="F27" s="239">
        <v>449.08</v>
      </c>
      <c r="G27" s="240">
        <f t="shared" si="0"/>
        <v>316.25</v>
      </c>
      <c r="H27" s="241">
        <f t="shared" si="1"/>
        <v>1796.32</v>
      </c>
      <c r="I27" s="242"/>
      <c r="J27" s="243">
        <f t="shared" si="2"/>
        <v>4</v>
      </c>
      <c r="K27" s="240">
        <f t="shared" si="3"/>
        <v>449.08</v>
      </c>
      <c r="L27" s="240">
        <f t="shared" si="4"/>
        <v>1796.32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449.08</v>
      </c>
      <c r="T27" s="248">
        <f t="shared" si="7"/>
        <v>1796.32</v>
      </c>
      <c r="U27" s="249">
        <f t="shared" si="8"/>
        <v>0</v>
      </c>
      <c r="V27" s="249">
        <f t="shared" si="9"/>
        <v>1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298"/>
      <c r="C28" s="298"/>
      <c r="D28" s="301"/>
      <c r="E28" s="279"/>
      <c r="F28" s="220"/>
      <c r="G28" s="221">
        <f t="shared" si="0"/>
        <v>0</v>
      </c>
      <c r="H28" s="222">
        <f t="shared" si="1"/>
        <v>0</v>
      </c>
      <c r="I28" s="242"/>
      <c r="J28" s="224">
        <f t="shared" si="2"/>
        <v>0</v>
      </c>
      <c r="K28" s="221">
        <f t="shared" si="3"/>
        <v>0</v>
      </c>
      <c r="L28" s="221">
        <f t="shared" si="4"/>
        <v>0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0</v>
      </c>
      <c r="T28" s="229">
        <f t="shared" si="7"/>
        <v>0</v>
      </c>
      <c r="U28" s="230">
        <f t="shared" si="8"/>
        <v>0</v>
      </c>
      <c r="V28" s="230">
        <f t="shared" si="9"/>
        <v>0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299"/>
      <c r="C29" s="299"/>
      <c r="D29" s="300"/>
      <c r="E29" s="283"/>
      <c r="F29" s="239"/>
      <c r="G29" s="240">
        <f t="shared" si="0"/>
        <v>0</v>
      </c>
      <c r="H29" s="241">
        <f t="shared" si="1"/>
        <v>0</v>
      </c>
      <c r="I29" s="242"/>
      <c r="J29" s="243">
        <f t="shared" si="2"/>
        <v>0</v>
      </c>
      <c r="K29" s="240">
        <f t="shared" si="3"/>
        <v>0</v>
      </c>
      <c r="L29" s="240">
        <f t="shared" si="4"/>
        <v>0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0</v>
      </c>
      <c r="T29" s="248">
        <f t="shared" si="7"/>
        <v>0</v>
      </c>
      <c r="U29" s="249">
        <f t="shared" si="8"/>
        <v>0</v>
      </c>
      <c r="V29" s="249">
        <f t="shared" si="9"/>
        <v>0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276"/>
      <c r="C30" s="277"/>
      <c r="D30" s="285"/>
      <c r="E30" s="279"/>
      <c r="F30" s="220"/>
      <c r="G30" s="221">
        <f t="shared" si="0"/>
        <v>0</v>
      </c>
      <c r="H30" s="222">
        <f t="shared" si="1"/>
        <v>0</v>
      </c>
      <c r="I30" s="242"/>
      <c r="J30" s="224">
        <f t="shared" si="2"/>
        <v>0</v>
      </c>
      <c r="K30" s="221">
        <f t="shared" si="3"/>
        <v>0</v>
      </c>
      <c r="L30" s="221">
        <f t="shared" si="4"/>
        <v>0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0</v>
      </c>
      <c r="T30" s="229">
        <f t="shared" si="7"/>
        <v>0</v>
      </c>
      <c r="U30" s="230">
        <f t="shared" si="8"/>
        <v>0</v>
      </c>
      <c r="V30" s="230">
        <f t="shared" si="9"/>
        <v>0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280"/>
      <c r="C31" s="281"/>
      <c r="D31" s="282"/>
      <c r="E31" s="283"/>
      <c r="F31" s="239"/>
      <c r="G31" s="240">
        <f t="shared" si="0"/>
        <v>0</v>
      </c>
      <c r="H31" s="241">
        <f t="shared" si="1"/>
        <v>0</v>
      </c>
      <c r="I31" s="242"/>
      <c r="J31" s="243">
        <f t="shared" si="2"/>
        <v>0</v>
      </c>
      <c r="K31" s="240">
        <f t="shared" si="3"/>
        <v>0</v>
      </c>
      <c r="L31" s="240">
        <f t="shared" si="4"/>
        <v>0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0</v>
      </c>
      <c r="T31" s="248">
        <f t="shared" si="7"/>
        <v>0</v>
      </c>
      <c r="U31" s="249">
        <f t="shared" si="8"/>
        <v>0</v>
      </c>
      <c r="V31" s="249">
        <f t="shared" si="9"/>
        <v>0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276"/>
      <c r="C32" s="284"/>
      <c r="D32" s="285"/>
      <c r="E32" s="279"/>
      <c r="F32" s="220"/>
      <c r="G32" s="221">
        <f t="shared" si="0"/>
        <v>0</v>
      </c>
      <c r="H32" s="222">
        <f t="shared" si="1"/>
        <v>0</v>
      </c>
      <c r="I32" s="242"/>
      <c r="J32" s="224">
        <f t="shared" si="2"/>
        <v>0</v>
      </c>
      <c r="K32" s="221">
        <f t="shared" si="3"/>
        <v>0</v>
      </c>
      <c r="L32" s="221">
        <f t="shared" si="4"/>
        <v>0</v>
      </c>
      <c r="M32" s="220" t="s">
        <v>84</v>
      </c>
      <c r="N32" s="254">
        <v>0.5</v>
      </c>
      <c r="O32" s="226"/>
      <c r="P32" s="255"/>
      <c r="Q32" s="228"/>
      <c r="R32" s="229">
        <f t="shared" si="5"/>
        <v>0</v>
      </c>
      <c r="S32" s="229">
        <f t="shared" si="6"/>
        <v>0</v>
      </c>
      <c r="T32" s="229">
        <f t="shared" si="7"/>
        <v>0</v>
      </c>
      <c r="U32" s="230">
        <f t="shared" si="8"/>
        <v>0</v>
      </c>
      <c r="V32" s="230">
        <f t="shared" si="9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280"/>
      <c r="C33" s="281"/>
      <c r="D33" s="282"/>
      <c r="E33" s="283"/>
      <c r="F33" s="239"/>
      <c r="G33" s="240">
        <f t="shared" si="0"/>
        <v>0</v>
      </c>
      <c r="H33" s="241">
        <f t="shared" si="1"/>
        <v>0</v>
      </c>
      <c r="I33" s="242"/>
      <c r="J33" s="243">
        <f t="shared" si="2"/>
        <v>0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276"/>
      <c r="C34" s="284"/>
      <c r="D34" s="285"/>
      <c r="E34" s="279"/>
      <c r="F34" s="220"/>
      <c r="G34" s="221">
        <f t="shared" si="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>
        <v>0.5</v>
      </c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280"/>
      <c r="C35" s="281"/>
      <c r="D35" s="282"/>
      <c r="E35" s="283"/>
      <c r="F35" s="239"/>
      <c r="G35" s="240">
        <f t="shared" si="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>
        <v>0.5</v>
      </c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276"/>
      <c r="C36" s="284"/>
      <c r="D36" s="285"/>
      <c r="E36" s="279"/>
      <c r="F36" s="220"/>
      <c r="G36" s="221">
        <f t="shared" si="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280"/>
      <c r="C37" s="281"/>
      <c r="D37" s="282"/>
      <c r="E37" s="283"/>
      <c r="F37" s="239"/>
      <c r="G37" s="240">
        <f t="shared" si="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276"/>
      <c r="C38" s="284"/>
      <c r="D38" s="285"/>
      <c r="E38" s="279"/>
      <c r="F38" s="220"/>
      <c r="G38" s="221">
        <f t="shared" si="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280"/>
      <c r="C39" s="281"/>
      <c r="D39" s="282"/>
      <c r="E39" s="283"/>
      <c r="F39" s="239"/>
      <c r="G39" s="240">
        <f t="shared" si="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276"/>
      <c r="C40" s="284"/>
      <c r="D40" s="285"/>
      <c r="E40" s="279"/>
      <c r="F40" s="220"/>
      <c r="G40" s="221">
        <f t="shared" si="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280"/>
      <c r="C41" s="281"/>
      <c r="D41" s="282"/>
      <c r="E41" s="283"/>
      <c r="F41" s="239"/>
      <c r="G41" s="240">
        <f t="shared" si="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276"/>
      <c r="C42" s="284"/>
      <c r="D42" s="285"/>
      <c r="E42" s="279"/>
      <c r="F42" s="220"/>
      <c r="G42" s="221">
        <f t="shared" si="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280"/>
      <c r="C43" s="281"/>
      <c r="D43" s="282"/>
      <c r="E43" s="283"/>
      <c r="F43" s="239"/>
      <c r="G43" s="240">
        <f t="shared" si="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276"/>
      <c r="C44" s="284"/>
      <c r="D44" s="285"/>
      <c r="E44" s="279"/>
      <c r="F44" s="220"/>
      <c r="G44" s="221">
        <f t="shared" si="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280"/>
      <c r="C45" s="281"/>
      <c r="D45" s="282"/>
      <c r="E45" s="283"/>
      <c r="F45" s="239"/>
      <c r="G45" s="240">
        <f t="shared" si="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276"/>
      <c r="C46" s="284"/>
      <c r="D46" s="285"/>
      <c r="E46" s="279"/>
      <c r="F46" s="220"/>
      <c r="G46" s="221">
        <f t="shared" si="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280"/>
      <c r="C47" s="281"/>
      <c r="D47" s="282"/>
      <c r="E47" s="283"/>
      <c r="F47" s="239"/>
      <c r="G47" s="240">
        <f t="shared" si="0"/>
        <v>0</v>
      </c>
      <c r="H47" s="241">
        <f t="shared" si="1"/>
        <v>0</v>
      </c>
      <c r="I47" s="242"/>
      <c r="J47" s="243">
        <f t="shared" si="2"/>
        <v>0</v>
      </c>
      <c r="K47" s="240">
        <f t="shared" si="3"/>
        <v>0</v>
      </c>
      <c r="L47" s="240">
        <f t="shared" si="4"/>
        <v>0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0</v>
      </c>
      <c r="T47" s="248">
        <f t="shared" si="7"/>
        <v>0</v>
      </c>
      <c r="U47" s="249">
        <f t="shared" si="8"/>
        <v>0</v>
      </c>
      <c r="V47" s="249">
        <f t="shared" si="9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276"/>
      <c r="C48" s="284"/>
      <c r="D48" s="285"/>
      <c r="E48" s="279"/>
      <c r="F48" s="220"/>
      <c r="G48" s="221">
        <f t="shared" si="0"/>
        <v>0</v>
      </c>
      <c r="H48" s="222">
        <f t="shared" si="1"/>
        <v>0</v>
      </c>
      <c r="I48" s="242"/>
      <c r="J48" s="224">
        <f t="shared" si="2"/>
        <v>0</v>
      </c>
      <c r="K48" s="221">
        <f t="shared" si="3"/>
        <v>0</v>
      </c>
      <c r="L48" s="221">
        <f t="shared" si="4"/>
        <v>0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0</v>
      </c>
      <c r="T48" s="229">
        <f t="shared" si="7"/>
        <v>0</v>
      </c>
      <c r="U48" s="230">
        <f t="shared" si="8"/>
        <v>0</v>
      </c>
      <c r="V48" s="230">
        <f t="shared" si="9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280"/>
      <c r="C49" s="281"/>
      <c r="D49" s="282"/>
      <c r="E49" s="283"/>
      <c r="F49" s="239"/>
      <c r="G49" s="240">
        <f t="shared" si="0"/>
        <v>0</v>
      </c>
      <c r="H49" s="241">
        <f t="shared" si="1"/>
        <v>0</v>
      </c>
      <c r="I49" s="242"/>
      <c r="J49" s="243">
        <f t="shared" si="2"/>
        <v>0</v>
      </c>
      <c r="K49" s="240">
        <f t="shared" si="3"/>
        <v>0</v>
      </c>
      <c r="L49" s="240">
        <f t="shared" si="4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0</v>
      </c>
      <c r="T49" s="248">
        <f t="shared" si="7"/>
        <v>0</v>
      </c>
      <c r="U49" s="249">
        <f t="shared" si="8"/>
        <v>0</v>
      </c>
      <c r="V49" s="249">
        <f t="shared" si="9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276"/>
      <c r="C50" s="284"/>
      <c r="D50" s="285"/>
      <c r="E50" s="279"/>
      <c r="F50" s="220"/>
      <c r="G50" s="221">
        <f t="shared" si="0"/>
        <v>0</v>
      </c>
      <c r="H50" s="222">
        <f t="shared" si="1"/>
        <v>0</v>
      </c>
      <c r="I50" s="242"/>
      <c r="J50" s="224">
        <f t="shared" si="2"/>
        <v>0</v>
      </c>
      <c r="K50" s="221">
        <f t="shared" si="3"/>
        <v>0</v>
      </c>
      <c r="L50" s="221">
        <f t="shared" si="4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0</v>
      </c>
      <c r="T50" s="229">
        <f t="shared" si="7"/>
        <v>0</v>
      </c>
      <c r="U50" s="230">
        <f t="shared" si="8"/>
        <v>0</v>
      </c>
      <c r="V50" s="230">
        <f t="shared" si="9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280"/>
      <c r="C51" s="281"/>
      <c r="D51" s="282"/>
      <c r="E51" s="283"/>
      <c r="F51" s="239"/>
      <c r="G51" s="240">
        <f t="shared" si="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17</v>
      </c>
      <c r="F61" s="265">
        <f>SUM(F18:F60)</f>
        <v>785.43</v>
      </c>
      <c r="G61" s="266">
        <f>SUM(G18:G60)</f>
        <v>553.11</v>
      </c>
      <c r="H61" s="267">
        <f>SUM(H18:H60)</f>
        <v>2132.67</v>
      </c>
      <c r="I61" s="268"/>
      <c r="J61" s="269">
        <f>SUM(J18:J60)</f>
        <v>17</v>
      </c>
      <c r="K61" s="266">
        <f>SUM(K18:K60)</f>
        <v>611.04</v>
      </c>
      <c r="L61" s="267">
        <f>SUM(L18:L60)</f>
        <v>1958.28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611.04</v>
      </c>
      <c r="T61" s="267">
        <f>SUM(T18:T60)</f>
        <v>1958.28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91" priority="3" stopIfTrue="1">
      <formula>$U$9&gt;100%</formula>
    </cfRule>
    <cfRule type="expression" dxfId="90" priority="4">
      <formula>$U$9&lt;50%</formula>
    </cfRule>
  </conditionalFormatting>
  <conditionalFormatting sqref="V9:V10">
    <cfRule type="expression" dxfId="89" priority="1">
      <formula>$V$9&lt;50%</formula>
    </cfRule>
    <cfRule type="expression" dxfId="88" priority="2">
      <formula>$V$9&gt;50%</formula>
    </cfRule>
  </conditionalFormatting>
  <dataValidations count="5">
    <dataValidation type="list" allowBlank="1" showInputMessage="1" showErrorMessage="1" sqref="F17 K17 Q17 Q14" xr:uid="{CDB96106-0FE9-4E6C-A3C7-DA27BB53620F}">
      <formula1>$Y$11:$Y$12</formula1>
    </dataValidation>
    <dataValidation type="list" allowBlank="1" showInputMessage="1" showErrorMessage="1" sqref="H13" xr:uid="{7CE09CE2-40EF-4B49-804D-56BF87BA0B99}">
      <formula1>$Y$13:$Y$14</formula1>
    </dataValidation>
    <dataValidation type="list" allowBlank="1" showInputMessage="1" showErrorMessage="1" sqref="I13" xr:uid="{9EDDA16B-DB99-4A17-A9B4-00A6404BEC8F}">
      <formula1>$K$9:$K$9</formula1>
    </dataValidation>
    <dataValidation type="list" showInputMessage="1" showErrorMessage="1" sqref="D52:D60 D18:D26" xr:uid="{11ACC8C9-6E6E-4721-A4D1-90824D80CDC3}">
      <formula1>$Z$18:$Z$29</formula1>
    </dataValidation>
    <dataValidation type="list" allowBlank="1" showInputMessage="1" showErrorMessage="1" sqref="M18:M60" xr:uid="{D75CD5A0-272A-4F5D-B4C6-566C9AEC7C75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AA508-BAB2-4A19-91AE-BDCC0B1F57E9}">
  <sheetPr>
    <pageSetUpPr fitToPage="1"/>
  </sheetPr>
  <dimension ref="A1:AB63"/>
  <sheetViews>
    <sheetView zoomScale="85" zoomScaleNormal="85" workbookViewId="0">
      <selection activeCell="F7" sqref="F7:G7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523" t="s">
        <v>2</v>
      </c>
      <c r="I1" s="524"/>
      <c r="J1" s="524"/>
      <c r="K1" s="525"/>
      <c r="L1" s="528" t="s">
        <v>3</v>
      </c>
      <c r="M1" s="529"/>
      <c r="N1" s="529"/>
      <c r="O1" s="529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77">
        <v>438111</v>
      </c>
      <c r="G2" s="549"/>
      <c r="H2" s="546" t="s">
        <v>7</v>
      </c>
      <c r="I2" s="550"/>
      <c r="J2" s="547"/>
      <c r="K2" s="148"/>
      <c r="L2" s="551" t="s">
        <v>8</v>
      </c>
      <c r="M2" s="552"/>
      <c r="N2" s="553"/>
      <c r="O2" s="149"/>
      <c r="P2" s="554">
        <f>H61</f>
        <v>2132.67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532" t="s">
        <v>13</v>
      </c>
      <c r="I3" s="536"/>
      <c r="J3" s="533"/>
      <c r="K3" s="154"/>
      <c r="L3" s="537" t="s">
        <v>14</v>
      </c>
      <c r="M3" s="538"/>
      <c r="N3" s="539"/>
      <c r="O3" s="149"/>
      <c r="P3" s="540">
        <f>L61</f>
        <v>1958.28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676" t="s">
        <v>289</v>
      </c>
      <c r="G4" s="673"/>
      <c r="H4" s="532" t="s">
        <v>19</v>
      </c>
      <c r="I4" s="536"/>
      <c r="J4" s="533"/>
      <c r="K4" s="154"/>
      <c r="L4" s="537" t="s">
        <v>20</v>
      </c>
      <c r="M4" s="538"/>
      <c r="N4" s="539"/>
      <c r="O4" s="149"/>
      <c r="P4" s="540">
        <f>P2-P3</f>
        <v>174.3900000000001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684" t="s">
        <v>299</v>
      </c>
      <c r="G5" s="685"/>
      <c r="H5" s="532" t="s">
        <v>25</v>
      </c>
      <c r="I5" s="536"/>
      <c r="J5" s="533"/>
      <c r="K5" s="154"/>
      <c r="L5" s="558" t="s">
        <v>26</v>
      </c>
      <c r="M5" s="559"/>
      <c r="N5" s="560"/>
      <c r="O5" s="149"/>
      <c r="P5" s="561">
        <f>IFERROR((P2-P3)/P2,"")</f>
        <v>8.1770738088874556E-2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82" t="s">
        <v>385</v>
      </c>
      <c r="G6" s="683"/>
      <c r="H6" s="532" t="s">
        <v>31</v>
      </c>
      <c r="I6" s="536"/>
      <c r="J6" s="533"/>
      <c r="K6" s="154"/>
      <c r="L6" s="574" t="s">
        <v>32</v>
      </c>
      <c r="M6" s="575"/>
      <c r="N6" s="576"/>
      <c r="O6" s="149"/>
      <c r="P6" s="577">
        <f>T61</f>
        <v>1958.28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671"/>
      <c r="G7" s="535"/>
      <c r="H7" s="532" t="s">
        <v>36</v>
      </c>
      <c r="I7" s="536"/>
      <c r="J7" s="533"/>
      <c r="K7" s="154"/>
      <c r="L7" s="564" t="s">
        <v>37</v>
      </c>
      <c r="M7" s="565"/>
      <c r="N7" s="56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532" t="s">
        <v>40</v>
      </c>
      <c r="I8" s="536"/>
      <c r="J8" s="533"/>
      <c r="K8" s="154"/>
      <c r="L8" s="564" t="s">
        <v>41</v>
      </c>
      <c r="M8" s="565"/>
      <c r="N8" s="56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383</v>
      </c>
      <c r="G9" s="535"/>
      <c r="H9" s="171"/>
      <c r="I9" s="172"/>
      <c r="J9" s="172"/>
      <c r="K9" s="173"/>
      <c r="L9" s="564" t="s">
        <v>47</v>
      </c>
      <c r="M9" s="565"/>
      <c r="N9" s="56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1958.28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542" t="s">
        <v>48</v>
      </c>
      <c r="M10" s="579"/>
      <c r="N10" s="543"/>
      <c r="O10" s="149"/>
      <c r="P10" s="580">
        <f>E61</f>
        <v>17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650" t="s">
        <v>50</v>
      </c>
      <c r="K11" s="651"/>
      <c r="L11" s="651"/>
      <c r="M11" s="651"/>
      <c r="N11" s="652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653"/>
      <c r="K12" s="654"/>
      <c r="L12" s="654"/>
      <c r="M12" s="654"/>
      <c r="N12" s="655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656"/>
      <c r="K13" s="657"/>
      <c r="L13" s="657"/>
      <c r="M13" s="657"/>
      <c r="N13" s="658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601" t="s">
        <v>59</v>
      </c>
      <c r="K14" s="602"/>
      <c r="L14" s="605" t="s">
        <v>60</v>
      </c>
      <c r="M14" s="606"/>
      <c r="N14" s="60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603"/>
      <c r="K15" s="604"/>
      <c r="L15" s="608"/>
      <c r="M15" s="609"/>
      <c r="N15" s="61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631" t="s">
        <v>69</v>
      </c>
      <c r="K16" s="201" t="s">
        <v>72</v>
      </c>
      <c r="L16" s="202" t="s">
        <v>73</v>
      </c>
      <c r="M16" s="633" t="s">
        <v>74</v>
      </c>
      <c r="N16" s="633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8"/>
      <c r="C17" s="678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632"/>
      <c r="K17" s="614" t="s">
        <v>52</v>
      </c>
      <c r="L17" s="615"/>
      <c r="M17" s="634"/>
      <c r="N17" s="634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 s="292">
        <v>7026811</v>
      </c>
      <c r="C18" s="366" t="s">
        <v>290</v>
      </c>
      <c r="D18" s="367"/>
      <c r="E18" s="219">
        <v>1</v>
      </c>
      <c r="F18" s="220">
        <v>29.93</v>
      </c>
      <c r="G18" s="221">
        <f t="shared" ref="G18:G60" si="0">ROUND(IF($F$17="USD $", F18*$E$15,F18*$D$15),2)</f>
        <v>21.08</v>
      </c>
      <c r="H18" s="222">
        <f t="shared" ref="H18:H60" si="1">ROUND(IF($H$17=$G$17,E18*G18,E18*F18),2)</f>
        <v>29.93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11.37</v>
      </c>
      <c r="L18" s="221">
        <f t="shared" ref="L18:L60" si="4">ROUND((J18*K18),2)</f>
        <v>11.37</v>
      </c>
      <c r="M18" s="220" t="s">
        <v>84</v>
      </c>
      <c r="N18" s="225">
        <v>0.62</v>
      </c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11.37</v>
      </c>
      <c r="T18" s="229">
        <f t="shared" ref="T18:T60" si="7">ROUND(L18-R18,2)</f>
        <v>11.37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294">
        <v>7016328</v>
      </c>
      <c r="C19" s="294" t="s">
        <v>291</v>
      </c>
      <c r="D19" s="368"/>
      <c r="E19" s="238">
        <v>1</v>
      </c>
      <c r="F19" s="239">
        <v>23.25</v>
      </c>
      <c r="G19" s="240">
        <f t="shared" si="0"/>
        <v>16.37</v>
      </c>
      <c r="H19" s="241">
        <f t="shared" si="1"/>
        <v>23.25</v>
      </c>
      <c r="I19" s="242"/>
      <c r="J19" s="243">
        <f t="shared" si="2"/>
        <v>1</v>
      </c>
      <c r="K19" s="240">
        <f t="shared" si="3"/>
        <v>8.84</v>
      </c>
      <c r="L19" s="240">
        <f t="shared" si="4"/>
        <v>8.84</v>
      </c>
      <c r="M19" s="244" t="s">
        <v>84</v>
      </c>
      <c r="N19" s="245">
        <v>0.62</v>
      </c>
      <c r="O19" s="226"/>
      <c r="P19" s="246"/>
      <c r="Q19" s="239"/>
      <c r="R19" s="247">
        <f t="shared" si="5"/>
        <v>0</v>
      </c>
      <c r="S19" s="248">
        <f t="shared" si="6"/>
        <v>8.84</v>
      </c>
      <c r="T19" s="248">
        <f t="shared" si="7"/>
        <v>8.84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292">
        <v>7026830</v>
      </c>
      <c r="C20" s="292" t="s">
        <v>292</v>
      </c>
      <c r="D20" s="369"/>
      <c r="E20" s="219">
        <v>1</v>
      </c>
      <c r="F20" s="220">
        <v>97.24</v>
      </c>
      <c r="G20" s="221">
        <f t="shared" si="0"/>
        <v>68.48</v>
      </c>
      <c r="H20" s="222">
        <f t="shared" si="1"/>
        <v>97.24</v>
      </c>
      <c r="I20" s="242"/>
      <c r="J20" s="224">
        <f t="shared" si="2"/>
        <v>1</v>
      </c>
      <c r="K20" s="221">
        <f t="shared" si="3"/>
        <v>36.950000000000003</v>
      </c>
      <c r="L20" s="221">
        <f t="shared" si="4"/>
        <v>36.950000000000003</v>
      </c>
      <c r="M20" s="220" t="s">
        <v>84</v>
      </c>
      <c r="N20" s="254">
        <v>0.62</v>
      </c>
      <c r="O20" s="226"/>
      <c r="P20" s="255"/>
      <c r="Q20" s="228"/>
      <c r="R20" s="229">
        <f t="shared" si="5"/>
        <v>0</v>
      </c>
      <c r="S20" s="229">
        <f t="shared" si="6"/>
        <v>36.950000000000003</v>
      </c>
      <c r="T20" s="229">
        <f t="shared" si="7"/>
        <v>36.950000000000003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294">
        <v>91083218</v>
      </c>
      <c r="C21" s="294" t="s">
        <v>300</v>
      </c>
      <c r="D21" s="368"/>
      <c r="E21" s="238">
        <v>1</v>
      </c>
      <c r="F21" s="239">
        <v>31.47</v>
      </c>
      <c r="G21" s="240">
        <f t="shared" si="0"/>
        <v>22.16</v>
      </c>
      <c r="H21" s="241">
        <f t="shared" si="1"/>
        <v>31.47</v>
      </c>
      <c r="I21" s="242"/>
      <c r="J21" s="243">
        <f t="shared" si="2"/>
        <v>1</v>
      </c>
      <c r="K21" s="240">
        <f t="shared" si="3"/>
        <v>11.96</v>
      </c>
      <c r="L21" s="240">
        <f t="shared" si="4"/>
        <v>11.96</v>
      </c>
      <c r="M21" s="244" t="s">
        <v>84</v>
      </c>
      <c r="N21" s="245">
        <v>0.62</v>
      </c>
      <c r="O21" s="226"/>
      <c r="P21" s="246"/>
      <c r="Q21" s="239"/>
      <c r="R21" s="247">
        <f t="shared" si="5"/>
        <v>0</v>
      </c>
      <c r="S21" s="248">
        <f t="shared" si="6"/>
        <v>11.96</v>
      </c>
      <c r="T21" s="248">
        <f t="shared" si="7"/>
        <v>11.96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292">
        <v>7012664</v>
      </c>
      <c r="C22" s="292" t="s">
        <v>294</v>
      </c>
      <c r="D22" s="369"/>
      <c r="E22" s="219">
        <v>1</v>
      </c>
      <c r="F22" s="220">
        <v>55.71</v>
      </c>
      <c r="G22" s="221">
        <f t="shared" si="0"/>
        <v>39.229999999999997</v>
      </c>
      <c r="H22" s="222">
        <f t="shared" si="1"/>
        <v>55.71</v>
      </c>
      <c r="I22" s="242"/>
      <c r="J22" s="224">
        <f t="shared" si="2"/>
        <v>1</v>
      </c>
      <c r="K22" s="221">
        <f t="shared" si="3"/>
        <v>21.17</v>
      </c>
      <c r="L22" s="221">
        <f t="shared" si="4"/>
        <v>21.17</v>
      </c>
      <c r="M22" s="220" t="s">
        <v>84</v>
      </c>
      <c r="N22" s="254">
        <v>0.62</v>
      </c>
      <c r="O22" s="226"/>
      <c r="P22" s="255"/>
      <c r="Q22" s="228"/>
      <c r="R22" s="229">
        <f t="shared" si="5"/>
        <v>0</v>
      </c>
      <c r="S22" s="229">
        <f t="shared" si="6"/>
        <v>21.17</v>
      </c>
      <c r="T22" s="229">
        <f t="shared" si="7"/>
        <v>21.17</v>
      </c>
      <c r="U22" s="230">
        <f t="shared" si="8"/>
        <v>0</v>
      </c>
      <c r="V22" s="230">
        <f t="shared" si="9"/>
        <v>1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294"/>
      <c r="C23" s="294"/>
      <c r="D23" s="368"/>
      <c r="E23" s="238"/>
      <c r="F23" s="239"/>
      <c r="G23" s="240">
        <f t="shared" si="0"/>
        <v>0</v>
      </c>
      <c r="H23" s="241">
        <f t="shared" si="1"/>
        <v>0</v>
      </c>
      <c r="I23" s="242"/>
      <c r="J23" s="243">
        <f t="shared" si="2"/>
        <v>0</v>
      </c>
      <c r="K23" s="240">
        <f t="shared" si="3"/>
        <v>0</v>
      </c>
      <c r="L23" s="240">
        <f t="shared" si="4"/>
        <v>0</v>
      </c>
      <c r="M23" s="244" t="s">
        <v>84</v>
      </c>
      <c r="N23" s="245">
        <v>0.62</v>
      </c>
      <c r="O23" s="226"/>
      <c r="P23" s="246"/>
      <c r="Q23" s="239"/>
      <c r="R23" s="247">
        <f t="shared" si="5"/>
        <v>0</v>
      </c>
      <c r="S23" s="248">
        <f t="shared" si="6"/>
        <v>0</v>
      </c>
      <c r="T23" s="248">
        <f t="shared" si="7"/>
        <v>0</v>
      </c>
      <c r="U23" s="249">
        <f t="shared" si="8"/>
        <v>0</v>
      </c>
      <c r="V23" s="249">
        <f t="shared" si="9"/>
        <v>0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292">
        <v>2120210</v>
      </c>
      <c r="C24" s="292" t="s">
        <v>301</v>
      </c>
      <c r="D24" s="369"/>
      <c r="E24" s="219">
        <v>1</v>
      </c>
      <c r="F24" s="220">
        <v>43.67</v>
      </c>
      <c r="G24" s="221">
        <f t="shared" si="0"/>
        <v>30.75</v>
      </c>
      <c r="H24" s="222">
        <f t="shared" si="1"/>
        <v>43.67</v>
      </c>
      <c r="I24" s="242"/>
      <c r="J24" s="224">
        <f t="shared" si="2"/>
        <v>1</v>
      </c>
      <c r="K24" s="221">
        <f t="shared" si="3"/>
        <v>16.59</v>
      </c>
      <c r="L24" s="221">
        <f t="shared" si="4"/>
        <v>16.59</v>
      </c>
      <c r="M24" s="220" t="s">
        <v>84</v>
      </c>
      <c r="N24" s="254">
        <v>0.62</v>
      </c>
      <c r="O24" s="226"/>
      <c r="P24" s="255"/>
      <c r="Q24" s="228"/>
      <c r="R24" s="229">
        <f t="shared" si="5"/>
        <v>0</v>
      </c>
      <c r="S24" s="229">
        <f t="shared" si="6"/>
        <v>16.59</v>
      </c>
      <c r="T24" s="229">
        <f t="shared" si="7"/>
        <v>16.59</v>
      </c>
      <c r="U24" s="230">
        <f t="shared" si="8"/>
        <v>0</v>
      </c>
      <c r="V24" s="230">
        <f t="shared" si="9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 s="294">
        <v>2120149</v>
      </c>
      <c r="C25" s="294" t="s">
        <v>295</v>
      </c>
      <c r="D25" s="368"/>
      <c r="E25" s="238">
        <v>1</v>
      </c>
      <c r="F25" s="239">
        <v>55.08</v>
      </c>
      <c r="G25" s="240">
        <f t="shared" si="0"/>
        <v>38.79</v>
      </c>
      <c r="H25" s="241">
        <f t="shared" si="1"/>
        <v>55.08</v>
      </c>
      <c r="I25" s="242"/>
      <c r="J25" s="243">
        <f t="shared" si="2"/>
        <v>1</v>
      </c>
      <c r="K25" s="240">
        <f t="shared" si="3"/>
        <v>55.08</v>
      </c>
      <c r="L25" s="240">
        <f t="shared" si="4"/>
        <v>55.08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55.08</v>
      </c>
      <c r="T25" s="248">
        <f t="shared" si="7"/>
        <v>55.08</v>
      </c>
      <c r="U25" s="249">
        <f t="shared" si="8"/>
        <v>0</v>
      </c>
      <c r="V25" s="249">
        <f t="shared" si="9"/>
        <v>1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 s="292"/>
      <c r="C26" s="292"/>
      <c r="D26" s="369"/>
      <c r="E26" s="219">
        <v>6</v>
      </c>
      <c r="F26" s="220"/>
      <c r="G26" s="221">
        <f t="shared" si="0"/>
        <v>0</v>
      </c>
      <c r="H26" s="222">
        <f t="shared" si="1"/>
        <v>0</v>
      </c>
      <c r="I26" s="242"/>
      <c r="J26" s="224">
        <f t="shared" si="2"/>
        <v>6</v>
      </c>
      <c r="K26" s="221">
        <f t="shared" si="3"/>
        <v>0</v>
      </c>
      <c r="L26" s="221">
        <f t="shared" si="4"/>
        <v>0</v>
      </c>
      <c r="M26" s="220" t="s">
        <v>84</v>
      </c>
      <c r="N26" s="254">
        <v>0.5</v>
      </c>
      <c r="O26" s="226"/>
      <c r="P26" s="255"/>
      <c r="Q26" s="228"/>
      <c r="R26" s="229">
        <f t="shared" si="5"/>
        <v>0</v>
      </c>
      <c r="S26" s="229">
        <f t="shared" si="6"/>
        <v>0</v>
      </c>
      <c r="T26" s="229">
        <f t="shared" si="7"/>
        <v>0</v>
      </c>
      <c r="U26" s="230">
        <f t="shared" si="8"/>
        <v>0</v>
      </c>
      <c r="V26" s="230">
        <f t="shared" si="9"/>
        <v>0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294">
        <v>70003478</v>
      </c>
      <c r="C27" s="294" t="s">
        <v>298</v>
      </c>
      <c r="D27" s="370"/>
      <c r="E27" s="364">
        <v>4</v>
      </c>
      <c r="F27" s="239">
        <v>449.08</v>
      </c>
      <c r="G27" s="240">
        <f t="shared" si="0"/>
        <v>316.25</v>
      </c>
      <c r="H27" s="241">
        <f t="shared" si="1"/>
        <v>1796.32</v>
      </c>
      <c r="I27" s="242"/>
      <c r="J27" s="243">
        <f t="shared" si="2"/>
        <v>4</v>
      </c>
      <c r="K27" s="240">
        <f t="shared" si="3"/>
        <v>449.08</v>
      </c>
      <c r="L27" s="240">
        <f t="shared" si="4"/>
        <v>1796.32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449.08</v>
      </c>
      <c r="T27" s="248">
        <f t="shared" si="7"/>
        <v>1796.32</v>
      </c>
      <c r="U27" s="249">
        <f t="shared" si="8"/>
        <v>0</v>
      </c>
      <c r="V27" s="249">
        <f t="shared" si="9"/>
        <v>1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372"/>
      <c r="C28" s="372"/>
      <c r="D28" s="373"/>
      <c r="E28" s="361"/>
      <c r="F28" s="220"/>
      <c r="G28" s="221">
        <f t="shared" si="0"/>
        <v>0</v>
      </c>
      <c r="H28" s="222">
        <f t="shared" si="1"/>
        <v>0</v>
      </c>
      <c r="I28" s="242"/>
      <c r="J28" s="224">
        <f t="shared" si="2"/>
        <v>0</v>
      </c>
      <c r="K28" s="221">
        <f t="shared" si="3"/>
        <v>0</v>
      </c>
      <c r="L28" s="221">
        <f t="shared" si="4"/>
        <v>0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0</v>
      </c>
      <c r="T28" s="229">
        <f t="shared" si="7"/>
        <v>0</v>
      </c>
      <c r="U28" s="230">
        <f t="shared" si="8"/>
        <v>0</v>
      </c>
      <c r="V28" s="230">
        <f t="shared" si="9"/>
        <v>0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374"/>
      <c r="C29" s="374"/>
      <c r="D29" s="370"/>
      <c r="E29" s="364"/>
      <c r="F29" s="239"/>
      <c r="G29" s="240">
        <f t="shared" si="0"/>
        <v>0</v>
      </c>
      <c r="H29" s="241">
        <f t="shared" si="1"/>
        <v>0</v>
      </c>
      <c r="I29" s="242"/>
      <c r="J29" s="243">
        <f t="shared" si="2"/>
        <v>0</v>
      </c>
      <c r="K29" s="240">
        <f t="shared" si="3"/>
        <v>0</v>
      </c>
      <c r="L29" s="240">
        <f t="shared" si="4"/>
        <v>0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0</v>
      </c>
      <c r="T29" s="248">
        <f t="shared" si="7"/>
        <v>0</v>
      </c>
      <c r="U29" s="249">
        <f t="shared" si="8"/>
        <v>0</v>
      </c>
      <c r="V29" s="249">
        <f t="shared" si="9"/>
        <v>0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358"/>
      <c r="C30" s="359"/>
      <c r="D30" s="287"/>
      <c r="E30" s="361"/>
      <c r="F30" s="220"/>
      <c r="G30" s="221">
        <f t="shared" si="0"/>
        <v>0</v>
      </c>
      <c r="H30" s="222">
        <f t="shared" si="1"/>
        <v>0</v>
      </c>
      <c r="I30" s="242"/>
      <c r="J30" s="224">
        <f t="shared" si="2"/>
        <v>0</v>
      </c>
      <c r="K30" s="221">
        <f t="shared" si="3"/>
        <v>0</v>
      </c>
      <c r="L30" s="221">
        <f t="shared" si="4"/>
        <v>0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0</v>
      </c>
      <c r="T30" s="229">
        <f t="shared" si="7"/>
        <v>0</v>
      </c>
      <c r="U30" s="230">
        <f t="shared" si="8"/>
        <v>0</v>
      </c>
      <c r="V30" s="230">
        <f t="shared" si="9"/>
        <v>0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362"/>
      <c r="C31" s="363"/>
      <c r="D31" s="286"/>
      <c r="E31" s="364"/>
      <c r="F31" s="239"/>
      <c r="G31" s="240">
        <f t="shared" si="0"/>
        <v>0</v>
      </c>
      <c r="H31" s="241">
        <f t="shared" si="1"/>
        <v>0</v>
      </c>
      <c r="I31" s="242"/>
      <c r="J31" s="243">
        <f t="shared" si="2"/>
        <v>0</v>
      </c>
      <c r="K31" s="240">
        <f t="shared" si="3"/>
        <v>0</v>
      </c>
      <c r="L31" s="240">
        <f t="shared" si="4"/>
        <v>0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0</v>
      </c>
      <c r="T31" s="248">
        <f t="shared" si="7"/>
        <v>0</v>
      </c>
      <c r="U31" s="249">
        <f t="shared" si="8"/>
        <v>0</v>
      </c>
      <c r="V31" s="249">
        <f t="shared" si="9"/>
        <v>0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358"/>
      <c r="C32" s="365"/>
      <c r="D32" s="287"/>
      <c r="E32" s="361"/>
      <c r="F32" s="220"/>
      <c r="G32" s="221">
        <f t="shared" si="0"/>
        <v>0</v>
      </c>
      <c r="H32" s="222">
        <f t="shared" si="1"/>
        <v>0</v>
      </c>
      <c r="I32" s="242"/>
      <c r="J32" s="224">
        <f t="shared" si="2"/>
        <v>0</v>
      </c>
      <c r="K32" s="221">
        <f t="shared" si="3"/>
        <v>0</v>
      </c>
      <c r="L32" s="221">
        <f t="shared" si="4"/>
        <v>0</v>
      </c>
      <c r="M32" s="220" t="s">
        <v>84</v>
      </c>
      <c r="N32" s="254">
        <v>0.5</v>
      </c>
      <c r="O32" s="226"/>
      <c r="P32" s="255"/>
      <c r="Q32" s="228"/>
      <c r="R32" s="229">
        <f t="shared" si="5"/>
        <v>0</v>
      </c>
      <c r="S32" s="229">
        <f t="shared" si="6"/>
        <v>0</v>
      </c>
      <c r="T32" s="229">
        <f t="shared" si="7"/>
        <v>0</v>
      </c>
      <c r="U32" s="230">
        <f t="shared" si="8"/>
        <v>0</v>
      </c>
      <c r="V32" s="230">
        <f t="shared" si="9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362"/>
      <c r="C33" s="363"/>
      <c r="D33" s="286"/>
      <c r="E33" s="364"/>
      <c r="F33" s="239"/>
      <c r="G33" s="240">
        <f t="shared" si="0"/>
        <v>0</v>
      </c>
      <c r="H33" s="241">
        <f t="shared" si="1"/>
        <v>0</v>
      </c>
      <c r="I33" s="242"/>
      <c r="J33" s="243">
        <f t="shared" si="2"/>
        <v>0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358"/>
      <c r="C34" s="365"/>
      <c r="D34" s="287"/>
      <c r="E34" s="361"/>
      <c r="F34" s="220"/>
      <c r="G34" s="221">
        <f t="shared" si="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>
        <v>0.5</v>
      </c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362"/>
      <c r="C35" s="363"/>
      <c r="D35" s="286"/>
      <c r="E35" s="364"/>
      <c r="F35" s="239"/>
      <c r="G35" s="240">
        <f t="shared" si="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>
        <v>0.5</v>
      </c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358"/>
      <c r="C36" s="365"/>
      <c r="D36" s="287"/>
      <c r="E36" s="361"/>
      <c r="F36" s="220"/>
      <c r="G36" s="221">
        <f t="shared" si="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362"/>
      <c r="C37" s="363"/>
      <c r="D37" s="286"/>
      <c r="E37" s="364"/>
      <c r="F37" s="239"/>
      <c r="G37" s="240">
        <f t="shared" si="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358"/>
      <c r="C38" s="365"/>
      <c r="D38" s="287"/>
      <c r="E38" s="361"/>
      <c r="F38" s="220"/>
      <c r="G38" s="221">
        <f t="shared" si="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362"/>
      <c r="C39" s="363"/>
      <c r="D39" s="286"/>
      <c r="E39" s="364"/>
      <c r="F39" s="239"/>
      <c r="G39" s="240">
        <f t="shared" si="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358"/>
      <c r="C40" s="365"/>
      <c r="D40" s="287"/>
      <c r="E40" s="361"/>
      <c r="F40" s="220"/>
      <c r="G40" s="221">
        <f t="shared" si="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362"/>
      <c r="C41" s="363"/>
      <c r="D41" s="286"/>
      <c r="E41" s="364"/>
      <c r="F41" s="239"/>
      <c r="G41" s="240">
        <f t="shared" si="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358"/>
      <c r="C42" s="365"/>
      <c r="D42" s="287"/>
      <c r="E42" s="361"/>
      <c r="F42" s="220"/>
      <c r="G42" s="221">
        <f t="shared" si="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362"/>
      <c r="C43" s="363"/>
      <c r="D43" s="286"/>
      <c r="E43" s="364"/>
      <c r="F43" s="239"/>
      <c r="G43" s="240">
        <f t="shared" si="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358"/>
      <c r="C44" s="365"/>
      <c r="D44" s="287"/>
      <c r="E44" s="361"/>
      <c r="F44" s="220"/>
      <c r="G44" s="221">
        <f t="shared" si="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362"/>
      <c r="C45" s="363"/>
      <c r="D45" s="286"/>
      <c r="E45" s="364"/>
      <c r="F45" s="239"/>
      <c r="G45" s="240">
        <f t="shared" si="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358"/>
      <c r="C46" s="365"/>
      <c r="D46" s="287"/>
      <c r="E46" s="361"/>
      <c r="F46" s="220"/>
      <c r="G46" s="221">
        <f t="shared" si="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362"/>
      <c r="C47" s="363"/>
      <c r="D47" s="286"/>
      <c r="E47" s="364"/>
      <c r="F47" s="239"/>
      <c r="G47" s="240">
        <f t="shared" si="0"/>
        <v>0</v>
      </c>
      <c r="H47" s="241">
        <f t="shared" si="1"/>
        <v>0</v>
      </c>
      <c r="I47" s="242"/>
      <c r="J47" s="243">
        <f t="shared" si="2"/>
        <v>0</v>
      </c>
      <c r="K47" s="240">
        <f t="shared" si="3"/>
        <v>0</v>
      </c>
      <c r="L47" s="240">
        <f t="shared" si="4"/>
        <v>0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0</v>
      </c>
      <c r="T47" s="248">
        <f t="shared" si="7"/>
        <v>0</v>
      </c>
      <c r="U47" s="249">
        <f t="shared" si="8"/>
        <v>0</v>
      </c>
      <c r="V47" s="249">
        <f t="shared" si="9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358"/>
      <c r="C48" s="365"/>
      <c r="D48" s="287"/>
      <c r="E48" s="361"/>
      <c r="F48" s="220"/>
      <c r="G48" s="221">
        <f t="shared" si="0"/>
        <v>0</v>
      </c>
      <c r="H48" s="222">
        <f t="shared" si="1"/>
        <v>0</v>
      </c>
      <c r="I48" s="242"/>
      <c r="J48" s="224">
        <f t="shared" si="2"/>
        <v>0</v>
      </c>
      <c r="K48" s="221">
        <f t="shared" si="3"/>
        <v>0</v>
      </c>
      <c r="L48" s="221">
        <f t="shared" si="4"/>
        <v>0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0</v>
      </c>
      <c r="T48" s="229">
        <f t="shared" si="7"/>
        <v>0</v>
      </c>
      <c r="U48" s="230">
        <f t="shared" si="8"/>
        <v>0</v>
      </c>
      <c r="V48" s="230">
        <f t="shared" si="9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362"/>
      <c r="C49" s="363"/>
      <c r="D49" s="286"/>
      <c r="E49" s="364"/>
      <c r="F49" s="239"/>
      <c r="G49" s="240">
        <f t="shared" si="0"/>
        <v>0</v>
      </c>
      <c r="H49" s="241">
        <f t="shared" si="1"/>
        <v>0</v>
      </c>
      <c r="I49" s="242"/>
      <c r="J49" s="243">
        <f t="shared" si="2"/>
        <v>0</v>
      </c>
      <c r="K49" s="240">
        <f t="shared" si="3"/>
        <v>0</v>
      </c>
      <c r="L49" s="240">
        <f t="shared" si="4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0</v>
      </c>
      <c r="T49" s="248">
        <f t="shared" si="7"/>
        <v>0</v>
      </c>
      <c r="U49" s="249">
        <f t="shared" si="8"/>
        <v>0</v>
      </c>
      <c r="V49" s="249">
        <f t="shared" si="9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358"/>
      <c r="C50" s="365"/>
      <c r="D50" s="287"/>
      <c r="E50" s="361"/>
      <c r="F50" s="220"/>
      <c r="G50" s="221">
        <f t="shared" si="0"/>
        <v>0</v>
      </c>
      <c r="H50" s="222">
        <f t="shared" si="1"/>
        <v>0</v>
      </c>
      <c r="I50" s="242"/>
      <c r="J50" s="224">
        <f t="shared" si="2"/>
        <v>0</v>
      </c>
      <c r="K50" s="221">
        <f t="shared" si="3"/>
        <v>0</v>
      </c>
      <c r="L50" s="221">
        <f t="shared" si="4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0</v>
      </c>
      <c r="T50" s="229">
        <f t="shared" si="7"/>
        <v>0</v>
      </c>
      <c r="U50" s="230">
        <f t="shared" si="8"/>
        <v>0</v>
      </c>
      <c r="V50" s="230">
        <f t="shared" si="9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362"/>
      <c r="C51" s="363"/>
      <c r="D51" s="286"/>
      <c r="E51" s="364"/>
      <c r="F51" s="239"/>
      <c r="G51" s="240">
        <f t="shared" si="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17</v>
      </c>
      <c r="F61" s="265">
        <f>SUM(F18:F60)</f>
        <v>785.43</v>
      </c>
      <c r="G61" s="266">
        <f>SUM(G18:G60)</f>
        <v>553.11</v>
      </c>
      <c r="H61" s="267">
        <f>SUM(H18:H60)</f>
        <v>2132.67</v>
      </c>
      <c r="I61" s="268"/>
      <c r="J61" s="269">
        <f>SUM(J18:J60)</f>
        <v>17</v>
      </c>
      <c r="K61" s="266">
        <f>SUM(K18:K60)</f>
        <v>611.04</v>
      </c>
      <c r="L61" s="267">
        <f>SUM(L18:L60)</f>
        <v>1958.28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611.04</v>
      </c>
      <c r="T61" s="267">
        <f>SUM(T18:T60)</f>
        <v>1958.28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87" priority="3" stopIfTrue="1">
      <formula>$U$9&gt;100%</formula>
    </cfRule>
    <cfRule type="expression" dxfId="86" priority="4">
      <formula>$U$9&lt;50%</formula>
    </cfRule>
  </conditionalFormatting>
  <conditionalFormatting sqref="V9:V10">
    <cfRule type="expression" dxfId="85" priority="1">
      <formula>$V$9&lt;50%</formula>
    </cfRule>
    <cfRule type="expression" dxfId="84" priority="2">
      <formula>$V$9&gt;50%</formula>
    </cfRule>
  </conditionalFormatting>
  <dataValidations count="5">
    <dataValidation type="list" allowBlank="1" showInputMessage="1" showErrorMessage="1" sqref="M18:M60" xr:uid="{03C313F0-0B89-4A72-9242-8EE9C9A431E6}">
      <formula1>$Y$31:$Y$32</formula1>
    </dataValidation>
    <dataValidation type="list" showInputMessage="1" showErrorMessage="1" sqref="D52:D60 D18:D26" xr:uid="{43B9C900-ADCA-40D7-9061-F6D87F915F99}">
      <formula1>$Z$18:$Z$29</formula1>
    </dataValidation>
    <dataValidation type="list" allowBlank="1" showInputMessage="1" showErrorMessage="1" sqref="I13" xr:uid="{06EF3694-CE6C-46D1-BA5D-3EAF776A308C}">
      <formula1>$K$9:$K$9</formula1>
    </dataValidation>
    <dataValidation type="list" allowBlank="1" showInputMessage="1" showErrorMessage="1" sqref="H13" xr:uid="{BA3B3FA7-C4C3-44EB-A54A-292F69AC9ADA}">
      <formula1>$Y$13:$Y$14</formula1>
    </dataValidation>
    <dataValidation type="list" allowBlank="1" showInputMessage="1" showErrorMessage="1" sqref="F17 K17 Q17 Q14" xr:uid="{4282A4BC-503A-4AC1-95D2-B578C2D56AD2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1F3A5-675E-4EF4-A457-789BC2255686}">
  <sheetPr>
    <pageSetUpPr fitToPage="1"/>
  </sheetPr>
  <dimension ref="A1:AB63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523" t="s">
        <v>2</v>
      </c>
      <c r="I1" s="524"/>
      <c r="J1" s="524"/>
      <c r="K1" s="525"/>
      <c r="L1" s="528" t="s">
        <v>3</v>
      </c>
      <c r="M1" s="529"/>
      <c r="N1" s="529"/>
      <c r="O1" s="529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59">
        <v>438518</v>
      </c>
      <c r="G2" s="549"/>
      <c r="H2" s="546" t="s">
        <v>7</v>
      </c>
      <c r="I2" s="550"/>
      <c r="J2" s="547"/>
      <c r="K2" s="148"/>
      <c r="L2" s="551" t="s">
        <v>8</v>
      </c>
      <c r="M2" s="552"/>
      <c r="N2" s="553"/>
      <c r="O2" s="149"/>
      <c r="P2" s="554">
        <f>H61</f>
        <v>2132.67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532" t="s">
        <v>13</v>
      </c>
      <c r="I3" s="536"/>
      <c r="J3" s="533"/>
      <c r="K3" s="154"/>
      <c r="L3" s="537" t="s">
        <v>14</v>
      </c>
      <c r="M3" s="538"/>
      <c r="N3" s="539"/>
      <c r="O3" s="149"/>
      <c r="P3" s="540">
        <f>L61</f>
        <v>1060.1199999999999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665" t="s">
        <v>289</v>
      </c>
      <c r="G4" s="666"/>
      <c r="H4" s="532" t="s">
        <v>19</v>
      </c>
      <c r="I4" s="536"/>
      <c r="J4" s="533"/>
      <c r="K4" s="154"/>
      <c r="L4" s="537" t="s">
        <v>20</v>
      </c>
      <c r="M4" s="538"/>
      <c r="N4" s="539"/>
      <c r="O4" s="149"/>
      <c r="P4" s="540">
        <f>P2-P3</f>
        <v>1072.5500000000002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679" t="s">
        <v>302</v>
      </c>
      <c r="G5" s="680"/>
      <c r="H5" s="532" t="s">
        <v>25</v>
      </c>
      <c r="I5" s="536"/>
      <c r="J5" s="533"/>
      <c r="K5" s="154"/>
      <c r="L5" s="558" t="s">
        <v>26</v>
      </c>
      <c r="M5" s="559"/>
      <c r="N5" s="560"/>
      <c r="O5" s="149"/>
      <c r="P5" s="561">
        <f>IFERROR((P2-P3)/P2,"")</f>
        <v>0.5029141873801386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69" t="s">
        <v>381</v>
      </c>
      <c r="G6" s="666"/>
      <c r="H6" s="532" t="s">
        <v>31</v>
      </c>
      <c r="I6" s="536"/>
      <c r="J6" s="533"/>
      <c r="K6" s="154"/>
      <c r="L6" s="574" t="s">
        <v>32</v>
      </c>
      <c r="M6" s="575"/>
      <c r="N6" s="576"/>
      <c r="O6" s="149"/>
      <c r="P6" s="577">
        <f>T61</f>
        <v>1060.1199999999999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563"/>
      <c r="G7" s="535"/>
      <c r="H7" s="532" t="s">
        <v>36</v>
      </c>
      <c r="I7" s="536"/>
      <c r="J7" s="533"/>
      <c r="K7" s="154"/>
      <c r="L7" s="564" t="s">
        <v>37</v>
      </c>
      <c r="M7" s="565"/>
      <c r="N7" s="56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532" t="s">
        <v>40</v>
      </c>
      <c r="I8" s="536"/>
      <c r="J8" s="533"/>
      <c r="K8" s="154"/>
      <c r="L8" s="564" t="s">
        <v>41</v>
      </c>
      <c r="M8" s="565"/>
      <c r="N8" s="56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382</v>
      </c>
      <c r="G9" s="535"/>
      <c r="H9" s="171"/>
      <c r="I9" s="172"/>
      <c r="J9" s="172"/>
      <c r="K9" s="173"/>
      <c r="L9" s="564" t="s">
        <v>47</v>
      </c>
      <c r="M9" s="565"/>
      <c r="N9" s="56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1060.1199999999999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542" t="s">
        <v>48</v>
      </c>
      <c r="M10" s="579"/>
      <c r="N10" s="543"/>
      <c r="O10" s="149"/>
      <c r="P10" s="580">
        <f>E61</f>
        <v>11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650" t="s">
        <v>50</v>
      </c>
      <c r="K11" s="651"/>
      <c r="L11" s="651"/>
      <c r="M11" s="651"/>
      <c r="N11" s="652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653"/>
      <c r="K12" s="654"/>
      <c r="L12" s="654"/>
      <c r="M12" s="654"/>
      <c r="N12" s="655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656"/>
      <c r="K13" s="657"/>
      <c r="L13" s="657"/>
      <c r="M13" s="657"/>
      <c r="N13" s="658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601" t="s">
        <v>59</v>
      </c>
      <c r="K14" s="602"/>
      <c r="L14" s="605" t="s">
        <v>60</v>
      </c>
      <c r="M14" s="606"/>
      <c r="N14" s="60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603"/>
      <c r="K15" s="604"/>
      <c r="L15" s="608"/>
      <c r="M15" s="609"/>
      <c r="N15" s="61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631" t="s">
        <v>69</v>
      </c>
      <c r="K16" s="201" t="s">
        <v>72</v>
      </c>
      <c r="L16" s="202" t="s">
        <v>73</v>
      </c>
      <c r="M16" s="633" t="s">
        <v>74</v>
      </c>
      <c r="N16" s="633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8"/>
      <c r="C17" s="678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632"/>
      <c r="K17" s="614" t="s">
        <v>52</v>
      </c>
      <c r="L17" s="615"/>
      <c r="M17" s="634"/>
      <c r="N17" s="634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 s="292">
        <v>7026811</v>
      </c>
      <c r="C18" s="293" t="s">
        <v>290</v>
      </c>
      <c r="D18" s="295"/>
      <c r="E18" s="80">
        <v>1</v>
      </c>
      <c r="F18" s="81">
        <v>29.93</v>
      </c>
      <c r="G18" s="221">
        <f t="shared" ref="G18:G60" si="0">ROUND(IF($F$17="USD $", F18*$E$15,F18*$D$15),2)</f>
        <v>21.08</v>
      </c>
      <c r="H18" s="222">
        <f t="shared" ref="H18:H60" si="1">ROUND(IF($H$17=$G$17,E18*G18,E18*F18),2)</f>
        <v>29.93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11.37</v>
      </c>
      <c r="L18" s="221">
        <f t="shared" ref="L18:L60" si="4">ROUND((J18*K18),2)</f>
        <v>11.37</v>
      </c>
      <c r="M18" s="220" t="s">
        <v>84</v>
      </c>
      <c r="N18" s="225">
        <v>0.62</v>
      </c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11.37</v>
      </c>
      <c r="T18" s="229">
        <f t="shared" ref="T18:T60" si="7">ROUND(L18-R18,2)</f>
        <v>11.37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294">
        <v>7016328</v>
      </c>
      <c r="C19" s="294" t="s">
        <v>291</v>
      </c>
      <c r="D19" s="296"/>
      <c r="E19" s="97">
        <v>1</v>
      </c>
      <c r="F19" s="98">
        <v>23.25</v>
      </c>
      <c r="G19" s="240">
        <f t="shared" si="0"/>
        <v>16.37</v>
      </c>
      <c r="H19" s="241">
        <f t="shared" si="1"/>
        <v>23.25</v>
      </c>
      <c r="I19" s="242"/>
      <c r="J19" s="243">
        <f t="shared" si="2"/>
        <v>1</v>
      </c>
      <c r="K19" s="240">
        <f t="shared" si="3"/>
        <v>8.84</v>
      </c>
      <c r="L19" s="240">
        <f t="shared" si="4"/>
        <v>8.84</v>
      </c>
      <c r="M19" s="244" t="s">
        <v>84</v>
      </c>
      <c r="N19" s="245">
        <v>0.62</v>
      </c>
      <c r="O19" s="226"/>
      <c r="P19" s="246"/>
      <c r="Q19" s="239"/>
      <c r="R19" s="247">
        <f t="shared" si="5"/>
        <v>0</v>
      </c>
      <c r="S19" s="248">
        <f t="shared" si="6"/>
        <v>8.84</v>
      </c>
      <c r="T19" s="248">
        <f t="shared" si="7"/>
        <v>8.84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292">
        <v>7026830</v>
      </c>
      <c r="C20" s="292" t="s">
        <v>292</v>
      </c>
      <c r="D20" s="297"/>
      <c r="E20" s="80">
        <v>1</v>
      </c>
      <c r="F20" s="81">
        <v>97.24</v>
      </c>
      <c r="G20" s="221">
        <f t="shared" si="0"/>
        <v>68.48</v>
      </c>
      <c r="H20" s="222">
        <f t="shared" si="1"/>
        <v>97.24</v>
      </c>
      <c r="I20" s="242"/>
      <c r="J20" s="224">
        <f t="shared" si="2"/>
        <v>1</v>
      </c>
      <c r="K20" s="221">
        <f t="shared" si="3"/>
        <v>36.950000000000003</v>
      </c>
      <c r="L20" s="221">
        <f t="shared" si="4"/>
        <v>36.950000000000003</v>
      </c>
      <c r="M20" s="220" t="s">
        <v>84</v>
      </c>
      <c r="N20" s="254">
        <v>0.62</v>
      </c>
      <c r="O20" s="226"/>
      <c r="P20" s="255"/>
      <c r="Q20" s="228"/>
      <c r="R20" s="229">
        <f t="shared" si="5"/>
        <v>0</v>
      </c>
      <c r="S20" s="229">
        <f t="shared" si="6"/>
        <v>36.950000000000003</v>
      </c>
      <c r="T20" s="229">
        <f t="shared" si="7"/>
        <v>36.950000000000003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294">
        <v>91083218</v>
      </c>
      <c r="C21" s="294" t="s">
        <v>300</v>
      </c>
      <c r="D21" s="296"/>
      <c r="E21" s="97">
        <v>1</v>
      </c>
      <c r="F21" s="98">
        <v>31.47</v>
      </c>
      <c r="G21" s="240">
        <f t="shared" si="0"/>
        <v>22.16</v>
      </c>
      <c r="H21" s="241">
        <f t="shared" si="1"/>
        <v>31.47</v>
      </c>
      <c r="I21" s="242"/>
      <c r="J21" s="243">
        <f t="shared" si="2"/>
        <v>1</v>
      </c>
      <c r="K21" s="240">
        <f t="shared" si="3"/>
        <v>11.96</v>
      </c>
      <c r="L21" s="240">
        <f t="shared" si="4"/>
        <v>11.96</v>
      </c>
      <c r="M21" s="244" t="s">
        <v>84</v>
      </c>
      <c r="N21" s="245">
        <v>0.62</v>
      </c>
      <c r="O21" s="226"/>
      <c r="P21" s="246"/>
      <c r="Q21" s="239"/>
      <c r="R21" s="247">
        <f t="shared" si="5"/>
        <v>0</v>
      </c>
      <c r="S21" s="248">
        <f t="shared" si="6"/>
        <v>11.96</v>
      </c>
      <c r="T21" s="248">
        <f t="shared" si="7"/>
        <v>11.96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292">
        <v>7012664</v>
      </c>
      <c r="C22" s="292" t="s">
        <v>294</v>
      </c>
      <c r="D22" s="297"/>
      <c r="E22" s="80">
        <v>1</v>
      </c>
      <c r="F22" s="81">
        <v>55.71</v>
      </c>
      <c r="G22" s="221">
        <f t="shared" si="0"/>
        <v>39.229999999999997</v>
      </c>
      <c r="H22" s="222">
        <f t="shared" si="1"/>
        <v>55.71</v>
      </c>
      <c r="I22" s="242"/>
      <c r="J22" s="224">
        <f t="shared" si="2"/>
        <v>1</v>
      </c>
      <c r="K22" s="221">
        <f t="shared" si="3"/>
        <v>21.17</v>
      </c>
      <c r="L22" s="221">
        <f t="shared" si="4"/>
        <v>21.17</v>
      </c>
      <c r="M22" s="220" t="s">
        <v>84</v>
      </c>
      <c r="N22" s="254">
        <v>0.62</v>
      </c>
      <c r="O22" s="226"/>
      <c r="P22" s="255"/>
      <c r="Q22" s="228"/>
      <c r="R22" s="229">
        <f t="shared" si="5"/>
        <v>0</v>
      </c>
      <c r="S22" s="229">
        <f t="shared" si="6"/>
        <v>21.17</v>
      </c>
      <c r="T22" s="229">
        <f t="shared" si="7"/>
        <v>21.17</v>
      </c>
      <c r="U22" s="230">
        <f t="shared" si="8"/>
        <v>0</v>
      </c>
      <c r="V22" s="230">
        <f t="shared" si="9"/>
        <v>1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294"/>
      <c r="C23" s="294"/>
      <c r="D23" s="296"/>
      <c r="E23" s="97"/>
      <c r="F23" s="98"/>
      <c r="G23" s="240">
        <f t="shared" si="0"/>
        <v>0</v>
      </c>
      <c r="H23" s="241">
        <f t="shared" si="1"/>
        <v>0</v>
      </c>
      <c r="I23" s="242"/>
      <c r="J23" s="243">
        <f t="shared" si="2"/>
        <v>0</v>
      </c>
      <c r="K23" s="240">
        <f t="shared" si="3"/>
        <v>0</v>
      </c>
      <c r="L23" s="240">
        <f t="shared" si="4"/>
        <v>0</v>
      </c>
      <c r="M23" s="244" t="s">
        <v>84</v>
      </c>
      <c r="N23" s="245">
        <v>0.62</v>
      </c>
      <c r="O23" s="226"/>
      <c r="P23" s="246"/>
      <c r="Q23" s="239"/>
      <c r="R23" s="247">
        <f t="shared" si="5"/>
        <v>0</v>
      </c>
      <c r="S23" s="248">
        <f t="shared" si="6"/>
        <v>0</v>
      </c>
      <c r="T23" s="248">
        <f t="shared" si="7"/>
        <v>0</v>
      </c>
      <c r="U23" s="249">
        <f t="shared" si="8"/>
        <v>0</v>
      </c>
      <c r="V23" s="249">
        <f t="shared" si="9"/>
        <v>0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292">
        <v>2120210</v>
      </c>
      <c r="C24" s="292" t="s">
        <v>301</v>
      </c>
      <c r="D24" s="297"/>
      <c r="E24" s="80">
        <v>1</v>
      </c>
      <c r="F24" s="81">
        <v>43.67</v>
      </c>
      <c r="G24" s="221">
        <f t="shared" si="0"/>
        <v>30.75</v>
      </c>
      <c r="H24" s="222">
        <f t="shared" si="1"/>
        <v>43.67</v>
      </c>
      <c r="I24" s="242"/>
      <c r="J24" s="224">
        <f t="shared" si="2"/>
        <v>1</v>
      </c>
      <c r="K24" s="221">
        <f t="shared" si="3"/>
        <v>16.59</v>
      </c>
      <c r="L24" s="221">
        <f t="shared" si="4"/>
        <v>16.59</v>
      </c>
      <c r="M24" s="220" t="s">
        <v>84</v>
      </c>
      <c r="N24" s="254">
        <v>0.62</v>
      </c>
      <c r="O24" s="226"/>
      <c r="P24" s="255"/>
      <c r="Q24" s="228"/>
      <c r="R24" s="229">
        <f t="shared" si="5"/>
        <v>0</v>
      </c>
      <c r="S24" s="229">
        <f t="shared" si="6"/>
        <v>16.59</v>
      </c>
      <c r="T24" s="229">
        <f t="shared" si="7"/>
        <v>16.59</v>
      </c>
      <c r="U24" s="230">
        <f t="shared" si="8"/>
        <v>0</v>
      </c>
      <c r="V24" s="230">
        <f t="shared" si="9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 s="294">
        <v>2120149</v>
      </c>
      <c r="C25" s="294" t="s">
        <v>295</v>
      </c>
      <c r="D25" s="296"/>
      <c r="E25" s="97">
        <v>1</v>
      </c>
      <c r="F25" s="98">
        <v>55.08</v>
      </c>
      <c r="G25" s="240">
        <f t="shared" si="0"/>
        <v>38.79</v>
      </c>
      <c r="H25" s="241">
        <f t="shared" si="1"/>
        <v>55.08</v>
      </c>
      <c r="I25" s="242"/>
      <c r="J25" s="243">
        <f t="shared" si="2"/>
        <v>1</v>
      </c>
      <c r="K25" s="240">
        <f t="shared" si="3"/>
        <v>55.08</v>
      </c>
      <c r="L25" s="240">
        <f t="shared" si="4"/>
        <v>55.08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55.08</v>
      </c>
      <c r="T25" s="248">
        <f t="shared" si="7"/>
        <v>55.08</v>
      </c>
      <c r="U25" s="249">
        <f t="shared" si="8"/>
        <v>0</v>
      </c>
      <c r="V25" s="249">
        <f t="shared" si="9"/>
        <v>1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 s="357">
        <v>70003478</v>
      </c>
      <c r="C26" s="357" t="s">
        <v>298</v>
      </c>
      <c r="D26" s="297"/>
      <c r="E26" s="80">
        <v>4</v>
      </c>
      <c r="F26" s="81">
        <v>449.08</v>
      </c>
      <c r="G26" s="221">
        <f t="shared" si="0"/>
        <v>316.25</v>
      </c>
      <c r="H26" s="222">
        <f t="shared" si="1"/>
        <v>1796.32</v>
      </c>
      <c r="I26" s="242"/>
      <c r="J26" s="224">
        <f t="shared" si="2"/>
        <v>4</v>
      </c>
      <c r="K26" s="221">
        <f t="shared" si="3"/>
        <v>224.54</v>
      </c>
      <c r="L26" s="221">
        <f t="shared" si="4"/>
        <v>898.16</v>
      </c>
      <c r="M26" s="220" t="s">
        <v>84</v>
      </c>
      <c r="N26" s="254">
        <v>0.5</v>
      </c>
      <c r="O26" s="226"/>
      <c r="P26" s="255"/>
      <c r="Q26" s="228"/>
      <c r="R26" s="229">
        <f t="shared" si="5"/>
        <v>0</v>
      </c>
      <c r="S26" s="229">
        <f t="shared" si="6"/>
        <v>224.54</v>
      </c>
      <c r="T26" s="229">
        <f t="shared" si="7"/>
        <v>898.16</v>
      </c>
      <c r="U26" s="230">
        <f t="shared" si="8"/>
        <v>0</v>
      </c>
      <c r="V26" s="230">
        <f t="shared" si="9"/>
        <v>1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294"/>
      <c r="C27" s="294"/>
      <c r="D27" s="300"/>
      <c r="E27" s="356"/>
      <c r="F27" s="239"/>
      <c r="G27" s="240">
        <f t="shared" si="0"/>
        <v>0</v>
      </c>
      <c r="H27" s="241">
        <f t="shared" si="1"/>
        <v>0</v>
      </c>
      <c r="I27" s="242"/>
      <c r="J27" s="243">
        <f t="shared" si="2"/>
        <v>0</v>
      </c>
      <c r="K27" s="240">
        <f t="shared" si="3"/>
        <v>0</v>
      </c>
      <c r="L27" s="240">
        <f t="shared" si="4"/>
        <v>0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0</v>
      </c>
      <c r="T27" s="248">
        <f t="shared" si="7"/>
        <v>0</v>
      </c>
      <c r="U27" s="249">
        <f t="shared" si="8"/>
        <v>0</v>
      </c>
      <c r="V27" s="249">
        <f t="shared" si="9"/>
        <v>0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298"/>
      <c r="C28" s="298"/>
      <c r="D28" s="301"/>
      <c r="E28" s="279"/>
      <c r="F28" s="220"/>
      <c r="G28" s="221">
        <f t="shared" si="0"/>
        <v>0</v>
      </c>
      <c r="H28" s="222">
        <f t="shared" si="1"/>
        <v>0</v>
      </c>
      <c r="I28" s="242"/>
      <c r="J28" s="224">
        <f t="shared" si="2"/>
        <v>0</v>
      </c>
      <c r="K28" s="221">
        <f t="shared" si="3"/>
        <v>0</v>
      </c>
      <c r="L28" s="221">
        <f t="shared" si="4"/>
        <v>0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0</v>
      </c>
      <c r="T28" s="229">
        <f t="shared" si="7"/>
        <v>0</v>
      </c>
      <c r="U28" s="230">
        <f t="shared" si="8"/>
        <v>0</v>
      </c>
      <c r="V28" s="230">
        <f t="shared" si="9"/>
        <v>0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299"/>
      <c r="C29" s="299"/>
      <c r="D29" s="300"/>
      <c r="E29" s="283"/>
      <c r="F29" s="239"/>
      <c r="G29" s="240">
        <f t="shared" si="0"/>
        <v>0</v>
      </c>
      <c r="H29" s="241">
        <f t="shared" si="1"/>
        <v>0</v>
      </c>
      <c r="I29" s="242"/>
      <c r="J29" s="243">
        <f t="shared" si="2"/>
        <v>0</v>
      </c>
      <c r="K29" s="240">
        <f t="shared" si="3"/>
        <v>0</v>
      </c>
      <c r="L29" s="240">
        <f t="shared" si="4"/>
        <v>0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0</v>
      </c>
      <c r="T29" s="248">
        <f t="shared" si="7"/>
        <v>0</v>
      </c>
      <c r="U29" s="249">
        <f t="shared" si="8"/>
        <v>0</v>
      </c>
      <c r="V29" s="249">
        <f t="shared" si="9"/>
        <v>0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276"/>
      <c r="C30" s="277"/>
      <c r="D30" s="285"/>
      <c r="E30" s="279"/>
      <c r="F30" s="220"/>
      <c r="G30" s="221">
        <f t="shared" si="0"/>
        <v>0</v>
      </c>
      <c r="H30" s="222">
        <f t="shared" si="1"/>
        <v>0</v>
      </c>
      <c r="I30" s="242"/>
      <c r="J30" s="224">
        <f t="shared" si="2"/>
        <v>0</v>
      </c>
      <c r="K30" s="221">
        <f t="shared" si="3"/>
        <v>0</v>
      </c>
      <c r="L30" s="221">
        <f t="shared" si="4"/>
        <v>0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0</v>
      </c>
      <c r="T30" s="229">
        <f t="shared" si="7"/>
        <v>0</v>
      </c>
      <c r="U30" s="230">
        <f t="shared" si="8"/>
        <v>0</v>
      </c>
      <c r="V30" s="230">
        <f t="shared" si="9"/>
        <v>0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280"/>
      <c r="C31" s="281"/>
      <c r="D31" s="282"/>
      <c r="E31" s="283"/>
      <c r="F31" s="239"/>
      <c r="G31" s="240">
        <f t="shared" si="0"/>
        <v>0</v>
      </c>
      <c r="H31" s="241">
        <f t="shared" si="1"/>
        <v>0</v>
      </c>
      <c r="I31" s="242"/>
      <c r="J31" s="243">
        <f t="shared" si="2"/>
        <v>0</v>
      </c>
      <c r="K31" s="240">
        <f t="shared" si="3"/>
        <v>0</v>
      </c>
      <c r="L31" s="240">
        <f t="shared" si="4"/>
        <v>0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0</v>
      </c>
      <c r="T31" s="248">
        <f t="shared" si="7"/>
        <v>0</v>
      </c>
      <c r="U31" s="249">
        <f t="shared" si="8"/>
        <v>0</v>
      </c>
      <c r="V31" s="249">
        <f t="shared" si="9"/>
        <v>0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276"/>
      <c r="C32" s="284"/>
      <c r="D32" s="285"/>
      <c r="E32" s="279"/>
      <c r="F32" s="220"/>
      <c r="G32" s="221">
        <f t="shared" si="0"/>
        <v>0</v>
      </c>
      <c r="H32" s="222">
        <f t="shared" si="1"/>
        <v>0</v>
      </c>
      <c r="I32" s="242"/>
      <c r="J32" s="224">
        <f t="shared" si="2"/>
        <v>0</v>
      </c>
      <c r="K32" s="221">
        <f t="shared" si="3"/>
        <v>0</v>
      </c>
      <c r="L32" s="221">
        <f t="shared" si="4"/>
        <v>0</v>
      </c>
      <c r="M32" s="220" t="s">
        <v>84</v>
      </c>
      <c r="N32" s="254">
        <v>0.5</v>
      </c>
      <c r="O32" s="226"/>
      <c r="P32" s="255"/>
      <c r="Q32" s="228"/>
      <c r="R32" s="229">
        <f t="shared" si="5"/>
        <v>0</v>
      </c>
      <c r="S32" s="229">
        <f t="shared" si="6"/>
        <v>0</v>
      </c>
      <c r="T32" s="229">
        <f t="shared" si="7"/>
        <v>0</v>
      </c>
      <c r="U32" s="230">
        <f t="shared" si="8"/>
        <v>0</v>
      </c>
      <c r="V32" s="230">
        <f t="shared" si="9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280"/>
      <c r="C33" s="281"/>
      <c r="D33" s="282"/>
      <c r="E33" s="283"/>
      <c r="F33" s="239"/>
      <c r="G33" s="240">
        <f t="shared" si="0"/>
        <v>0</v>
      </c>
      <c r="H33" s="241">
        <f t="shared" si="1"/>
        <v>0</v>
      </c>
      <c r="I33" s="242"/>
      <c r="J33" s="243">
        <f t="shared" si="2"/>
        <v>0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276"/>
      <c r="C34" s="284"/>
      <c r="D34" s="285"/>
      <c r="E34" s="279"/>
      <c r="F34" s="220"/>
      <c r="G34" s="221">
        <f t="shared" si="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>
        <v>0.5</v>
      </c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280"/>
      <c r="C35" s="281"/>
      <c r="D35" s="282"/>
      <c r="E35" s="283"/>
      <c r="F35" s="239"/>
      <c r="G35" s="240">
        <f t="shared" si="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>
        <v>0.5</v>
      </c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276"/>
      <c r="C36" s="284"/>
      <c r="D36" s="285"/>
      <c r="E36" s="279"/>
      <c r="F36" s="220"/>
      <c r="G36" s="221">
        <f t="shared" si="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280"/>
      <c r="C37" s="281"/>
      <c r="D37" s="282"/>
      <c r="E37" s="283"/>
      <c r="F37" s="239"/>
      <c r="G37" s="240">
        <f t="shared" si="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276"/>
      <c r="C38" s="284"/>
      <c r="D38" s="285"/>
      <c r="E38" s="279"/>
      <c r="F38" s="220"/>
      <c r="G38" s="221">
        <f t="shared" si="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280"/>
      <c r="C39" s="281"/>
      <c r="D39" s="282"/>
      <c r="E39" s="283"/>
      <c r="F39" s="239"/>
      <c r="G39" s="240">
        <f t="shared" si="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276"/>
      <c r="C40" s="284"/>
      <c r="D40" s="285"/>
      <c r="E40" s="279"/>
      <c r="F40" s="220"/>
      <c r="G40" s="221">
        <f t="shared" si="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280"/>
      <c r="C41" s="281"/>
      <c r="D41" s="282"/>
      <c r="E41" s="283"/>
      <c r="F41" s="239"/>
      <c r="G41" s="240">
        <f t="shared" si="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276"/>
      <c r="C42" s="284"/>
      <c r="D42" s="285"/>
      <c r="E42" s="279"/>
      <c r="F42" s="220"/>
      <c r="G42" s="221">
        <f t="shared" si="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280"/>
      <c r="C43" s="281"/>
      <c r="D43" s="282"/>
      <c r="E43" s="283"/>
      <c r="F43" s="239"/>
      <c r="G43" s="240">
        <f t="shared" si="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276"/>
      <c r="C44" s="284"/>
      <c r="D44" s="285"/>
      <c r="E44" s="279"/>
      <c r="F44" s="220"/>
      <c r="G44" s="221">
        <f t="shared" si="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280"/>
      <c r="C45" s="281"/>
      <c r="D45" s="282"/>
      <c r="E45" s="283"/>
      <c r="F45" s="239"/>
      <c r="G45" s="240">
        <f t="shared" si="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276"/>
      <c r="C46" s="284"/>
      <c r="D46" s="285"/>
      <c r="E46" s="279"/>
      <c r="F46" s="220"/>
      <c r="G46" s="221">
        <f t="shared" si="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280"/>
      <c r="C47" s="281"/>
      <c r="D47" s="282"/>
      <c r="E47" s="283"/>
      <c r="F47" s="239"/>
      <c r="G47" s="240">
        <f t="shared" si="0"/>
        <v>0</v>
      </c>
      <c r="H47" s="241">
        <f t="shared" si="1"/>
        <v>0</v>
      </c>
      <c r="I47" s="242"/>
      <c r="J47" s="243">
        <f t="shared" si="2"/>
        <v>0</v>
      </c>
      <c r="K47" s="240">
        <f t="shared" si="3"/>
        <v>0</v>
      </c>
      <c r="L47" s="240">
        <f t="shared" si="4"/>
        <v>0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0</v>
      </c>
      <c r="T47" s="248">
        <f t="shared" si="7"/>
        <v>0</v>
      </c>
      <c r="U47" s="249">
        <f t="shared" si="8"/>
        <v>0</v>
      </c>
      <c r="V47" s="249">
        <f t="shared" si="9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276"/>
      <c r="C48" s="284"/>
      <c r="D48" s="285"/>
      <c r="E48" s="279"/>
      <c r="F48" s="220"/>
      <c r="G48" s="221">
        <f t="shared" si="0"/>
        <v>0</v>
      </c>
      <c r="H48" s="222">
        <f t="shared" si="1"/>
        <v>0</v>
      </c>
      <c r="I48" s="242"/>
      <c r="J48" s="224">
        <f t="shared" si="2"/>
        <v>0</v>
      </c>
      <c r="K48" s="221">
        <f t="shared" si="3"/>
        <v>0</v>
      </c>
      <c r="L48" s="221">
        <f t="shared" si="4"/>
        <v>0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0</v>
      </c>
      <c r="T48" s="229">
        <f t="shared" si="7"/>
        <v>0</v>
      </c>
      <c r="U48" s="230">
        <f t="shared" si="8"/>
        <v>0</v>
      </c>
      <c r="V48" s="230">
        <f t="shared" si="9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280"/>
      <c r="C49" s="281"/>
      <c r="D49" s="282"/>
      <c r="E49" s="283"/>
      <c r="F49" s="239"/>
      <c r="G49" s="240">
        <f t="shared" si="0"/>
        <v>0</v>
      </c>
      <c r="H49" s="241">
        <f t="shared" si="1"/>
        <v>0</v>
      </c>
      <c r="I49" s="242"/>
      <c r="J49" s="243">
        <f t="shared" si="2"/>
        <v>0</v>
      </c>
      <c r="K49" s="240">
        <f t="shared" si="3"/>
        <v>0</v>
      </c>
      <c r="L49" s="240">
        <f t="shared" si="4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0</v>
      </c>
      <c r="T49" s="248">
        <f t="shared" si="7"/>
        <v>0</v>
      </c>
      <c r="U49" s="249">
        <f t="shared" si="8"/>
        <v>0</v>
      </c>
      <c r="V49" s="249">
        <f t="shared" si="9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276"/>
      <c r="C50" s="284"/>
      <c r="D50" s="285"/>
      <c r="E50" s="279"/>
      <c r="F50" s="220"/>
      <c r="G50" s="221">
        <f t="shared" si="0"/>
        <v>0</v>
      </c>
      <c r="H50" s="222">
        <f t="shared" si="1"/>
        <v>0</v>
      </c>
      <c r="I50" s="242"/>
      <c r="J50" s="224">
        <f t="shared" si="2"/>
        <v>0</v>
      </c>
      <c r="K50" s="221">
        <f t="shared" si="3"/>
        <v>0</v>
      </c>
      <c r="L50" s="221">
        <f t="shared" si="4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0</v>
      </c>
      <c r="T50" s="229">
        <f t="shared" si="7"/>
        <v>0</v>
      </c>
      <c r="U50" s="230">
        <f t="shared" si="8"/>
        <v>0</v>
      </c>
      <c r="V50" s="230">
        <f t="shared" si="9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280"/>
      <c r="C51" s="281"/>
      <c r="D51" s="282"/>
      <c r="E51" s="283"/>
      <c r="F51" s="239"/>
      <c r="G51" s="240">
        <f t="shared" si="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11</v>
      </c>
      <c r="F61" s="265">
        <f>SUM(F18:F60)</f>
        <v>785.43</v>
      </c>
      <c r="G61" s="266">
        <f>SUM(G18:G60)</f>
        <v>553.11</v>
      </c>
      <c r="H61" s="267">
        <f>SUM(H18:H60)</f>
        <v>2132.67</v>
      </c>
      <c r="I61" s="268"/>
      <c r="J61" s="269">
        <f>SUM(J18:J60)</f>
        <v>11</v>
      </c>
      <c r="K61" s="266">
        <f>SUM(K18:K60)</f>
        <v>386.5</v>
      </c>
      <c r="L61" s="267">
        <f>SUM(L18:L60)</f>
        <v>1060.1199999999999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386.5</v>
      </c>
      <c r="T61" s="267">
        <f>SUM(T18:T60)</f>
        <v>1060.1199999999999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83" priority="3" stopIfTrue="1">
      <formula>$U$9&gt;100%</formula>
    </cfRule>
    <cfRule type="expression" dxfId="82" priority="4">
      <formula>$U$9&lt;50%</formula>
    </cfRule>
  </conditionalFormatting>
  <conditionalFormatting sqref="V9:V10">
    <cfRule type="expression" dxfId="81" priority="1">
      <formula>$V$9&lt;50%</formula>
    </cfRule>
    <cfRule type="expression" dxfId="80" priority="2">
      <formula>$V$9&gt;50%</formula>
    </cfRule>
  </conditionalFormatting>
  <dataValidations count="5">
    <dataValidation type="list" allowBlank="1" showInputMessage="1" showErrorMessage="1" sqref="M18:M60" xr:uid="{3E2A4F72-55EF-420F-9CD5-479D9DEAD49F}">
      <formula1>$Y$31:$Y$32</formula1>
    </dataValidation>
    <dataValidation type="list" showInputMessage="1" showErrorMessage="1" sqref="D52:D60 D18:D26" xr:uid="{52972C64-35C9-4DEF-A507-C7E34C4125FE}">
      <formula1>$Z$18:$Z$29</formula1>
    </dataValidation>
    <dataValidation type="list" allowBlank="1" showInputMessage="1" showErrorMessage="1" sqref="I13" xr:uid="{C43B19F1-6C36-4174-8730-E9ACA1AE2B32}">
      <formula1>$K$9:$K$9</formula1>
    </dataValidation>
    <dataValidation type="list" allowBlank="1" showInputMessage="1" showErrorMessage="1" sqref="H13" xr:uid="{E7DBDD5E-A5F7-4742-A595-E6241706F9A6}">
      <formula1>$Y$13:$Y$14</formula1>
    </dataValidation>
    <dataValidation type="list" allowBlank="1" showInputMessage="1" showErrorMessage="1" sqref="F17 K17 Q17 Q14" xr:uid="{70924C2D-23B1-4B26-8677-E995B3FDF987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FB9E-87BE-4F87-8204-9AB6FB3005D2}">
  <sheetPr>
    <pageSetUpPr fitToPage="1"/>
  </sheetPr>
  <dimension ref="A1:AB63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523" t="s">
        <v>2</v>
      </c>
      <c r="I1" s="524"/>
      <c r="J1" s="524"/>
      <c r="K1" s="525"/>
      <c r="L1" s="528" t="s">
        <v>3</v>
      </c>
      <c r="M1" s="529"/>
      <c r="N1" s="529"/>
      <c r="O1" s="529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59">
        <v>438520</v>
      </c>
      <c r="G2" s="549"/>
      <c r="H2" s="546" t="s">
        <v>7</v>
      </c>
      <c r="I2" s="550"/>
      <c r="J2" s="547"/>
      <c r="K2" s="148"/>
      <c r="L2" s="551" t="s">
        <v>8</v>
      </c>
      <c r="M2" s="552"/>
      <c r="N2" s="553"/>
      <c r="O2" s="149"/>
      <c r="P2" s="554">
        <f>H61</f>
        <v>2132.67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532" t="s">
        <v>13</v>
      </c>
      <c r="I3" s="536"/>
      <c r="J3" s="533"/>
      <c r="K3" s="154"/>
      <c r="L3" s="537" t="s">
        <v>14</v>
      </c>
      <c r="M3" s="538"/>
      <c r="N3" s="539"/>
      <c r="O3" s="149"/>
      <c r="P3" s="540">
        <f>L61</f>
        <v>1060.1199999999999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665" t="s">
        <v>289</v>
      </c>
      <c r="G4" s="666"/>
      <c r="H4" s="532" t="s">
        <v>19</v>
      </c>
      <c r="I4" s="536"/>
      <c r="J4" s="533"/>
      <c r="K4" s="154"/>
      <c r="L4" s="537" t="s">
        <v>20</v>
      </c>
      <c r="M4" s="538"/>
      <c r="N4" s="539"/>
      <c r="O4" s="149"/>
      <c r="P4" s="540">
        <f>P2-P3</f>
        <v>1072.5500000000002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679" t="s">
        <v>302</v>
      </c>
      <c r="G5" s="680"/>
      <c r="H5" s="532" t="s">
        <v>25</v>
      </c>
      <c r="I5" s="536"/>
      <c r="J5" s="533"/>
      <c r="K5" s="154"/>
      <c r="L5" s="558" t="s">
        <v>26</v>
      </c>
      <c r="M5" s="559"/>
      <c r="N5" s="560"/>
      <c r="O5" s="149"/>
      <c r="P5" s="561">
        <f>IFERROR((P2-P3)/P2,"")</f>
        <v>0.5029141873801386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69" t="s">
        <v>379</v>
      </c>
      <c r="G6" s="666"/>
      <c r="H6" s="532" t="s">
        <v>31</v>
      </c>
      <c r="I6" s="536"/>
      <c r="J6" s="533"/>
      <c r="K6" s="154"/>
      <c r="L6" s="574" t="s">
        <v>32</v>
      </c>
      <c r="M6" s="575"/>
      <c r="N6" s="576"/>
      <c r="O6" s="149"/>
      <c r="P6" s="577">
        <f>T61</f>
        <v>1060.1199999999999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563"/>
      <c r="G7" s="535"/>
      <c r="H7" s="532" t="s">
        <v>36</v>
      </c>
      <c r="I7" s="536"/>
      <c r="J7" s="533"/>
      <c r="K7" s="154"/>
      <c r="L7" s="564" t="s">
        <v>37</v>
      </c>
      <c r="M7" s="565"/>
      <c r="N7" s="56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532" t="s">
        <v>40</v>
      </c>
      <c r="I8" s="536"/>
      <c r="J8" s="533"/>
      <c r="K8" s="154"/>
      <c r="L8" s="564" t="s">
        <v>41</v>
      </c>
      <c r="M8" s="565"/>
      <c r="N8" s="56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382</v>
      </c>
      <c r="G9" s="535"/>
      <c r="H9" s="171"/>
      <c r="I9" s="172"/>
      <c r="J9" s="172"/>
      <c r="K9" s="173"/>
      <c r="L9" s="564" t="s">
        <v>47</v>
      </c>
      <c r="M9" s="565"/>
      <c r="N9" s="56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1060.1199999999999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542" t="s">
        <v>48</v>
      </c>
      <c r="M10" s="579"/>
      <c r="N10" s="543"/>
      <c r="O10" s="149"/>
      <c r="P10" s="580">
        <f>E61</f>
        <v>11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650" t="s">
        <v>50</v>
      </c>
      <c r="K11" s="651"/>
      <c r="L11" s="651"/>
      <c r="M11" s="651"/>
      <c r="N11" s="652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653"/>
      <c r="K12" s="654"/>
      <c r="L12" s="654"/>
      <c r="M12" s="654"/>
      <c r="N12" s="655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656"/>
      <c r="K13" s="657"/>
      <c r="L13" s="657"/>
      <c r="M13" s="657"/>
      <c r="N13" s="658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601" t="s">
        <v>59</v>
      </c>
      <c r="K14" s="602"/>
      <c r="L14" s="605" t="s">
        <v>60</v>
      </c>
      <c r="M14" s="606"/>
      <c r="N14" s="60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603"/>
      <c r="K15" s="604"/>
      <c r="L15" s="608"/>
      <c r="M15" s="609"/>
      <c r="N15" s="61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631" t="s">
        <v>69</v>
      </c>
      <c r="K16" s="201" t="s">
        <v>72</v>
      </c>
      <c r="L16" s="202" t="s">
        <v>73</v>
      </c>
      <c r="M16" s="633" t="s">
        <v>74</v>
      </c>
      <c r="N16" s="633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8"/>
      <c r="C17" s="678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632"/>
      <c r="K17" s="614" t="s">
        <v>52</v>
      </c>
      <c r="L17" s="615"/>
      <c r="M17" s="634"/>
      <c r="N17" s="634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 s="292">
        <v>7026811</v>
      </c>
      <c r="C18" s="293" t="s">
        <v>290</v>
      </c>
      <c r="D18" s="295"/>
      <c r="E18" s="80">
        <v>1</v>
      </c>
      <c r="F18" s="81">
        <v>29.93</v>
      </c>
      <c r="G18" s="221">
        <f t="shared" ref="G18:G60" si="0">ROUND(IF($F$17="USD $", F18*$E$15,F18*$D$15),2)</f>
        <v>21.08</v>
      </c>
      <c r="H18" s="222">
        <f t="shared" ref="H18:H60" si="1">ROUND(IF($H$17=$G$17,E18*G18,E18*F18),2)</f>
        <v>29.93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11.37</v>
      </c>
      <c r="L18" s="221">
        <f t="shared" ref="L18:L60" si="4">ROUND((J18*K18),2)</f>
        <v>11.37</v>
      </c>
      <c r="M18" s="220" t="s">
        <v>84</v>
      </c>
      <c r="N18" s="225">
        <v>0.62</v>
      </c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11.37</v>
      </c>
      <c r="T18" s="229">
        <f t="shared" ref="T18:T60" si="7">ROUND(L18-R18,2)</f>
        <v>11.37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294">
        <v>7016328</v>
      </c>
      <c r="C19" s="294" t="s">
        <v>291</v>
      </c>
      <c r="D19" s="296"/>
      <c r="E19" s="97">
        <v>1</v>
      </c>
      <c r="F19" s="98">
        <v>23.25</v>
      </c>
      <c r="G19" s="240">
        <f t="shared" si="0"/>
        <v>16.37</v>
      </c>
      <c r="H19" s="241">
        <f t="shared" si="1"/>
        <v>23.25</v>
      </c>
      <c r="I19" s="242"/>
      <c r="J19" s="243">
        <f t="shared" si="2"/>
        <v>1</v>
      </c>
      <c r="K19" s="240">
        <f t="shared" si="3"/>
        <v>8.84</v>
      </c>
      <c r="L19" s="240">
        <f t="shared" si="4"/>
        <v>8.84</v>
      </c>
      <c r="M19" s="244" t="s">
        <v>84</v>
      </c>
      <c r="N19" s="245">
        <v>0.62</v>
      </c>
      <c r="O19" s="226"/>
      <c r="P19" s="246"/>
      <c r="Q19" s="239"/>
      <c r="R19" s="247">
        <f t="shared" si="5"/>
        <v>0</v>
      </c>
      <c r="S19" s="248">
        <f t="shared" si="6"/>
        <v>8.84</v>
      </c>
      <c r="T19" s="248">
        <f t="shared" si="7"/>
        <v>8.84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292">
        <v>7026830</v>
      </c>
      <c r="C20" s="292" t="s">
        <v>292</v>
      </c>
      <c r="D20" s="297"/>
      <c r="E20" s="80">
        <v>1</v>
      </c>
      <c r="F20" s="81">
        <v>97.24</v>
      </c>
      <c r="G20" s="221">
        <f t="shared" si="0"/>
        <v>68.48</v>
      </c>
      <c r="H20" s="222">
        <f t="shared" si="1"/>
        <v>97.24</v>
      </c>
      <c r="I20" s="242"/>
      <c r="J20" s="224">
        <f t="shared" si="2"/>
        <v>1</v>
      </c>
      <c r="K20" s="221">
        <f t="shared" si="3"/>
        <v>36.950000000000003</v>
      </c>
      <c r="L20" s="221">
        <f t="shared" si="4"/>
        <v>36.950000000000003</v>
      </c>
      <c r="M20" s="220" t="s">
        <v>84</v>
      </c>
      <c r="N20" s="254">
        <v>0.62</v>
      </c>
      <c r="O20" s="226"/>
      <c r="P20" s="255"/>
      <c r="Q20" s="228"/>
      <c r="R20" s="229">
        <f t="shared" si="5"/>
        <v>0</v>
      </c>
      <c r="S20" s="229">
        <f t="shared" si="6"/>
        <v>36.950000000000003</v>
      </c>
      <c r="T20" s="229">
        <f t="shared" si="7"/>
        <v>36.950000000000003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294">
        <v>91083218</v>
      </c>
      <c r="C21" s="294" t="s">
        <v>300</v>
      </c>
      <c r="D21" s="296"/>
      <c r="E21" s="97">
        <v>1</v>
      </c>
      <c r="F21" s="98">
        <v>31.47</v>
      </c>
      <c r="G21" s="240">
        <f t="shared" si="0"/>
        <v>22.16</v>
      </c>
      <c r="H21" s="241">
        <f t="shared" si="1"/>
        <v>31.47</v>
      </c>
      <c r="I21" s="242"/>
      <c r="J21" s="243">
        <f t="shared" si="2"/>
        <v>1</v>
      </c>
      <c r="K21" s="240">
        <f t="shared" si="3"/>
        <v>11.96</v>
      </c>
      <c r="L21" s="240">
        <f t="shared" si="4"/>
        <v>11.96</v>
      </c>
      <c r="M21" s="244" t="s">
        <v>84</v>
      </c>
      <c r="N21" s="245">
        <v>0.62</v>
      </c>
      <c r="O21" s="226"/>
      <c r="P21" s="246"/>
      <c r="Q21" s="239"/>
      <c r="R21" s="247">
        <f t="shared" si="5"/>
        <v>0</v>
      </c>
      <c r="S21" s="248">
        <f t="shared" si="6"/>
        <v>11.96</v>
      </c>
      <c r="T21" s="248">
        <f t="shared" si="7"/>
        <v>11.96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292">
        <v>7012664</v>
      </c>
      <c r="C22" s="292" t="s">
        <v>294</v>
      </c>
      <c r="D22" s="297"/>
      <c r="E22" s="80">
        <v>1</v>
      </c>
      <c r="F22" s="81">
        <v>55.71</v>
      </c>
      <c r="G22" s="221">
        <f t="shared" si="0"/>
        <v>39.229999999999997</v>
      </c>
      <c r="H22" s="222">
        <f t="shared" si="1"/>
        <v>55.71</v>
      </c>
      <c r="I22" s="242"/>
      <c r="J22" s="224">
        <f t="shared" si="2"/>
        <v>1</v>
      </c>
      <c r="K22" s="221">
        <f t="shared" si="3"/>
        <v>21.17</v>
      </c>
      <c r="L22" s="221">
        <f t="shared" si="4"/>
        <v>21.17</v>
      </c>
      <c r="M22" s="220" t="s">
        <v>84</v>
      </c>
      <c r="N22" s="254">
        <v>0.62</v>
      </c>
      <c r="O22" s="226"/>
      <c r="P22" s="255"/>
      <c r="Q22" s="228"/>
      <c r="R22" s="229">
        <f t="shared" si="5"/>
        <v>0</v>
      </c>
      <c r="S22" s="229">
        <f t="shared" si="6"/>
        <v>21.17</v>
      </c>
      <c r="T22" s="229">
        <f t="shared" si="7"/>
        <v>21.17</v>
      </c>
      <c r="U22" s="230">
        <f t="shared" si="8"/>
        <v>0</v>
      </c>
      <c r="V22" s="230">
        <f t="shared" si="9"/>
        <v>1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294"/>
      <c r="C23" s="294"/>
      <c r="D23" s="296"/>
      <c r="E23" s="97"/>
      <c r="F23" s="98"/>
      <c r="G23" s="240">
        <f t="shared" si="0"/>
        <v>0</v>
      </c>
      <c r="H23" s="241">
        <f t="shared" si="1"/>
        <v>0</v>
      </c>
      <c r="I23" s="242"/>
      <c r="J23" s="243">
        <f t="shared" si="2"/>
        <v>0</v>
      </c>
      <c r="K23" s="240">
        <f t="shared" si="3"/>
        <v>0</v>
      </c>
      <c r="L23" s="240">
        <f t="shared" si="4"/>
        <v>0</v>
      </c>
      <c r="M23" s="244" t="s">
        <v>84</v>
      </c>
      <c r="N23" s="245">
        <v>0.62</v>
      </c>
      <c r="O23" s="226"/>
      <c r="P23" s="246"/>
      <c r="Q23" s="239"/>
      <c r="R23" s="247">
        <f t="shared" si="5"/>
        <v>0</v>
      </c>
      <c r="S23" s="248">
        <f t="shared" si="6"/>
        <v>0</v>
      </c>
      <c r="T23" s="248">
        <f t="shared" si="7"/>
        <v>0</v>
      </c>
      <c r="U23" s="249">
        <f t="shared" si="8"/>
        <v>0</v>
      </c>
      <c r="V23" s="249">
        <f t="shared" si="9"/>
        <v>0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292">
        <v>2120210</v>
      </c>
      <c r="C24" s="292" t="s">
        <v>301</v>
      </c>
      <c r="D24" s="297"/>
      <c r="E24" s="80">
        <v>1</v>
      </c>
      <c r="F24" s="81">
        <v>43.67</v>
      </c>
      <c r="G24" s="221">
        <f t="shared" si="0"/>
        <v>30.75</v>
      </c>
      <c r="H24" s="222">
        <f t="shared" si="1"/>
        <v>43.67</v>
      </c>
      <c r="I24" s="242"/>
      <c r="J24" s="224">
        <f t="shared" si="2"/>
        <v>1</v>
      </c>
      <c r="K24" s="221">
        <f t="shared" si="3"/>
        <v>16.59</v>
      </c>
      <c r="L24" s="221">
        <f t="shared" si="4"/>
        <v>16.59</v>
      </c>
      <c r="M24" s="220" t="s">
        <v>84</v>
      </c>
      <c r="N24" s="254">
        <v>0.62</v>
      </c>
      <c r="O24" s="226"/>
      <c r="P24" s="255"/>
      <c r="Q24" s="228"/>
      <c r="R24" s="229">
        <f t="shared" si="5"/>
        <v>0</v>
      </c>
      <c r="S24" s="229">
        <f t="shared" si="6"/>
        <v>16.59</v>
      </c>
      <c r="T24" s="229">
        <f t="shared" si="7"/>
        <v>16.59</v>
      </c>
      <c r="U24" s="230">
        <f t="shared" si="8"/>
        <v>0</v>
      </c>
      <c r="V24" s="230">
        <f t="shared" si="9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 s="294">
        <v>2120149</v>
      </c>
      <c r="C25" s="294" t="s">
        <v>295</v>
      </c>
      <c r="D25" s="296"/>
      <c r="E25" s="97">
        <v>1</v>
      </c>
      <c r="F25" s="98">
        <v>55.08</v>
      </c>
      <c r="G25" s="240">
        <f t="shared" si="0"/>
        <v>38.79</v>
      </c>
      <c r="H25" s="241">
        <f t="shared" si="1"/>
        <v>55.08</v>
      </c>
      <c r="I25" s="242"/>
      <c r="J25" s="243">
        <f t="shared" si="2"/>
        <v>1</v>
      </c>
      <c r="K25" s="240">
        <f t="shared" si="3"/>
        <v>55.08</v>
      </c>
      <c r="L25" s="240">
        <f t="shared" si="4"/>
        <v>55.08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55.08</v>
      </c>
      <c r="T25" s="248">
        <f t="shared" si="7"/>
        <v>55.08</v>
      </c>
      <c r="U25" s="249">
        <f t="shared" si="8"/>
        <v>0</v>
      </c>
      <c r="V25" s="249">
        <f t="shared" si="9"/>
        <v>1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 s="357">
        <v>70003478</v>
      </c>
      <c r="C26" s="357" t="s">
        <v>298</v>
      </c>
      <c r="D26" s="297"/>
      <c r="E26" s="80">
        <v>4</v>
      </c>
      <c r="F26" s="81">
        <v>449.08</v>
      </c>
      <c r="G26" s="221">
        <f t="shared" si="0"/>
        <v>316.25</v>
      </c>
      <c r="H26" s="222">
        <f t="shared" si="1"/>
        <v>1796.32</v>
      </c>
      <c r="I26" s="242"/>
      <c r="J26" s="224">
        <f t="shared" si="2"/>
        <v>4</v>
      </c>
      <c r="K26" s="221">
        <f t="shared" si="3"/>
        <v>224.54</v>
      </c>
      <c r="L26" s="221">
        <f t="shared" si="4"/>
        <v>898.16</v>
      </c>
      <c r="M26" s="220" t="s">
        <v>84</v>
      </c>
      <c r="N26" s="254">
        <v>0.5</v>
      </c>
      <c r="O26" s="226"/>
      <c r="P26" s="255"/>
      <c r="Q26" s="228"/>
      <c r="R26" s="229">
        <f t="shared" si="5"/>
        <v>0</v>
      </c>
      <c r="S26" s="229">
        <f t="shared" si="6"/>
        <v>224.54</v>
      </c>
      <c r="T26" s="229">
        <f t="shared" si="7"/>
        <v>898.16</v>
      </c>
      <c r="U26" s="230">
        <f t="shared" si="8"/>
        <v>0</v>
      </c>
      <c r="V26" s="230">
        <f t="shared" si="9"/>
        <v>1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294"/>
      <c r="C27" s="294"/>
      <c r="D27" s="300"/>
      <c r="E27" s="356"/>
      <c r="F27" s="239"/>
      <c r="G27" s="240">
        <f t="shared" si="0"/>
        <v>0</v>
      </c>
      <c r="H27" s="241">
        <f t="shared" si="1"/>
        <v>0</v>
      </c>
      <c r="I27" s="242"/>
      <c r="J27" s="243">
        <f t="shared" si="2"/>
        <v>0</v>
      </c>
      <c r="K27" s="240">
        <f t="shared" si="3"/>
        <v>0</v>
      </c>
      <c r="L27" s="240">
        <f t="shared" si="4"/>
        <v>0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0</v>
      </c>
      <c r="T27" s="248">
        <f t="shared" si="7"/>
        <v>0</v>
      </c>
      <c r="U27" s="249">
        <f t="shared" si="8"/>
        <v>0</v>
      </c>
      <c r="V27" s="249">
        <f t="shared" si="9"/>
        <v>0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298"/>
      <c r="C28" s="298"/>
      <c r="D28" s="301"/>
      <c r="E28" s="279"/>
      <c r="F28" s="220"/>
      <c r="G28" s="221">
        <f t="shared" si="0"/>
        <v>0</v>
      </c>
      <c r="H28" s="222">
        <f t="shared" si="1"/>
        <v>0</v>
      </c>
      <c r="I28" s="242"/>
      <c r="J28" s="224">
        <f t="shared" si="2"/>
        <v>0</v>
      </c>
      <c r="K28" s="221">
        <f t="shared" si="3"/>
        <v>0</v>
      </c>
      <c r="L28" s="221">
        <f t="shared" si="4"/>
        <v>0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0</v>
      </c>
      <c r="T28" s="229">
        <f t="shared" si="7"/>
        <v>0</v>
      </c>
      <c r="U28" s="230">
        <f t="shared" si="8"/>
        <v>0</v>
      </c>
      <c r="V28" s="230">
        <f t="shared" si="9"/>
        <v>0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299"/>
      <c r="C29" s="299"/>
      <c r="D29" s="300"/>
      <c r="E29" s="283"/>
      <c r="F29" s="239"/>
      <c r="G29" s="240">
        <f t="shared" si="0"/>
        <v>0</v>
      </c>
      <c r="H29" s="241">
        <f t="shared" si="1"/>
        <v>0</v>
      </c>
      <c r="I29" s="242"/>
      <c r="J29" s="243">
        <f t="shared" si="2"/>
        <v>0</v>
      </c>
      <c r="K29" s="240">
        <f t="shared" si="3"/>
        <v>0</v>
      </c>
      <c r="L29" s="240">
        <f t="shared" si="4"/>
        <v>0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0</v>
      </c>
      <c r="T29" s="248">
        <f t="shared" si="7"/>
        <v>0</v>
      </c>
      <c r="U29" s="249">
        <f t="shared" si="8"/>
        <v>0</v>
      </c>
      <c r="V29" s="249">
        <f t="shared" si="9"/>
        <v>0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276"/>
      <c r="C30" s="277"/>
      <c r="D30" s="285"/>
      <c r="E30" s="279"/>
      <c r="F30" s="220"/>
      <c r="G30" s="221">
        <f t="shared" si="0"/>
        <v>0</v>
      </c>
      <c r="H30" s="222">
        <f t="shared" si="1"/>
        <v>0</v>
      </c>
      <c r="I30" s="242"/>
      <c r="J30" s="224">
        <f t="shared" si="2"/>
        <v>0</v>
      </c>
      <c r="K30" s="221">
        <f t="shared" si="3"/>
        <v>0</v>
      </c>
      <c r="L30" s="221">
        <f t="shared" si="4"/>
        <v>0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0</v>
      </c>
      <c r="T30" s="229">
        <f t="shared" si="7"/>
        <v>0</v>
      </c>
      <c r="U30" s="230">
        <f t="shared" si="8"/>
        <v>0</v>
      </c>
      <c r="V30" s="230">
        <f t="shared" si="9"/>
        <v>0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280"/>
      <c r="C31" s="281"/>
      <c r="D31" s="282"/>
      <c r="E31" s="283"/>
      <c r="F31" s="239"/>
      <c r="G31" s="240">
        <f t="shared" si="0"/>
        <v>0</v>
      </c>
      <c r="H31" s="241">
        <f t="shared" si="1"/>
        <v>0</v>
      </c>
      <c r="I31" s="242"/>
      <c r="J31" s="243">
        <f t="shared" si="2"/>
        <v>0</v>
      </c>
      <c r="K31" s="240">
        <f t="shared" si="3"/>
        <v>0</v>
      </c>
      <c r="L31" s="240">
        <f t="shared" si="4"/>
        <v>0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0</v>
      </c>
      <c r="T31" s="248">
        <f t="shared" si="7"/>
        <v>0</v>
      </c>
      <c r="U31" s="249">
        <f t="shared" si="8"/>
        <v>0</v>
      </c>
      <c r="V31" s="249">
        <f t="shared" si="9"/>
        <v>0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276"/>
      <c r="C32" s="284"/>
      <c r="D32" s="285"/>
      <c r="E32" s="279"/>
      <c r="F32" s="220"/>
      <c r="G32" s="221">
        <f t="shared" si="0"/>
        <v>0</v>
      </c>
      <c r="H32" s="222">
        <f t="shared" si="1"/>
        <v>0</v>
      </c>
      <c r="I32" s="242"/>
      <c r="J32" s="224">
        <f t="shared" si="2"/>
        <v>0</v>
      </c>
      <c r="K32" s="221">
        <f t="shared" si="3"/>
        <v>0</v>
      </c>
      <c r="L32" s="221">
        <f t="shared" si="4"/>
        <v>0</v>
      </c>
      <c r="M32" s="220" t="s">
        <v>84</v>
      </c>
      <c r="N32" s="254">
        <v>0.5</v>
      </c>
      <c r="O32" s="226"/>
      <c r="P32" s="255"/>
      <c r="Q32" s="228"/>
      <c r="R32" s="229">
        <f t="shared" si="5"/>
        <v>0</v>
      </c>
      <c r="S32" s="229">
        <f t="shared" si="6"/>
        <v>0</v>
      </c>
      <c r="T32" s="229">
        <f t="shared" si="7"/>
        <v>0</v>
      </c>
      <c r="U32" s="230">
        <f t="shared" si="8"/>
        <v>0</v>
      </c>
      <c r="V32" s="230">
        <f t="shared" si="9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280"/>
      <c r="C33" s="281"/>
      <c r="D33" s="282"/>
      <c r="E33" s="283"/>
      <c r="F33" s="239"/>
      <c r="G33" s="240">
        <f t="shared" si="0"/>
        <v>0</v>
      </c>
      <c r="H33" s="241">
        <f t="shared" si="1"/>
        <v>0</v>
      </c>
      <c r="I33" s="242"/>
      <c r="J33" s="243">
        <f t="shared" si="2"/>
        <v>0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276"/>
      <c r="C34" s="284"/>
      <c r="D34" s="285"/>
      <c r="E34" s="279"/>
      <c r="F34" s="220"/>
      <c r="G34" s="221">
        <f t="shared" si="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>
        <v>0.5</v>
      </c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280"/>
      <c r="C35" s="281"/>
      <c r="D35" s="282"/>
      <c r="E35" s="283"/>
      <c r="F35" s="239"/>
      <c r="G35" s="240">
        <f t="shared" si="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>
        <v>0.5</v>
      </c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276"/>
      <c r="C36" s="284"/>
      <c r="D36" s="285"/>
      <c r="E36" s="279"/>
      <c r="F36" s="220"/>
      <c r="G36" s="221">
        <f t="shared" si="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280"/>
      <c r="C37" s="281"/>
      <c r="D37" s="282"/>
      <c r="E37" s="283"/>
      <c r="F37" s="239"/>
      <c r="G37" s="240">
        <f t="shared" si="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276"/>
      <c r="C38" s="284"/>
      <c r="D38" s="285"/>
      <c r="E38" s="279"/>
      <c r="F38" s="220"/>
      <c r="G38" s="221">
        <f t="shared" si="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280"/>
      <c r="C39" s="281"/>
      <c r="D39" s="282"/>
      <c r="E39" s="283"/>
      <c r="F39" s="239"/>
      <c r="G39" s="240">
        <f t="shared" si="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276"/>
      <c r="C40" s="284"/>
      <c r="D40" s="285"/>
      <c r="E40" s="279"/>
      <c r="F40" s="220"/>
      <c r="G40" s="221">
        <f t="shared" si="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280"/>
      <c r="C41" s="281"/>
      <c r="D41" s="282"/>
      <c r="E41" s="283"/>
      <c r="F41" s="239"/>
      <c r="G41" s="240">
        <f t="shared" si="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276"/>
      <c r="C42" s="284"/>
      <c r="D42" s="285"/>
      <c r="E42" s="279"/>
      <c r="F42" s="220"/>
      <c r="G42" s="221">
        <f t="shared" si="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280"/>
      <c r="C43" s="281"/>
      <c r="D43" s="282"/>
      <c r="E43" s="283"/>
      <c r="F43" s="239"/>
      <c r="G43" s="240">
        <f t="shared" si="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276"/>
      <c r="C44" s="284"/>
      <c r="D44" s="285"/>
      <c r="E44" s="279"/>
      <c r="F44" s="220"/>
      <c r="G44" s="221">
        <f t="shared" si="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280"/>
      <c r="C45" s="281"/>
      <c r="D45" s="282"/>
      <c r="E45" s="283"/>
      <c r="F45" s="239"/>
      <c r="G45" s="240">
        <f t="shared" si="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276"/>
      <c r="C46" s="284"/>
      <c r="D46" s="285"/>
      <c r="E46" s="279"/>
      <c r="F46" s="220"/>
      <c r="G46" s="221">
        <f t="shared" si="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280"/>
      <c r="C47" s="281"/>
      <c r="D47" s="282"/>
      <c r="E47" s="283"/>
      <c r="F47" s="239"/>
      <c r="G47" s="240">
        <f t="shared" si="0"/>
        <v>0</v>
      </c>
      <c r="H47" s="241">
        <f t="shared" si="1"/>
        <v>0</v>
      </c>
      <c r="I47" s="242"/>
      <c r="J47" s="243">
        <f t="shared" si="2"/>
        <v>0</v>
      </c>
      <c r="K47" s="240">
        <f t="shared" si="3"/>
        <v>0</v>
      </c>
      <c r="L47" s="240">
        <f t="shared" si="4"/>
        <v>0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0</v>
      </c>
      <c r="T47" s="248">
        <f t="shared" si="7"/>
        <v>0</v>
      </c>
      <c r="U47" s="249">
        <f t="shared" si="8"/>
        <v>0</v>
      </c>
      <c r="V47" s="249">
        <f t="shared" si="9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276"/>
      <c r="C48" s="284"/>
      <c r="D48" s="285"/>
      <c r="E48" s="279"/>
      <c r="F48" s="220"/>
      <c r="G48" s="221">
        <f t="shared" si="0"/>
        <v>0</v>
      </c>
      <c r="H48" s="222">
        <f t="shared" si="1"/>
        <v>0</v>
      </c>
      <c r="I48" s="242"/>
      <c r="J48" s="224">
        <f t="shared" si="2"/>
        <v>0</v>
      </c>
      <c r="K48" s="221">
        <f t="shared" si="3"/>
        <v>0</v>
      </c>
      <c r="L48" s="221">
        <f t="shared" si="4"/>
        <v>0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0</v>
      </c>
      <c r="T48" s="229">
        <f t="shared" si="7"/>
        <v>0</v>
      </c>
      <c r="U48" s="230">
        <f t="shared" si="8"/>
        <v>0</v>
      </c>
      <c r="V48" s="230">
        <f t="shared" si="9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280"/>
      <c r="C49" s="281"/>
      <c r="D49" s="282"/>
      <c r="E49" s="283"/>
      <c r="F49" s="239"/>
      <c r="G49" s="240">
        <f t="shared" si="0"/>
        <v>0</v>
      </c>
      <c r="H49" s="241">
        <f t="shared" si="1"/>
        <v>0</v>
      </c>
      <c r="I49" s="242"/>
      <c r="J49" s="243">
        <f t="shared" si="2"/>
        <v>0</v>
      </c>
      <c r="K49" s="240">
        <f t="shared" si="3"/>
        <v>0</v>
      </c>
      <c r="L49" s="240">
        <f t="shared" si="4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0</v>
      </c>
      <c r="T49" s="248">
        <f t="shared" si="7"/>
        <v>0</v>
      </c>
      <c r="U49" s="249">
        <f t="shared" si="8"/>
        <v>0</v>
      </c>
      <c r="V49" s="249">
        <f t="shared" si="9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276"/>
      <c r="C50" s="284"/>
      <c r="D50" s="285"/>
      <c r="E50" s="279"/>
      <c r="F50" s="220"/>
      <c r="G50" s="221">
        <f t="shared" si="0"/>
        <v>0</v>
      </c>
      <c r="H50" s="222">
        <f t="shared" si="1"/>
        <v>0</v>
      </c>
      <c r="I50" s="242"/>
      <c r="J50" s="224">
        <f t="shared" si="2"/>
        <v>0</v>
      </c>
      <c r="K50" s="221">
        <f t="shared" si="3"/>
        <v>0</v>
      </c>
      <c r="L50" s="221">
        <f t="shared" si="4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0</v>
      </c>
      <c r="T50" s="229">
        <f t="shared" si="7"/>
        <v>0</v>
      </c>
      <c r="U50" s="230">
        <f t="shared" si="8"/>
        <v>0</v>
      </c>
      <c r="V50" s="230">
        <f t="shared" si="9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280"/>
      <c r="C51" s="281"/>
      <c r="D51" s="282"/>
      <c r="E51" s="283"/>
      <c r="F51" s="239"/>
      <c r="G51" s="240">
        <f t="shared" si="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11</v>
      </c>
      <c r="F61" s="265">
        <f>SUM(F18:F60)</f>
        <v>785.43</v>
      </c>
      <c r="G61" s="266">
        <f>SUM(G18:G60)</f>
        <v>553.11</v>
      </c>
      <c r="H61" s="267">
        <f>SUM(H18:H60)</f>
        <v>2132.67</v>
      </c>
      <c r="I61" s="268"/>
      <c r="J61" s="269">
        <f>SUM(J18:J60)</f>
        <v>11</v>
      </c>
      <c r="K61" s="266">
        <f>SUM(K18:K60)</f>
        <v>386.5</v>
      </c>
      <c r="L61" s="267">
        <f>SUM(L18:L60)</f>
        <v>1060.1199999999999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386.5</v>
      </c>
      <c r="T61" s="267">
        <f>SUM(T18:T60)</f>
        <v>1060.1199999999999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79" priority="3" stopIfTrue="1">
      <formula>$U$9&gt;100%</formula>
    </cfRule>
    <cfRule type="expression" dxfId="78" priority="4">
      <formula>$U$9&lt;50%</formula>
    </cfRule>
  </conditionalFormatting>
  <conditionalFormatting sqref="V9:V10">
    <cfRule type="expression" dxfId="77" priority="1">
      <formula>$V$9&lt;50%</formula>
    </cfRule>
    <cfRule type="expression" dxfId="76" priority="2">
      <formula>$V$9&gt;50%</formula>
    </cfRule>
  </conditionalFormatting>
  <dataValidations count="5">
    <dataValidation type="list" allowBlank="1" showInputMessage="1" showErrorMessage="1" sqref="F17 K17 Q17 Q14" xr:uid="{C3D72D8D-6009-4DA1-B44F-EE8C9D74FB7D}">
      <formula1>$Y$11:$Y$12</formula1>
    </dataValidation>
    <dataValidation type="list" allowBlank="1" showInputMessage="1" showErrorMessage="1" sqref="H13" xr:uid="{E5E7D2E5-6E56-4B88-BA1C-D0A99D46A914}">
      <formula1>$Y$13:$Y$14</formula1>
    </dataValidation>
    <dataValidation type="list" allowBlank="1" showInputMessage="1" showErrorMessage="1" sqref="I13" xr:uid="{A90A2A08-AEFF-4D89-B6BA-4A03332455AD}">
      <formula1>$K$9:$K$9</formula1>
    </dataValidation>
    <dataValidation type="list" showInputMessage="1" showErrorMessage="1" sqref="D52:D60 D18:D26" xr:uid="{07DCD640-8CC0-4ADC-9776-F4454514BFE5}">
      <formula1>$Z$18:$Z$29</formula1>
    </dataValidation>
    <dataValidation type="list" allowBlank="1" showInputMessage="1" showErrorMessage="1" sqref="M18:M60" xr:uid="{650BAF09-E016-4AFE-BAE6-62C206D829D4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27747-87C4-41D8-B0F8-E5374E0404F5}">
  <sheetPr>
    <pageSetUpPr fitToPage="1"/>
  </sheetPr>
  <dimension ref="A1:AB63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523" t="s">
        <v>2</v>
      </c>
      <c r="I1" s="524"/>
      <c r="J1" s="524"/>
      <c r="K1" s="525"/>
      <c r="L1" s="528" t="s">
        <v>3</v>
      </c>
      <c r="M1" s="529"/>
      <c r="N1" s="529"/>
      <c r="O1" s="529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59">
        <v>438522</v>
      </c>
      <c r="G2" s="549"/>
      <c r="H2" s="546" t="s">
        <v>7</v>
      </c>
      <c r="I2" s="550"/>
      <c r="J2" s="547"/>
      <c r="K2" s="148"/>
      <c r="L2" s="551" t="s">
        <v>8</v>
      </c>
      <c r="M2" s="552"/>
      <c r="N2" s="553"/>
      <c r="O2" s="149"/>
      <c r="P2" s="554">
        <f>H61</f>
        <v>2132.67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532" t="s">
        <v>13</v>
      </c>
      <c r="I3" s="536"/>
      <c r="J3" s="533"/>
      <c r="K3" s="154"/>
      <c r="L3" s="537" t="s">
        <v>14</v>
      </c>
      <c r="M3" s="538"/>
      <c r="N3" s="539"/>
      <c r="O3" s="149"/>
      <c r="P3" s="540">
        <f>L61</f>
        <v>1060.1199999999999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665" t="s">
        <v>289</v>
      </c>
      <c r="G4" s="666"/>
      <c r="H4" s="532" t="s">
        <v>19</v>
      </c>
      <c r="I4" s="536"/>
      <c r="J4" s="533"/>
      <c r="K4" s="154"/>
      <c r="L4" s="537" t="s">
        <v>20</v>
      </c>
      <c r="M4" s="538"/>
      <c r="N4" s="539"/>
      <c r="O4" s="149"/>
      <c r="P4" s="540">
        <f>P2-P3</f>
        <v>1072.5500000000002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679">
        <v>600</v>
      </c>
      <c r="G5" s="680"/>
      <c r="H5" s="532" t="s">
        <v>25</v>
      </c>
      <c r="I5" s="536"/>
      <c r="J5" s="533"/>
      <c r="K5" s="154"/>
      <c r="L5" s="558" t="s">
        <v>26</v>
      </c>
      <c r="M5" s="559"/>
      <c r="N5" s="560"/>
      <c r="O5" s="149"/>
      <c r="P5" s="561">
        <f>IFERROR((P2-P3)/P2,"")</f>
        <v>0.5029141873801386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69" t="s">
        <v>379</v>
      </c>
      <c r="G6" s="666"/>
      <c r="H6" s="532" t="s">
        <v>31</v>
      </c>
      <c r="I6" s="536"/>
      <c r="J6" s="533"/>
      <c r="K6" s="154"/>
      <c r="L6" s="574" t="s">
        <v>32</v>
      </c>
      <c r="M6" s="575"/>
      <c r="N6" s="576"/>
      <c r="O6" s="149"/>
      <c r="P6" s="577">
        <f>T61</f>
        <v>1060.1199999999999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563"/>
      <c r="G7" s="535"/>
      <c r="H7" s="532" t="s">
        <v>36</v>
      </c>
      <c r="I7" s="536"/>
      <c r="J7" s="533"/>
      <c r="K7" s="154"/>
      <c r="L7" s="564" t="s">
        <v>37</v>
      </c>
      <c r="M7" s="565"/>
      <c r="N7" s="56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532" t="s">
        <v>40</v>
      </c>
      <c r="I8" s="536"/>
      <c r="J8" s="533"/>
      <c r="K8" s="154"/>
      <c r="L8" s="564" t="s">
        <v>41</v>
      </c>
      <c r="M8" s="565"/>
      <c r="N8" s="56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380</v>
      </c>
      <c r="G9" s="535"/>
      <c r="H9" s="171"/>
      <c r="I9" s="172"/>
      <c r="J9" s="172"/>
      <c r="K9" s="173"/>
      <c r="L9" s="564" t="s">
        <v>47</v>
      </c>
      <c r="M9" s="565"/>
      <c r="N9" s="56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1060.1199999999999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542" t="s">
        <v>48</v>
      </c>
      <c r="M10" s="579"/>
      <c r="N10" s="543"/>
      <c r="O10" s="149"/>
      <c r="P10" s="580">
        <f>E61</f>
        <v>11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650" t="s">
        <v>50</v>
      </c>
      <c r="K11" s="651"/>
      <c r="L11" s="651"/>
      <c r="M11" s="651"/>
      <c r="N11" s="652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653"/>
      <c r="K12" s="654"/>
      <c r="L12" s="654"/>
      <c r="M12" s="654"/>
      <c r="N12" s="655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656"/>
      <c r="K13" s="657"/>
      <c r="L13" s="657"/>
      <c r="M13" s="657"/>
      <c r="N13" s="658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601" t="s">
        <v>59</v>
      </c>
      <c r="K14" s="602"/>
      <c r="L14" s="605" t="s">
        <v>60</v>
      </c>
      <c r="M14" s="606"/>
      <c r="N14" s="60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603"/>
      <c r="K15" s="604"/>
      <c r="L15" s="608"/>
      <c r="M15" s="609"/>
      <c r="N15" s="61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631" t="s">
        <v>69</v>
      </c>
      <c r="K16" s="201" t="s">
        <v>72</v>
      </c>
      <c r="L16" s="202" t="s">
        <v>73</v>
      </c>
      <c r="M16" s="633" t="s">
        <v>74</v>
      </c>
      <c r="N16" s="633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8"/>
      <c r="C17" s="678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632"/>
      <c r="K17" s="614" t="s">
        <v>52</v>
      </c>
      <c r="L17" s="615"/>
      <c r="M17" s="634"/>
      <c r="N17" s="634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 s="292">
        <v>7026811</v>
      </c>
      <c r="C18" s="293" t="s">
        <v>290</v>
      </c>
      <c r="D18" s="295"/>
      <c r="E18" s="80">
        <v>1</v>
      </c>
      <c r="F18" s="81">
        <v>29.93</v>
      </c>
      <c r="G18" s="221">
        <f t="shared" ref="G18:G60" si="0">ROUND(IF($F$17="USD $", F18*$E$15,F18*$D$15),2)</f>
        <v>21.08</v>
      </c>
      <c r="H18" s="222">
        <f t="shared" ref="H18:H60" si="1">ROUND(IF($H$17=$G$17,E18*G18,E18*F18),2)</f>
        <v>29.93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11.37</v>
      </c>
      <c r="L18" s="221">
        <f t="shared" ref="L18:L60" si="4">ROUND((J18*K18),2)</f>
        <v>11.37</v>
      </c>
      <c r="M18" s="220" t="s">
        <v>84</v>
      </c>
      <c r="N18" s="225">
        <v>0.62</v>
      </c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11.37</v>
      </c>
      <c r="T18" s="229">
        <f t="shared" ref="T18:T60" si="7">ROUND(L18-R18,2)</f>
        <v>11.37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294">
        <v>7016328</v>
      </c>
      <c r="C19" s="294" t="s">
        <v>291</v>
      </c>
      <c r="D19" s="296"/>
      <c r="E19" s="97">
        <v>1</v>
      </c>
      <c r="F19" s="98">
        <v>23.25</v>
      </c>
      <c r="G19" s="240">
        <f t="shared" si="0"/>
        <v>16.37</v>
      </c>
      <c r="H19" s="241">
        <f t="shared" si="1"/>
        <v>23.25</v>
      </c>
      <c r="I19" s="242"/>
      <c r="J19" s="243">
        <f t="shared" si="2"/>
        <v>1</v>
      </c>
      <c r="K19" s="240">
        <f t="shared" si="3"/>
        <v>8.84</v>
      </c>
      <c r="L19" s="240">
        <f t="shared" si="4"/>
        <v>8.84</v>
      </c>
      <c r="M19" s="244" t="s">
        <v>84</v>
      </c>
      <c r="N19" s="245">
        <v>0.62</v>
      </c>
      <c r="O19" s="226"/>
      <c r="P19" s="246"/>
      <c r="Q19" s="239"/>
      <c r="R19" s="247">
        <f t="shared" si="5"/>
        <v>0</v>
      </c>
      <c r="S19" s="248">
        <f t="shared" si="6"/>
        <v>8.84</v>
      </c>
      <c r="T19" s="248">
        <f t="shared" si="7"/>
        <v>8.84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292">
        <v>7026830</v>
      </c>
      <c r="C20" s="292" t="s">
        <v>292</v>
      </c>
      <c r="D20" s="297"/>
      <c r="E20" s="80">
        <v>1</v>
      </c>
      <c r="F20" s="81">
        <v>97.24</v>
      </c>
      <c r="G20" s="221">
        <f t="shared" si="0"/>
        <v>68.48</v>
      </c>
      <c r="H20" s="222">
        <f t="shared" si="1"/>
        <v>97.24</v>
      </c>
      <c r="I20" s="242"/>
      <c r="J20" s="224">
        <f t="shared" si="2"/>
        <v>1</v>
      </c>
      <c r="K20" s="221">
        <f t="shared" si="3"/>
        <v>36.950000000000003</v>
      </c>
      <c r="L20" s="221">
        <f t="shared" si="4"/>
        <v>36.950000000000003</v>
      </c>
      <c r="M20" s="220" t="s">
        <v>84</v>
      </c>
      <c r="N20" s="254">
        <v>0.62</v>
      </c>
      <c r="O20" s="226"/>
      <c r="P20" s="255"/>
      <c r="Q20" s="228"/>
      <c r="R20" s="229">
        <f t="shared" si="5"/>
        <v>0</v>
      </c>
      <c r="S20" s="229">
        <f t="shared" si="6"/>
        <v>36.950000000000003</v>
      </c>
      <c r="T20" s="229">
        <f t="shared" si="7"/>
        <v>36.950000000000003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294">
        <v>91083218</v>
      </c>
      <c r="C21" s="294" t="s">
        <v>300</v>
      </c>
      <c r="D21" s="296"/>
      <c r="E21" s="97">
        <v>1</v>
      </c>
      <c r="F21" s="98">
        <v>31.47</v>
      </c>
      <c r="G21" s="240">
        <f t="shared" si="0"/>
        <v>22.16</v>
      </c>
      <c r="H21" s="241">
        <f t="shared" si="1"/>
        <v>31.47</v>
      </c>
      <c r="I21" s="242"/>
      <c r="J21" s="243">
        <f t="shared" si="2"/>
        <v>1</v>
      </c>
      <c r="K21" s="240">
        <f t="shared" si="3"/>
        <v>11.96</v>
      </c>
      <c r="L21" s="240">
        <f t="shared" si="4"/>
        <v>11.96</v>
      </c>
      <c r="M21" s="244" t="s">
        <v>84</v>
      </c>
      <c r="N21" s="245">
        <v>0.62</v>
      </c>
      <c r="O21" s="226"/>
      <c r="P21" s="246"/>
      <c r="Q21" s="239"/>
      <c r="R21" s="247">
        <f t="shared" si="5"/>
        <v>0</v>
      </c>
      <c r="S21" s="248">
        <f t="shared" si="6"/>
        <v>11.96</v>
      </c>
      <c r="T21" s="248">
        <f t="shared" si="7"/>
        <v>11.96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292">
        <v>7012664</v>
      </c>
      <c r="C22" s="292" t="s">
        <v>294</v>
      </c>
      <c r="D22" s="297"/>
      <c r="E22" s="80">
        <v>1</v>
      </c>
      <c r="F22" s="81">
        <v>55.71</v>
      </c>
      <c r="G22" s="221">
        <f t="shared" si="0"/>
        <v>39.229999999999997</v>
      </c>
      <c r="H22" s="222">
        <f t="shared" si="1"/>
        <v>55.71</v>
      </c>
      <c r="I22" s="242"/>
      <c r="J22" s="224">
        <f t="shared" si="2"/>
        <v>1</v>
      </c>
      <c r="K22" s="221">
        <f t="shared" si="3"/>
        <v>21.17</v>
      </c>
      <c r="L22" s="221">
        <f t="shared" si="4"/>
        <v>21.17</v>
      </c>
      <c r="M22" s="220" t="s">
        <v>84</v>
      </c>
      <c r="N22" s="254">
        <v>0.62</v>
      </c>
      <c r="O22" s="226"/>
      <c r="P22" s="255"/>
      <c r="Q22" s="228"/>
      <c r="R22" s="229">
        <f t="shared" si="5"/>
        <v>0</v>
      </c>
      <c r="S22" s="229">
        <f t="shared" si="6"/>
        <v>21.17</v>
      </c>
      <c r="T22" s="229">
        <f t="shared" si="7"/>
        <v>21.17</v>
      </c>
      <c r="U22" s="230">
        <f t="shared" si="8"/>
        <v>0</v>
      </c>
      <c r="V22" s="230">
        <f t="shared" si="9"/>
        <v>1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294"/>
      <c r="C23" s="294"/>
      <c r="D23" s="296"/>
      <c r="E23" s="97"/>
      <c r="F23" s="98"/>
      <c r="G23" s="240">
        <f t="shared" si="0"/>
        <v>0</v>
      </c>
      <c r="H23" s="241">
        <f t="shared" si="1"/>
        <v>0</v>
      </c>
      <c r="I23" s="242"/>
      <c r="J23" s="243">
        <f t="shared" si="2"/>
        <v>0</v>
      </c>
      <c r="K23" s="240">
        <f t="shared" si="3"/>
        <v>0</v>
      </c>
      <c r="L23" s="240">
        <f t="shared" si="4"/>
        <v>0</v>
      </c>
      <c r="M23" s="244" t="s">
        <v>84</v>
      </c>
      <c r="N23" s="245">
        <v>0.62</v>
      </c>
      <c r="O23" s="226"/>
      <c r="P23" s="246"/>
      <c r="Q23" s="239"/>
      <c r="R23" s="247">
        <f t="shared" si="5"/>
        <v>0</v>
      </c>
      <c r="S23" s="248">
        <f t="shared" si="6"/>
        <v>0</v>
      </c>
      <c r="T23" s="248">
        <f t="shared" si="7"/>
        <v>0</v>
      </c>
      <c r="U23" s="249">
        <f t="shared" si="8"/>
        <v>0</v>
      </c>
      <c r="V23" s="249">
        <f t="shared" si="9"/>
        <v>0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292">
        <v>2120210</v>
      </c>
      <c r="C24" s="292" t="s">
        <v>301</v>
      </c>
      <c r="D24" s="297"/>
      <c r="E24" s="80">
        <v>1</v>
      </c>
      <c r="F24" s="81">
        <v>43.67</v>
      </c>
      <c r="G24" s="221">
        <f t="shared" si="0"/>
        <v>30.75</v>
      </c>
      <c r="H24" s="222">
        <f t="shared" si="1"/>
        <v>43.67</v>
      </c>
      <c r="I24" s="242"/>
      <c r="J24" s="224">
        <f t="shared" si="2"/>
        <v>1</v>
      </c>
      <c r="K24" s="221">
        <f t="shared" si="3"/>
        <v>16.59</v>
      </c>
      <c r="L24" s="221">
        <f t="shared" si="4"/>
        <v>16.59</v>
      </c>
      <c r="M24" s="220" t="s">
        <v>84</v>
      </c>
      <c r="N24" s="254">
        <v>0.62</v>
      </c>
      <c r="O24" s="226"/>
      <c r="P24" s="255"/>
      <c r="Q24" s="228"/>
      <c r="R24" s="229">
        <f t="shared" si="5"/>
        <v>0</v>
      </c>
      <c r="S24" s="229">
        <f t="shared" si="6"/>
        <v>16.59</v>
      </c>
      <c r="T24" s="229">
        <f t="shared" si="7"/>
        <v>16.59</v>
      </c>
      <c r="U24" s="230">
        <f t="shared" si="8"/>
        <v>0</v>
      </c>
      <c r="V24" s="230">
        <f t="shared" si="9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 s="294">
        <v>2120149</v>
      </c>
      <c r="C25" s="294" t="s">
        <v>295</v>
      </c>
      <c r="D25" s="296"/>
      <c r="E25" s="97">
        <v>1</v>
      </c>
      <c r="F25" s="98">
        <v>55.08</v>
      </c>
      <c r="G25" s="240">
        <f t="shared" si="0"/>
        <v>38.79</v>
      </c>
      <c r="H25" s="241">
        <f t="shared" si="1"/>
        <v>55.08</v>
      </c>
      <c r="I25" s="242"/>
      <c r="J25" s="243">
        <f t="shared" si="2"/>
        <v>1</v>
      </c>
      <c r="K25" s="240">
        <f t="shared" si="3"/>
        <v>55.08</v>
      </c>
      <c r="L25" s="240">
        <f t="shared" si="4"/>
        <v>55.08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55.08</v>
      </c>
      <c r="T25" s="248">
        <f t="shared" si="7"/>
        <v>55.08</v>
      </c>
      <c r="U25" s="249">
        <f t="shared" si="8"/>
        <v>0</v>
      </c>
      <c r="V25" s="249">
        <f t="shared" si="9"/>
        <v>1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 s="357">
        <v>70003478</v>
      </c>
      <c r="C26" s="357" t="s">
        <v>298</v>
      </c>
      <c r="D26" s="297"/>
      <c r="E26" s="80">
        <v>4</v>
      </c>
      <c r="F26" s="81">
        <v>449.08</v>
      </c>
      <c r="G26" s="221">
        <f t="shared" si="0"/>
        <v>316.25</v>
      </c>
      <c r="H26" s="222">
        <f t="shared" si="1"/>
        <v>1796.32</v>
      </c>
      <c r="I26" s="242"/>
      <c r="J26" s="224">
        <f t="shared" si="2"/>
        <v>4</v>
      </c>
      <c r="K26" s="221">
        <f t="shared" si="3"/>
        <v>224.54</v>
      </c>
      <c r="L26" s="221">
        <f t="shared" si="4"/>
        <v>898.16</v>
      </c>
      <c r="M26" s="220" t="s">
        <v>84</v>
      </c>
      <c r="N26" s="254">
        <v>0.5</v>
      </c>
      <c r="O26" s="226"/>
      <c r="P26" s="255"/>
      <c r="Q26" s="228"/>
      <c r="R26" s="229">
        <f t="shared" si="5"/>
        <v>0</v>
      </c>
      <c r="S26" s="229">
        <f t="shared" si="6"/>
        <v>224.54</v>
      </c>
      <c r="T26" s="229">
        <f t="shared" si="7"/>
        <v>898.16</v>
      </c>
      <c r="U26" s="230">
        <f t="shared" si="8"/>
        <v>0</v>
      </c>
      <c r="V26" s="230">
        <f t="shared" si="9"/>
        <v>1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294"/>
      <c r="C27" s="294"/>
      <c r="D27" s="300"/>
      <c r="E27" s="356"/>
      <c r="F27" s="239"/>
      <c r="G27" s="240">
        <f t="shared" si="0"/>
        <v>0</v>
      </c>
      <c r="H27" s="241">
        <f t="shared" si="1"/>
        <v>0</v>
      </c>
      <c r="I27" s="242"/>
      <c r="J27" s="243">
        <f t="shared" si="2"/>
        <v>0</v>
      </c>
      <c r="K27" s="240">
        <f t="shared" si="3"/>
        <v>0</v>
      </c>
      <c r="L27" s="240">
        <f t="shared" si="4"/>
        <v>0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0</v>
      </c>
      <c r="T27" s="248">
        <f t="shared" si="7"/>
        <v>0</v>
      </c>
      <c r="U27" s="249">
        <f t="shared" si="8"/>
        <v>0</v>
      </c>
      <c r="V27" s="249">
        <f t="shared" si="9"/>
        <v>0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298"/>
      <c r="C28" s="298"/>
      <c r="D28" s="301"/>
      <c r="E28" s="279"/>
      <c r="F28" s="220"/>
      <c r="G28" s="221">
        <f t="shared" si="0"/>
        <v>0</v>
      </c>
      <c r="H28" s="222">
        <f t="shared" si="1"/>
        <v>0</v>
      </c>
      <c r="I28" s="242"/>
      <c r="J28" s="224">
        <f t="shared" si="2"/>
        <v>0</v>
      </c>
      <c r="K28" s="221">
        <f t="shared" si="3"/>
        <v>0</v>
      </c>
      <c r="L28" s="221">
        <f t="shared" si="4"/>
        <v>0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0</v>
      </c>
      <c r="T28" s="229">
        <f t="shared" si="7"/>
        <v>0</v>
      </c>
      <c r="U28" s="230">
        <f t="shared" si="8"/>
        <v>0</v>
      </c>
      <c r="V28" s="230">
        <f t="shared" si="9"/>
        <v>0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299"/>
      <c r="C29" s="299"/>
      <c r="D29" s="300"/>
      <c r="E29" s="283"/>
      <c r="F29" s="239"/>
      <c r="G29" s="240">
        <f t="shared" si="0"/>
        <v>0</v>
      </c>
      <c r="H29" s="241">
        <f t="shared" si="1"/>
        <v>0</v>
      </c>
      <c r="I29" s="242"/>
      <c r="J29" s="243">
        <f t="shared" si="2"/>
        <v>0</v>
      </c>
      <c r="K29" s="240">
        <f t="shared" si="3"/>
        <v>0</v>
      </c>
      <c r="L29" s="240">
        <f t="shared" si="4"/>
        <v>0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0</v>
      </c>
      <c r="T29" s="248">
        <f t="shared" si="7"/>
        <v>0</v>
      </c>
      <c r="U29" s="249">
        <f t="shared" si="8"/>
        <v>0</v>
      </c>
      <c r="V29" s="249">
        <f t="shared" si="9"/>
        <v>0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276"/>
      <c r="C30" s="277"/>
      <c r="D30" s="285"/>
      <c r="E30" s="279"/>
      <c r="F30" s="220"/>
      <c r="G30" s="221">
        <f t="shared" si="0"/>
        <v>0</v>
      </c>
      <c r="H30" s="222">
        <f t="shared" si="1"/>
        <v>0</v>
      </c>
      <c r="I30" s="242"/>
      <c r="J30" s="224">
        <f t="shared" si="2"/>
        <v>0</v>
      </c>
      <c r="K30" s="221">
        <f t="shared" si="3"/>
        <v>0</v>
      </c>
      <c r="L30" s="221">
        <f t="shared" si="4"/>
        <v>0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0</v>
      </c>
      <c r="T30" s="229">
        <f t="shared" si="7"/>
        <v>0</v>
      </c>
      <c r="U30" s="230">
        <f t="shared" si="8"/>
        <v>0</v>
      </c>
      <c r="V30" s="230">
        <f t="shared" si="9"/>
        <v>0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280"/>
      <c r="C31" s="281"/>
      <c r="D31" s="282"/>
      <c r="E31" s="283"/>
      <c r="F31" s="239"/>
      <c r="G31" s="240">
        <f t="shared" si="0"/>
        <v>0</v>
      </c>
      <c r="H31" s="241">
        <f t="shared" si="1"/>
        <v>0</v>
      </c>
      <c r="I31" s="242"/>
      <c r="J31" s="243">
        <f t="shared" si="2"/>
        <v>0</v>
      </c>
      <c r="K31" s="240">
        <f t="shared" si="3"/>
        <v>0</v>
      </c>
      <c r="L31" s="240">
        <f t="shared" si="4"/>
        <v>0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0</v>
      </c>
      <c r="T31" s="248">
        <f t="shared" si="7"/>
        <v>0</v>
      </c>
      <c r="U31" s="249">
        <f t="shared" si="8"/>
        <v>0</v>
      </c>
      <c r="V31" s="249">
        <f t="shared" si="9"/>
        <v>0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276"/>
      <c r="C32" s="284"/>
      <c r="D32" s="285"/>
      <c r="E32" s="279"/>
      <c r="F32" s="220"/>
      <c r="G32" s="221">
        <f t="shared" si="0"/>
        <v>0</v>
      </c>
      <c r="H32" s="222">
        <f t="shared" si="1"/>
        <v>0</v>
      </c>
      <c r="I32" s="242"/>
      <c r="J32" s="224">
        <f t="shared" si="2"/>
        <v>0</v>
      </c>
      <c r="K32" s="221">
        <f t="shared" si="3"/>
        <v>0</v>
      </c>
      <c r="L32" s="221">
        <f t="shared" si="4"/>
        <v>0</v>
      </c>
      <c r="M32" s="220" t="s">
        <v>84</v>
      </c>
      <c r="N32" s="254">
        <v>0.5</v>
      </c>
      <c r="O32" s="226"/>
      <c r="P32" s="255"/>
      <c r="Q32" s="228"/>
      <c r="R32" s="229">
        <f t="shared" si="5"/>
        <v>0</v>
      </c>
      <c r="S32" s="229">
        <f t="shared" si="6"/>
        <v>0</v>
      </c>
      <c r="T32" s="229">
        <f t="shared" si="7"/>
        <v>0</v>
      </c>
      <c r="U32" s="230">
        <f t="shared" si="8"/>
        <v>0</v>
      </c>
      <c r="V32" s="230">
        <f t="shared" si="9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280"/>
      <c r="C33" s="281"/>
      <c r="D33" s="282"/>
      <c r="E33" s="283"/>
      <c r="F33" s="239"/>
      <c r="G33" s="240">
        <f t="shared" si="0"/>
        <v>0</v>
      </c>
      <c r="H33" s="241">
        <f t="shared" si="1"/>
        <v>0</v>
      </c>
      <c r="I33" s="242"/>
      <c r="J33" s="243">
        <f t="shared" si="2"/>
        <v>0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276"/>
      <c r="C34" s="284"/>
      <c r="D34" s="285"/>
      <c r="E34" s="279"/>
      <c r="F34" s="220"/>
      <c r="G34" s="221">
        <f t="shared" si="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>
        <v>0.5</v>
      </c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280"/>
      <c r="C35" s="281"/>
      <c r="D35" s="282"/>
      <c r="E35" s="283"/>
      <c r="F35" s="239"/>
      <c r="G35" s="240">
        <f t="shared" si="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>
        <v>0.5</v>
      </c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276"/>
      <c r="C36" s="284"/>
      <c r="D36" s="285"/>
      <c r="E36" s="279"/>
      <c r="F36" s="220"/>
      <c r="G36" s="221">
        <f t="shared" si="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280"/>
      <c r="C37" s="281"/>
      <c r="D37" s="282"/>
      <c r="E37" s="283"/>
      <c r="F37" s="239"/>
      <c r="G37" s="240">
        <f t="shared" si="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276"/>
      <c r="C38" s="284"/>
      <c r="D38" s="285"/>
      <c r="E38" s="279"/>
      <c r="F38" s="220"/>
      <c r="G38" s="221">
        <f t="shared" si="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280"/>
      <c r="C39" s="281"/>
      <c r="D39" s="282"/>
      <c r="E39" s="283"/>
      <c r="F39" s="239"/>
      <c r="G39" s="240">
        <f t="shared" si="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276"/>
      <c r="C40" s="284"/>
      <c r="D40" s="285"/>
      <c r="E40" s="279"/>
      <c r="F40" s="220"/>
      <c r="G40" s="221">
        <f t="shared" si="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280"/>
      <c r="C41" s="281"/>
      <c r="D41" s="282"/>
      <c r="E41" s="283"/>
      <c r="F41" s="239"/>
      <c r="G41" s="240">
        <f t="shared" si="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276"/>
      <c r="C42" s="284"/>
      <c r="D42" s="285"/>
      <c r="E42" s="279"/>
      <c r="F42" s="220"/>
      <c r="G42" s="221">
        <f t="shared" si="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280"/>
      <c r="C43" s="281"/>
      <c r="D43" s="282"/>
      <c r="E43" s="283"/>
      <c r="F43" s="239"/>
      <c r="G43" s="240">
        <f t="shared" si="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276"/>
      <c r="C44" s="284"/>
      <c r="D44" s="285"/>
      <c r="E44" s="279"/>
      <c r="F44" s="220"/>
      <c r="G44" s="221">
        <f t="shared" si="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280"/>
      <c r="C45" s="281"/>
      <c r="D45" s="282"/>
      <c r="E45" s="283"/>
      <c r="F45" s="239"/>
      <c r="G45" s="240">
        <f t="shared" si="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276"/>
      <c r="C46" s="284"/>
      <c r="D46" s="285"/>
      <c r="E46" s="279"/>
      <c r="F46" s="220"/>
      <c r="G46" s="221">
        <f t="shared" si="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280"/>
      <c r="C47" s="281"/>
      <c r="D47" s="282"/>
      <c r="E47" s="283"/>
      <c r="F47" s="239"/>
      <c r="G47" s="240">
        <f t="shared" si="0"/>
        <v>0</v>
      </c>
      <c r="H47" s="241">
        <f t="shared" si="1"/>
        <v>0</v>
      </c>
      <c r="I47" s="242"/>
      <c r="J47" s="243">
        <f t="shared" si="2"/>
        <v>0</v>
      </c>
      <c r="K47" s="240">
        <f t="shared" si="3"/>
        <v>0</v>
      </c>
      <c r="L47" s="240">
        <f t="shared" si="4"/>
        <v>0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0</v>
      </c>
      <c r="T47" s="248">
        <f t="shared" si="7"/>
        <v>0</v>
      </c>
      <c r="U47" s="249">
        <f t="shared" si="8"/>
        <v>0</v>
      </c>
      <c r="V47" s="249">
        <f t="shared" si="9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276"/>
      <c r="C48" s="284"/>
      <c r="D48" s="285"/>
      <c r="E48" s="279"/>
      <c r="F48" s="220"/>
      <c r="G48" s="221">
        <f t="shared" si="0"/>
        <v>0</v>
      </c>
      <c r="H48" s="222">
        <f t="shared" si="1"/>
        <v>0</v>
      </c>
      <c r="I48" s="242"/>
      <c r="J48" s="224">
        <f t="shared" si="2"/>
        <v>0</v>
      </c>
      <c r="K48" s="221">
        <f t="shared" si="3"/>
        <v>0</v>
      </c>
      <c r="L48" s="221">
        <f t="shared" si="4"/>
        <v>0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0</v>
      </c>
      <c r="T48" s="229">
        <f t="shared" si="7"/>
        <v>0</v>
      </c>
      <c r="U48" s="230">
        <f t="shared" si="8"/>
        <v>0</v>
      </c>
      <c r="V48" s="230">
        <f t="shared" si="9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280"/>
      <c r="C49" s="281"/>
      <c r="D49" s="282"/>
      <c r="E49" s="283"/>
      <c r="F49" s="239"/>
      <c r="G49" s="240">
        <f t="shared" si="0"/>
        <v>0</v>
      </c>
      <c r="H49" s="241">
        <f t="shared" si="1"/>
        <v>0</v>
      </c>
      <c r="I49" s="242"/>
      <c r="J49" s="243">
        <f t="shared" si="2"/>
        <v>0</v>
      </c>
      <c r="K49" s="240">
        <f t="shared" si="3"/>
        <v>0</v>
      </c>
      <c r="L49" s="240">
        <f t="shared" si="4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0</v>
      </c>
      <c r="T49" s="248">
        <f t="shared" si="7"/>
        <v>0</v>
      </c>
      <c r="U49" s="249">
        <f t="shared" si="8"/>
        <v>0</v>
      </c>
      <c r="V49" s="249">
        <f t="shared" si="9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276"/>
      <c r="C50" s="284"/>
      <c r="D50" s="285"/>
      <c r="E50" s="279"/>
      <c r="F50" s="220"/>
      <c r="G50" s="221">
        <f t="shared" si="0"/>
        <v>0</v>
      </c>
      <c r="H50" s="222">
        <f t="shared" si="1"/>
        <v>0</v>
      </c>
      <c r="I50" s="242"/>
      <c r="J50" s="224">
        <f t="shared" si="2"/>
        <v>0</v>
      </c>
      <c r="K50" s="221">
        <f t="shared" si="3"/>
        <v>0</v>
      </c>
      <c r="L50" s="221">
        <f t="shared" si="4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0</v>
      </c>
      <c r="T50" s="229">
        <f t="shared" si="7"/>
        <v>0</v>
      </c>
      <c r="U50" s="230">
        <f t="shared" si="8"/>
        <v>0</v>
      </c>
      <c r="V50" s="230">
        <f t="shared" si="9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280"/>
      <c r="C51" s="281"/>
      <c r="D51" s="282"/>
      <c r="E51" s="283"/>
      <c r="F51" s="239"/>
      <c r="G51" s="240">
        <f t="shared" si="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11</v>
      </c>
      <c r="F61" s="265">
        <f>SUM(F18:F60)</f>
        <v>785.43</v>
      </c>
      <c r="G61" s="266">
        <f>SUM(G18:G60)</f>
        <v>553.11</v>
      </c>
      <c r="H61" s="267">
        <f>SUM(H18:H60)</f>
        <v>2132.67</v>
      </c>
      <c r="I61" s="268"/>
      <c r="J61" s="269">
        <f>SUM(J18:J60)</f>
        <v>11</v>
      </c>
      <c r="K61" s="266">
        <f>SUM(K18:K60)</f>
        <v>386.5</v>
      </c>
      <c r="L61" s="267">
        <f>SUM(L18:L60)</f>
        <v>1060.1199999999999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386.5</v>
      </c>
      <c r="T61" s="267">
        <f>SUM(T18:T60)</f>
        <v>1060.1199999999999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75" priority="3" stopIfTrue="1">
      <formula>$U$9&gt;100%</formula>
    </cfRule>
    <cfRule type="expression" dxfId="74" priority="4">
      <formula>$U$9&lt;50%</formula>
    </cfRule>
  </conditionalFormatting>
  <conditionalFormatting sqref="V9:V10">
    <cfRule type="expression" dxfId="73" priority="1">
      <formula>$V$9&lt;50%</formula>
    </cfRule>
    <cfRule type="expression" dxfId="72" priority="2">
      <formula>$V$9&gt;50%</formula>
    </cfRule>
  </conditionalFormatting>
  <dataValidations count="5">
    <dataValidation type="list" allowBlank="1" showInputMessage="1" showErrorMessage="1" sqref="M18:M60" xr:uid="{023C2163-DB71-4EE5-A1DC-EB65BA7FE855}">
      <formula1>$Y$31:$Y$32</formula1>
    </dataValidation>
    <dataValidation type="list" showInputMessage="1" showErrorMessage="1" sqref="D52:D60 D18:D26" xr:uid="{3A4CDD09-5FB2-4379-A0D5-B56BFDCF3A13}">
      <formula1>$Z$18:$Z$29</formula1>
    </dataValidation>
    <dataValidation type="list" allowBlank="1" showInputMessage="1" showErrorMessage="1" sqref="I13" xr:uid="{D6CD1571-AFEC-4356-B13B-640974D5BC65}">
      <formula1>$K$9:$K$9</formula1>
    </dataValidation>
    <dataValidation type="list" allowBlank="1" showInputMessage="1" showErrorMessage="1" sqref="H13" xr:uid="{D9DBAA6A-E595-407E-9BB0-A01AE2A7F1A6}">
      <formula1>$Y$13:$Y$14</formula1>
    </dataValidation>
    <dataValidation type="list" allowBlank="1" showInputMessage="1" showErrorMessage="1" sqref="F17 K17 Q17 Q14" xr:uid="{2ED0185E-195F-4170-970A-6F3568F791BD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93B68-76FA-4AAF-88B3-BA41F64337CA}">
  <sheetPr>
    <pageSetUpPr fitToPage="1"/>
  </sheetPr>
  <dimension ref="A1:AB63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523" t="s">
        <v>2</v>
      </c>
      <c r="I1" s="524"/>
      <c r="J1" s="524"/>
      <c r="K1" s="525"/>
      <c r="L1" s="528" t="s">
        <v>3</v>
      </c>
      <c r="M1" s="529"/>
      <c r="N1" s="529"/>
      <c r="O1" s="529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77">
        <v>434629</v>
      </c>
      <c r="G2" s="549"/>
      <c r="H2" s="546" t="s">
        <v>7</v>
      </c>
      <c r="I2" s="550"/>
      <c r="J2" s="547"/>
      <c r="K2" s="148"/>
      <c r="L2" s="551" t="s">
        <v>8</v>
      </c>
      <c r="M2" s="552"/>
      <c r="N2" s="553"/>
      <c r="O2" s="149"/>
      <c r="P2" s="554">
        <f>H61</f>
        <v>22798.49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532" t="s">
        <v>13</v>
      </c>
      <c r="I3" s="536"/>
      <c r="J3" s="533"/>
      <c r="K3" s="154"/>
      <c r="L3" s="537" t="s">
        <v>14</v>
      </c>
      <c r="M3" s="538"/>
      <c r="N3" s="539"/>
      <c r="O3" s="149"/>
      <c r="P3" s="540">
        <f>L61</f>
        <v>21569.730000000003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676" t="s">
        <v>303</v>
      </c>
      <c r="G4" s="673"/>
      <c r="H4" s="532" t="s">
        <v>19</v>
      </c>
      <c r="I4" s="536"/>
      <c r="J4" s="533"/>
      <c r="K4" s="154"/>
      <c r="L4" s="537" t="s">
        <v>20</v>
      </c>
      <c r="M4" s="538"/>
      <c r="N4" s="539"/>
      <c r="O4" s="149"/>
      <c r="P4" s="540">
        <f>P2-P3</f>
        <v>1228.7599999999984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684" t="s">
        <v>304</v>
      </c>
      <c r="G5" s="685"/>
      <c r="H5" s="532" t="s">
        <v>25</v>
      </c>
      <c r="I5" s="536"/>
      <c r="J5" s="533"/>
      <c r="K5" s="154"/>
      <c r="L5" s="558" t="s">
        <v>26</v>
      </c>
      <c r="M5" s="559"/>
      <c r="N5" s="560"/>
      <c r="O5" s="149"/>
      <c r="P5" s="561">
        <f>IFERROR((P2-P3)/P2,"")</f>
        <v>5.3896551920763099E-2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72" t="s">
        <v>305</v>
      </c>
      <c r="G6" s="673"/>
      <c r="H6" s="532" t="s">
        <v>31</v>
      </c>
      <c r="I6" s="536"/>
      <c r="J6" s="533"/>
      <c r="K6" s="154"/>
      <c r="L6" s="574" t="s">
        <v>32</v>
      </c>
      <c r="M6" s="575"/>
      <c r="N6" s="576"/>
      <c r="O6" s="149"/>
      <c r="P6" s="577">
        <f>T61</f>
        <v>21569.730000000003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671"/>
      <c r="G7" s="535"/>
      <c r="H7" s="532" t="s">
        <v>36</v>
      </c>
      <c r="I7" s="536"/>
      <c r="J7" s="533"/>
      <c r="K7" s="154"/>
      <c r="L7" s="564" t="s">
        <v>37</v>
      </c>
      <c r="M7" s="565"/>
      <c r="N7" s="56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532" t="s">
        <v>40</v>
      </c>
      <c r="I8" s="536"/>
      <c r="J8" s="533"/>
      <c r="K8" s="154"/>
      <c r="L8" s="564" t="s">
        <v>41</v>
      </c>
      <c r="M8" s="565"/>
      <c r="N8" s="56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378</v>
      </c>
      <c r="G9" s="535"/>
      <c r="H9" s="171"/>
      <c r="I9" s="172"/>
      <c r="J9" s="172"/>
      <c r="K9" s="173"/>
      <c r="L9" s="564" t="s">
        <v>47</v>
      </c>
      <c r="M9" s="565"/>
      <c r="N9" s="56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21569.730000000003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542" t="s">
        <v>48</v>
      </c>
      <c r="M10" s="579"/>
      <c r="N10" s="543"/>
      <c r="O10" s="149"/>
      <c r="P10" s="580">
        <f>E61</f>
        <v>16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650" t="s">
        <v>50</v>
      </c>
      <c r="K11" s="651"/>
      <c r="L11" s="651"/>
      <c r="M11" s="651"/>
      <c r="N11" s="652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653"/>
      <c r="K12" s="654"/>
      <c r="L12" s="654"/>
      <c r="M12" s="654"/>
      <c r="N12" s="655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656"/>
      <c r="K13" s="657"/>
      <c r="L13" s="657"/>
      <c r="M13" s="657"/>
      <c r="N13" s="658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601" t="s">
        <v>59</v>
      </c>
      <c r="K14" s="602"/>
      <c r="L14" s="605" t="s">
        <v>60</v>
      </c>
      <c r="M14" s="606"/>
      <c r="N14" s="60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603"/>
      <c r="K15" s="604"/>
      <c r="L15" s="608"/>
      <c r="M15" s="609"/>
      <c r="N15" s="61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631" t="s">
        <v>69</v>
      </c>
      <c r="K16" s="201" t="s">
        <v>72</v>
      </c>
      <c r="L16" s="202" t="s">
        <v>73</v>
      </c>
      <c r="M16" s="633" t="s">
        <v>74</v>
      </c>
      <c r="N16" s="633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8"/>
      <c r="C17" s="678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632"/>
      <c r="K17" s="614" t="s">
        <v>52</v>
      </c>
      <c r="L17" s="615"/>
      <c r="M17" s="634"/>
      <c r="N17" s="634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 s="383" t="s">
        <v>306</v>
      </c>
      <c r="C18" s="377" t="s">
        <v>307</v>
      </c>
      <c r="D18" s="367">
        <v>500</v>
      </c>
      <c r="E18" s="219">
        <v>1</v>
      </c>
      <c r="F18" s="220">
        <v>278.85000000000002</v>
      </c>
      <c r="G18" s="221"/>
      <c r="H18" s="222">
        <f t="shared" ref="H18:H60" si="0">ROUND(IF($H$17=$G$17,E18*G18,E18*F18),2)</f>
        <v>278.85000000000002</v>
      </c>
      <c r="I18" s="223"/>
      <c r="J18" s="224">
        <f t="shared" ref="J18:J60" si="1">E18</f>
        <v>1</v>
      </c>
      <c r="K18" s="221">
        <f t="shared" ref="K18:K60" si="2">IFERROR(IF(M18="OEM DISC %",ROUND(IF($K$17=$F$17,F18*(1-N18),G18*(1-N18)),2),IF(M18="MARKUP %",ROUND(R18/J18*(1+N18),2))),0)</f>
        <v>105.96</v>
      </c>
      <c r="L18" s="221">
        <f t="shared" ref="L18:L60" si="3">ROUND((J18*K18),2)</f>
        <v>105.96</v>
      </c>
      <c r="M18" s="220" t="s">
        <v>84</v>
      </c>
      <c r="N18" s="225">
        <v>0.62</v>
      </c>
      <c r="O18" s="226"/>
      <c r="P18" s="227"/>
      <c r="Q18" s="228"/>
      <c r="R18" s="229">
        <f t="shared" ref="R18:R60" si="4">ROUND(IF($R$17=$Q$17,Q18,IF($R$17="USD $",Q18*$D$15,Q18*$E$15))*E18,2)</f>
        <v>0</v>
      </c>
      <c r="S18" s="229">
        <f t="shared" ref="S18:S60" si="5">IFERROR(ROUND(T18/E18,2),0)</f>
        <v>105.96</v>
      </c>
      <c r="T18" s="229">
        <f t="shared" ref="T18:T60" si="6">ROUND(L18-R18,2)</f>
        <v>105.96</v>
      </c>
      <c r="U18" s="230">
        <f t="shared" ref="U18:U60" si="7">IFERROR(((K18-(R18/J18))/(R18/J18)),0)</f>
        <v>0</v>
      </c>
      <c r="V18" s="230">
        <f t="shared" ref="V18:V60" si="8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384">
        <v>925683</v>
      </c>
      <c r="C19" s="378" t="s">
        <v>182</v>
      </c>
      <c r="D19" s="368">
        <v>1000</v>
      </c>
      <c r="E19" s="238">
        <v>1</v>
      </c>
      <c r="F19" s="239">
        <v>83.76</v>
      </c>
      <c r="G19" s="240"/>
      <c r="H19" s="241">
        <f t="shared" si="0"/>
        <v>83.76</v>
      </c>
      <c r="I19" s="242"/>
      <c r="J19" s="243">
        <f t="shared" si="1"/>
        <v>1</v>
      </c>
      <c r="K19" s="240">
        <f t="shared" si="2"/>
        <v>31.83</v>
      </c>
      <c r="L19" s="240">
        <f t="shared" si="3"/>
        <v>31.83</v>
      </c>
      <c r="M19" s="244" t="s">
        <v>84</v>
      </c>
      <c r="N19" s="245">
        <v>0.62</v>
      </c>
      <c r="O19" s="226"/>
      <c r="P19" s="246"/>
      <c r="Q19" s="239"/>
      <c r="R19" s="247">
        <f t="shared" si="4"/>
        <v>0</v>
      </c>
      <c r="S19" s="248">
        <f t="shared" si="5"/>
        <v>31.83</v>
      </c>
      <c r="T19" s="248">
        <f t="shared" si="6"/>
        <v>31.83</v>
      </c>
      <c r="U19" s="249">
        <f t="shared" si="7"/>
        <v>0</v>
      </c>
      <c r="V19" s="249">
        <f t="shared" si="8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384" t="s">
        <v>308</v>
      </c>
      <c r="C20" s="378" t="s">
        <v>253</v>
      </c>
      <c r="D20" s="358">
        <v>375</v>
      </c>
      <c r="E20" s="238">
        <v>1</v>
      </c>
      <c r="F20" s="220">
        <v>52.04</v>
      </c>
      <c r="G20" s="221"/>
      <c r="H20" s="222">
        <f t="shared" si="0"/>
        <v>52.04</v>
      </c>
      <c r="I20" s="242"/>
      <c r="J20" s="224">
        <f t="shared" si="1"/>
        <v>1</v>
      </c>
      <c r="K20" s="221">
        <f t="shared" si="2"/>
        <v>19.78</v>
      </c>
      <c r="L20" s="221">
        <f t="shared" si="3"/>
        <v>19.78</v>
      </c>
      <c r="M20" s="220" t="s">
        <v>84</v>
      </c>
      <c r="N20" s="254">
        <v>0.62</v>
      </c>
      <c r="O20" s="226"/>
      <c r="P20" s="255"/>
      <c r="Q20" s="228"/>
      <c r="R20" s="229">
        <f t="shared" si="4"/>
        <v>0</v>
      </c>
      <c r="S20" s="229">
        <f t="shared" si="5"/>
        <v>19.78</v>
      </c>
      <c r="T20" s="229">
        <f t="shared" si="6"/>
        <v>19.78</v>
      </c>
      <c r="U20" s="230">
        <f t="shared" si="7"/>
        <v>0</v>
      </c>
      <c r="V20" s="230">
        <f t="shared" si="8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384" t="s">
        <v>309</v>
      </c>
      <c r="C21" s="378" t="s">
        <v>310</v>
      </c>
      <c r="D21" s="368">
        <v>500</v>
      </c>
      <c r="E21" s="238">
        <v>1</v>
      </c>
      <c r="F21" s="239">
        <v>89.68</v>
      </c>
      <c r="G21" s="240"/>
      <c r="H21" s="241">
        <f t="shared" si="0"/>
        <v>89.68</v>
      </c>
      <c r="I21" s="242"/>
      <c r="J21" s="243">
        <f t="shared" si="1"/>
        <v>1</v>
      </c>
      <c r="K21" s="240">
        <f t="shared" si="2"/>
        <v>34.08</v>
      </c>
      <c r="L21" s="240">
        <f t="shared" si="3"/>
        <v>34.08</v>
      </c>
      <c r="M21" s="244" t="s">
        <v>84</v>
      </c>
      <c r="N21" s="245">
        <v>0.62</v>
      </c>
      <c r="O21" s="226"/>
      <c r="P21" s="246"/>
      <c r="Q21" s="239"/>
      <c r="R21" s="247">
        <f t="shared" si="4"/>
        <v>0</v>
      </c>
      <c r="S21" s="248">
        <f t="shared" si="5"/>
        <v>34.08</v>
      </c>
      <c r="T21" s="248">
        <f t="shared" si="6"/>
        <v>34.08</v>
      </c>
      <c r="U21" s="249">
        <f t="shared" si="7"/>
        <v>0</v>
      </c>
      <c r="V21" s="249">
        <f t="shared" si="8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383">
        <v>925346</v>
      </c>
      <c r="C22" s="377" t="s">
        <v>311</v>
      </c>
      <c r="D22" s="369">
        <v>500</v>
      </c>
      <c r="E22" s="238">
        <v>1</v>
      </c>
      <c r="F22" s="220">
        <v>155.6</v>
      </c>
      <c r="G22" s="221"/>
      <c r="H22" s="222">
        <f t="shared" si="0"/>
        <v>155.6</v>
      </c>
      <c r="I22" s="242"/>
      <c r="J22" s="224">
        <f t="shared" si="1"/>
        <v>1</v>
      </c>
      <c r="K22" s="221">
        <f t="shared" si="2"/>
        <v>59.13</v>
      </c>
      <c r="L22" s="221">
        <f t="shared" si="3"/>
        <v>59.13</v>
      </c>
      <c r="M22" s="220" t="s">
        <v>84</v>
      </c>
      <c r="N22" s="254">
        <v>0.62</v>
      </c>
      <c r="O22" s="226"/>
      <c r="P22" s="255"/>
      <c r="Q22" s="228"/>
      <c r="R22" s="229">
        <f t="shared" si="4"/>
        <v>0</v>
      </c>
      <c r="S22" s="229">
        <f t="shared" si="5"/>
        <v>59.13</v>
      </c>
      <c r="T22" s="229">
        <f t="shared" si="6"/>
        <v>59.13</v>
      </c>
      <c r="U22" s="230">
        <f t="shared" si="7"/>
        <v>0</v>
      </c>
      <c r="V22" s="230">
        <f t="shared" si="8"/>
        <v>1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384">
        <v>925759</v>
      </c>
      <c r="C23" s="378" t="s">
        <v>312</v>
      </c>
      <c r="D23" s="358">
        <v>375</v>
      </c>
      <c r="E23" s="238">
        <v>1</v>
      </c>
      <c r="F23" s="239">
        <v>59.15</v>
      </c>
      <c r="G23" s="240"/>
      <c r="H23" s="241">
        <f t="shared" si="0"/>
        <v>59.15</v>
      </c>
      <c r="I23" s="242"/>
      <c r="J23" s="243">
        <f t="shared" si="1"/>
        <v>1</v>
      </c>
      <c r="K23" s="240">
        <f t="shared" si="2"/>
        <v>22.48</v>
      </c>
      <c r="L23" s="240">
        <f t="shared" si="3"/>
        <v>22.48</v>
      </c>
      <c r="M23" s="244" t="s">
        <v>84</v>
      </c>
      <c r="N23" s="245">
        <v>0.62</v>
      </c>
      <c r="O23" s="226"/>
      <c r="P23" s="246"/>
      <c r="Q23" s="239"/>
      <c r="R23" s="247">
        <f t="shared" si="4"/>
        <v>0</v>
      </c>
      <c r="S23" s="248">
        <f t="shared" si="5"/>
        <v>22.48</v>
      </c>
      <c r="T23" s="248">
        <f t="shared" si="6"/>
        <v>22.48</v>
      </c>
      <c r="U23" s="249">
        <f t="shared" si="7"/>
        <v>0</v>
      </c>
      <c r="V23" s="249">
        <f t="shared" si="8"/>
        <v>1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383" t="s">
        <v>313</v>
      </c>
      <c r="C24" s="377" t="s">
        <v>312</v>
      </c>
      <c r="D24" s="358">
        <v>375</v>
      </c>
      <c r="E24" s="238">
        <v>1</v>
      </c>
      <c r="F24" s="220">
        <v>110.2</v>
      </c>
      <c r="G24" s="221"/>
      <c r="H24" s="222">
        <f t="shared" si="0"/>
        <v>110.2</v>
      </c>
      <c r="I24" s="242"/>
      <c r="J24" s="224">
        <f t="shared" si="1"/>
        <v>1</v>
      </c>
      <c r="K24" s="221">
        <f t="shared" si="2"/>
        <v>41.88</v>
      </c>
      <c r="L24" s="221">
        <f t="shared" si="3"/>
        <v>41.88</v>
      </c>
      <c r="M24" s="220" t="s">
        <v>84</v>
      </c>
      <c r="N24" s="254">
        <v>0.62</v>
      </c>
      <c r="O24" s="226"/>
      <c r="P24" s="255"/>
      <c r="Q24" s="228"/>
      <c r="R24" s="229">
        <f t="shared" si="4"/>
        <v>0</v>
      </c>
      <c r="S24" s="229">
        <f t="shared" si="5"/>
        <v>41.88</v>
      </c>
      <c r="T24" s="229">
        <f t="shared" si="6"/>
        <v>41.88</v>
      </c>
      <c r="U24" s="230">
        <f t="shared" si="7"/>
        <v>0</v>
      </c>
      <c r="V24" s="230">
        <f t="shared" si="8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 s="384">
        <v>23654</v>
      </c>
      <c r="C25" s="378" t="s">
        <v>314</v>
      </c>
      <c r="D25" s="368" t="s">
        <v>101</v>
      </c>
      <c r="E25" s="238">
        <v>1</v>
      </c>
      <c r="F25" s="239">
        <v>327.2</v>
      </c>
      <c r="G25" s="240"/>
      <c r="H25" s="241">
        <f t="shared" si="0"/>
        <v>327.2</v>
      </c>
      <c r="I25" s="242"/>
      <c r="J25" s="243">
        <f t="shared" si="1"/>
        <v>1</v>
      </c>
      <c r="K25" s="240">
        <f t="shared" si="2"/>
        <v>327.2</v>
      </c>
      <c r="L25" s="240">
        <f t="shared" si="3"/>
        <v>327.2</v>
      </c>
      <c r="M25" s="244" t="s">
        <v>84</v>
      </c>
      <c r="N25" s="245"/>
      <c r="O25" s="226"/>
      <c r="P25" s="246"/>
      <c r="Q25" s="239"/>
      <c r="R25" s="247">
        <f t="shared" si="4"/>
        <v>0</v>
      </c>
      <c r="S25" s="248">
        <f t="shared" si="5"/>
        <v>327.2</v>
      </c>
      <c r="T25" s="248">
        <f t="shared" si="6"/>
        <v>327.2</v>
      </c>
      <c r="U25" s="249">
        <f t="shared" si="7"/>
        <v>0</v>
      </c>
      <c r="V25" s="249">
        <f t="shared" si="8"/>
        <v>1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 s="385" t="s">
        <v>315</v>
      </c>
      <c r="C26" s="377" t="s">
        <v>189</v>
      </c>
      <c r="D26" s="369" t="s">
        <v>101</v>
      </c>
      <c r="E26" s="238">
        <v>1</v>
      </c>
      <c r="F26" s="220">
        <v>1429.25</v>
      </c>
      <c r="G26" s="221"/>
      <c r="H26" s="222">
        <f t="shared" si="0"/>
        <v>1429.25</v>
      </c>
      <c r="I26" s="242"/>
      <c r="J26" s="224">
        <f t="shared" si="1"/>
        <v>1</v>
      </c>
      <c r="K26" s="221">
        <f t="shared" si="2"/>
        <v>714.63</v>
      </c>
      <c r="L26" s="221">
        <f t="shared" si="3"/>
        <v>714.63</v>
      </c>
      <c r="M26" s="220" t="s">
        <v>84</v>
      </c>
      <c r="N26" s="254">
        <v>0.5</v>
      </c>
      <c r="O26" s="226"/>
      <c r="P26" s="255"/>
      <c r="Q26" s="228"/>
      <c r="R26" s="229">
        <f t="shared" si="4"/>
        <v>0</v>
      </c>
      <c r="S26" s="229">
        <f t="shared" si="5"/>
        <v>714.63</v>
      </c>
      <c r="T26" s="229">
        <f t="shared" si="6"/>
        <v>714.63</v>
      </c>
      <c r="U26" s="230">
        <f t="shared" si="7"/>
        <v>0</v>
      </c>
      <c r="V26" s="230">
        <f t="shared" si="8"/>
        <v>1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384">
        <v>2709</v>
      </c>
      <c r="C27" s="378" t="s">
        <v>112</v>
      </c>
      <c r="D27" s="369" t="s">
        <v>101</v>
      </c>
      <c r="E27" s="238">
        <v>1</v>
      </c>
      <c r="F27" s="239">
        <v>2579.15</v>
      </c>
      <c r="G27" s="240"/>
      <c r="H27" s="241">
        <f t="shared" si="0"/>
        <v>2579.15</v>
      </c>
      <c r="I27" s="242"/>
      <c r="J27" s="243">
        <f t="shared" si="1"/>
        <v>1</v>
      </c>
      <c r="K27" s="240">
        <f t="shared" si="2"/>
        <v>2579.15</v>
      </c>
      <c r="L27" s="240">
        <f t="shared" si="3"/>
        <v>2579.15</v>
      </c>
      <c r="M27" s="244" t="s">
        <v>84</v>
      </c>
      <c r="N27" s="245"/>
      <c r="O27" s="226"/>
      <c r="P27" s="246"/>
      <c r="Q27" s="239"/>
      <c r="R27" s="247">
        <f t="shared" si="4"/>
        <v>0</v>
      </c>
      <c r="S27" s="248">
        <f t="shared" si="5"/>
        <v>2579.15</v>
      </c>
      <c r="T27" s="248">
        <f t="shared" si="6"/>
        <v>2579.15</v>
      </c>
      <c r="U27" s="249">
        <f t="shared" si="7"/>
        <v>0</v>
      </c>
      <c r="V27" s="249">
        <f t="shared" si="8"/>
        <v>1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366">
        <v>6881</v>
      </c>
      <c r="C28" s="377" t="s">
        <v>298</v>
      </c>
      <c r="D28" s="373">
        <v>6000</v>
      </c>
      <c r="E28" s="238">
        <v>1</v>
      </c>
      <c r="F28" s="220">
        <v>1155.76</v>
      </c>
      <c r="G28" s="221">
        <f t="shared" ref="G28:G60" si="9">ROUND(IF($F$17="USD $", F28*$E$15,F28*$D$15),2)</f>
        <v>813.92</v>
      </c>
      <c r="H28" s="222">
        <f t="shared" si="0"/>
        <v>1155.76</v>
      </c>
      <c r="I28" s="242"/>
      <c r="J28" s="224">
        <f t="shared" si="1"/>
        <v>1</v>
      </c>
      <c r="K28" s="221">
        <f t="shared" si="2"/>
        <v>1155.76</v>
      </c>
      <c r="L28" s="221">
        <f t="shared" si="3"/>
        <v>1155.76</v>
      </c>
      <c r="M28" s="220" t="s">
        <v>84</v>
      </c>
      <c r="N28" s="254"/>
      <c r="O28" s="226"/>
      <c r="P28" s="255"/>
      <c r="Q28" s="228"/>
      <c r="R28" s="229">
        <f t="shared" si="4"/>
        <v>0</v>
      </c>
      <c r="S28" s="229">
        <f t="shared" si="5"/>
        <v>1155.76</v>
      </c>
      <c r="T28" s="229">
        <f t="shared" si="6"/>
        <v>1155.76</v>
      </c>
      <c r="U28" s="230">
        <f t="shared" si="7"/>
        <v>0</v>
      </c>
      <c r="V28" s="230">
        <f t="shared" si="8"/>
        <v>1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386" t="s">
        <v>316</v>
      </c>
      <c r="C29" s="378" t="s">
        <v>185</v>
      </c>
      <c r="D29" s="373">
        <v>6000</v>
      </c>
      <c r="E29" s="238">
        <v>1</v>
      </c>
      <c r="F29" s="239">
        <v>2254.65</v>
      </c>
      <c r="G29" s="240">
        <f t="shared" si="9"/>
        <v>1587.78</v>
      </c>
      <c r="H29" s="241">
        <f t="shared" si="0"/>
        <v>2254.65</v>
      </c>
      <c r="I29" s="242"/>
      <c r="J29" s="243">
        <f t="shared" si="1"/>
        <v>1</v>
      </c>
      <c r="K29" s="240">
        <f t="shared" si="2"/>
        <v>2254.65</v>
      </c>
      <c r="L29" s="240">
        <f t="shared" si="3"/>
        <v>2254.65</v>
      </c>
      <c r="M29" s="244" t="s">
        <v>84</v>
      </c>
      <c r="N29" s="245"/>
      <c r="O29" s="226"/>
      <c r="P29" s="246"/>
      <c r="Q29" s="239"/>
      <c r="R29" s="247">
        <f t="shared" si="4"/>
        <v>0</v>
      </c>
      <c r="S29" s="248">
        <f t="shared" si="5"/>
        <v>2254.65</v>
      </c>
      <c r="T29" s="248">
        <f t="shared" si="6"/>
        <v>2254.65</v>
      </c>
      <c r="U29" s="249">
        <f t="shared" si="7"/>
        <v>0</v>
      </c>
      <c r="V29" s="249">
        <f t="shared" si="8"/>
        <v>1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358"/>
      <c r="C30" s="377" t="s">
        <v>317</v>
      </c>
      <c r="D30" s="358">
        <v>4000</v>
      </c>
      <c r="E30" s="387">
        <v>4</v>
      </c>
      <c r="F30" s="388">
        <v>3555.8</v>
      </c>
      <c r="G30" s="221">
        <f t="shared" si="9"/>
        <v>2504.08</v>
      </c>
      <c r="H30" s="222">
        <f t="shared" si="0"/>
        <v>14223.2</v>
      </c>
      <c r="I30" s="242"/>
      <c r="J30" s="224">
        <f t="shared" si="1"/>
        <v>4</v>
      </c>
      <c r="K30" s="221">
        <f t="shared" si="2"/>
        <v>3555.8</v>
      </c>
      <c r="L30" s="221">
        <f t="shared" si="3"/>
        <v>14223.2</v>
      </c>
      <c r="M30" s="220" t="s">
        <v>84</v>
      </c>
      <c r="N30" s="254"/>
      <c r="O30" s="226"/>
      <c r="P30" s="255"/>
      <c r="Q30" s="228"/>
      <c r="R30" s="229">
        <f t="shared" si="4"/>
        <v>0</v>
      </c>
      <c r="S30" s="229">
        <f t="shared" si="5"/>
        <v>3555.8</v>
      </c>
      <c r="T30" s="229">
        <f t="shared" si="6"/>
        <v>14223.2</v>
      </c>
      <c r="U30" s="230">
        <f t="shared" si="7"/>
        <v>0</v>
      </c>
      <c r="V30" s="230">
        <f t="shared" si="8"/>
        <v>1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362"/>
      <c r="C31" s="376"/>
      <c r="D31" s="286"/>
      <c r="E31" s="364"/>
      <c r="F31" s="239"/>
      <c r="G31" s="240">
        <f t="shared" si="9"/>
        <v>0</v>
      </c>
      <c r="H31" s="241">
        <f t="shared" si="0"/>
        <v>0</v>
      </c>
      <c r="I31" s="242"/>
      <c r="J31" s="243">
        <f t="shared" si="1"/>
        <v>0</v>
      </c>
      <c r="K31" s="240">
        <f t="shared" si="2"/>
        <v>0</v>
      </c>
      <c r="L31" s="240">
        <f t="shared" si="3"/>
        <v>0</v>
      </c>
      <c r="M31" s="244" t="s">
        <v>84</v>
      </c>
      <c r="N31" s="245"/>
      <c r="O31" s="226"/>
      <c r="P31" s="246"/>
      <c r="Q31" s="239"/>
      <c r="R31" s="247">
        <f t="shared" si="4"/>
        <v>0</v>
      </c>
      <c r="S31" s="248">
        <f t="shared" si="5"/>
        <v>0</v>
      </c>
      <c r="T31" s="248">
        <f t="shared" si="6"/>
        <v>0</v>
      </c>
      <c r="U31" s="249">
        <f t="shared" si="7"/>
        <v>0</v>
      </c>
      <c r="V31" s="249">
        <f t="shared" si="8"/>
        <v>0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358"/>
      <c r="C32" s="375"/>
      <c r="D32" s="287"/>
      <c r="E32" s="361"/>
      <c r="F32" s="220"/>
      <c r="G32" s="221">
        <f t="shared" si="9"/>
        <v>0</v>
      </c>
      <c r="H32" s="222">
        <f t="shared" si="0"/>
        <v>0</v>
      </c>
      <c r="I32" s="242"/>
      <c r="J32" s="224">
        <f t="shared" si="1"/>
        <v>0</v>
      </c>
      <c r="K32" s="221">
        <f t="shared" si="2"/>
        <v>0</v>
      </c>
      <c r="L32" s="221">
        <f t="shared" si="3"/>
        <v>0</v>
      </c>
      <c r="M32" s="220" t="s">
        <v>84</v>
      </c>
      <c r="N32" s="254">
        <v>0.5</v>
      </c>
      <c r="O32" s="226"/>
      <c r="P32" s="255"/>
      <c r="Q32" s="228"/>
      <c r="R32" s="229">
        <f t="shared" si="4"/>
        <v>0</v>
      </c>
      <c r="S32" s="229">
        <f t="shared" si="5"/>
        <v>0</v>
      </c>
      <c r="T32" s="229">
        <f t="shared" si="6"/>
        <v>0</v>
      </c>
      <c r="U32" s="230">
        <f t="shared" si="7"/>
        <v>0</v>
      </c>
      <c r="V32" s="230">
        <f t="shared" si="8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362"/>
      <c r="C33" s="376"/>
      <c r="D33" s="286"/>
      <c r="E33" s="364"/>
      <c r="F33" s="239"/>
      <c r="G33" s="240">
        <f t="shared" si="9"/>
        <v>0</v>
      </c>
      <c r="H33" s="241">
        <f t="shared" si="0"/>
        <v>0</v>
      </c>
      <c r="I33" s="242"/>
      <c r="J33" s="243">
        <f t="shared" si="1"/>
        <v>0</v>
      </c>
      <c r="K33" s="240">
        <f t="shared" si="2"/>
        <v>0</v>
      </c>
      <c r="L33" s="240">
        <f t="shared" si="3"/>
        <v>0</v>
      </c>
      <c r="M33" s="244" t="s">
        <v>84</v>
      </c>
      <c r="N33" s="245"/>
      <c r="O33" s="226"/>
      <c r="P33" s="246"/>
      <c r="Q33" s="239"/>
      <c r="R33" s="247">
        <f t="shared" si="4"/>
        <v>0</v>
      </c>
      <c r="S33" s="248">
        <f t="shared" si="5"/>
        <v>0</v>
      </c>
      <c r="T33" s="248">
        <f t="shared" si="6"/>
        <v>0</v>
      </c>
      <c r="U33" s="249">
        <f t="shared" si="7"/>
        <v>0</v>
      </c>
      <c r="V33" s="249">
        <f t="shared" si="8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358"/>
      <c r="C34" s="375"/>
      <c r="D34" s="287"/>
      <c r="E34" s="361"/>
      <c r="F34" s="220"/>
      <c r="G34" s="221">
        <f t="shared" si="9"/>
        <v>0</v>
      </c>
      <c r="H34" s="222">
        <f t="shared" si="0"/>
        <v>0</v>
      </c>
      <c r="I34" s="242"/>
      <c r="J34" s="224">
        <f t="shared" si="1"/>
        <v>0</v>
      </c>
      <c r="K34" s="221">
        <f t="shared" si="2"/>
        <v>0</v>
      </c>
      <c r="L34" s="221">
        <f t="shared" si="3"/>
        <v>0</v>
      </c>
      <c r="M34" s="220" t="s">
        <v>84</v>
      </c>
      <c r="N34" s="254">
        <v>0.5</v>
      </c>
      <c r="O34" s="226"/>
      <c r="P34" s="255"/>
      <c r="Q34" s="228"/>
      <c r="R34" s="229">
        <f t="shared" si="4"/>
        <v>0</v>
      </c>
      <c r="S34" s="229">
        <f t="shared" si="5"/>
        <v>0</v>
      </c>
      <c r="T34" s="229">
        <f t="shared" si="6"/>
        <v>0</v>
      </c>
      <c r="U34" s="230">
        <f t="shared" si="7"/>
        <v>0</v>
      </c>
      <c r="V34" s="230">
        <f t="shared" si="8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362"/>
      <c r="C35" s="363"/>
      <c r="D35" s="286"/>
      <c r="E35" s="364"/>
      <c r="F35" s="239"/>
      <c r="G35" s="240">
        <f t="shared" si="9"/>
        <v>0</v>
      </c>
      <c r="H35" s="241">
        <f t="shared" si="0"/>
        <v>0</v>
      </c>
      <c r="I35" s="242"/>
      <c r="J35" s="243">
        <f t="shared" si="1"/>
        <v>0</v>
      </c>
      <c r="K35" s="240">
        <f t="shared" si="2"/>
        <v>0</v>
      </c>
      <c r="L35" s="240">
        <f t="shared" si="3"/>
        <v>0</v>
      </c>
      <c r="M35" s="244" t="s">
        <v>84</v>
      </c>
      <c r="N35" s="245">
        <v>0.5</v>
      </c>
      <c r="O35" s="226"/>
      <c r="P35" s="246"/>
      <c r="Q35" s="239"/>
      <c r="R35" s="247">
        <f t="shared" si="4"/>
        <v>0</v>
      </c>
      <c r="S35" s="248">
        <f t="shared" si="5"/>
        <v>0</v>
      </c>
      <c r="T35" s="248">
        <f t="shared" si="6"/>
        <v>0</v>
      </c>
      <c r="U35" s="249">
        <f t="shared" si="7"/>
        <v>0</v>
      </c>
      <c r="V35" s="249">
        <f t="shared" si="8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358"/>
      <c r="C36" s="365"/>
      <c r="D36" s="287"/>
      <c r="E36" s="361"/>
      <c r="F36" s="220"/>
      <c r="G36" s="221">
        <f t="shared" si="9"/>
        <v>0</v>
      </c>
      <c r="H36" s="222">
        <f t="shared" si="0"/>
        <v>0</v>
      </c>
      <c r="I36" s="242"/>
      <c r="J36" s="224">
        <f t="shared" si="1"/>
        <v>0</v>
      </c>
      <c r="K36" s="221">
        <f t="shared" si="2"/>
        <v>0</v>
      </c>
      <c r="L36" s="221">
        <f t="shared" si="3"/>
        <v>0</v>
      </c>
      <c r="M36" s="220" t="s">
        <v>84</v>
      </c>
      <c r="N36" s="254"/>
      <c r="O36" s="226"/>
      <c r="P36" s="255"/>
      <c r="Q36" s="228"/>
      <c r="R36" s="229">
        <f t="shared" si="4"/>
        <v>0</v>
      </c>
      <c r="S36" s="229">
        <f t="shared" si="5"/>
        <v>0</v>
      </c>
      <c r="T36" s="229">
        <f t="shared" si="6"/>
        <v>0</v>
      </c>
      <c r="U36" s="230">
        <f t="shared" si="7"/>
        <v>0</v>
      </c>
      <c r="V36" s="230">
        <f t="shared" si="8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362"/>
      <c r="C37" s="376"/>
      <c r="D37" s="286"/>
      <c r="E37" s="364"/>
      <c r="F37" s="239"/>
      <c r="G37" s="240">
        <f t="shared" si="9"/>
        <v>0</v>
      </c>
      <c r="H37" s="241">
        <f t="shared" si="0"/>
        <v>0</v>
      </c>
      <c r="I37" s="242"/>
      <c r="J37" s="243">
        <f t="shared" si="1"/>
        <v>0</v>
      </c>
      <c r="K37" s="240">
        <f t="shared" si="2"/>
        <v>0</v>
      </c>
      <c r="L37" s="240">
        <f t="shared" si="3"/>
        <v>0</v>
      </c>
      <c r="M37" s="244" t="s">
        <v>84</v>
      </c>
      <c r="N37" s="245"/>
      <c r="O37" s="226"/>
      <c r="P37" s="246"/>
      <c r="Q37" s="239"/>
      <c r="R37" s="247">
        <f t="shared" si="4"/>
        <v>0</v>
      </c>
      <c r="S37" s="248">
        <f t="shared" si="5"/>
        <v>0</v>
      </c>
      <c r="T37" s="248">
        <f t="shared" si="6"/>
        <v>0</v>
      </c>
      <c r="U37" s="249">
        <f t="shared" si="7"/>
        <v>0</v>
      </c>
      <c r="V37" s="249">
        <f t="shared" si="8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358"/>
      <c r="C38" s="375"/>
      <c r="D38" s="287"/>
      <c r="E38" s="361"/>
      <c r="F38" s="220"/>
      <c r="G38" s="221">
        <f t="shared" si="9"/>
        <v>0</v>
      </c>
      <c r="H38" s="222">
        <f t="shared" si="0"/>
        <v>0</v>
      </c>
      <c r="I38" s="242"/>
      <c r="J38" s="224">
        <f t="shared" si="1"/>
        <v>0</v>
      </c>
      <c r="K38" s="221">
        <f t="shared" si="2"/>
        <v>0</v>
      </c>
      <c r="L38" s="221">
        <f t="shared" si="3"/>
        <v>0</v>
      </c>
      <c r="M38" s="220" t="s">
        <v>84</v>
      </c>
      <c r="N38" s="254"/>
      <c r="O38" s="226"/>
      <c r="P38" s="255"/>
      <c r="Q38" s="228"/>
      <c r="R38" s="229">
        <f t="shared" si="4"/>
        <v>0</v>
      </c>
      <c r="S38" s="229">
        <f t="shared" si="5"/>
        <v>0</v>
      </c>
      <c r="T38" s="229">
        <f t="shared" si="6"/>
        <v>0</v>
      </c>
      <c r="U38" s="230">
        <f t="shared" si="7"/>
        <v>0</v>
      </c>
      <c r="V38" s="230">
        <f t="shared" si="8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362"/>
      <c r="C39" s="376"/>
      <c r="D39" s="286"/>
      <c r="E39" s="364"/>
      <c r="F39" s="239"/>
      <c r="G39" s="240">
        <f t="shared" si="9"/>
        <v>0</v>
      </c>
      <c r="H39" s="241">
        <f t="shared" si="0"/>
        <v>0</v>
      </c>
      <c r="I39" s="242"/>
      <c r="J39" s="243">
        <f t="shared" si="1"/>
        <v>0</v>
      </c>
      <c r="K39" s="240">
        <f t="shared" si="2"/>
        <v>0</v>
      </c>
      <c r="L39" s="240">
        <f t="shared" si="3"/>
        <v>0</v>
      </c>
      <c r="M39" s="244" t="s">
        <v>84</v>
      </c>
      <c r="N39" s="245"/>
      <c r="O39" s="226"/>
      <c r="P39" s="246"/>
      <c r="Q39" s="239"/>
      <c r="R39" s="247">
        <f t="shared" si="4"/>
        <v>0</v>
      </c>
      <c r="S39" s="248">
        <f t="shared" si="5"/>
        <v>0</v>
      </c>
      <c r="T39" s="248">
        <f t="shared" si="6"/>
        <v>0</v>
      </c>
      <c r="U39" s="249">
        <f t="shared" si="7"/>
        <v>0</v>
      </c>
      <c r="V39" s="249">
        <f t="shared" si="8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358"/>
      <c r="C40" s="375"/>
      <c r="D40" s="287"/>
      <c r="E40" s="361"/>
      <c r="F40" s="220"/>
      <c r="G40" s="221">
        <f t="shared" si="9"/>
        <v>0</v>
      </c>
      <c r="H40" s="222">
        <f t="shared" si="0"/>
        <v>0</v>
      </c>
      <c r="I40" s="242"/>
      <c r="J40" s="224">
        <f t="shared" si="1"/>
        <v>0</v>
      </c>
      <c r="K40" s="221">
        <f t="shared" si="2"/>
        <v>0</v>
      </c>
      <c r="L40" s="221">
        <f t="shared" si="3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4"/>
        <v>0</v>
      </c>
      <c r="S40" s="229">
        <f t="shared" si="5"/>
        <v>0</v>
      </c>
      <c r="T40" s="229">
        <f t="shared" si="6"/>
        <v>0</v>
      </c>
      <c r="U40" s="230">
        <f t="shared" si="7"/>
        <v>0</v>
      </c>
      <c r="V40" s="230">
        <f t="shared" si="8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362"/>
      <c r="C41" s="376"/>
      <c r="D41" s="286"/>
      <c r="E41" s="364"/>
      <c r="F41" s="239"/>
      <c r="G41" s="240">
        <f t="shared" si="9"/>
        <v>0</v>
      </c>
      <c r="H41" s="241">
        <f t="shared" si="0"/>
        <v>0</v>
      </c>
      <c r="I41" s="242"/>
      <c r="J41" s="243">
        <f t="shared" si="1"/>
        <v>0</v>
      </c>
      <c r="K41" s="240">
        <f t="shared" si="2"/>
        <v>0</v>
      </c>
      <c r="L41" s="240">
        <f t="shared" si="3"/>
        <v>0</v>
      </c>
      <c r="M41" s="244" t="s">
        <v>84</v>
      </c>
      <c r="N41" s="245"/>
      <c r="O41" s="226"/>
      <c r="P41" s="246"/>
      <c r="Q41" s="239"/>
      <c r="R41" s="247">
        <f t="shared" si="4"/>
        <v>0</v>
      </c>
      <c r="S41" s="248">
        <f t="shared" si="5"/>
        <v>0</v>
      </c>
      <c r="T41" s="248">
        <f t="shared" si="6"/>
        <v>0</v>
      </c>
      <c r="U41" s="249">
        <f t="shared" si="7"/>
        <v>0</v>
      </c>
      <c r="V41" s="249">
        <f t="shared" si="8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358"/>
      <c r="C42" s="365"/>
      <c r="D42" s="287"/>
      <c r="E42" s="361"/>
      <c r="F42" s="220"/>
      <c r="G42" s="221">
        <f t="shared" si="9"/>
        <v>0</v>
      </c>
      <c r="H42" s="222">
        <f t="shared" si="0"/>
        <v>0</v>
      </c>
      <c r="I42" s="242"/>
      <c r="J42" s="224">
        <f t="shared" si="1"/>
        <v>0</v>
      </c>
      <c r="K42" s="221">
        <f t="shared" si="2"/>
        <v>0</v>
      </c>
      <c r="L42" s="221">
        <f t="shared" si="3"/>
        <v>0</v>
      </c>
      <c r="M42" s="220" t="s">
        <v>84</v>
      </c>
      <c r="N42" s="254"/>
      <c r="O42" s="226"/>
      <c r="P42" s="255"/>
      <c r="Q42" s="228"/>
      <c r="R42" s="229">
        <f t="shared" si="4"/>
        <v>0</v>
      </c>
      <c r="S42" s="229">
        <f t="shared" si="5"/>
        <v>0</v>
      </c>
      <c r="T42" s="229">
        <f t="shared" si="6"/>
        <v>0</v>
      </c>
      <c r="U42" s="230">
        <f t="shared" si="7"/>
        <v>0</v>
      </c>
      <c r="V42" s="230">
        <f t="shared" si="8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362"/>
      <c r="C43" s="363"/>
      <c r="D43" s="286"/>
      <c r="E43" s="364"/>
      <c r="F43" s="239"/>
      <c r="G43" s="240">
        <f t="shared" si="9"/>
        <v>0</v>
      </c>
      <c r="H43" s="241">
        <f t="shared" si="0"/>
        <v>0</v>
      </c>
      <c r="I43" s="242"/>
      <c r="J43" s="243">
        <f t="shared" si="1"/>
        <v>0</v>
      </c>
      <c r="K43" s="240">
        <f t="shared" si="2"/>
        <v>0</v>
      </c>
      <c r="L43" s="240">
        <f t="shared" si="3"/>
        <v>0</v>
      </c>
      <c r="M43" s="244" t="s">
        <v>84</v>
      </c>
      <c r="N43" s="245"/>
      <c r="O43" s="226"/>
      <c r="P43" s="246"/>
      <c r="Q43" s="239"/>
      <c r="R43" s="247">
        <f t="shared" si="4"/>
        <v>0</v>
      </c>
      <c r="S43" s="248">
        <f t="shared" si="5"/>
        <v>0</v>
      </c>
      <c r="T43" s="248">
        <f t="shared" si="6"/>
        <v>0</v>
      </c>
      <c r="U43" s="249">
        <f t="shared" si="7"/>
        <v>0</v>
      </c>
      <c r="V43" s="249">
        <f t="shared" si="8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358"/>
      <c r="C44" s="365"/>
      <c r="D44" s="287"/>
      <c r="E44" s="361"/>
      <c r="F44" s="220"/>
      <c r="G44" s="221">
        <f t="shared" si="9"/>
        <v>0</v>
      </c>
      <c r="H44" s="222">
        <f t="shared" si="0"/>
        <v>0</v>
      </c>
      <c r="I44" s="242"/>
      <c r="J44" s="224">
        <f t="shared" si="1"/>
        <v>0</v>
      </c>
      <c r="K44" s="221">
        <f t="shared" si="2"/>
        <v>0</v>
      </c>
      <c r="L44" s="221">
        <f t="shared" si="3"/>
        <v>0</v>
      </c>
      <c r="M44" s="220" t="s">
        <v>84</v>
      </c>
      <c r="N44" s="254"/>
      <c r="O44" s="226"/>
      <c r="P44" s="255"/>
      <c r="Q44" s="228"/>
      <c r="R44" s="229">
        <f t="shared" si="4"/>
        <v>0</v>
      </c>
      <c r="S44" s="229">
        <f t="shared" si="5"/>
        <v>0</v>
      </c>
      <c r="T44" s="229">
        <f t="shared" si="6"/>
        <v>0</v>
      </c>
      <c r="U44" s="230">
        <f t="shared" si="7"/>
        <v>0</v>
      </c>
      <c r="V44" s="230">
        <f t="shared" si="8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362"/>
      <c r="C45" s="363"/>
      <c r="D45" s="286"/>
      <c r="E45" s="364"/>
      <c r="F45" s="239"/>
      <c r="G45" s="240">
        <f t="shared" si="9"/>
        <v>0</v>
      </c>
      <c r="H45" s="241">
        <f t="shared" si="0"/>
        <v>0</v>
      </c>
      <c r="I45" s="242"/>
      <c r="J45" s="243">
        <f t="shared" si="1"/>
        <v>0</v>
      </c>
      <c r="K45" s="240">
        <f t="shared" si="2"/>
        <v>0</v>
      </c>
      <c r="L45" s="240">
        <f t="shared" si="3"/>
        <v>0</v>
      </c>
      <c r="M45" s="244" t="s">
        <v>84</v>
      </c>
      <c r="N45" s="245"/>
      <c r="O45" s="226"/>
      <c r="P45" s="246"/>
      <c r="Q45" s="239"/>
      <c r="R45" s="247">
        <f t="shared" si="4"/>
        <v>0</v>
      </c>
      <c r="S45" s="248">
        <f t="shared" si="5"/>
        <v>0</v>
      </c>
      <c r="T45" s="248">
        <f t="shared" si="6"/>
        <v>0</v>
      </c>
      <c r="U45" s="249">
        <f t="shared" si="7"/>
        <v>0</v>
      </c>
      <c r="V45" s="249">
        <f t="shared" si="8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358"/>
      <c r="C46" s="365"/>
      <c r="D46" s="287"/>
      <c r="E46" s="361"/>
      <c r="F46" s="220"/>
      <c r="G46" s="221">
        <f t="shared" si="9"/>
        <v>0</v>
      </c>
      <c r="H46" s="222">
        <f t="shared" si="0"/>
        <v>0</v>
      </c>
      <c r="I46" s="242"/>
      <c r="J46" s="224">
        <f t="shared" si="1"/>
        <v>0</v>
      </c>
      <c r="K46" s="221">
        <f t="shared" si="2"/>
        <v>0</v>
      </c>
      <c r="L46" s="221">
        <f t="shared" si="3"/>
        <v>0</v>
      </c>
      <c r="M46" s="220" t="s">
        <v>84</v>
      </c>
      <c r="N46" s="254"/>
      <c r="O46" s="226"/>
      <c r="P46" s="255"/>
      <c r="Q46" s="228"/>
      <c r="R46" s="229">
        <f t="shared" si="4"/>
        <v>0</v>
      </c>
      <c r="S46" s="229">
        <f t="shared" si="5"/>
        <v>0</v>
      </c>
      <c r="T46" s="229">
        <f t="shared" si="6"/>
        <v>0</v>
      </c>
      <c r="U46" s="230">
        <f t="shared" si="7"/>
        <v>0</v>
      </c>
      <c r="V46" s="230">
        <f t="shared" si="8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362"/>
      <c r="C47" s="363"/>
      <c r="D47" s="286"/>
      <c r="E47" s="364"/>
      <c r="F47" s="239"/>
      <c r="G47" s="240">
        <f t="shared" si="9"/>
        <v>0</v>
      </c>
      <c r="H47" s="241">
        <f t="shared" si="0"/>
        <v>0</v>
      </c>
      <c r="I47" s="242"/>
      <c r="J47" s="243">
        <f t="shared" si="1"/>
        <v>0</v>
      </c>
      <c r="K47" s="240">
        <f t="shared" si="2"/>
        <v>0</v>
      </c>
      <c r="L47" s="240">
        <f t="shared" si="3"/>
        <v>0</v>
      </c>
      <c r="M47" s="244" t="s">
        <v>84</v>
      </c>
      <c r="N47" s="245"/>
      <c r="O47" s="226"/>
      <c r="P47" s="246"/>
      <c r="Q47" s="239"/>
      <c r="R47" s="247">
        <f t="shared" si="4"/>
        <v>0</v>
      </c>
      <c r="S47" s="248">
        <f t="shared" si="5"/>
        <v>0</v>
      </c>
      <c r="T47" s="248">
        <f t="shared" si="6"/>
        <v>0</v>
      </c>
      <c r="U47" s="249">
        <f t="shared" si="7"/>
        <v>0</v>
      </c>
      <c r="V47" s="249">
        <f t="shared" si="8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358"/>
      <c r="C48" s="365"/>
      <c r="D48" s="287"/>
      <c r="E48" s="361"/>
      <c r="F48" s="220"/>
      <c r="G48" s="221">
        <f t="shared" si="9"/>
        <v>0</v>
      </c>
      <c r="H48" s="222">
        <f t="shared" si="0"/>
        <v>0</v>
      </c>
      <c r="I48" s="242"/>
      <c r="J48" s="224">
        <f t="shared" si="1"/>
        <v>0</v>
      </c>
      <c r="K48" s="221">
        <f t="shared" si="2"/>
        <v>0</v>
      </c>
      <c r="L48" s="221">
        <f t="shared" si="3"/>
        <v>0</v>
      </c>
      <c r="M48" s="220" t="s">
        <v>84</v>
      </c>
      <c r="N48" s="254"/>
      <c r="O48" s="226"/>
      <c r="P48" s="255"/>
      <c r="Q48" s="228"/>
      <c r="R48" s="229">
        <f t="shared" si="4"/>
        <v>0</v>
      </c>
      <c r="S48" s="229">
        <f t="shared" si="5"/>
        <v>0</v>
      </c>
      <c r="T48" s="229">
        <f t="shared" si="6"/>
        <v>0</v>
      </c>
      <c r="U48" s="230">
        <f t="shared" si="7"/>
        <v>0</v>
      </c>
      <c r="V48" s="230">
        <f t="shared" si="8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362"/>
      <c r="C49" s="363"/>
      <c r="D49" s="286"/>
      <c r="E49" s="364"/>
      <c r="F49" s="239"/>
      <c r="G49" s="240">
        <f t="shared" si="9"/>
        <v>0</v>
      </c>
      <c r="H49" s="241">
        <f t="shared" si="0"/>
        <v>0</v>
      </c>
      <c r="I49" s="242"/>
      <c r="J49" s="243">
        <f t="shared" si="1"/>
        <v>0</v>
      </c>
      <c r="K49" s="240">
        <f t="shared" si="2"/>
        <v>0</v>
      </c>
      <c r="L49" s="240">
        <f t="shared" si="3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4"/>
        <v>0</v>
      </c>
      <c r="S49" s="248">
        <f t="shared" si="5"/>
        <v>0</v>
      </c>
      <c r="T49" s="248">
        <f t="shared" si="6"/>
        <v>0</v>
      </c>
      <c r="U49" s="249">
        <f t="shared" si="7"/>
        <v>0</v>
      </c>
      <c r="V49" s="249">
        <f t="shared" si="8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358"/>
      <c r="C50" s="365"/>
      <c r="D50" s="287"/>
      <c r="E50" s="361"/>
      <c r="F50" s="220"/>
      <c r="G50" s="221">
        <f t="shared" si="9"/>
        <v>0</v>
      </c>
      <c r="H50" s="222">
        <f t="shared" si="0"/>
        <v>0</v>
      </c>
      <c r="I50" s="242"/>
      <c r="J50" s="224">
        <f t="shared" si="1"/>
        <v>0</v>
      </c>
      <c r="K50" s="221">
        <f t="shared" si="2"/>
        <v>0</v>
      </c>
      <c r="L50" s="221">
        <f t="shared" si="3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4"/>
        <v>0</v>
      </c>
      <c r="S50" s="229">
        <f t="shared" si="5"/>
        <v>0</v>
      </c>
      <c r="T50" s="229">
        <f t="shared" si="6"/>
        <v>0</v>
      </c>
      <c r="U50" s="230">
        <f t="shared" si="7"/>
        <v>0</v>
      </c>
      <c r="V50" s="230">
        <f t="shared" si="8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362"/>
      <c r="C51" s="363"/>
      <c r="D51" s="286"/>
      <c r="E51" s="364"/>
      <c r="F51" s="239"/>
      <c r="G51" s="240">
        <f t="shared" si="9"/>
        <v>0</v>
      </c>
      <c r="H51" s="241">
        <f t="shared" si="0"/>
        <v>0</v>
      </c>
      <c r="I51" s="242"/>
      <c r="J51" s="243">
        <f t="shared" si="1"/>
        <v>0</v>
      </c>
      <c r="K51" s="240">
        <f t="shared" si="2"/>
        <v>0</v>
      </c>
      <c r="L51" s="240">
        <f t="shared" si="3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4"/>
        <v>0</v>
      </c>
      <c r="S51" s="248">
        <f t="shared" si="5"/>
        <v>0</v>
      </c>
      <c r="T51" s="248">
        <f t="shared" si="6"/>
        <v>0</v>
      </c>
      <c r="U51" s="249">
        <f t="shared" si="7"/>
        <v>0</v>
      </c>
      <c r="V51" s="249">
        <f t="shared" si="8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9"/>
        <v>0</v>
      </c>
      <c r="H52" s="222">
        <f t="shared" si="0"/>
        <v>0</v>
      </c>
      <c r="I52" s="242"/>
      <c r="J52" s="224">
        <f t="shared" si="1"/>
        <v>0</v>
      </c>
      <c r="K52" s="221">
        <f t="shared" si="2"/>
        <v>0</v>
      </c>
      <c r="L52" s="221">
        <f t="shared" si="3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4"/>
        <v>0</v>
      </c>
      <c r="S52" s="229">
        <f t="shared" si="5"/>
        <v>0</v>
      </c>
      <c r="T52" s="229">
        <f t="shared" si="6"/>
        <v>0</v>
      </c>
      <c r="U52" s="230">
        <f t="shared" si="7"/>
        <v>0</v>
      </c>
      <c r="V52" s="230">
        <f t="shared" si="8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9"/>
        <v>0</v>
      </c>
      <c r="H53" s="241">
        <f t="shared" si="0"/>
        <v>0</v>
      </c>
      <c r="I53" s="242"/>
      <c r="J53" s="243">
        <f t="shared" si="1"/>
        <v>0</v>
      </c>
      <c r="K53" s="240">
        <f t="shared" si="2"/>
        <v>0</v>
      </c>
      <c r="L53" s="240">
        <f t="shared" si="3"/>
        <v>0</v>
      </c>
      <c r="M53" s="244" t="s">
        <v>84</v>
      </c>
      <c r="N53" s="245"/>
      <c r="O53" s="226"/>
      <c r="P53" s="246"/>
      <c r="Q53" s="239"/>
      <c r="R53" s="247">
        <f t="shared" si="4"/>
        <v>0</v>
      </c>
      <c r="S53" s="248">
        <f t="shared" si="5"/>
        <v>0</v>
      </c>
      <c r="T53" s="248">
        <f t="shared" si="6"/>
        <v>0</v>
      </c>
      <c r="U53" s="249">
        <f t="shared" si="7"/>
        <v>0</v>
      </c>
      <c r="V53" s="249">
        <f t="shared" si="8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9"/>
        <v>0</v>
      </c>
      <c r="H54" s="222">
        <f t="shared" si="0"/>
        <v>0</v>
      </c>
      <c r="I54" s="242"/>
      <c r="J54" s="224">
        <f t="shared" si="1"/>
        <v>0</v>
      </c>
      <c r="K54" s="221">
        <f t="shared" si="2"/>
        <v>0</v>
      </c>
      <c r="L54" s="221">
        <f t="shared" si="3"/>
        <v>0</v>
      </c>
      <c r="M54" s="220" t="s">
        <v>84</v>
      </c>
      <c r="N54" s="254"/>
      <c r="O54" s="226"/>
      <c r="P54" s="255"/>
      <c r="Q54" s="228"/>
      <c r="R54" s="229">
        <f t="shared" si="4"/>
        <v>0</v>
      </c>
      <c r="S54" s="229">
        <f t="shared" si="5"/>
        <v>0</v>
      </c>
      <c r="T54" s="229">
        <f t="shared" si="6"/>
        <v>0</v>
      </c>
      <c r="U54" s="230">
        <f t="shared" si="7"/>
        <v>0</v>
      </c>
      <c r="V54" s="230">
        <f t="shared" si="8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9"/>
        <v>0</v>
      </c>
      <c r="H55" s="241">
        <f t="shared" si="0"/>
        <v>0</v>
      </c>
      <c r="I55" s="242"/>
      <c r="J55" s="243">
        <f t="shared" si="1"/>
        <v>0</v>
      </c>
      <c r="K55" s="240">
        <f t="shared" si="2"/>
        <v>0</v>
      </c>
      <c r="L55" s="240">
        <f t="shared" si="3"/>
        <v>0</v>
      </c>
      <c r="M55" s="244" t="s">
        <v>84</v>
      </c>
      <c r="N55" s="245"/>
      <c r="O55" s="226"/>
      <c r="P55" s="246"/>
      <c r="Q55" s="239"/>
      <c r="R55" s="247">
        <f t="shared" si="4"/>
        <v>0</v>
      </c>
      <c r="S55" s="248">
        <f t="shared" si="5"/>
        <v>0</v>
      </c>
      <c r="T55" s="248">
        <f t="shared" si="6"/>
        <v>0</v>
      </c>
      <c r="U55" s="249">
        <f t="shared" si="7"/>
        <v>0</v>
      </c>
      <c r="V55" s="249">
        <f t="shared" si="8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9"/>
        <v>0</v>
      </c>
      <c r="H56" s="222">
        <f t="shared" si="0"/>
        <v>0</v>
      </c>
      <c r="I56" s="242"/>
      <c r="J56" s="224">
        <f t="shared" si="1"/>
        <v>0</v>
      </c>
      <c r="K56" s="221">
        <f t="shared" si="2"/>
        <v>0</v>
      </c>
      <c r="L56" s="221">
        <f t="shared" si="3"/>
        <v>0</v>
      </c>
      <c r="M56" s="220" t="s">
        <v>84</v>
      </c>
      <c r="N56" s="254"/>
      <c r="O56" s="226"/>
      <c r="P56" s="255"/>
      <c r="Q56" s="228"/>
      <c r="R56" s="229">
        <f t="shared" si="4"/>
        <v>0</v>
      </c>
      <c r="S56" s="229">
        <f t="shared" si="5"/>
        <v>0</v>
      </c>
      <c r="T56" s="229">
        <f t="shared" si="6"/>
        <v>0</v>
      </c>
      <c r="U56" s="230">
        <f t="shared" si="7"/>
        <v>0</v>
      </c>
      <c r="V56" s="230">
        <f t="shared" si="8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9"/>
        <v>0</v>
      </c>
      <c r="H57" s="241">
        <f t="shared" si="0"/>
        <v>0</v>
      </c>
      <c r="I57" s="242"/>
      <c r="J57" s="243">
        <f t="shared" si="1"/>
        <v>0</v>
      </c>
      <c r="K57" s="240">
        <f t="shared" si="2"/>
        <v>0</v>
      </c>
      <c r="L57" s="240">
        <f t="shared" si="3"/>
        <v>0</v>
      </c>
      <c r="M57" s="244" t="s">
        <v>84</v>
      </c>
      <c r="N57" s="245"/>
      <c r="O57" s="226"/>
      <c r="P57" s="246"/>
      <c r="Q57" s="239"/>
      <c r="R57" s="247">
        <f t="shared" si="4"/>
        <v>0</v>
      </c>
      <c r="S57" s="248">
        <f t="shared" si="5"/>
        <v>0</v>
      </c>
      <c r="T57" s="248">
        <f t="shared" si="6"/>
        <v>0</v>
      </c>
      <c r="U57" s="249">
        <f t="shared" si="7"/>
        <v>0</v>
      </c>
      <c r="V57" s="249">
        <f t="shared" si="8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9"/>
        <v>0</v>
      </c>
      <c r="H58" s="222">
        <f t="shared" si="0"/>
        <v>0</v>
      </c>
      <c r="I58" s="242"/>
      <c r="J58" s="224">
        <f t="shared" si="1"/>
        <v>0</v>
      </c>
      <c r="K58" s="221">
        <f t="shared" si="2"/>
        <v>0</v>
      </c>
      <c r="L58" s="221">
        <f t="shared" si="3"/>
        <v>0</v>
      </c>
      <c r="M58" s="220" t="s">
        <v>84</v>
      </c>
      <c r="N58" s="254"/>
      <c r="O58" s="226"/>
      <c r="P58" s="255"/>
      <c r="Q58" s="228"/>
      <c r="R58" s="229">
        <f t="shared" si="4"/>
        <v>0</v>
      </c>
      <c r="S58" s="229">
        <f t="shared" si="5"/>
        <v>0</v>
      </c>
      <c r="T58" s="229">
        <f t="shared" si="6"/>
        <v>0</v>
      </c>
      <c r="U58" s="230">
        <f t="shared" si="7"/>
        <v>0</v>
      </c>
      <c r="V58" s="230">
        <f t="shared" si="8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9"/>
        <v>0</v>
      </c>
      <c r="H59" s="241">
        <f t="shared" si="0"/>
        <v>0</v>
      </c>
      <c r="I59" s="242"/>
      <c r="J59" s="243">
        <f t="shared" si="1"/>
        <v>0</v>
      </c>
      <c r="K59" s="240">
        <f t="shared" si="2"/>
        <v>0</v>
      </c>
      <c r="L59" s="240">
        <f t="shared" si="3"/>
        <v>0</v>
      </c>
      <c r="M59" s="244" t="s">
        <v>84</v>
      </c>
      <c r="N59" s="245"/>
      <c r="O59" s="226"/>
      <c r="P59" s="246"/>
      <c r="Q59" s="239"/>
      <c r="R59" s="247">
        <f t="shared" si="4"/>
        <v>0</v>
      </c>
      <c r="S59" s="248">
        <f t="shared" si="5"/>
        <v>0</v>
      </c>
      <c r="T59" s="248">
        <f t="shared" si="6"/>
        <v>0</v>
      </c>
      <c r="U59" s="249">
        <f t="shared" si="7"/>
        <v>0</v>
      </c>
      <c r="V59" s="249">
        <f t="shared" si="8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9"/>
        <v>0</v>
      </c>
      <c r="H60" s="222">
        <f t="shared" si="0"/>
        <v>0</v>
      </c>
      <c r="I60" s="242"/>
      <c r="J60" s="224">
        <f t="shared" si="1"/>
        <v>0</v>
      </c>
      <c r="K60" s="221">
        <f t="shared" si="2"/>
        <v>0</v>
      </c>
      <c r="L60" s="221">
        <f t="shared" si="3"/>
        <v>0</v>
      </c>
      <c r="M60" s="220" t="s">
        <v>84</v>
      </c>
      <c r="N60" s="254"/>
      <c r="O60" s="226"/>
      <c r="P60" s="255"/>
      <c r="Q60" s="228"/>
      <c r="R60" s="229">
        <f t="shared" si="4"/>
        <v>0</v>
      </c>
      <c r="S60" s="229">
        <f t="shared" si="5"/>
        <v>0</v>
      </c>
      <c r="T60" s="229">
        <f t="shared" si="6"/>
        <v>0</v>
      </c>
      <c r="U60" s="230">
        <f t="shared" si="7"/>
        <v>0</v>
      </c>
      <c r="V60" s="230">
        <f t="shared" si="8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16</v>
      </c>
      <c r="F61" s="265">
        <f>SUM(F18:F60)</f>
        <v>12131.09</v>
      </c>
      <c r="G61" s="266">
        <f>SUM(G18:G60)</f>
        <v>4905.78</v>
      </c>
      <c r="H61" s="267">
        <f>SUM(H18:H60)</f>
        <v>22798.49</v>
      </c>
      <c r="I61" s="268"/>
      <c r="J61" s="269">
        <f>SUM(J18:J60)</f>
        <v>16</v>
      </c>
      <c r="K61" s="266">
        <f>SUM(K18:K60)</f>
        <v>10902.330000000002</v>
      </c>
      <c r="L61" s="267">
        <f>SUM(L18:L60)</f>
        <v>21569.730000000003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10902.330000000002</v>
      </c>
      <c r="T61" s="267">
        <f>SUM(T18:T60)</f>
        <v>21569.730000000003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71" priority="3" stopIfTrue="1">
      <formula>$U$9&gt;100%</formula>
    </cfRule>
    <cfRule type="expression" dxfId="70" priority="4">
      <formula>$U$9&lt;50%</formula>
    </cfRule>
  </conditionalFormatting>
  <conditionalFormatting sqref="V9:V10">
    <cfRule type="expression" dxfId="69" priority="1">
      <formula>$V$9&lt;50%</formula>
    </cfRule>
    <cfRule type="expression" dxfId="68" priority="2">
      <formula>$V$9&gt;50%</formula>
    </cfRule>
  </conditionalFormatting>
  <dataValidations count="5">
    <dataValidation type="list" allowBlank="1" showInputMessage="1" showErrorMessage="1" sqref="F17 K17 Q17 Q14" xr:uid="{4F8ABA9D-1AA0-475F-8EF5-16FF497A0328}">
      <formula1>$Y$11:$Y$12</formula1>
    </dataValidation>
    <dataValidation type="list" allowBlank="1" showInputMessage="1" showErrorMessage="1" sqref="H13" xr:uid="{11CCCFBB-F685-4E00-ACA7-9D0ACD67D3AD}">
      <formula1>$Y$13:$Y$14</formula1>
    </dataValidation>
    <dataValidation type="list" allowBlank="1" showInputMessage="1" showErrorMessage="1" sqref="I13" xr:uid="{2A13C626-1F7A-4814-9738-04D9DD3981B6}">
      <formula1>$K$9:$K$9</formula1>
    </dataValidation>
    <dataValidation type="list" showInputMessage="1" showErrorMessage="1" sqref="D52:D60 D18:D19 D21:D22 D25:D27" xr:uid="{7020417C-A3DF-4F4E-A27F-08A3D3BCD384}">
      <formula1>$Z$18:$Z$29</formula1>
    </dataValidation>
    <dataValidation type="list" allowBlank="1" showInputMessage="1" showErrorMessage="1" sqref="M18:M60" xr:uid="{0A6C9779-4833-4C55-89EE-697AFEFE23B9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16BC6-7A9F-4C3A-AA42-B22410BA43E8}">
  <sheetPr>
    <pageSetUpPr fitToPage="1"/>
  </sheetPr>
  <dimension ref="A1:AB63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523" t="s">
        <v>2</v>
      </c>
      <c r="I1" s="524"/>
      <c r="J1" s="524"/>
      <c r="K1" s="525"/>
      <c r="L1" s="528" t="s">
        <v>3</v>
      </c>
      <c r="M1" s="529"/>
      <c r="N1" s="529"/>
      <c r="O1" s="529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77">
        <v>434661</v>
      </c>
      <c r="G2" s="549"/>
      <c r="H2" s="546" t="s">
        <v>7</v>
      </c>
      <c r="I2" s="550"/>
      <c r="J2" s="547"/>
      <c r="K2" s="148"/>
      <c r="L2" s="551" t="s">
        <v>8</v>
      </c>
      <c r="M2" s="552"/>
      <c r="N2" s="553"/>
      <c r="O2" s="149"/>
      <c r="P2" s="554">
        <f>H61</f>
        <v>22798.49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532" t="s">
        <v>13</v>
      </c>
      <c r="I3" s="536"/>
      <c r="J3" s="533"/>
      <c r="K3" s="154"/>
      <c r="L3" s="537" t="s">
        <v>14</v>
      </c>
      <c r="M3" s="538"/>
      <c r="N3" s="539"/>
      <c r="O3" s="149"/>
      <c r="P3" s="540">
        <f>L61</f>
        <v>21569.730000000003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676" t="s">
        <v>303</v>
      </c>
      <c r="G4" s="673"/>
      <c r="H4" s="532" t="s">
        <v>19</v>
      </c>
      <c r="I4" s="536"/>
      <c r="J4" s="533"/>
      <c r="K4" s="154"/>
      <c r="L4" s="537" t="s">
        <v>20</v>
      </c>
      <c r="M4" s="538"/>
      <c r="N4" s="539"/>
      <c r="O4" s="149"/>
      <c r="P4" s="540">
        <f>P2-P3</f>
        <v>1228.7599999999984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684" t="s">
        <v>304</v>
      </c>
      <c r="G5" s="685"/>
      <c r="H5" s="532" t="s">
        <v>25</v>
      </c>
      <c r="I5" s="536"/>
      <c r="J5" s="533"/>
      <c r="K5" s="154"/>
      <c r="L5" s="558" t="s">
        <v>26</v>
      </c>
      <c r="M5" s="559"/>
      <c r="N5" s="560"/>
      <c r="O5" s="149"/>
      <c r="P5" s="561">
        <f>IFERROR((P2-P3)/P2,"")</f>
        <v>5.3896551920763099E-2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72" t="s">
        <v>318</v>
      </c>
      <c r="G6" s="673"/>
      <c r="H6" s="532" t="s">
        <v>31</v>
      </c>
      <c r="I6" s="536"/>
      <c r="J6" s="533"/>
      <c r="K6" s="154"/>
      <c r="L6" s="574" t="s">
        <v>32</v>
      </c>
      <c r="M6" s="575"/>
      <c r="N6" s="576"/>
      <c r="O6" s="149"/>
      <c r="P6" s="577">
        <f>T61</f>
        <v>21569.730000000003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671"/>
      <c r="G7" s="535"/>
      <c r="H7" s="532" t="s">
        <v>36</v>
      </c>
      <c r="I7" s="536"/>
      <c r="J7" s="533"/>
      <c r="K7" s="154"/>
      <c r="L7" s="564" t="s">
        <v>37</v>
      </c>
      <c r="M7" s="565"/>
      <c r="N7" s="56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532" t="s">
        <v>40</v>
      </c>
      <c r="I8" s="536"/>
      <c r="J8" s="533"/>
      <c r="K8" s="154"/>
      <c r="L8" s="564" t="s">
        <v>41</v>
      </c>
      <c r="M8" s="565"/>
      <c r="N8" s="56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378</v>
      </c>
      <c r="G9" s="535"/>
      <c r="H9" s="171"/>
      <c r="I9" s="172"/>
      <c r="J9" s="172"/>
      <c r="K9" s="173"/>
      <c r="L9" s="564" t="s">
        <v>47</v>
      </c>
      <c r="M9" s="565"/>
      <c r="N9" s="56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21569.730000000003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542" t="s">
        <v>48</v>
      </c>
      <c r="M10" s="579"/>
      <c r="N10" s="543"/>
      <c r="O10" s="149"/>
      <c r="P10" s="580">
        <f>E61</f>
        <v>16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650" t="s">
        <v>50</v>
      </c>
      <c r="K11" s="651"/>
      <c r="L11" s="651"/>
      <c r="M11" s="651"/>
      <c r="N11" s="652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653"/>
      <c r="K12" s="654"/>
      <c r="L12" s="654"/>
      <c r="M12" s="654"/>
      <c r="N12" s="655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656"/>
      <c r="K13" s="657"/>
      <c r="L13" s="657"/>
      <c r="M13" s="657"/>
      <c r="N13" s="658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601" t="s">
        <v>59</v>
      </c>
      <c r="K14" s="602"/>
      <c r="L14" s="605" t="s">
        <v>60</v>
      </c>
      <c r="M14" s="606"/>
      <c r="N14" s="60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603"/>
      <c r="K15" s="604"/>
      <c r="L15" s="608"/>
      <c r="M15" s="609"/>
      <c r="N15" s="61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631" t="s">
        <v>69</v>
      </c>
      <c r="K16" s="201" t="s">
        <v>72</v>
      </c>
      <c r="L16" s="202" t="s">
        <v>73</v>
      </c>
      <c r="M16" s="633" t="s">
        <v>74</v>
      </c>
      <c r="N16" s="633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8"/>
      <c r="C17" s="678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632"/>
      <c r="K17" s="614" t="s">
        <v>52</v>
      </c>
      <c r="L17" s="615"/>
      <c r="M17" s="634"/>
      <c r="N17" s="634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 s="383" t="s">
        <v>306</v>
      </c>
      <c r="C18" s="377" t="s">
        <v>307</v>
      </c>
      <c r="D18" s="367">
        <v>500</v>
      </c>
      <c r="E18" s="219">
        <v>1</v>
      </c>
      <c r="F18" s="220">
        <v>278.85000000000002</v>
      </c>
      <c r="G18" s="221"/>
      <c r="H18" s="222">
        <f t="shared" ref="H18:H60" si="0">ROUND(IF($H$17=$G$17,E18*G18,E18*F18),2)</f>
        <v>278.85000000000002</v>
      </c>
      <c r="I18" s="223"/>
      <c r="J18" s="224">
        <f t="shared" ref="J18:J60" si="1">E18</f>
        <v>1</v>
      </c>
      <c r="K18" s="221">
        <f t="shared" ref="K18:K60" si="2">IFERROR(IF(M18="OEM DISC %",ROUND(IF($K$17=$F$17,F18*(1-N18),G18*(1-N18)),2),IF(M18="MARKUP %",ROUND(R18/J18*(1+N18),2))),0)</f>
        <v>105.96</v>
      </c>
      <c r="L18" s="221">
        <f t="shared" ref="L18:L60" si="3">ROUND((J18*K18),2)</f>
        <v>105.96</v>
      </c>
      <c r="M18" s="220" t="s">
        <v>84</v>
      </c>
      <c r="N18" s="225">
        <v>0.62</v>
      </c>
      <c r="O18" s="226"/>
      <c r="P18" s="227"/>
      <c r="Q18" s="228"/>
      <c r="R18" s="229">
        <f t="shared" ref="R18:R60" si="4">ROUND(IF($R$17=$Q$17,Q18,IF($R$17="USD $",Q18*$D$15,Q18*$E$15))*E18,2)</f>
        <v>0</v>
      </c>
      <c r="S18" s="229">
        <f t="shared" ref="S18:S60" si="5">IFERROR(ROUND(T18/E18,2),0)</f>
        <v>105.96</v>
      </c>
      <c r="T18" s="229">
        <f t="shared" ref="T18:T60" si="6">ROUND(L18-R18,2)</f>
        <v>105.96</v>
      </c>
      <c r="U18" s="230">
        <f t="shared" ref="U18:U60" si="7">IFERROR(((K18-(R18/J18))/(R18/J18)),0)</f>
        <v>0</v>
      </c>
      <c r="V18" s="230">
        <f t="shared" ref="V18:V60" si="8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384">
        <v>925683</v>
      </c>
      <c r="C19" s="378" t="s">
        <v>182</v>
      </c>
      <c r="D19" s="368">
        <v>1000</v>
      </c>
      <c r="E19" s="238">
        <v>1</v>
      </c>
      <c r="F19" s="239">
        <v>83.76</v>
      </c>
      <c r="G19" s="240"/>
      <c r="H19" s="241">
        <f t="shared" si="0"/>
        <v>83.76</v>
      </c>
      <c r="I19" s="242"/>
      <c r="J19" s="243">
        <f t="shared" si="1"/>
        <v>1</v>
      </c>
      <c r="K19" s="240">
        <f t="shared" si="2"/>
        <v>31.83</v>
      </c>
      <c r="L19" s="240">
        <f t="shared" si="3"/>
        <v>31.83</v>
      </c>
      <c r="M19" s="244" t="s">
        <v>84</v>
      </c>
      <c r="N19" s="245">
        <v>0.62</v>
      </c>
      <c r="O19" s="226"/>
      <c r="P19" s="246"/>
      <c r="Q19" s="239"/>
      <c r="R19" s="247">
        <f t="shared" si="4"/>
        <v>0</v>
      </c>
      <c r="S19" s="248">
        <f t="shared" si="5"/>
        <v>31.83</v>
      </c>
      <c r="T19" s="248">
        <f t="shared" si="6"/>
        <v>31.83</v>
      </c>
      <c r="U19" s="249">
        <f t="shared" si="7"/>
        <v>0</v>
      </c>
      <c r="V19" s="249">
        <f t="shared" si="8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384" t="s">
        <v>308</v>
      </c>
      <c r="C20" s="378" t="s">
        <v>253</v>
      </c>
      <c r="D20" s="358">
        <v>375</v>
      </c>
      <c r="E20" s="238">
        <v>1</v>
      </c>
      <c r="F20" s="220">
        <v>52.04</v>
      </c>
      <c r="G20" s="221"/>
      <c r="H20" s="222">
        <f t="shared" si="0"/>
        <v>52.04</v>
      </c>
      <c r="I20" s="242"/>
      <c r="J20" s="224">
        <f t="shared" si="1"/>
        <v>1</v>
      </c>
      <c r="K20" s="221">
        <f t="shared" si="2"/>
        <v>19.78</v>
      </c>
      <c r="L20" s="221">
        <f t="shared" si="3"/>
        <v>19.78</v>
      </c>
      <c r="M20" s="220" t="s">
        <v>84</v>
      </c>
      <c r="N20" s="254">
        <v>0.62</v>
      </c>
      <c r="O20" s="226"/>
      <c r="P20" s="255"/>
      <c r="Q20" s="228"/>
      <c r="R20" s="229">
        <f t="shared" si="4"/>
        <v>0</v>
      </c>
      <c r="S20" s="229">
        <f t="shared" si="5"/>
        <v>19.78</v>
      </c>
      <c r="T20" s="229">
        <f t="shared" si="6"/>
        <v>19.78</v>
      </c>
      <c r="U20" s="230">
        <f t="shared" si="7"/>
        <v>0</v>
      </c>
      <c r="V20" s="230">
        <f t="shared" si="8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384" t="s">
        <v>309</v>
      </c>
      <c r="C21" s="378" t="s">
        <v>310</v>
      </c>
      <c r="D21" s="368">
        <v>500</v>
      </c>
      <c r="E21" s="238">
        <v>1</v>
      </c>
      <c r="F21" s="239">
        <v>89.68</v>
      </c>
      <c r="G21" s="240"/>
      <c r="H21" s="241">
        <f t="shared" si="0"/>
        <v>89.68</v>
      </c>
      <c r="I21" s="242"/>
      <c r="J21" s="243">
        <f t="shared" si="1"/>
        <v>1</v>
      </c>
      <c r="K21" s="240">
        <f t="shared" si="2"/>
        <v>34.08</v>
      </c>
      <c r="L21" s="240">
        <f t="shared" si="3"/>
        <v>34.08</v>
      </c>
      <c r="M21" s="244" t="s">
        <v>84</v>
      </c>
      <c r="N21" s="245">
        <v>0.62</v>
      </c>
      <c r="O21" s="226"/>
      <c r="P21" s="246"/>
      <c r="Q21" s="239"/>
      <c r="R21" s="247">
        <f t="shared" si="4"/>
        <v>0</v>
      </c>
      <c r="S21" s="248">
        <f t="shared" si="5"/>
        <v>34.08</v>
      </c>
      <c r="T21" s="248">
        <f t="shared" si="6"/>
        <v>34.08</v>
      </c>
      <c r="U21" s="249">
        <f t="shared" si="7"/>
        <v>0</v>
      </c>
      <c r="V21" s="249">
        <f t="shared" si="8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383">
        <v>925346</v>
      </c>
      <c r="C22" s="377" t="s">
        <v>311</v>
      </c>
      <c r="D22" s="369">
        <v>500</v>
      </c>
      <c r="E22" s="238">
        <v>1</v>
      </c>
      <c r="F22" s="220">
        <v>155.6</v>
      </c>
      <c r="G22" s="221"/>
      <c r="H22" s="222">
        <f t="shared" si="0"/>
        <v>155.6</v>
      </c>
      <c r="I22" s="242"/>
      <c r="J22" s="224">
        <f t="shared" si="1"/>
        <v>1</v>
      </c>
      <c r="K22" s="221">
        <f t="shared" si="2"/>
        <v>59.13</v>
      </c>
      <c r="L22" s="221">
        <f t="shared" si="3"/>
        <v>59.13</v>
      </c>
      <c r="M22" s="220" t="s">
        <v>84</v>
      </c>
      <c r="N22" s="254">
        <v>0.62</v>
      </c>
      <c r="O22" s="226"/>
      <c r="P22" s="255"/>
      <c r="Q22" s="228"/>
      <c r="R22" s="229">
        <f t="shared" si="4"/>
        <v>0</v>
      </c>
      <c r="S22" s="229">
        <f t="shared" si="5"/>
        <v>59.13</v>
      </c>
      <c r="T22" s="229">
        <f t="shared" si="6"/>
        <v>59.13</v>
      </c>
      <c r="U22" s="230">
        <f t="shared" si="7"/>
        <v>0</v>
      </c>
      <c r="V22" s="230">
        <f t="shared" si="8"/>
        <v>1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384">
        <v>925759</v>
      </c>
      <c r="C23" s="378" t="s">
        <v>312</v>
      </c>
      <c r="D23" s="358">
        <v>375</v>
      </c>
      <c r="E23" s="238">
        <v>1</v>
      </c>
      <c r="F23" s="239">
        <v>59.15</v>
      </c>
      <c r="G23" s="240"/>
      <c r="H23" s="241">
        <f t="shared" si="0"/>
        <v>59.15</v>
      </c>
      <c r="I23" s="242"/>
      <c r="J23" s="243">
        <f t="shared" si="1"/>
        <v>1</v>
      </c>
      <c r="K23" s="240">
        <f t="shared" si="2"/>
        <v>22.48</v>
      </c>
      <c r="L23" s="240">
        <f t="shared" si="3"/>
        <v>22.48</v>
      </c>
      <c r="M23" s="244" t="s">
        <v>84</v>
      </c>
      <c r="N23" s="245">
        <v>0.62</v>
      </c>
      <c r="O23" s="226"/>
      <c r="P23" s="246"/>
      <c r="Q23" s="239"/>
      <c r="R23" s="247">
        <f t="shared" si="4"/>
        <v>0</v>
      </c>
      <c r="S23" s="248">
        <f t="shared" si="5"/>
        <v>22.48</v>
      </c>
      <c r="T23" s="248">
        <f t="shared" si="6"/>
        <v>22.48</v>
      </c>
      <c r="U23" s="249">
        <f t="shared" si="7"/>
        <v>0</v>
      </c>
      <c r="V23" s="249">
        <f t="shared" si="8"/>
        <v>1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383" t="s">
        <v>313</v>
      </c>
      <c r="C24" s="377" t="s">
        <v>312</v>
      </c>
      <c r="D24" s="358">
        <v>375</v>
      </c>
      <c r="E24" s="238">
        <v>1</v>
      </c>
      <c r="F24" s="220">
        <v>110.2</v>
      </c>
      <c r="G24" s="221"/>
      <c r="H24" s="222">
        <f t="shared" si="0"/>
        <v>110.2</v>
      </c>
      <c r="I24" s="242"/>
      <c r="J24" s="224">
        <f t="shared" si="1"/>
        <v>1</v>
      </c>
      <c r="K24" s="221">
        <f t="shared" si="2"/>
        <v>41.88</v>
      </c>
      <c r="L24" s="221">
        <f t="shared" si="3"/>
        <v>41.88</v>
      </c>
      <c r="M24" s="220" t="s">
        <v>84</v>
      </c>
      <c r="N24" s="254">
        <v>0.62</v>
      </c>
      <c r="O24" s="226"/>
      <c r="P24" s="255"/>
      <c r="Q24" s="228"/>
      <c r="R24" s="229">
        <f t="shared" si="4"/>
        <v>0</v>
      </c>
      <c r="S24" s="229">
        <f t="shared" si="5"/>
        <v>41.88</v>
      </c>
      <c r="T24" s="229">
        <f t="shared" si="6"/>
        <v>41.88</v>
      </c>
      <c r="U24" s="230">
        <f t="shared" si="7"/>
        <v>0</v>
      </c>
      <c r="V24" s="230">
        <f t="shared" si="8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 s="384">
        <v>23654</v>
      </c>
      <c r="C25" s="378" t="s">
        <v>314</v>
      </c>
      <c r="D25" s="368" t="s">
        <v>101</v>
      </c>
      <c r="E25" s="238">
        <v>1</v>
      </c>
      <c r="F25" s="239">
        <v>327.2</v>
      </c>
      <c r="G25" s="240"/>
      <c r="H25" s="241">
        <f t="shared" si="0"/>
        <v>327.2</v>
      </c>
      <c r="I25" s="242"/>
      <c r="J25" s="243">
        <f t="shared" si="1"/>
        <v>1</v>
      </c>
      <c r="K25" s="240">
        <f t="shared" si="2"/>
        <v>327.2</v>
      </c>
      <c r="L25" s="240">
        <f t="shared" si="3"/>
        <v>327.2</v>
      </c>
      <c r="M25" s="244" t="s">
        <v>84</v>
      </c>
      <c r="N25" s="245"/>
      <c r="O25" s="226"/>
      <c r="P25" s="246"/>
      <c r="Q25" s="239"/>
      <c r="R25" s="247">
        <f t="shared" si="4"/>
        <v>0</v>
      </c>
      <c r="S25" s="248">
        <f t="shared" si="5"/>
        <v>327.2</v>
      </c>
      <c r="T25" s="248">
        <f t="shared" si="6"/>
        <v>327.2</v>
      </c>
      <c r="U25" s="249">
        <f t="shared" si="7"/>
        <v>0</v>
      </c>
      <c r="V25" s="249">
        <f t="shared" si="8"/>
        <v>1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 s="385" t="s">
        <v>315</v>
      </c>
      <c r="C26" s="377" t="s">
        <v>189</v>
      </c>
      <c r="D26" s="369" t="s">
        <v>101</v>
      </c>
      <c r="E26" s="238">
        <v>1</v>
      </c>
      <c r="F26" s="220">
        <v>1429.25</v>
      </c>
      <c r="G26" s="221"/>
      <c r="H26" s="222">
        <f t="shared" si="0"/>
        <v>1429.25</v>
      </c>
      <c r="I26" s="242"/>
      <c r="J26" s="224">
        <f t="shared" si="1"/>
        <v>1</v>
      </c>
      <c r="K26" s="221">
        <f t="shared" si="2"/>
        <v>714.63</v>
      </c>
      <c r="L26" s="221">
        <f t="shared" si="3"/>
        <v>714.63</v>
      </c>
      <c r="M26" s="220" t="s">
        <v>84</v>
      </c>
      <c r="N26" s="254">
        <v>0.5</v>
      </c>
      <c r="O26" s="226"/>
      <c r="P26" s="255"/>
      <c r="Q26" s="228"/>
      <c r="R26" s="229">
        <f t="shared" si="4"/>
        <v>0</v>
      </c>
      <c r="S26" s="229">
        <f t="shared" si="5"/>
        <v>714.63</v>
      </c>
      <c r="T26" s="229">
        <f t="shared" si="6"/>
        <v>714.63</v>
      </c>
      <c r="U26" s="230">
        <f t="shared" si="7"/>
        <v>0</v>
      </c>
      <c r="V26" s="230">
        <f t="shared" si="8"/>
        <v>1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384">
        <v>2709</v>
      </c>
      <c r="C27" s="378" t="s">
        <v>112</v>
      </c>
      <c r="D27" s="369" t="s">
        <v>101</v>
      </c>
      <c r="E27" s="238">
        <v>1</v>
      </c>
      <c r="F27" s="239">
        <v>2579.15</v>
      </c>
      <c r="G27" s="240"/>
      <c r="H27" s="241">
        <f t="shared" si="0"/>
        <v>2579.15</v>
      </c>
      <c r="I27" s="242"/>
      <c r="J27" s="243">
        <f t="shared" si="1"/>
        <v>1</v>
      </c>
      <c r="K27" s="240">
        <f t="shared" si="2"/>
        <v>2579.15</v>
      </c>
      <c r="L27" s="240">
        <f t="shared" si="3"/>
        <v>2579.15</v>
      </c>
      <c r="M27" s="244" t="s">
        <v>84</v>
      </c>
      <c r="N27" s="245"/>
      <c r="O27" s="226"/>
      <c r="P27" s="246"/>
      <c r="Q27" s="239"/>
      <c r="R27" s="247">
        <f t="shared" si="4"/>
        <v>0</v>
      </c>
      <c r="S27" s="248">
        <f t="shared" si="5"/>
        <v>2579.15</v>
      </c>
      <c r="T27" s="248">
        <f t="shared" si="6"/>
        <v>2579.15</v>
      </c>
      <c r="U27" s="249">
        <f t="shared" si="7"/>
        <v>0</v>
      </c>
      <c r="V27" s="249">
        <f t="shared" si="8"/>
        <v>1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366">
        <v>6881</v>
      </c>
      <c r="C28" s="377" t="s">
        <v>298</v>
      </c>
      <c r="D28" s="373">
        <v>6000</v>
      </c>
      <c r="E28" s="238">
        <v>1</v>
      </c>
      <c r="F28" s="220">
        <v>1155.76</v>
      </c>
      <c r="G28" s="221">
        <f t="shared" ref="G28:G60" si="9">ROUND(IF($F$17="USD $", F28*$E$15,F28*$D$15),2)</f>
        <v>813.92</v>
      </c>
      <c r="H28" s="222">
        <f t="shared" si="0"/>
        <v>1155.76</v>
      </c>
      <c r="I28" s="242"/>
      <c r="J28" s="224">
        <f t="shared" si="1"/>
        <v>1</v>
      </c>
      <c r="K28" s="221">
        <f t="shared" si="2"/>
        <v>1155.76</v>
      </c>
      <c r="L28" s="221">
        <f t="shared" si="3"/>
        <v>1155.76</v>
      </c>
      <c r="M28" s="220" t="s">
        <v>84</v>
      </c>
      <c r="N28" s="254"/>
      <c r="O28" s="226"/>
      <c r="P28" s="255"/>
      <c r="Q28" s="228"/>
      <c r="R28" s="229">
        <f t="shared" si="4"/>
        <v>0</v>
      </c>
      <c r="S28" s="229">
        <f t="shared" si="5"/>
        <v>1155.76</v>
      </c>
      <c r="T28" s="229">
        <f t="shared" si="6"/>
        <v>1155.76</v>
      </c>
      <c r="U28" s="230">
        <f t="shared" si="7"/>
        <v>0</v>
      </c>
      <c r="V28" s="230">
        <f t="shared" si="8"/>
        <v>1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386" t="s">
        <v>316</v>
      </c>
      <c r="C29" s="378" t="s">
        <v>185</v>
      </c>
      <c r="D29" s="373">
        <v>6000</v>
      </c>
      <c r="E29" s="238">
        <v>1</v>
      </c>
      <c r="F29" s="239">
        <v>2254.65</v>
      </c>
      <c r="G29" s="240">
        <f t="shared" si="9"/>
        <v>1587.78</v>
      </c>
      <c r="H29" s="241">
        <f t="shared" si="0"/>
        <v>2254.65</v>
      </c>
      <c r="I29" s="242"/>
      <c r="J29" s="243">
        <f t="shared" si="1"/>
        <v>1</v>
      </c>
      <c r="K29" s="240">
        <f t="shared" si="2"/>
        <v>2254.65</v>
      </c>
      <c r="L29" s="240">
        <f t="shared" si="3"/>
        <v>2254.65</v>
      </c>
      <c r="M29" s="244" t="s">
        <v>84</v>
      </c>
      <c r="N29" s="245"/>
      <c r="O29" s="226"/>
      <c r="P29" s="246"/>
      <c r="Q29" s="239"/>
      <c r="R29" s="247">
        <f t="shared" si="4"/>
        <v>0</v>
      </c>
      <c r="S29" s="248">
        <f t="shared" si="5"/>
        <v>2254.65</v>
      </c>
      <c r="T29" s="248">
        <f t="shared" si="6"/>
        <v>2254.65</v>
      </c>
      <c r="U29" s="249">
        <f t="shared" si="7"/>
        <v>0</v>
      </c>
      <c r="V29" s="249">
        <f t="shared" si="8"/>
        <v>1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358"/>
      <c r="C30" s="377" t="s">
        <v>317</v>
      </c>
      <c r="D30" s="358">
        <v>4000</v>
      </c>
      <c r="E30" s="387">
        <v>4</v>
      </c>
      <c r="F30" s="388">
        <v>3555.8</v>
      </c>
      <c r="G30" s="221">
        <f t="shared" si="9"/>
        <v>2504.08</v>
      </c>
      <c r="H30" s="222">
        <f t="shared" si="0"/>
        <v>14223.2</v>
      </c>
      <c r="I30" s="242"/>
      <c r="J30" s="224">
        <f t="shared" si="1"/>
        <v>4</v>
      </c>
      <c r="K30" s="221">
        <f t="shared" si="2"/>
        <v>3555.8</v>
      </c>
      <c r="L30" s="221">
        <f t="shared" si="3"/>
        <v>14223.2</v>
      </c>
      <c r="M30" s="220" t="s">
        <v>84</v>
      </c>
      <c r="N30" s="254"/>
      <c r="O30" s="226"/>
      <c r="P30" s="255"/>
      <c r="Q30" s="228"/>
      <c r="R30" s="229">
        <f t="shared" si="4"/>
        <v>0</v>
      </c>
      <c r="S30" s="229">
        <f t="shared" si="5"/>
        <v>3555.8</v>
      </c>
      <c r="T30" s="229">
        <f t="shared" si="6"/>
        <v>14223.2</v>
      </c>
      <c r="U30" s="230">
        <f t="shared" si="7"/>
        <v>0</v>
      </c>
      <c r="V30" s="230">
        <f t="shared" si="8"/>
        <v>1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362"/>
      <c r="C31" s="363"/>
      <c r="D31" s="286"/>
      <c r="E31" s="364"/>
      <c r="F31" s="239"/>
      <c r="G31" s="240">
        <f t="shared" si="9"/>
        <v>0</v>
      </c>
      <c r="H31" s="241">
        <f t="shared" si="0"/>
        <v>0</v>
      </c>
      <c r="I31" s="242"/>
      <c r="J31" s="243">
        <f t="shared" si="1"/>
        <v>0</v>
      </c>
      <c r="K31" s="240">
        <f t="shared" si="2"/>
        <v>0</v>
      </c>
      <c r="L31" s="240">
        <f t="shared" si="3"/>
        <v>0</v>
      </c>
      <c r="M31" s="244" t="s">
        <v>84</v>
      </c>
      <c r="N31" s="245"/>
      <c r="O31" s="226"/>
      <c r="P31" s="246"/>
      <c r="Q31" s="239"/>
      <c r="R31" s="247">
        <f t="shared" si="4"/>
        <v>0</v>
      </c>
      <c r="S31" s="248">
        <f t="shared" si="5"/>
        <v>0</v>
      </c>
      <c r="T31" s="248">
        <f t="shared" si="6"/>
        <v>0</v>
      </c>
      <c r="U31" s="249">
        <f t="shared" si="7"/>
        <v>0</v>
      </c>
      <c r="V31" s="249">
        <f t="shared" si="8"/>
        <v>0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358"/>
      <c r="C32" s="365"/>
      <c r="D32" s="287"/>
      <c r="E32" s="361"/>
      <c r="F32" s="220"/>
      <c r="G32" s="221">
        <f t="shared" si="9"/>
        <v>0</v>
      </c>
      <c r="H32" s="222">
        <f t="shared" si="0"/>
        <v>0</v>
      </c>
      <c r="I32" s="242"/>
      <c r="J32" s="224">
        <f t="shared" si="1"/>
        <v>0</v>
      </c>
      <c r="K32" s="221">
        <f t="shared" si="2"/>
        <v>0</v>
      </c>
      <c r="L32" s="221">
        <f t="shared" si="3"/>
        <v>0</v>
      </c>
      <c r="M32" s="220" t="s">
        <v>84</v>
      </c>
      <c r="N32" s="254">
        <v>0.5</v>
      </c>
      <c r="O32" s="226"/>
      <c r="P32" s="255"/>
      <c r="Q32" s="228"/>
      <c r="R32" s="229">
        <f t="shared" si="4"/>
        <v>0</v>
      </c>
      <c r="S32" s="229">
        <f t="shared" si="5"/>
        <v>0</v>
      </c>
      <c r="T32" s="229">
        <f t="shared" si="6"/>
        <v>0</v>
      </c>
      <c r="U32" s="230">
        <f t="shared" si="7"/>
        <v>0</v>
      </c>
      <c r="V32" s="230">
        <f t="shared" si="8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362"/>
      <c r="C33" s="363"/>
      <c r="D33" s="286"/>
      <c r="E33" s="364"/>
      <c r="F33" s="239"/>
      <c r="G33" s="240">
        <f t="shared" si="9"/>
        <v>0</v>
      </c>
      <c r="H33" s="241">
        <f t="shared" si="0"/>
        <v>0</v>
      </c>
      <c r="I33" s="242"/>
      <c r="J33" s="243">
        <f t="shared" si="1"/>
        <v>0</v>
      </c>
      <c r="K33" s="240">
        <f t="shared" si="2"/>
        <v>0</v>
      </c>
      <c r="L33" s="240">
        <f t="shared" si="3"/>
        <v>0</v>
      </c>
      <c r="M33" s="244" t="s">
        <v>84</v>
      </c>
      <c r="N33" s="245"/>
      <c r="O33" s="226"/>
      <c r="P33" s="246"/>
      <c r="Q33" s="239"/>
      <c r="R33" s="247">
        <f t="shared" si="4"/>
        <v>0</v>
      </c>
      <c r="S33" s="248">
        <f t="shared" si="5"/>
        <v>0</v>
      </c>
      <c r="T33" s="248">
        <f t="shared" si="6"/>
        <v>0</v>
      </c>
      <c r="U33" s="249">
        <f t="shared" si="7"/>
        <v>0</v>
      </c>
      <c r="V33" s="249">
        <f t="shared" si="8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358"/>
      <c r="C34" s="365"/>
      <c r="D34" s="287"/>
      <c r="E34" s="361"/>
      <c r="F34" s="220"/>
      <c r="G34" s="221">
        <f t="shared" si="9"/>
        <v>0</v>
      </c>
      <c r="H34" s="222">
        <f t="shared" si="0"/>
        <v>0</v>
      </c>
      <c r="I34" s="242"/>
      <c r="J34" s="224">
        <f t="shared" si="1"/>
        <v>0</v>
      </c>
      <c r="K34" s="221">
        <f t="shared" si="2"/>
        <v>0</v>
      </c>
      <c r="L34" s="221">
        <f t="shared" si="3"/>
        <v>0</v>
      </c>
      <c r="M34" s="220" t="s">
        <v>84</v>
      </c>
      <c r="N34" s="254">
        <v>0.5</v>
      </c>
      <c r="O34" s="226"/>
      <c r="P34" s="255"/>
      <c r="Q34" s="228"/>
      <c r="R34" s="229">
        <f t="shared" si="4"/>
        <v>0</v>
      </c>
      <c r="S34" s="229">
        <f t="shared" si="5"/>
        <v>0</v>
      </c>
      <c r="T34" s="229">
        <f t="shared" si="6"/>
        <v>0</v>
      </c>
      <c r="U34" s="230">
        <f t="shared" si="7"/>
        <v>0</v>
      </c>
      <c r="V34" s="230">
        <f t="shared" si="8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362"/>
      <c r="C35" s="363"/>
      <c r="D35" s="286"/>
      <c r="E35" s="364"/>
      <c r="F35" s="239"/>
      <c r="G35" s="240">
        <f t="shared" si="9"/>
        <v>0</v>
      </c>
      <c r="H35" s="241">
        <f t="shared" si="0"/>
        <v>0</v>
      </c>
      <c r="I35" s="242"/>
      <c r="J35" s="243">
        <f t="shared" si="1"/>
        <v>0</v>
      </c>
      <c r="K35" s="240">
        <f t="shared" si="2"/>
        <v>0</v>
      </c>
      <c r="L35" s="240">
        <f t="shared" si="3"/>
        <v>0</v>
      </c>
      <c r="M35" s="244" t="s">
        <v>84</v>
      </c>
      <c r="N35" s="245">
        <v>0.5</v>
      </c>
      <c r="O35" s="226"/>
      <c r="P35" s="246"/>
      <c r="Q35" s="239"/>
      <c r="R35" s="247">
        <f t="shared" si="4"/>
        <v>0</v>
      </c>
      <c r="S35" s="248">
        <f t="shared" si="5"/>
        <v>0</v>
      </c>
      <c r="T35" s="248">
        <f t="shared" si="6"/>
        <v>0</v>
      </c>
      <c r="U35" s="249">
        <f t="shared" si="7"/>
        <v>0</v>
      </c>
      <c r="V35" s="249">
        <f t="shared" si="8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358"/>
      <c r="C36" s="365"/>
      <c r="D36" s="287"/>
      <c r="E36" s="361"/>
      <c r="F36" s="220"/>
      <c r="G36" s="221">
        <f t="shared" si="9"/>
        <v>0</v>
      </c>
      <c r="H36" s="222">
        <f t="shared" si="0"/>
        <v>0</v>
      </c>
      <c r="I36" s="242"/>
      <c r="J36" s="224">
        <f t="shared" si="1"/>
        <v>0</v>
      </c>
      <c r="K36" s="221">
        <f t="shared" si="2"/>
        <v>0</v>
      </c>
      <c r="L36" s="221">
        <f t="shared" si="3"/>
        <v>0</v>
      </c>
      <c r="M36" s="220" t="s">
        <v>84</v>
      </c>
      <c r="N36" s="254"/>
      <c r="O36" s="226"/>
      <c r="P36" s="255"/>
      <c r="Q36" s="228"/>
      <c r="R36" s="229">
        <f t="shared" si="4"/>
        <v>0</v>
      </c>
      <c r="S36" s="229">
        <f t="shared" si="5"/>
        <v>0</v>
      </c>
      <c r="T36" s="229">
        <f t="shared" si="6"/>
        <v>0</v>
      </c>
      <c r="U36" s="230">
        <f t="shared" si="7"/>
        <v>0</v>
      </c>
      <c r="V36" s="230">
        <f t="shared" si="8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362"/>
      <c r="C37" s="363"/>
      <c r="D37" s="286"/>
      <c r="E37" s="364"/>
      <c r="F37" s="239"/>
      <c r="G37" s="240">
        <f t="shared" si="9"/>
        <v>0</v>
      </c>
      <c r="H37" s="241">
        <f t="shared" si="0"/>
        <v>0</v>
      </c>
      <c r="I37" s="242"/>
      <c r="J37" s="243">
        <f t="shared" si="1"/>
        <v>0</v>
      </c>
      <c r="K37" s="240">
        <f t="shared" si="2"/>
        <v>0</v>
      </c>
      <c r="L37" s="240">
        <f t="shared" si="3"/>
        <v>0</v>
      </c>
      <c r="M37" s="244" t="s">
        <v>84</v>
      </c>
      <c r="N37" s="245"/>
      <c r="O37" s="226"/>
      <c r="P37" s="246"/>
      <c r="Q37" s="239"/>
      <c r="R37" s="247">
        <f t="shared" si="4"/>
        <v>0</v>
      </c>
      <c r="S37" s="248">
        <f t="shared" si="5"/>
        <v>0</v>
      </c>
      <c r="T37" s="248">
        <f t="shared" si="6"/>
        <v>0</v>
      </c>
      <c r="U37" s="249">
        <f t="shared" si="7"/>
        <v>0</v>
      </c>
      <c r="V37" s="249">
        <f t="shared" si="8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358"/>
      <c r="C38" s="365"/>
      <c r="D38" s="287"/>
      <c r="E38" s="361"/>
      <c r="F38" s="220"/>
      <c r="G38" s="221">
        <f t="shared" si="9"/>
        <v>0</v>
      </c>
      <c r="H38" s="222">
        <f t="shared" si="0"/>
        <v>0</v>
      </c>
      <c r="I38" s="242"/>
      <c r="J38" s="224">
        <f t="shared" si="1"/>
        <v>0</v>
      </c>
      <c r="K38" s="221">
        <f t="shared" si="2"/>
        <v>0</v>
      </c>
      <c r="L38" s="221">
        <f t="shared" si="3"/>
        <v>0</v>
      </c>
      <c r="M38" s="220" t="s">
        <v>84</v>
      </c>
      <c r="N38" s="254"/>
      <c r="O38" s="226"/>
      <c r="P38" s="255"/>
      <c r="Q38" s="228"/>
      <c r="R38" s="229">
        <f t="shared" si="4"/>
        <v>0</v>
      </c>
      <c r="S38" s="229">
        <f t="shared" si="5"/>
        <v>0</v>
      </c>
      <c r="T38" s="229">
        <f t="shared" si="6"/>
        <v>0</v>
      </c>
      <c r="U38" s="230">
        <f t="shared" si="7"/>
        <v>0</v>
      </c>
      <c r="V38" s="230">
        <f t="shared" si="8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362"/>
      <c r="C39" s="363"/>
      <c r="D39" s="286"/>
      <c r="E39" s="364"/>
      <c r="F39" s="239"/>
      <c r="G39" s="240">
        <f t="shared" si="9"/>
        <v>0</v>
      </c>
      <c r="H39" s="241">
        <f t="shared" si="0"/>
        <v>0</v>
      </c>
      <c r="I39" s="242"/>
      <c r="J39" s="243">
        <f t="shared" si="1"/>
        <v>0</v>
      </c>
      <c r="K39" s="240">
        <f t="shared" si="2"/>
        <v>0</v>
      </c>
      <c r="L39" s="240">
        <f t="shared" si="3"/>
        <v>0</v>
      </c>
      <c r="M39" s="244" t="s">
        <v>84</v>
      </c>
      <c r="N39" s="245"/>
      <c r="O39" s="226"/>
      <c r="P39" s="246"/>
      <c r="Q39" s="239"/>
      <c r="R39" s="247">
        <f t="shared" si="4"/>
        <v>0</v>
      </c>
      <c r="S39" s="248">
        <f t="shared" si="5"/>
        <v>0</v>
      </c>
      <c r="T39" s="248">
        <f t="shared" si="6"/>
        <v>0</v>
      </c>
      <c r="U39" s="249">
        <f t="shared" si="7"/>
        <v>0</v>
      </c>
      <c r="V39" s="249">
        <f t="shared" si="8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358"/>
      <c r="C40" s="365"/>
      <c r="D40" s="287"/>
      <c r="E40" s="361"/>
      <c r="F40" s="220"/>
      <c r="G40" s="221">
        <f t="shared" si="9"/>
        <v>0</v>
      </c>
      <c r="H40" s="222">
        <f t="shared" si="0"/>
        <v>0</v>
      </c>
      <c r="I40" s="242"/>
      <c r="J40" s="224">
        <f t="shared" si="1"/>
        <v>0</v>
      </c>
      <c r="K40" s="221">
        <f t="shared" si="2"/>
        <v>0</v>
      </c>
      <c r="L40" s="221">
        <f t="shared" si="3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4"/>
        <v>0</v>
      </c>
      <c r="S40" s="229">
        <f t="shared" si="5"/>
        <v>0</v>
      </c>
      <c r="T40" s="229">
        <f t="shared" si="6"/>
        <v>0</v>
      </c>
      <c r="U40" s="230">
        <f t="shared" si="7"/>
        <v>0</v>
      </c>
      <c r="V40" s="230">
        <f t="shared" si="8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362"/>
      <c r="C41" s="363"/>
      <c r="D41" s="286"/>
      <c r="E41" s="364"/>
      <c r="F41" s="239"/>
      <c r="G41" s="240">
        <f t="shared" si="9"/>
        <v>0</v>
      </c>
      <c r="H41" s="241">
        <f t="shared" si="0"/>
        <v>0</v>
      </c>
      <c r="I41" s="242"/>
      <c r="J41" s="243">
        <f t="shared" si="1"/>
        <v>0</v>
      </c>
      <c r="K41" s="240">
        <f t="shared" si="2"/>
        <v>0</v>
      </c>
      <c r="L41" s="240">
        <f t="shared" si="3"/>
        <v>0</v>
      </c>
      <c r="M41" s="244" t="s">
        <v>84</v>
      </c>
      <c r="N41" s="245"/>
      <c r="O41" s="226"/>
      <c r="P41" s="246"/>
      <c r="Q41" s="239"/>
      <c r="R41" s="247">
        <f t="shared" si="4"/>
        <v>0</v>
      </c>
      <c r="S41" s="248">
        <f t="shared" si="5"/>
        <v>0</v>
      </c>
      <c r="T41" s="248">
        <f t="shared" si="6"/>
        <v>0</v>
      </c>
      <c r="U41" s="249">
        <f t="shared" si="7"/>
        <v>0</v>
      </c>
      <c r="V41" s="249">
        <f t="shared" si="8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358"/>
      <c r="C42" s="365"/>
      <c r="D42" s="287"/>
      <c r="E42" s="361"/>
      <c r="F42" s="220"/>
      <c r="G42" s="221">
        <f t="shared" si="9"/>
        <v>0</v>
      </c>
      <c r="H42" s="222">
        <f t="shared" si="0"/>
        <v>0</v>
      </c>
      <c r="I42" s="242"/>
      <c r="J42" s="224">
        <f t="shared" si="1"/>
        <v>0</v>
      </c>
      <c r="K42" s="221">
        <f t="shared" si="2"/>
        <v>0</v>
      </c>
      <c r="L42" s="221">
        <f t="shared" si="3"/>
        <v>0</v>
      </c>
      <c r="M42" s="220" t="s">
        <v>84</v>
      </c>
      <c r="N42" s="254"/>
      <c r="O42" s="226"/>
      <c r="P42" s="255"/>
      <c r="Q42" s="228"/>
      <c r="R42" s="229">
        <f t="shared" si="4"/>
        <v>0</v>
      </c>
      <c r="S42" s="229">
        <f t="shared" si="5"/>
        <v>0</v>
      </c>
      <c r="T42" s="229">
        <f t="shared" si="6"/>
        <v>0</v>
      </c>
      <c r="U42" s="230">
        <f t="shared" si="7"/>
        <v>0</v>
      </c>
      <c r="V42" s="230">
        <f t="shared" si="8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362"/>
      <c r="C43" s="363"/>
      <c r="D43" s="286"/>
      <c r="E43" s="364"/>
      <c r="F43" s="239"/>
      <c r="G43" s="240">
        <f t="shared" si="9"/>
        <v>0</v>
      </c>
      <c r="H43" s="241">
        <f t="shared" si="0"/>
        <v>0</v>
      </c>
      <c r="I43" s="242"/>
      <c r="J43" s="243">
        <f t="shared" si="1"/>
        <v>0</v>
      </c>
      <c r="K43" s="240">
        <f t="shared" si="2"/>
        <v>0</v>
      </c>
      <c r="L43" s="240">
        <f t="shared" si="3"/>
        <v>0</v>
      </c>
      <c r="M43" s="244" t="s">
        <v>84</v>
      </c>
      <c r="N43" s="245"/>
      <c r="O43" s="226"/>
      <c r="P43" s="246"/>
      <c r="Q43" s="239"/>
      <c r="R43" s="247">
        <f t="shared" si="4"/>
        <v>0</v>
      </c>
      <c r="S43" s="248">
        <f t="shared" si="5"/>
        <v>0</v>
      </c>
      <c r="T43" s="248">
        <f t="shared" si="6"/>
        <v>0</v>
      </c>
      <c r="U43" s="249">
        <f t="shared" si="7"/>
        <v>0</v>
      </c>
      <c r="V43" s="249">
        <f t="shared" si="8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358"/>
      <c r="C44" s="365"/>
      <c r="D44" s="287"/>
      <c r="E44" s="361"/>
      <c r="F44" s="220"/>
      <c r="G44" s="221">
        <f t="shared" si="9"/>
        <v>0</v>
      </c>
      <c r="H44" s="222">
        <f t="shared" si="0"/>
        <v>0</v>
      </c>
      <c r="I44" s="242"/>
      <c r="J44" s="224">
        <f t="shared" si="1"/>
        <v>0</v>
      </c>
      <c r="K44" s="221">
        <f t="shared" si="2"/>
        <v>0</v>
      </c>
      <c r="L44" s="221">
        <f t="shared" si="3"/>
        <v>0</v>
      </c>
      <c r="M44" s="220" t="s">
        <v>84</v>
      </c>
      <c r="N44" s="254"/>
      <c r="O44" s="226"/>
      <c r="P44" s="255"/>
      <c r="Q44" s="228"/>
      <c r="R44" s="229">
        <f t="shared" si="4"/>
        <v>0</v>
      </c>
      <c r="S44" s="229">
        <f t="shared" si="5"/>
        <v>0</v>
      </c>
      <c r="T44" s="229">
        <f t="shared" si="6"/>
        <v>0</v>
      </c>
      <c r="U44" s="230">
        <f t="shared" si="7"/>
        <v>0</v>
      </c>
      <c r="V44" s="230">
        <f t="shared" si="8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362"/>
      <c r="C45" s="363"/>
      <c r="D45" s="286"/>
      <c r="E45" s="364"/>
      <c r="F45" s="239"/>
      <c r="G45" s="240">
        <f t="shared" si="9"/>
        <v>0</v>
      </c>
      <c r="H45" s="241">
        <f t="shared" si="0"/>
        <v>0</v>
      </c>
      <c r="I45" s="242"/>
      <c r="J45" s="243">
        <f t="shared" si="1"/>
        <v>0</v>
      </c>
      <c r="K45" s="240">
        <f t="shared" si="2"/>
        <v>0</v>
      </c>
      <c r="L45" s="240">
        <f t="shared" si="3"/>
        <v>0</v>
      </c>
      <c r="M45" s="244" t="s">
        <v>84</v>
      </c>
      <c r="N45" s="245"/>
      <c r="O45" s="226"/>
      <c r="P45" s="246"/>
      <c r="Q45" s="239"/>
      <c r="R45" s="247">
        <f t="shared" si="4"/>
        <v>0</v>
      </c>
      <c r="S45" s="248">
        <f t="shared" si="5"/>
        <v>0</v>
      </c>
      <c r="T45" s="248">
        <f t="shared" si="6"/>
        <v>0</v>
      </c>
      <c r="U45" s="249">
        <f t="shared" si="7"/>
        <v>0</v>
      </c>
      <c r="V45" s="249">
        <f t="shared" si="8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358"/>
      <c r="C46" s="365"/>
      <c r="D46" s="287"/>
      <c r="E46" s="361"/>
      <c r="F46" s="220"/>
      <c r="G46" s="221">
        <f t="shared" si="9"/>
        <v>0</v>
      </c>
      <c r="H46" s="222">
        <f t="shared" si="0"/>
        <v>0</v>
      </c>
      <c r="I46" s="242"/>
      <c r="J46" s="224">
        <f t="shared" si="1"/>
        <v>0</v>
      </c>
      <c r="K46" s="221">
        <f t="shared" si="2"/>
        <v>0</v>
      </c>
      <c r="L46" s="221">
        <f t="shared" si="3"/>
        <v>0</v>
      </c>
      <c r="M46" s="220" t="s">
        <v>84</v>
      </c>
      <c r="N46" s="254"/>
      <c r="O46" s="226"/>
      <c r="P46" s="255"/>
      <c r="Q46" s="228"/>
      <c r="R46" s="229">
        <f t="shared" si="4"/>
        <v>0</v>
      </c>
      <c r="S46" s="229">
        <f t="shared" si="5"/>
        <v>0</v>
      </c>
      <c r="T46" s="229">
        <f t="shared" si="6"/>
        <v>0</v>
      </c>
      <c r="U46" s="230">
        <f t="shared" si="7"/>
        <v>0</v>
      </c>
      <c r="V46" s="230">
        <f t="shared" si="8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362"/>
      <c r="C47" s="363"/>
      <c r="D47" s="286"/>
      <c r="E47" s="364"/>
      <c r="F47" s="239"/>
      <c r="G47" s="240">
        <f t="shared" si="9"/>
        <v>0</v>
      </c>
      <c r="H47" s="241">
        <f t="shared" si="0"/>
        <v>0</v>
      </c>
      <c r="I47" s="242"/>
      <c r="J47" s="243">
        <f t="shared" si="1"/>
        <v>0</v>
      </c>
      <c r="K47" s="240">
        <f t="shared" si="2"/>
        <v>0</v>
      </c>
      <c r="L47" s="240">
        <f t="shared" si="3"/>
        <v>0</v>
      </c>
      <c r="M47" s="244" t="s">
        <v>84</v>
      </c>
      <c r="N47" s="245"/>
      <c r="O47" s="226"/>
      <c r="P47" s="246"/>
      <c r="Q47" s="239"/>
      <c r="R47" s="247">
        <f t="shared" si="4"/>
        <v>0</v>
      </c>
      <c r="S47" s="248">
        <f t="shared" si="5"/>
        <v>0</v>
      </c>
      <c r="T47" s="248">
        <f t="shared" si="6"/>
        <v>0</v>
      </c>
      <c r="U47" s="249">
        <f t="shared" si="7"/>
        <v>0</v>
      </c>
      <c r="V47" s="249">
        <f t="shared" si="8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358"/>
      <c r="C48" s="365"/>
      <c r="D48" s="287"/>
      <c r="E48" s="361"/>
      <c r="F48" s="220"/>
      <c r="G48" s="221">
        <f t="shared" si="9"/>
        <v>0</v>
      </c>
      <c r="H48" s="222">
        <f t="shared" si="0"/>
        <v>0</v>
      </c>
      <c r="I48" s="242"/>
      <c r="J48" s="224">
        <f t="shared" si="1"/>
        <v>0</v>
      </c>
      <c r="K48" s="221">
        <f t="shared" si="2"/>
        <v>0</v>
      </c>
      <c r="L48" s="221">
        <f t="shared" si="3"/>
        <v>0</v>
      </c>
      <c r="M48" s="220" t="s">
        <v>84</v>
      </c>
      <c r="N48" s="254"/>
      <c r="O48" s="226"/>
      <c r="P48" s="255"/>
      <c r="Q48" s="228"/>
      <c r="R48" s="229">
        <f t="shared" si="4"/>
        <v>0</v>
      </c>
      <c r="S48" s="229">
        <f t="shared" si="5"/>
        <v>0</v>
      </c>
      <c r="T48" s="229">
        <f t="shared" si="6"/>
        <v>0</v>
      </c>
      <c r="U48" s="230">
        <f t="shared" si="7"/>
        <v>0</v>
      </c>
      <c r="V48" s="230">
        <f t="shared" si="8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362"/>
      <c r="C49" s="363"/>
      <c r="D49" s="286"/>
      <c r="E49" s="364"/>
      <c r="F49" s="239"/>
      <c r="G49" s="240">
        <f t="shared" si="9"/>
        <v>0</v>
      </c>
      <c r="H49" s="241">
        <f t="shared" si="0"/>
        <v>0</v>
      </c>
      <c r="I49" s="242"/>
      <c r="J49" s="243">
        <f t="shared" si="1"/>
        <v>0</v>
      </c>
      <c r="K49" s="240">
        <f t="shared" si="2"/>
        <v>0</v>
      </c>
      <c r="L49" s="240">
        <f t="shared" si="3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4"/>
        <v>0</v>
      </c>
      <c r="S49" s="248">
        <f t="shared" si="5"/>
        <v>0</v>
      </c>
      <c r="T49" s="248">
        <f t="shared" si="6"/>
        <v>0</v>
      </c>
      <c r="U49" s="249">
        <f t="shared" si="7"/>
        <v>0</v>
      </c>
      <c r="V49" s="249">
        <f t="shared" si="8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358"/>
      <c r="C50" s="365"/>
      <c r="D50" s="287"/>
      <c r="E50" s="361"/>
      <c r="F50" s="220"/>
      <c r="G50" s="221">
        <f t="shared" si="9"/>
        <v>0</v>
      </c>
      <c r="H50" s="222">
        <f t="shared" si="0"/>
        <v>0</v>
      </c>
      <c r="I50" s="242"/>
      <c r="J50" s="224">
        <f t="shared" si="1"/>
        <v>0</v>
      </c>
      <c r="K50" s="221">
        <f t="shared" si="2"/>
        <v>0</v>
      </c>
      <c r="L50" s="221">
        <f t="shared" si="3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4"/>
        <v>0</v>
      </c>
      <c r="S50" s="229">
        <f t="shared" si="5"/>
        <v>0</v>
      </c>
      <c r="T50" s="229">
        <f t="shared" si="6"/>
        <v>0</v>
      </c>
      <c r="U50" s="230">
        <f t="shared" si="7"/>
        <v>0</v>
      </c>
      <c r="V50" s="230">
        <f t="shared" si="8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362"/>
      <c r="C51" s="363"/>
      <c r="D51" s="286"/>
      <c r="E51" s="364"/>
      <c r="F51" s="239"/>
      <c r="G51" s="240">
        <f t="shared" si="9"/>
        <v>0</v>
      </c>
      <c r="H51" s="241">
        <f t="shared" si="0"/>
        <v>0</v>
      </c>
      <c r="I51" s="242"/>
      <c r="J51" s="243">
        <f t="shared" si="1"/>
        <v>0</v>
      </c>
      <c r="K51" s="240">
        <f t="shared" si="2"/>
        <v>0</v>
      </c>
      <c r="L51" s="240">
        <f t="shared" si="3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4"/>
        <v>0</v>
      </c>
      <c r="S51" s="248">
        <f t="shared" si="5"/>
        <v>0</v>
      </c>
      <c r="T51" s="248">
        <f t="shared" si="6"/>
        <v>0</v>
      </c>
      <c r="U51" s="249">
        <f t="shared" si="7"/>
        <v>0</v>
      </c>
      <c r="V51" s="249">
        <f t="shared" si="8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9"/>
        <v>0</v>
      </c>
      <c r="H52" s="222">
        <f t="shared" si="0"/>
        <v>0</v>
      </c>
      <c r="I52" s="242"/>
      <c r="J52" s="224">
        <f t="shared" si="1"/>
        <v>0</v>
      </c>
      <c r="K52" s="221">
        <f t="shared" si="2"/>
        <v>0</v>
      </c>
      <c r="L52" s="221">
        <f t="shared" si="3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4"/>
        <v>0</v>
      </c>
      <c r="S52" s="229">
        <f t="shared" si="5"/>
        <v>0</v>
      </c>
      <c r="T52" s="229">
        <f t="shared" si="6"/>
        <v>0</v>
      </c>
      <c r="U52" s="230">
        <f t="shared" si="7"/>
        <v>0</v>
      </c>
      <c r="V52" s="230">
        <f t="shared" si="8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9"/>
        <v>0</v>
      </c>
      <c r="H53" s="241">
        <f t="shared" si="0"/>
        <v>0</v>
      </c>
      <c r="I53" s="242"/>
      <c r="J53" s="243">
        <f t="shared" si="1"/>
        <v>0</v>
      </c>
      <c r="K53" s="240">
        <f t="shared" si="2"/>
        <v>0</v>
      </c>
      <c r="L53" s="240">
        <f t="shared" si="3"/>
        <v>0</v>
      </c>
      <c r="M53" s="244" t="s">
        <v>84</v>
      </c>
      <c r="N53" s="245"/>
      <c r="O53" s="226"/>
      <c r="P53" s="246"/>
      <c r="Q53" s="239"/>
      <c r="R53" s="247">
        <f t="shared" si="4"/>
        <v>0</v>
      </c>
      <c r="S53" s="248">
        <f t="shared" si="5"/>
        <v>0</v>
      </c>
      <c r="T53" s="248">
        <f t="shared" si="6"/>
        <v>0</v>
      </c>
      <c r="U53" s="249">
        <f t="shared" si="7"/>
        <v>0</v>
      </c>
      <c r="V53" s="249">
        <f t="shared" si="8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9"/>
        <v>0</v>
      </c>
      <c r="H54" s="222">
        <f t="shared" si="0"/>
        <v>0</v>
      </c>
      <c r="I54" s="242"/>
      <c r="J54" s="224">
        <f t="shared" si="1"/>
        <v>0</v>
      </c>
      <c r="K54" s="221">
        <f t="shared" si="2"/>
        <v>0</v>
      </c>
      <c r="L54" s="221">
        <f t="shared" si="3"/>
        <v>0</v>
      </c>
      <c r="M54" s="220" t="s">
        <v>84</v>
      </c>
      <c r="N54" s="254"/>
      <c r="O54" s="226"/>
      <c r="P54" s="255"/>
      <c r="Q54" s="228"/>
      <c r="R54" s="229">
        <f t="shared" si="4"/>
        <v>0</v>
      </c>
      <c r="S54" s="229">
        <f t="shared" si="5"/>
        <v>0</v>
      </c>
      <c r="T54" s="229">
        <f t="shared" si="6"/>
        <v>0</v>
      </c>
      <c r="U54" s="230">
        <f t="shared" si="7"/>
        <v>0</v>
      </c>
      <c r="V54" s="230">
        <f t="shared" si="8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9"/>
        <v>0</v>
      </c>
      <c r="H55" s="241">
        <f t="shared" si="0"/>
        <v>0</v>
      </c>
      <c r="I55" s="242"/>
      <c r="J55" s="243">
        <f t="shared" si="1"/>
        <v>0</v>
      </c>
      <c r="K55" s="240">
        <f t="shared" si="2"/>
        <v>0</v>
      </c>
      <c r="L55" s="240">
        <f t="shared" si="3"/>
        <v>0</v>
      </c>
      <c r="M55" s="244" t="s">
        <v>84</v>
      </c>
      <c r="N55" s="245"/>
      <c r="O55" s="226"/>
      <c r="P55" s="246"/>
      <c r="Q55" s="239"/>
      <c r="R55" s="247">
        <f t="shared" si="4"/>
        <v>0</v>
      </c>
      <c r="S55" s="248">
        <f t="shared" si="5"/>
        <v>0</v>
      </c>
      <c r="T55" s="248">
        <f t="shared" si="6"/>
        <v>0</v>
      </c>
      <c r="U55" s="249">
        <f t="shared" si="7"/>
        <v>0</v>
      </c>
      <c r="V55" s="249">
        <f t="shared" si="8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9"/>
        <v>0</v>
      </c>
      <c r="H56" s="222">
        <f t="shared" si="0"/>
        <v>0</v>
      </c>
      <c r="I56" s="242"/>
      <c r="J56" s="224">
        <f t="shared" si="1"/>
        <v>0</v>
      </c>
      <c r="K56" s="221">
        <f t="shared" si="2"/>
        <v>0</v>
      </c>
      <c r="L56" s="221">
        <f t="shared" si="3"/>
        <v>0</v>
      </c>
      <c r="M56" s="220" t="s">
        <v>84</v>
      </c>
      <c r="N56" s="254"/>
      <c r="O56" s="226"/>
      <c r="P56" s="255"/>
      <c r="Q56" s="228"/>
      <c r="R56" s="229">
        <f t="shared" si="4"/>
        <v>0</v>
      </c>
      <c r="S56" s="229">
        <f t="shared" si="5"/>
        <v>0</v>
      </c>
      <c r="T56" s="229">
        <f t="shared" si="6"/>
        <v>0</v>
      </c>
      <c r="U56" s="230">
        <f t="shared" si="7"/>
        <v>0</v>
      </c>
      <c r="V56" s="230">
        <f t="shared" si="8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9"/>
        <v>0</v>
      </c>
      <c r="H57" s="241">
        <f t="shared" si="0"/>
        <v>0</v>
      </c>
      <c r="I57" s="242"/>
      <c r="J57" s="243">
        <f t="shared" si="1"/>
        <v>0</v>
      </c>
      <c r="K57" s="240">
        <f t="shared" si="2"/>
        <v>0</v>
      </c>
      <c r="L57" s="240">
        <f t="shared" si="3"/>
        <v>0</v>
      </c>
      <c r="M57" s="244" t="s">
        <v>84</v>
      </c>
      <c r="N57" s="245"/>
      <c r="O57" s="226"/>
      <c r="P57" s="246"/>
      <c r="Q57" s="239"/>
      <c r="R57" s="247">
        <f t="shared" si="4"/>
        <v>0</v>
      </c>
      <c r="S57" s="248">
        <f t="shared" si="5"/>
        <v>0</v>
      </c>
      <c r="T57" s="248">
        <f t="shared" si="6"/>
        <v>0</v>
      </c>
      <c r="U57" s="249">
        <f t="shared" si="7"/>
        <v>0</v>
      </c>
      <c r="V57" s="249">
        <f t="shared" si="8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9"/>
        <v>0</v>
      </c>
      <c r="H58" s="222">
        <f t="shared" si="0"/>
        <v>0</v>
      </c>
      <c r="I58" s="242"/>
      <c r="J58" s="224">
        <f t="shared" si="1"/>
        <v>0</v>
      </c>
      <c r="K58" s="221">
        <f t="shared" si="2"/>
        <v>0</v>
      </c>
      <c r="L58" s="221">
        <f t="shared" si="3"/>
        <v>0</v>
      </c>
      <c r="M58" s="220" t="s">
        <v>84</v>
      </c>
      <c r="N58" s="254"/>
      <c r="O58" s="226"/>
      <c r="P58" s="255"/>
      <c r="Q58" s="228"/>
      <c r="R58" s="229">
        <f t="shared" si="4"/>
        <v>0</v>
      </c>
      <c r="S58" s="229">
        <f t="shared" si="5"/>
        <v>0</v>
      </c>
      <c r="T58" s="229">
        <f t="shared" si="6"/>
        <v>0</v>
      </c>
      <c r="U58" s="230">
        <f t="shared" si="7"/>
        <v>0</v>
      </c>
      <c r="V58" s="230">
        <f t="shared" si="8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9"/>
        <v>0</v>
      </c>
      <c r="H59" s="241">
        <f t="shared" si="0"/>
        <v>0</v>
      </c>
      <c r="I59" s="242"/>
      <c r="J59" s="243">
        <f t="shared" si="1"/>
        <v>0</v>
      </c>
      <c r="K59" s="240">
        <f t="shared" si="2"/>
        <v>0</v>
      </c>
      <c r="L59" s="240">
        <f t="shared" si="3"/>
        <v>0</v>
      </c>
      <c r="M59" s="244" t="s">
        <v>84</v>
      </c>
      <c r="N59" s="245"/>
      <c r="O59" s="226"/>
      <c r="P59" s="246"/>
      <c r="Q59" s="239"/>
      <c r="R59" s="247">
        <f t="shared" si="4"/>
        <v>0</v>
      </c>
      <c r="S59" s="248">
        <f t="shared" si="5"/>
        <v>0</v>
      </c>
      <c r="T59" s="248">
        <f t="shared" si="6"/>
        <v>0</v>
      </c>
      <c r="U59" s="249">
        <f t="shared" si="7"/>
        <v>0</v>
      </c>
      <c r="V59" s="249">
        <f t="shared" si="8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9"/>
        <v>0</v>
      </c>
      <c r="H60" s="222">
        <f t="shared" si="0"/>
        <v>0</v>
      </c>
      <c r="I60" s="242"/>
      <c r="J60" s="224">
        <f t="shared" si="1"/>
        <v>0</v>
      </c>
      <c r="K60" s="221">
        <f t="shared" si="2"/>
        <v>0</v>
      </c>
      <c r="L60" s="221">
        <f t="shared" si="3"/>
        <v>0</v>
      </c>
      <c r="M60" s="220" t="s">
        <v>84</v>
      </c>
      <c r="N60" s="254"/>
      <c r="O60" s="226"/>
      <c r="P60" s="255"/>
      <c r="Q60" s="228"/>
      <c r="R60" s="229">
        <f t="shared" si="4"/>
        <v>0</v>
      </c>
      <c r="S60" s="229">
        <f t="shared" si="5"/>
        <v>0</v>
      </c>
      <c r="T60" s="229">
        <f t="shared" si="6"/>
        <v>0</v>
      </c>
      <c r="U60" s="230">
        <f t="shared" si="7"/>
        <v>0</v>
      </c>
      <c r="V60" s="230">
        <f t="shared" si="8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16</v>
      </c>
      <c r="F61" s="265">
        <f>SUM(F18:F60)</f>
        <v>12131.09</v>
      </c>
      <c r="G61" s="266">
        <f>SUM(G18:G60)</f>
        <v>4905.78</v>
      </c>
      <c r="H61" s="267">
        <f>SUM(H18:H60)</f>
        <v>22798.49</v>
      </c>
      <c r="I61" s="268"/>
      <c r="J61" s="269">
        <f>SUM(J18:J60)</f>
        <v>16</v>
      </c>
      <c r="K61" s="266">
        <f>SUM(K18:K60)</f>
        <v>10902.330000000002</v>
      </c>
      <c r="L61" s="267">
        <f>SUM(L18:L60)</f>
        <v>21569.730000000003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10902.330000000002</v>
      </c>
      <c r="T61" s="267">
        <f>SUM(T18:T60)</f>
        <v>21569.730000000003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67" priority="3" stopIfTrue="1">
      <formula>$U$9&gt;100%</formula>
    </cfRule>
    <cfRule type="expression" dxfId="66" priority="4">
      <formula>$U$9&lt;50%</formula>
    </cfRule>
  </conditionalFormatting>
  <conditionalFormatting sqref="V9:V10">
    <cfRule type="expression" dxfId="65" priority="1">
      <formula>$V$9&lt;50%</formula>
    </cfRule>
    <cfRule type="expression" dxfId="64" priority="2">
      <formula>$V$9&gt;50%</formula>
    </cfRule>
  </conditionalFormatting>
  <dataValidations count="5">
    <dataValidation type="list" allowBlank="1" showInputMessage="1" showErrorMessage="1" sqref="M18:M60" xr:uid="{91BB57E8-6F0B-4CAC-9301-0B2A51C987DE}">
      <formula1>$Y$31:$Y$32</formula1>
    </dataValidation>
    <dataValidation type="list" showInputMessage="1" showErrorMessage="1" sqref="D52:D60 D18:D19 D21:D22 D25:D27" xr:uid="{C67BBE1F-896A-426C-9615-0690A33821C8}">
      <formula1>$Z$18:$Z$29</formula1>
    </dataValidation>
    <dataValidation type="list" allowBlank="1" showInputMessage="1" showErrorMessage="1" sqref="I13" xr:uid="{FEFBD565-9217-46CF-BB2A-07A99C0CC8E5}">
      <formula1>$K$9:$K$9</formula1>
    </dataValidation>
    <dataValidation type="list" allowBlank="1" showInputMessage="1" showErrorMessage="1" sqref="H13" xr:uid="{6C2D7BD1-A600-4007-B88A-EDE47D695E3E}">
      <formula1>$Y$13:$Y$14</formula1>
    </dataValidation>
    <dataValidation type="list" allowBlank="1" showInputMessage="1" showErrorMessage="1" sqref="F17 K17 Q17 Q14" xr:uid="{3120274F-2F3E-48CD-A66A-AB36502F1108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5CAA5-D786-4788-9149-7A80B498AD07}">
  <sheetPr>
    <pageSetUpPr fitToPage="1"/>
  </sheetPr>
  <dimension ref="A1:AB63"/>
  <sheetViews>
    <sheetView zoomScale="85" zoomScaleNormal="85" workbookViewId="0">
      <selection activeCell="F4" sqref="F4:G5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523" t="s">
        <v>2</v>
      </c>
      <c r="I1" s="524"/>
      <c r="J1" s="524"/>
      <c r="K1" s="525"/>
      <c r="L1" s="528" t="s">
        <v>3</v>
      </c>
      <c r="M1" s="529"/>
      <c r="N1" s="529"/>
      <c r="O1" s="529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77">
        <v>434668</v>
      </c>
      <c r="G2" s="549"/>
      <c r="H2" s="546" t="s">
        <v>7</v>
      </c>
      <c r="I2" s="550"/>
      <c r="J2" s="547"/>
      <c r="K2" s="148"/>
      <c r="L2" s="551" t="s">
        <v>8</v>
      </c>
      <c r="M2" s="552"/>
      <c r="N2" s="553"/>
      <c r="O2" s="149"/>
      <c r="P2" s="554">
        <f>H61</f>
        <v>22798.49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532" t="s">
        <v>13</v>
      </c>
      <c r="I3" s="536"/>
      <c r="J3" s="533"/>
      <c r="K3" s="154"/>
      <c r="L3" s="537" t="s">
        <v>14</v>
      </c>
      <c r="M3" s="538"/>
      <c r="N3" s="539"/>
      <c r="O3" s="149"/>
      <c r="P3" s="540">
        <f>L61</f>
        <v>21569.730000000003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676" t="s">
        <v>303</v>
      </c>
      <c r="G4" s="673"/>
      <c r="H4" s="532" t="s">
        <v>19</v>
      </c>
      <c r="I4" s="536"/>
      <c r="J4" s="533"/>
      <c r="K4" s="154"/>
      <c r="L4" s="537" t="s">
        <v>20</v>
      </c>
      <c r="M4" s="538"/>
      <c r="N4" s="539"/>
      <c r="O4" s="149"/>
      <c r="P4" s="540">
        <f>P2-P3</f>
        <v>1228.7599999999984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684" t="s">
        <v>304</v>
      </c>
      <c r="G5" s="685"/>
      <c r="H5" s="532" t="s">
        <v>25</v>
      </c>
      <c r="I5" s="536"/>
      <c r="J5" s="533"/>
      <c r="K5" s="154"/>
      <c r="L5" s="558" t="s">
        <v>26</v>
      </c>
      <c r="M5" s="559"/>
      <c r="N5" s="560"/>
      <c r="O5" s="149"/>
      <c r="P5" s="561">
        <f>IFERROR((P2-P3)/P2,"")</f>
        <v>5.3896551920763099E-2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72" t="s">
        <v>318</v>
      </c>
      <c r="G6" s="673"/>
      <c r="H6" s="532" t="s">
        <v>31</v>
      </c>
      <c r="I6" s="536"/>
      <c r="J6" s="533"/>
      <c r="K6" s="154"/>
      <c r="L6" s="574" t="s">
        <v>32</v>
      </c>
      <c r="M6" s="575"/>
      <c r="N6" s="576"/>
      <c r="O6" s="149"/>
      <c r="P6" s="577">
        <f>T61</f>
        <v>21569.730000000003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671"/>
      <c r="G7" s="535"/>
      <c r="H7" s="532" t="s">
        <v>36</v>
      </c>
      <c r="I7" s="536"/>
      <c r="J7" s="533"/>
      <c r="K7" s="154"/>
      <c r="L7" s="564" t="s">
        <v>37</v>
      </c>
      <c r="M7" s="565"/>
      <c r="N7" s="56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532" t="s">
        <v>40</v>
      </c>
      <c r="I8" s="536"/>
      <c r="J8" s="533"/>
      <c r="K8" s="154"/>
      <c r="L8" s="564" t="s">
        <v>41</v>
      </c>
      <c r="M8" s="565"/>
      <c r="N8" s="56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378</v>
      </c>
      <c r="G9" s="535"/>
      <c r="H9" s="171"/>
      <c r="I9" s="172"/>
      <c r="J9" s="172"/>
      <c r="K9" s="173"/>
      <c r="L9" s="564" t="s">
        <v>47</v>
      </c>
      <c r="M9" s="565"/>
      <c r="N9" s="56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21569.730000000003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542" t="s">
        <v>48</v>
      </c>
      <c r="M10" s="579"/>
      <c r="N10" s="543"/>
      <c r="O10" s="149"/>
      <c r="P10" s="580">
        <f>E61</f>
        <v>16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650" t="s">
        <v>50</v>
      </c>
      <c r="K11" s="651"/>
      <c r="L11" s="651"/>
      <c r="M11" s="651"/>
      <c r="N11" s="652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653"/>
      <c r="K12" s="654"/>
      <c r="L12" s="654"/>
      <c r="M12" s="654"/>
      <c r="N12" s="655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656"/>
      <c r="K13" s="657"/>
      <c r="L13" s="657"/>
      <c r="M13" s="657"/>
      <c r="N13" s="658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601" t="s">
        <v>59</v>
      </c>
      <c r="K14" s="602"/>
      <c r="L14" s="605" t="s">
        <v>60</v>
      </c>
      <c r="M14" s="606"/>
      <c r="N14" s="60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603"/>
      <c r="K15" s="604"/>
      <c r="L15" s="608"/>
      <c r="M15" s="609"/>
      <c r="N15" s="61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631" t="s">
        <v>69</v>
      </c>
      <c r="K16" s="201" t="s">
        <v>72</v>
      </c>
      <c r="L16" s="202" t="s">
        <v>73</v>
      </c>
      <c r="M16" s="633" t="s">
        <v>74</v>
      </c>
      <c r="N16" s="633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8"/>
      <c r="C17" s="678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632"/>
      <c r="K17" s="614" t="s">
        <v>52</v>
      </c>
      <c r="L17" s="615"/>
      <c r="M17" s="634"/>
      <c r="N17" s="634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 s="383" t="s">
        <v>306</v>
      </c>
      <c r="C18" s="377" t="s">
        <v>307</v>
      </c>
      <c r="D18" s="367">
        <v>500</v>
      </c>
      <c r="E18" s="219">
        <v>1</v>
      </c>
      <c r="F18" s="220">
        <v>278.85000000000002</v>
      </c>
      <c r="G18" s="221"/>
      <c r="H18" s="222">
        <f t="shared" ref="H18:H60" si="0">ROUND(IF($H$17=$G$17,E18*G18,E18*F18),2)</f>
        <v>278.85000000000002</v>
      </c>
      <c r="I18" s="223"/>
      <c r="J18" s="224">
        <f t="shared" ref="J18:J60" si="1">E18</f>
        <v>1</v>
      </c>
      <c r="K18" s="221">
        <f t="shared" ref="K18:K60" si="2">IFERROR(IF(M18="OEM DISC %",ROUND(IF($K$17=$F$17,F18*(1-N18),G18*(1-N18)),2),IF(M18="MARKUP %",ROUND(R18/J18*(1+N18),2))),0)</f>
        <v>105.96</v>
      </c>
      <c r="L18" s="221">
        <f t="shared" ref="L18:L60" si="3">ROUND((J18*K18),2)</f>
        <v>105.96</v>
      </c>
      <c r="M18" s="220" t="s">
        <v>84</v>
      </c>
      <c r="N18" s="225">
        <v>0.62</v>
      </c>
      <c r="O18" s="226"/>
      <c r="P18" s="227"/>
      <c r="Q18" s="228"/>
      <c r="R18" s="229">
        <f t="shared" ref="R18:R60" si="4">ROUND(IF($R$17=$Q$17,Q18,IF($R$17="USD $",Q18*$D$15,Q18*$E$15))*E18,2)</f>
        <v>0</v>
      </c>
      <c r="S18" s="229">
        <f t="shared" ref="S18:S60" si="5">IFERROR(ROUND(T18/E18,2),0)</f>
        <v>105.96</v>
      </c>
      <c r="T18" s="229">
        <f t="shared" ref="T18:T60" si="6">ROUND(L18-R18,2)</f>
        <v>105.96</v>
      </c>
      <c r="U18" s="230">
        <f t="shared" ref="U18:U60" si="7">IFERROR(((K18-(R18/J18))/(R18/J18)),0)</f>
        <v>0</v>
      </c>
      <c r="V18" s="230">
        <f t="shared" ref="V18:V60" si="8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384">
        <v>925683</v>
      </c>
      <c r="C19" s="378" t="s">
        <v>182</v>
      </c>
      <c r="D19" s="368">
        <v>1000</v>
      </c>
      <c r="E19" s="238">
        <v>1</v>
      </c>
      <c r="F19" s="239">
        <v>83.76</v>
      </c>
      <c r="G19" s="240"/>
      <c r="H19" s="241">
        <f t="shared" si="0"/>
        <v>83.76</v>
      </c>
      <c r="I19" s="242"/>
      <c r="J19" s="243">
        <f t="shared" si="1"/>
        <v>1</v>
      </c>
      <c r="K19" s="240">
        <f t="shared" si="2"/>
        <v>31.83</v>
      </c>
      <c r="L19" s="240">
        <f t="shared" si="3"/>
        <v>31.83</v>
      </c>
      <c r="M19" s="244" t="s">
        <v>84</v>
      </c>
      <c r="N19" s="245">
        <v>0.62</v>
      </c>
      <c r="O19" s="226"/>
      <c r="P19" s="246"/>
      <c r="Q19" s="239"/>
      <c r="R19" s="247">
        <f t="shared" si="4"/>
        <v>0</v>
      </c>
      <c r="S19" s="248">
        <f t="shared" si="5"/>
        <v>31.83</v>
      </c>
      <c r="T19" s="248">
        <f t="shared" si="6"/>
        <v>31.83</v>
      </c>
      <c r="U19" s="249">
        <f t="shared" si="7"/>
        <v>0</v>
      </c>
      <c r="V19" s="249">
        <f t="shared" si="8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384" t="s">
        <v>308</v>
      </c>
      <c r="C20" s="378" t="s">
        <v>253</v>
      </c>
      <c r="D20" s="358">
        <v>375</v>
      </c>
      <c r="E20" s="238">
        <v>1</v>
      </c>
      <c r="F20" s="220">
        <v>52.04</v>
      </c>
      <c r="G20" s="221"/>
      <c r="H20" s="222">
        <f t="shared" si="0"/>
        <v>52.04</v>
      </c>
      <c r="I20" s="242"/>
      <c r="J20" s="224">
        <f t="shared" si="1"/>
        <v>1</v>
      </c>
      <c r="K20" s="221">
        <f t="shared" si="2"/>
        <v>19.78</v>
      </c>
      <c r="L20" s="221">
        <f t="shared" si="3"/>
        <v>19.78</v>
      </c>
      <c r="M20" s="220" t="s">
        <v>84</v>
      </c>
      <c r="N20" s="254">
        <v>0.62</v>
      </c>
      <c r="O20" s="226"/>
      <c r="P20" s="255"/>
      <c r="Q20" s="228"/>
      <c r="R20" s="229">
        <f t="shared" si="4"/>
        <v>0</v>
      </c>
      <c r="S20" s="229">
        <f t="shared" si="5"/>
        <v>19.78</v>
      </c>
      <c r="T20" s="229">
        <f t="shared" si="6"/>
        <v>19.78</v>
      </c>
      <c r="U20" s="230">
        <f t="shared" si="7"/>
        <v>0</v>
      </c>
      <c r="V20" s="230">
        <f t="shared" si="8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384" t="s">
        <v>309</v>
      </c>
      <c r="C21" s="378" t="s">
        <v>310</v>
      </c>
      <c r="D21" s="368">
        <v>500</v>
      </c>
      <c r="E21" s="238">
        <v>1</v>
      </c>
      <c r="F21" s="239">
        <v>89.68</v>
      </c>
      <c r="G21" s="240"/>
      <c r="H21" s="241">
        <f t="shared" si="0"/>
        <v>89.68</v>
      </c>
      <c r="I21" s="242"/>
      <c r="J21" s="243">
        <f t="shared" si="1"/>
        <v>1</v>
      </c>
      <c r="K21" s="240">
        <f t="shared" si="2"/>
        <v>34.08</v>
      </c>
      <c r="L21" s="240">
        <f t="shared" si="3"/>
        <v>34.08</v>
      </c>
      <c r="M21" s="244" t="s">
        <v>84</v>
      </c>
      <c r="N21" s="245">
        <v>0.62</v>
      </c>
      <c r="O21" s="226"/>
      <c r="P21" s="246"/>
      <c r="Q21" s="239"/>
      <c r="R21" s="247">
        <f t="shared" si="4"/>
        <v>0</v>
      </c>
      <c r="S21" s="248">
        <f t="shared" si="5"/>
        <v>34.08</v>
      </c>
      <c r="T21" s="248">
        <f t="shared" si="6"/>
        <v>34.08</v>
      </c>
      <c r="U21" s="249">
        <f t="shared" si="7"/>
        <v>0</v>
      </c>
      <c r="V21" s="249">
        <f t="shared" si="8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383">
        <v>925346</v>
      </c>
      <c r="C22" s="377" t="s">
        <v>311</v>
      </c>
      <c r="D22" s="369">
        <v>500</v>
      </c>
      <c r="E22" s="238">
        <v>1</v>
      </c>
      <c r="F22" s="220">
        <v>155.6</v>
      </c>
      <c r="G22" s="221"/>
      <c r="H22" s="222">
        <f t="shared" si="0"/>
        <v>155.6</v>
      </c>
      <c r="I22" s="242"/>
      <c r="J22" s="224">
        <f t="shared" si="1"/>
        <v>1</v>
      </c>
      <c r="K22" s="221">
        <f t="shared" si="2"/>
        <v>59.13</v>
      </c>
      <c r="L22" s="221">
        <f t="shared" si="3"/>
        <v>59.13</v>
      </c>
      <c r="M22" s="220" t="s">
        <v>84</v>
      </c>
      <c r="N22" s="254">
        <v>0.62</v>
      </c>
      <c r="O22" s="226"/>
      <c r="P22" s="255"/>
      <c r="Q22" s="228"/>
      <c r="R22" s="229">
        <f t="shared" si="4"/>
        <v>0</v>
      </c>
      <c r="S22" s="229">
        <f t="shared" si="5"/>
        <v>59.13</v>
      </c>
      <c r="T22" s="229">
        <f t="shared" si="6"/>
        <v>59.13</v>
      </c>
      <c r="U22" s="230">
        <f t="shared" si="7"/>
        <v>0</v>
      </c>
      <c r="V22" s="230">
        <f t="shared" si="8"/>
        <v>1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384">
        <v>925759</v>
      </c>
      <c r="C23" s="378" t="s">
        <v>312</v>
      </c>
      <c r="D23" s="358">
        <v>375</v>
      </c>
      <c r="E23" s="238">
        <v>1</v>
      </c>
      <c r="F23" s="239">
        <v>59.15</v>
      </c>
      <c r="G23" s="240"/>
      <c r="H23" s="241">
        <f t="shared" si="0"/>
        <v>59.15</v>
      </c>
      <c r="I23" s="242"/>
      <c r="J23" s="243">
        <f t="shared" si="1"/>
        <v>1</v>
      </c>
      <c r="K23" s="240">
        <f t="shared" si="2"/>
        <v>22.48</v>
      </c>
      <c r="L23" s="240">
        <f t="shared" si="3"/>
        <v>22.48</v>
      </c>
      <c r="M23" s="244" t="s">
        <v>84</v>
      </c>
      <c r="N23" s="245">
        <v>0.62</v>
      </c>
      <c r="O23" s="226"/>
      <c r="P23" s="246"/>
      <c r="Q23" s="239"/>
      <c r="R23" s="247">
        <f t="shared" si="4"/>
        <v>0</v>
      </c>
      <c r="S23" s="248">
        <f t="shared" si="5"/>
        <v>22.48</v>
      </c>
      <c r="T23" s="248">
        <f t="shared" si="6"/>
        <v>22.48</v>
      </c>
      <c r="U23" s="249">
        <f t="shared" si="7"/>
        <v>0</v>
      </c>
      <c r="V23" s="249">
        <f t="shared" si="8"/>
        <v>1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383" t="s">
        <v>313</v>
      </c>
      <c r="C24" s="377" t="s">
        <v>312</v>
      </c>
      <c r="D24" s="358">
        <v>375</v>
      </c>
      <c r="E24" s="238">
        <v>1</v>
      </c>
      <c r="F24" s="220">
        <v>110.2</v>
      </c>
      <c r="G24" s="221"/>
      <c r="H24" s="222">
        <f t="shared" si="0"/>
        <v>110.2</v>
      </c>
      <c r="I24" s="242"/>
      <c r="J24" s="224">
        <f t="shared" si="1"/>
        <v>1</v>
      </c>
      <c r="K24" s="221">
        <f t="shared" si="2"/>
        <v>41.88</v>
      </c>
      <c r="L24" s="221">
        <f t="shared" si="3"/>
        <v>41.88</v>
      </c>
      <c r="M24" s="220" t="s">
        <v>84</v>
      </c>
      <c r="N24" s="254">
        <v>0.62</v>
      </c>
      <c r="O24" s="226"/>
      <c r="P24" s="255"/>
      <c r="Q24" s="228"/>
      <c r="R24" s="229">
        <f t="shared" si="4"/>
        <v>0</v>
      </c>
      <c r="S24" s="229">
        <f t="shared" si="5"/>
        <v>41.88</v>
      </c>
      <c r="T24" s="229">
        <f t="shared" si="6"/>
        <v>41.88</v>
      </c>
      <c r="U24" s="230">
        <f t="shared" si="7"/>
        <v>0</v>
      </c>
      <c r="V24" s="230">
        <f t="shared" si="8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 s="384">
        <v>23654</v>
      </c>
      <c r="C25" s="378" t="s">
        <v>314</v>
      </c>
      <c r="D25" s="368" t="s">
        <v>101</v>
      </c>
      <c r="E25" s="238">
        <v>1</v>
      </c>
      <c r="F25" s="239">
        <v>327.2</v>
      </c>
      <c r="G25" s="240"/>
      <c r="H25" s="241">
        <f t="shared" si="0"/>
        <v>327.2</v>
      </c>
      <c r="I25" s="242"/>
      <c r="J25" s="243">
        <f t="shared" si="1"/>
        <v>1</v>
      </c>
      <c r="K25" s="240">
        <f t="shared" si="2"/>
        <v>327.2</v>
      </c>
      <c r="L25" s="240">
        <f t="shared" si="3"/>
        <v>327.2</v>
      </c>
      <c r="M25" s="244" t="s">
        <v>84</v>
      </c>
      <c r="N25" s="245"/>
      <c r="O25" s="226"/>
      <c r="P25" s="246"/>
      <c r="Q25" s="239"/>
      <c r="R25" s="247">
        <f t="shared" si="4"/>
        <v>0</v>
      </c>
      <c r="S25" s="248">
        <f t="shared" si="5"/>
        <v>327.2</v>
      </c>
      <c r="T25" s="248">
        <f t="shared" si="6"/>
        <v>327.2</v>
      </c>
      <c r="U25" s="249">
        <f t="shared" si="7"/>
        <v>0</v>
      </c>
      <c r="V25" s="249">
        <f t="shared" si="8"/>
        <v>1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 s="385" t="s">
        <v>315</v>
      </c>
      <c r="C26" s="377" t="s">
        <v>189</v>
      </c>
      <c r="D26" s="369" t="s">
        <v>101</v>
      </c>
      <c r="E26" s="238">
        <v>1</v>
      </c>
      <c r="F26" s="220">
        <v>1429.25</v>
      </c>
      <c r="G26" s="221"/>
      <c r="H26" s="222">
        <f t="shared" si="0"/>
        <v>1429.25</v>
      </c>
      <c r="I26" s="242"/>
      <c r="J26" s="224">
        <f t="shared" si="1"/>
        <v>1</v>
      </c>
      <c r="K26" s="221">
        <f t="shared" si="2"/>
        <v>714.63</v>
      </c>
      <c r="L26" s="221">
        <f t="shared" si="3"/>
        <v>714.63</v>
      </c>
      <c r="M26" s="220" t="s">
        <v>84</v>
      </c>
      <c r="N26" s="254">
        <v>0.5</v>
      </c>
      <c r="O26" s="226"/>
      <c r="P26" s="255"/>
      <c r="Q26" s="228"/>
      <c r="R26" s="229">
        <f t="shared" si="4"/>
        <v>0</v>
      </c>
      <c r="S26" s="229">
        <f t="shared" si="5"/>
        <v>714.63</v>
      </c>
      <c r="T26" s="229">
        <f t="shared" si="6"/>
        <v>714.63</v>
      </c>
      <c r="U26" s="230">
        <f t="shared" si="7"/>
        <v>0</v>
      </c>
      <c r="V26" s="230">
        <f t="shared" si="8"/>
        <v>1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384">
        <v>2709</v>
      </c>
      <c r="C27" s="378" t="s">
        <v>112</v>
      </c>
      <c r="D27" s="369" t="s">
        <v>101</v>
      </c>
      <c r="E27" s="238">
        <v>1</v>
      </c>
      <c r="F27" s="239">
        <v>2579.15</v>
      </c>
      <c r="G27" s="240"/>
      <c r="H27" s="241">
        <f t="shared" si="0"/>
        <v>2579.15</v>
      </c>
      <c r="I27" s="242"/>
      <c r="J27" s="243">
        <f t="shared" si="1"/>
        <v>1</v>
      </c>
      <c r="K27" s="240">
        <f t="shared" si="2"/>
        <v>2579.15</v>
      </c>
      <c r="L27" s="240">
        <f t="shared" si="3"/>
        <v>2579.15</v>
      </c>
      <c r="M27" s="244" t="s">
        <v>84</v>
      </c>
      <c r="N27" s="245"/>
      <c r="O27" s="226"/>
      <c r="P27" s="246"/>
      <c r="Q27" s="239"/>
      <c r="R27" s="247">
        <f t="shared" si="4"/>
        <v>0</v>
      </c>
      <c r="S27" s="248">
        <f t="shared" si="5"/>
        <v>2579.15</v>
      </c>
      <c r="T27" s="248">
        <f t="shared" si="6"/>
        <v>2579.15</v>
      </c>
      <c r="U27" s="249">
        <f t="shared" si="7"/>
        <v>0</v>
      </c>
      <c r="V27" s="249">
        <f t="shared" si="8"/>
        <v>1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366">
        <v>6881</v>
      </c>
      <c r="C28" s="377" t="s">
        <v>298</v>
      </c>
      <c r="D28" s="373">
        <v>6000</v>
      </c>
      <c r="E28" s="238">
        <v>1</v>
      </c>
      <c r="F28" s="220">
        <v>1155.76</v>
      </c>
      <c r="G28" s="221">
        <f t="shared" ref="G28:G60" si="9">ROUND(IF($F$17="USD $", F28*$E$15,F28*$D$15),2)</f>
        <v>813.92</v>
      </c>
      <c r="H28" s="222">
        <f t="shared" si="0"/>
        <v>1155.76</v>
      </c>
      <c r="I28" s="242"/>
      <c r="J28" s="224">
        <f t="shared" si="1"/>
        <v>1</v>
      </c>
      <c r="K28" s="221">
        <f t="shared" si="2"/>
        <v>1155.76</v>
      </c>
      <c r="L28" s="221">
        <f t="shared" si="3"/>
        <v>1155.76</v>
      </c>
      <c r="M28" s="220" t="s">
        <v>84</v>
      </c>
      <c r="N28" s="254"/>
      <c r="O28" s="226"/>
      <c r="P28" s="255"/>
      <c r="Q28" s="228"/>
      <c r="R28" s="229">
        <f t="shared" si="4"/>
        <v>0</v>
      </c>
      <c r="S28" s="229">
        <f t="shared" si="5"/>
        <v>1155.76</v>
      </c>
      <c r="T28" s="229">
        <f t="shared" si="6"/>
        <v>1155.76</v>
      </c>
      <c r="U28" s="230">
        <f t="shared" si="7"/>
        <v>0</v>
      </c>
      <c r="V28" s="230">
        <f t="shared" si="8"/>
        <v>1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386" t="s">
        <v>316</v>
      </c>
      <c r="C29" s="378" t="s">
        <v>185</v>
      </c>
      <c r="D29" s="373">
        <v>6000</v>
      </c>
      <c r="E29" s="238">
        <v>1</v>
      </c>
      <c r="F29" s="239">
        <v>2254.65</v>
      </c>
      <c r="G29" s="240">
        <f t="shared" si="9"/>
        <v>1587.78</v>
      </c>
      <c r="H29" s="241">
        <f t="shared" si="0"/>
        <v>2254.65</v>
      </c>
      <c r="I29" s="242"/>
      <c r="J29" s="243">
        <f t="shared" si="1"/>
        <v>1</v>
      </c>
      <c r="K29" s="240">
        <f t="shared" si="2"/>
        <v>2254.65</v>
      </c>
      <c r="L29" s="240">
        <f t="shared" si="3"/>
        <v>2254.65</v>
      </c>
      <c r="M29" s="244" t="s">
        <v>84</v>
      </c>
      <c r="N29" s="245"/>
      <c r="O29" s="226"/>
      <c r="P29" s="246"/>
      <c r="Q29" s="239"/>
      <c r="R29" s="247">
        <f t="shared" si="4"/>
        <v>0</v>
      </c>
      <c r="S29" s="248">
        <f t="shared" si="5"/>
        <v>2254.65</v>
      </c>
      <c r="T29" s="248">
        <f t="shared" si="6"/>
        <v>2254.65</v>
      </c>
      <c r="U29" s="249">
        <f t="shared" si="7"/>
        <v>0</v>
      </c>
      <c r="V29" s="249">
        <f t="shared" si="8"/>
        <v>1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358"/>
      <c r="C30" s="377" t="s">
        <v>317</v>
      </c>
      <c r="D30" s="358">
        <v>4000</v>
      </c>
      <c r="E30" s="387">
        <v>4</v>
      </c>
      <c r="F30" s="388">
        <v>3555.8</v>
      </c>
      <c r="G30" s="221">
        <f t="shared" si="9"/>
        <v>2504.08</v>
      </c>
      <c r="H30" s="222">
        <f t="shared" si="0"/>
        <v>14223.2</v>
      </c>
      <c r="I30" s="242"/>
      <c r="J30" s="224">
        <f t="shared" si="1"/>
        <v>4</v>
      </c>
      <c r="K30" s="221">
        <f t="shared" si="2"/>
        <v>3555.8</v>
      </c>
      <c r="L30" s="221">
        <f t="shared" si="3"/>
        <v>14223.2</v>
      </c>
      <c r="M30" s="220" t="s">
        <v>84</v>
      </c>
      <c r="N30" s="254"/>
      <c r="O30" s="226"/>
      <c r="P30" s="255"/>
      <c r="Q30" s="228"/>
      <c r="R30" s="229">
        <f t="shared" si="4"/>
        <v>0</v>
      </c>
      <c r="S30" s="229">
        <f t="shared" si="5"/>
        <v>3555.8</v>
      </c>
      <c r="T30" s="229">
        <f t="shared" si="6"/>
        <v>14223.2</v>
      </c>
      <c r="U30" s="230">
        <f t="shared" si="7"/>
        <v>0</v>
      </c>
      <c r="V30" s="230">
        <f t="shared" si="8"/>
        <v>1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362"/>
      <c r="C31" s="363"/>
      <c r="D31" s="286"/>
      <c r="E31" s="364"/>
      <c r="F31" s="239"/>
      <c r="G31" s="240">
        <f t="shared" si="9"/>
        <v>0</v>
      </c>
      <c r="H31" s="241">
        <f t="shared" si="0"/>
        <v>0</v>
      </c>
      <c r="I31" s="242"/>
      <c r="J31" s="243">
        <f t="shared" si="1"/>
        <v>0</v>
      </c>
      <c r="K31" s="240">
        <f t="shared" si="2"/>
        <v>0</v>
      </c>
      <c r="L31" s="240">
        <f t="shared" si="3"/>
        <v>0</v>
      </c>
      <c r="M31" s="244" t="s">
        <v>84</v>
      </c>
      <c r="N31" s="245"/>
      <c r="O31" s="226"/>
      <c r="P31" s="246"/>
      <c r="Q31" s="239"/>
      <c r="R31" s="247">
        <f t="shared" si="4"/>
        <v>0</v>
      </c>
      <c r="S31" s="248">
        <f t="shared" si="5"/>
        <v>0</v>
      </c>
      <c r="T31" s="248">
        <f t="shared" si="6"/>
        <v>0</v>
      </c>
      <c r="U31" s="249">
        <f t="shared" si="7"/>
        <v>0</v>
      </c>
      <c r="V31" s="249">
        <f t="shared" si="8"/>
        <v>0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358"/>
      <c r="C32" s="365"/>
      <c r="D32" s="287"/>
      <c r="E32" s="361"/>
      <c r="F32" s="220"/>
      <c r="G32" s="221">
        <f t="shared" si="9"/>
        <v>0</v>
      </c>
      <c r="H32" s="222">
        <f t="shared" si="0"/>
        <v>0</v>
      </c>
      <c r="I32" s="242"/>
      <c r="J32" s="224">
        <f t="shared" si="1"/>
        <v>0</v>
      </c>
      <c r="K32" s="221">
        <f t="shared" si="2"/>
        <v>0</v>
      </c>
      <c r="L32" s="221">
        <f t="shared" si="3"/>
        <v>0</v>
      </c>
      <c r="M32" s="220" t="s">
        <v>84</v>
      </c>
      <c r="N32" s="254">
        <v>0.5</v>
      </c>
      <c r="O32" s="226"/>
      <c r="P32" s="255"/>
      <c r="Q32" s="228"/>
      <c r="R32" s="229">
        <f t="shared" si="4"/>
        <v>0</v>
      </c>
      <c r="S32" s="229">
        <f t="shared" si="5"/>
        <v>0</v>
      </c>
      <c r="T32" s="229">
        <f t="shared" si="6"/>
        <v>0</v>
      </c>
      <c r="U32" s="230">
        <f t="shared" si="7"/>
        <v>0</v>
      </c>
      <c r="V32" s="230">
        <f t="shared" si="8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362"/>
      <c r="C33" s="363"/>
      <c r="D33" s="286"/>
      <c r="E33" s="364"/>
      <c r="F33" s="239"/>
      <c r="G33" s="240">
        <f t="shared" si="9"/>
        <v>0</v>
      </c>
      <c r="H33" s="241">
        <f t="shared" si="0"/>
        <v>0</v>
      </c>
      <c r="I33" s="242"/>
      <c r="J33" s="243">
        <f t="shared" si="1"/>
        <v>0</v>
      </c>
      <c r="K33" s="240">
        <f t="shared" si="2"/>
        <v>0</v>
      </c>
      <c r="L33" s="240">
        <f t="shared" si="3"/>
        <v>0</v>
      </c>
      <c r="M33" s="244" t="s">
        <v>84</v>
      </c>
      <c r="N33" s="245"/>
      <c r="O33" s="226"/>
      <c r="P33" s="246"/>
      <c r="Q33" s="239"/>
      <c r="R33" s="247">
        <f t="shared" si="4"/>
        <v>0</v>
      </c>
      <c r="S33" s="248">
        <f t="shared" si="5"/>
        <v>0</v>
      </c>
      <c r="T33" s="248">
        <f t="shared" si="6"/>
        <v>0</v>
      </c>
      <c r="U33" s="249">
        <f t="shared" si="7"/>
        <v>0</v>
      </c>
      <c r="V33" s="249">
        <f t="shared" si="8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358"/>
      <c r="C34" s="365"/>
      <c r="D34" s="287"/>
      <c r="E34" s="361"/>
      <c r="F34" s="220"/>
      <c r="G34" s="221">
        <f t="shared" si="9"/>
        <v>0</v>
      </c>
      <c r="H34" s="222">
        <f t="shared" si="0"/>
        <v>0</v>
      </c>
      <c r="I34" s="242"/>
      <c r="J34" s="224">
        <f t="shared" si="1"/>
        <v>0</v>
      </c>
      <c r="K34" s="221">
        <f t="shared" si="2"/>
        <v>0</v>
      </c>
      <c r="L34" s="221">
        <f t="shared" si="3"/>
        <v>0</v>
      </c>
      <c r="M34" s="220" t="s">
        <v>84</v>
      </c>
      <c r="N34" s="254">
        <v>0.5</v>
      </c>
      <c r="O34" s="226"/>
      <c r="P34" s="255"/>
      <c r="Q34" s="228"/>
      <c r="R34" s="229">
        <f t="shared" si="4"/>
        <v>0</v>
      </c>
      <c r="S34" s="229">
        <f t="shared" si="5"/>
        <v>0</v>
      </c>
      <c r="T34" s="229">
        <f t="shared" si="6"/>
        <v>0</v>
      </c>
      <c r="U34" s="230">
        <f t="shared" si="7"/>
        <v>0</v>
      </c>
      <c r="V34" s="230">
        <f t="shared" si="8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362"/>
      <c r="C35" s="363"/>
      <c r="D35" s="286"/>
      <c r="E35" s="364"/>
      <c r="F35" s="239"/>
      <c r="G35" s="240">
        <f t="shared" si="9"/>
        <v>0</v>
      </c>
      <c r="H35" s="241">
        <f t="shared" si="0"/>
        <v>0</v>
      </c>
      <c r="I35" s="242"/>
      <c r="J35" s="243">
        <f t="shared" si="1"/>
        <v>0</v>
      </c>
      <c r="K35" s="240">
        <f t="shared" si="2"/>
        <v>0</v>
      </c>
      <c r="L35" s="240">
        <f t="shared" si="3"/>
        <v>0</v>
      </c>
      <c r="M35" s="244" t="s">
        <v>84</v>
      </c>
      <c r="N35" s="245">
        <v>0.5</v>
      </c>
      <c r="O35" s="226"/>
      <c r="P35" s="246"/>
      <c r="Q35" s="239"/>
      <c r="R35" s="247">
        <f t="shared" si="4"/>
        <v>0</v>
      </c>
      <c r="S35" s="248">
        <f t="shared" si="5"/>
        <v>0</v>
      </c>
      <c r="T35" s="248">
        <f t="shared" si="6"/>
        <v>0</v>
      </c>
      <c r="U35" s="249">
        <f t="shared" si="7"/>
        <v>0</v>
      </c>
      <c r="V35" s="249">
        <f t="shared" si="8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358"/>
      <c r="C36" s="365"/>
      <c r="D36" s="287"/>
      <c r="E36" s="361"/>
      <c r="F36" s="220"/>
      <c r="G36" s="221">
        <f t="shared" si="9"/>
        <v>0</v>
      </c>
      <c r="H36" s="222">
        <f t="shared" si="0"/>
        <v>0</v>
      </c>
      <c r="I36" s="242"/>
      <c r="J36" s="224">
        <f t="shared" si="1"/>
        <v>0</v>
      </c>
      <c r="K36" s="221">
        <f t="shared" si="2"/>
        <v>0</v>
      </c>
      <c r="L36" s="221">
        <f t="shared" si="3"/>
        <v>0</v>
      </c>
      <c r="M36" s="220" t="s">
        <v>84</v>
      </c>
      <c r="N36" s="254"/>
      <c r="O36" s="226"/>
      <c r="P36" s="255"/>
      <c r="Q36" s="228"/>
      <c r="R36" s="229">
        <f t="shared" si="4"/>
        <v>0</v>
      </c>
      <c r="S36" s="229">
        <f t="shared" si="5"/>
        <v>0</v>
      </c>
      <c r="T36" s="229">
        <f t="shared" si="6"/>
        <v>0</v>
      </c>
      <c r="U36" s="230">
        <f t="shared" si="7"/>
        <v>0</v>
      </c>
      <c r="V36" s="230">
        <f t="shared" si="8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362"/>
      <c r="C37" s="363"/>
      <c r="D37" s="286"/>
      <c r="E37" s="364"/>
      <c r="F37" s="239"/>
      <c r="G37" s="240">
        <f t="shared" si="9"/>
        <v>0</v>
      </c>
      <c r="H37" s="241">
        <f t="shared" si="0"/>
        <v>0</v>
      </c>
      <c r="I37" s="242"/>
      <c r="J37" s="243">
        <f t="shared" si="1"/>
        <v>0</v>
      </c>
      <c r="K37" s="240">
        <f t="shared" si="2"/>
        <v>0</v>
      </c>
      <c r="L37" s="240">
        <f t="shared" si="3"/>
        <v>0</v>
      </c>
      <c r="M37" s="244" t="s">
        <v>84</v>
      </c>
      <c r="N37" s="245"/>
      <c r="O37" s="226"/>
      <c r="P37" s="246"/>
      <c r="Q37" s="239"/>
      <c r="R37" s="247">
        <f t="shared" si="4"/>
        <v>0</v>
      </c>
      <c r="S37" s="248">
        <f t="shared" si="5"/>
        <v>0</v>
      </c>
      <c r="T37" s="248">
        <f t="shared" si="6"/>
        <v>0</v>
      </c>
      <c r="U37" s="249">
        <f t="shared" si="7"/>
        <v>0</v>
      </c>
      <c r="V37" s="249">
        <f t="shared" si="8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358"/>
      <c r="C38" s="365"/>
      <c r="D38" s="287"/>
      <c r="E38" s="361"/>
      <c r="F38" s="220"/>
      <c r="G38" s="221">
        <f t="shared" si="9"/>
        <v>0</v>
      </c>
      <c r="H38" s="222">
        <f t="shared" si="0"/>
        <v>0</v>
      </c>
      <c r="I38" s="242"/>
      <c r="J38" s="224">
        <f t="shared" si="1"/>
        <v>0</v>
      </c>
      <c r="K38" s="221">
        <f t="shared" si="2"/>
        <v>0</v>
      </c>
      <c r="L38" s="221">
        <f t="shared" si="3"/>
        <v>0</v>
      </c>
      <c r="M38" s="220" t="s">
        <v>84</v>
      </c>
      <c r="N38" s="254"/>
      <c r="O38" s="226"/>
      <c r="P38" s="255"/>
      <c r="Q38" s="228"/>
      <c r="R38" s="229">
        <f t="shared" si="4"/>
        <v>0</v>
      </c>
      <c r="S38" s="229">
        <f t="shared" si="5"/>
        <v>0</v>
      </c>
      <c r="T38" s="229">
        <f t="shared" si="6"/>
        <v>0</v>
      </c>
      <c r="U38" s="230">
        <f t="shared" si="7"/>
        <v>0</v>
      </c>
      <c r="V38" s="230">
        <f t="shared" si="8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362"/>
      <c r="C39" s="363"/>
      <c r="D39" s="286"/>
      <c r="E39" s="364"/>
      <c r="F39" s="239"/>
      <c r="G39" s="240">
        <f t="shared" si="9"/>
        <v>0</v>
      </c>
      <c r="H39" s="241">
        <f t="shared" si="0"/>
        <v>0</v>
      </c>
      <c r="I39" s="242"/>
      <c r="J39" s="243">
        <f t="shared" si="1"/>
        <v>0</v>
      </c>
      <c r="K39" s="240">
        <f t="shared" si="2"/>
        <v>0</v>
      </c>
      <c r="L39" s="240">
        <f t="shared" si="3"/>
        <v>0</v>
      </c>
      <c r="M39" s="244" t="s">
        <v>84</v>
      </c>
      <c r="N39" s="245"/>
      <c r="O39" s="226"/>
      <c r="P39" s="246"/>
      <c r="Q39" s="239"/>
      <c r="R39" s="247">
        <f t="shared" si="4"/>
        <v>0</v>
      </c>
      <c r="S39" s="248">
        <f t="shared" si="5"/>
        <v>0</v>
      </c>
      <c r="T39" s="248">
        <f t="shared" si="6"/>
        <v>0</v>
      </c>
      <c r="U39" s="249">
        <f t="shared" si="7"/>
        <v>0</v>
      </c>
      <c r="V39" s="249">
        <f t="shared" si="8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358"/>
      <c r="C40" s="365"/>
      <c r="D40" s="287"/>
      <c r="E40" s="361"/>
      <c r="F40" s="220"/>
      <c r="G40" s="221">
        <f t="shared" si="9"/>
        <v>0</v>
      </c>
      <c r="H40" s="222">
        <f t="shared" si="0"/>
        <v>0</v>
      </c>
      <c r="I40" s="242"/>
      <c r="J40" s="224">
        <f t="shared" si="1"/>
        <v>0</v>
      </c>
      <c r="K40" s="221">
        <f t="shared" si="2"/>
        <v>0</v>
      </c>
      <c r="L40" s="221">
        <f t="shared" si="3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4"/>
        <v>0</v>
      </c>
      <c r="S40" s="229">
        <f t="shared" si="5"/>
        <v>0</v>
      </c>
      <c r="T40" s="229">
        <f t="shared" si="6"/>
        <v>0</v>
      </c>
      <c r="U40" s="230">
        <f t="shared" si="7"/>
        <v>0</v>
      </c>
      <c r="V40" s="230">
        <f t="shared" si="8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362"/>
      <c r="C41" s="363"/>
      <c r="D41" s="286"/>
      <c r="E41" s="364"/>
      <c r="F41" s="239"/>
      <c r="G41" s="240">
        <f t="shared" si="9"/>
        <v>0</v>
      </c>
      <c r="H41" s="241">
        <f t="shared" si="0"/>
        <v>0</v>
      </c>
      <c r="I41" s="242"/>
      <c r="J41" s="243">
        <f t="shared" si="1"/>
        <v>0</v>
      </c>
      <c r="K41" s="240">
        <f t="shared" si="2"/>
        <v>0</v>
      </c>
      <c r="L41" s="240">
        <f t="shared" si="3"/>
        <v>0</v>
      </c>
      <c r="M41" s="244" t="s">
        <v>84</v>
      </c>
      <c r="N41" s="245"/>
      <c r="O41" s="226"/>
      <c r="P41" s="246"/>
      <c r="Q41" s="239"/>
      <c r="R41" s="247">
        <f t="shared" si="4"/>
        <v>0</v>
      </c>
      <c r="S41" s="248">
        <f t="shared" si="5"/>
        <v>0</v>
      </c>
      <c r="T41" s="248">
        <f t="shared" si="6"/>
        <v>0</v>
      </c>
      <c r="U41" s="249">
        <f t="shared" si="7"/>
        <v>0</v>
      </c>
      <c r="V41" s="249">
        <f t="shared" si="8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358"/>
      <c r="C42" s="365"/>
      <c r="D42" s="287"/>
      <c r="E42" s="361"/>
      <c r="F42" s="220"/>
      <c r="G42" s="221">
        <f t="shared" si="9"/>
        <v>0</v>
      </c>
      <c r="H42" s="222">
        <f t="shared" si="0"/>
        <v>0</v>
      </c>
      <c r="I42" s="242"/>
      <c r="J42" s="224">
        <f t="shared" si="1"/>
        <v>0</v>
      </c>
      <c r="K42" s="221">
        <f t="shared" si="2"/>
        <v>0</v>
      </c>
      <c r="L42" s="221">
        <f t="shared" si="3"/>
        <v>0</v>
      </c>
      <c r="M42" s="220" t="s">
        <v>84</v>
      </c>
      <c r="N42" s="254"/>
      <c r="O42" s="226"/>
      <c r="P42" s="255"/>
      <c r="Q42" s="228"/>
      <c r="R42" s="229">
        <f t="shared" si="4"/>
        <v>0</v>
      </c>
      <c r="S42" s="229">
        <f t="shared" si="5"/>
        <v>0</v>
      </c>
      <c r="T42" s="229">
        <f t="shared" si="6"/>
        <v>0</v>
      </c>
      <c r="U42" s="230">
        <f t="shared" si="7"/>
        <v>0</v>
      </c>
      <c r="V42" s="230">
        <f t="shared" si="8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362"/>
      <c r="C43" s="363"/>
      <c r="D43" s="286"/>
      <c r="E43" s="364"/>
      <c r="F43" s="239"/>
      <c r="G43" s="240">
        <f t="shared" si="9"/>
        <v>0</v>
      </c>
      <c r="H43" s="241">
        <f t="shared" si="0"/>
        <v>0</v>
      </c>
      <c r="I43" s="242"/>
      <c r="J43" s="243">
        <f t="shared" si="1"/>
        <v>0</v>
      </c>
      <c r="K43" s="240">
        <f t="shared" si="2"/>
        <v>0</v>
      </c>
      <c r="L43" s="240">
        <f t="shared" si="3"/>
        <v>0</v>
      </c>
      <c r="M43" s="244" t="s">
        <v>84</v>
      </c>
      <c r="N43" s="245"/>
      <c r="O43" s="226"/>
      <c r="P43" s="246"/>
      <c r="Q43" s="239"/>
      <c r="R43" s="247">
        <f t="shared" si="4"/>
        <v>0</v>
      </c>
      <c r="S43" s="248">
        <f t="shared" si="5"/>
        <v>0</v>
      </c>
      <c r="T43" s="248">
        <f t="shared" si="6"/>
        <v>0</v>
      </c>
      <c r="U43" s="249">
        <f t="shared" si="7"/>
        <v>0</v>
      </c>
      <c r="V43" s="249">
        <f t="shared" si="8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358"/>
      <c r="C44" s="365"/>
      <c r="D44" s="287"/>
      <c r="E44" s="361"/>
      <c r="F44" s="220"/>
      <c r="G44" s="221">
        <f t="shared" si="9"/>
        <v>0</v>
      </c>
      <c r="H44" s="222">
        <f t="shared" si="0"/>
        <v>0</v>
      </c>
      <c r="I44" s="242"/>
      <c r="J44" s="224">
        <f t="shared" si="1"/>
        <v>0</v>
      </c>
      <c r="K44" s="221">
        <f t="shared" si="2"/>
        <v>0</v>
      </c>
      <c r="L44" s="221">
        <f t="shared" si="3"/>
        <v>0</v>
      </c>
      <c r="M44" s="220" t="s">
        <v>84</v>
      </c>
      <c r="N44" s="254"/>
      <c r="O44" s="226"/>
      <c r="P44" s="255"/>
      <c r="Q44" s="228"/>
      <c r="R44" s="229">
        <f t="shared" si="4"/>
        <v>0</v>
      </c>
      <c r="S44" s="229">
        <f t="shared" si="5"/>
        <v>0</v>
      </c>
      <c r="T44" s="229">
        <f t="shared" si="6"/>
        <v>0</v>
      </c>
      <c r="U44" s="230">
        <f t="shared" si="7"/>
        <v>0</v>
      </c>
      <c r="V44" s="230">
        <f t="shared" si="8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362"/>
      <c r="C45" s="363"/>
      <c r="D45" s="286"/>
      <c r="E45" s="364"/>
      <c r="F45" s="239"/>
      <c r="G45" s="240">
        <f t="shared" si="9"/>
        <v>0</v>
      </c>
      <c r="H45" s="241">
        <f t="shared" si="0"/>
        <v>0</v>
      </c>
      <c r="I45" s="242"/>
      <c r="J45" s="243">
        <f t="shared" si="1"/>
        <v>0</v>
      </c>
      <c r="K45" s="240">
        <f t="shared" si="2"/>
        <v>0</v>
      </c>
      <c r="L45" s="240">
        <f t="shared" si="3"/>
        <v>0</v>
      </c>
      <c r="M45" s="244" t="s">
        <v>84</v>
      </c>
      <c r="N45" s="245"/>
      <c r="O45" s="226"/>
      <c r="P45" s="246"/>
      <c r="Q45" s="239"/>
      <c r="R45" s="247">
        <f t="shared" si="4"/>
        <v>0</v>
      </c>
      <c r="S45" s="248">
        <f t="shared" si="5"/>
        <v>0</v>
      </c>
      <c r="T45" s="248">
        <f t="shared" si="6"/>
        <v>0</v>
      </c>
      <c r="U45" s="249">
        <f t="shared" si="7"/>
        <v>0</v>
      </c>
      <c r="V45" s="249">
        <f t="shared" si="8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358"/>
      <c r="C46" s="365"/>
      <c r="D46" s="287"/>
      <c r="E46" s="361"/>
      <c r="F46" s="220"/>
      <c r="G46" s="221">
        <f t="shared" si="9"/>
        <v>0</v>
      </c>
      <c r="H46" s="222">
        <f t="shared" si="0"/>
        <v>0</v>
      </c>
      <c r="I46" s="242"/>
      <c r="J46" s="224">
        <f t="shared" si="1"/>
        <v>0</v>
      </c>
      <c r="K46" s="221">
        <f t="shared" si="2"/>
        <v>0</v>
      </c>
      <c r="L46" s="221">
        <f t="shared" si="3"/>
        <v>0</v>
      </c>
      <c r="M46" s="220" t="s">
        <v>84</v>
      </c>
      <c r="N46" s="254"/>
      <c r="O46" s="226"/>
      <c r="P46" s="255"/>
      <c r="Q46" s="228"/>
      <c r="R46" s="229">
        <f t="shared" si="4"/>
        <v>0</v>
      </c>
      <c r="S46" s="229">
        <f t="shared" si="5"/>
        <v>0</v>
      </c>
      <c r="T46" s="229">
        <f t="shared" si="6"/>
        <v>0</v>
      </c>
      <c r="U46" s="230">
        <f t="shared" si="7"/>
        <v>0</v>
      </c>
      <c r="V46" s="230">
        <f t="shared" si="8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362"/>
      <c r="C47" s="363"/>
      <c r="D47" s="286"/>
      <c r="E47" s="364"/>
      <c r="F47" s="239"/>
      <c r="G47" s="240">
        <f t="shared" si="9"/>
        <v>0</v>
      </c>
      <c r="H47" s="241">
        <f t="shared" si="0"/>
        <v>0</v>
      </c>
      <c r="I47" s="242"/>
      <c r="J47" s="243">
        <f t="shared" si="1"/>
        <v>0</v>
      </c>
      <c r="K47" s="240">
        <f t="shared" si="2"/>
        <v>0</v>
      </c>
      <c r="L47" s="240">
        <f t="shared" si="3"/>
        <v>0</v>
      </c>
      <c r="M47" s="244" t="s">
        <v>84</v>
      </c>
      <c r="N47" s="245"/>
      <c r="O47" s="226"/>
      <c r="P47" s="246"/>
      <c r="Q47" s="239"/>
      <c r="R47" s="247">
        <f t="shared" si="4"/>
        <v>0</v>
      </c>
      <c r="S47" s="248">
        <f t="shared" si="5"/>
        <v>0</v>
      </c>
      <c r="T47" s="248">
        <f t="shared" si="6"/>
        <v>0</v>
      </c>
      <c r="U47" s="249">
        <f t="shared" si="7"/>
        <v>0</v>
      </c>
      <c r="V47" s="249">
        <f t="shared" si="8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358"/>
      <c r="C48" s="365"/>
      <c r="D48" s="287"/>
      <c r="E48" s="361"/>
      <c r="F48" s="220"/>
      <c r="G48" s="221">
        <f t="shared" si="9"/>
        <v>0</v>
      </c>
      <c r="H48" s="222">
        <f t="shared" si="0"/>
        <v>0</v>
      </c>
      <c r="I48" s="242"/>
      <c r="J48" s="224">
        <f t="shared" si="1"/>
        <v>0</v>
      </c>
      <c r="K48" s="221">
        <f t="shared" si="2"/>
        <v>0</v>
      </c>
      <c r="L48" s="221">
        <f t="shared" si="3"/>
        <v>0</v>
      </c>
      <c r="M48" s="220" t="s">
        <v>84</v>
      </c>
      <c r="N48" s="254"/>
      <c r="O48" s="226"/>
      <c r="P48" s="255"/>
      <c r="Q48" s="228"/>
      <c r="R48" s="229">
        <f t="shared" si="4"/>
        <v>0</v>
      </c>
      <c r="S48" s="229">
        <f t="shared" si="5"/>
        <v>0</v>
      </c>
      <c r="T48" s="229">
        <f t="shared" si="6"/>
        <v>0</v>
      </c>
      <c r="U48" s="230">
        <f t="shared" si="7"/>
        <v>0</v>
      </c>
      <c r="V48" s="230">
        <f t="shared" si="8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362"/>
      <c r="C49" s="363"/>
      <c r="D49" s="286"/>
      <c r="E49" s="364"/>
      <c r="F49" s="239"/>
      <c r="G49" s="240">
        <f t="shared" si="9"/>
        <v>0</v>
      </c>
      <c r="H49" s="241">
        <f t="shared" si="0"/>
        <v>0</v>
      </c>
      <c r="I49" s="242"/>
      <c r="J49" s="243">
        <f t="shared" si="1"/>
        <v>0</v>
      </c>
      <c r="K49" s="240">
        <f t="shared" si="2"/>
        <v>0</v>
      </c>
      <c r="L49" s="240">
        <f t="shared" si="3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4"/>
        <v>0</v>
      </c>
      <c r="S49" s="248">
        <f t="shared" si="5"/>
        <v>0</v>
      </c>
      <c r="T49" s="248">
        <f t="shared" si="6"/>
        <v>0</v>
      </c>
      <c r="U49" s="249">
        <f t="shared" si="7"/>
        <v>0</v>
      </c>
      <c r="V49" s="249">
        <f t="shared" si="8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358"/>
      <c r="C50" s="365"/>
      <c r="D50" s="287"/>
      <c r="E50" s="361"/>
      <c r="F50" s="220"/>
      <c r="G50" s="221">
        <f t="shared" si="9"/>
        <v>0</v>
      </c>
      <c r="H50" s="222">
        <f t="shared" si="0"/>
        <v>0</v>
      </c>
      <c r="I50" s="242"/>
      <c r="J50" s="224">
        <f t="shared" si="1"/>
        <v>0</v>
      </c>
      <c r="K50" s="221">
        <f t="shared" si="2"/>
        <v>0</v>
      </c>
      <c r="L50" s="221">
        <f t="shared" si="3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4"/>
        <v>0</v>
      </c>
      <c r="S50" s="229">
        <f t="shared" si="5"/>
        <v>0</v>
      </c>
      <c r="T50" s="229">
        <f t="shared" si="6"/>
        <v>0</v>
      </c>
      <c r="U50" s="230">
        <f t="shared" si="7"/>
        <v>0</v>
      </c>
      <c r="V50" s="230">
        <f t="shared" si="8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362"/>
      <c r="C51" s="363"/>
      <c r="D51" s="286"/>
      <c r="E51" s="364"/>
      <c r="F51" s="239"/>
      <c r="G51" s="240">
        <f t="shared" si="9"/>
        <v>0</v>
      </c>
      <c r="H51" s="241">
        <f t="shared" si="0"/>
        <v>0</v>
      </c>
      <c r="I51" s="242"/>
      <c r="J51" s="243">
        <f t="shared" si="1"/>
        <v>0</v>
      </c>
      <c r="K51" s="240">
        <f t="shared" si="2"/>
        <v>0</v>
      </c>
      <c r="L51" s="240">
        <f t="shared" si="3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4"/>
        <v>0</v>
      </c>
      <c r="S51" s="248">
        <f t="shared" si="5"/>
        <v>0</v>
      </c>
      <c r="T51" s="248">
        <f t="shared" si="6"/>
        <v>0</v>
      </c>
      <c r="U51" s="249">
        <f t="shared" si="7"/>
        <v>0</v>
      </c>
      <c r="V51" s="249">
        <f t="shared" si="8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9"/>
        <v>0</v>
      </c>
      <c r="H52" s="222">
        <f t="shared" si="0"/>
        <v>0</v>
      </c>
      <c r="I52" s="242"/>
      <c r="J52" s="224">
        <f t="shared" si="1"/>
        <v>0</v>
      </c>
      <c r="K52" s="221">
        <f t="shared" si="2"/>
        <v>0</v>
      </c>
      <c r="L52" s="221">
        <f t="shared" si="3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4"/>
        <v>0</v>
      </c>
      <c r="S52" s="229">
        <f t="shared" si="5"/>
        <v>0</v>
      </c>
      <c r="T52" s="229">
        <f t="shared" si="6"/>
        <v>0</v>
      </c>
      <c r="U52" s="230">
        <f t="shared" si="7"/>
        <v>0</v>
      </c>
      <c r="V52" s="230">
        <f t="shared" si="8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9"/>
        <v>0</v>
      </c>
      <c r="H53" s="241">
        <f t="shared" si="0"/>
        <v>0</v>
      </c>
      <c r="I53" s="242"/>
      <c r="J53" s="243">
        <f t="shared" si="1"/>
        <v>0</v>
      </c>
      <c r="K53" s="240">
        <f t="shared" si="2"/>
        <v>0</v>
      </c>
      <c r="L53" s="240">
        <f t="shared" si="3"/>
        <v>0</v>
      </c>
      <c r="M53" s="244" t="s">
        <v>84</v>
      </c>
      <c r="N53" s="245"/>
      <c r="O53" s="226"/>
      <c r="P53" s="246"/>
      <c r="Q53" s="239"/>
      <c r="R53" s="247">
        <f t="shared" si="4"/>
        <v>0</v>
      </c>
      <c r="S53" s="248">
        <f t="shared" si="5"/>
        <v>0</v>
      </c>
      <c r="T53" s="248">
        <f t="shared" si="6"/>
        <v>0</v>
      </c>
      <c r="U53" s="249">
        <f t="shared" si="7"/>
        <v>0</v>
      </c>
      <c r="V53" s="249">
        <f t="shared" si="8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9"/>
        <v>0</v>
      </c>
      <c r="H54" s="222">
        <f t="shared" si="0"/>
        <v>0</v>
      </c>
      <c r="I54" s="242"/>
      <c r="J54" s="224">
        <f t="shared" si="1"/>
        <v>0</v>
      </c>
      <c r="K54" s="221">
        <f t="shared" si="2"/>
        <v>0</v>
      </c>
      <c r="L54" s="221">
        <f t="shared" si="3"/>
        <v>0</v>
      </c>
      <c r="M54" s="220" t="s">
        <v>84</v>
      </c>
      <c r="N54" s="254"/>
      <c r="O54" s="226"/>
      <c r="P54" s="255"/>
      <c r="Q54" s="228"/>
      <c r="R54" s="229">
        <f t="shared" si="4"/>
        <v>0</v>
      </c>
      <c r="S54" s="229">
        <f t="shared" si="5"/>
        <v>0</v>
      </c>
      <c r="T54" s="229">
        <f t="shared" si="6"/>
        <v>0</v>
      </c>
      <c r="U54" s="230">
        <f t="shared" si="7"/>
        <v>0</v>
      </c>
      <c r="V54" s="230">
        <f t="shared" si="8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9"/>
        <v>0</v>
      </c>
      <c r="H55" s="241">
        <f t="shared" si="0"/>
        <v>0</v>
      </c>
      <c r="I55" s="242"/>
      <c r="J55" s="243">
        <f t="shared" si="1"/>
        <v>0</v>
      </c>
      <c r="K55" s="240">
        <f t="shared" si="2"/>
        <v>0</v>
      </c>
      <c r="L55" s="240">
        <f t="shared" si="3"/>
        <v>0</v>
      </c>
      <c r="M55" s="244" t="s">
        <v>84</v>
      </c>
      <c r="N55" s="245"/>
      <c r="O55" s="226"/>
      <c r="P55" s="246"/>
      <c r="Q55" s="239"/>
      <c r="R55" s="247">
        <f t="shared" si="4"/>
        <v>0</v>
      </c>
      <c r="S55" s="248">
        <f t="shared" si="5"/>
        <v>0</v>
      </c>
      <c r="T55" s="248">
        <f t="shared" si="6"/>
        <v>0</v>
      </c>
      <c r="U55" s="249">
        <f t="shared" si="7"/>
        <v>0</v>
      </c>
      <c r="V55" s="249">
        <f t="shared" si="8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9"/>
        <v>0</v>
      </c>
      <c r="H56" s="222">
        <f t="shared" si="0"/>
        <v>0</v>
      </c>
      <c r="I56" s="242"/>
      <c r="J56" s="224">
        <f t="shared" si="1"/>
        <v>0</v>
      </c>
      <c r="K56" s="221">
        <f t="shared" si="2"/>
        <v>0</v>
      </c>
      <c r="L56" s="221">
        <f t="shared" si="3"/>
        <v>0</v>
      </c>
      <c r="M56" s="220" t="s">
        <v>84</v>
      </c>
      <c r="N56" s="254"/>
      <c r="O56" s="226"/>
      <c r="P56" s="255"/>
      <c r="Q56" s="228"/>
      <c r="R56" s="229">
        <f t="shared" si="4"/>
        <v>0</v>
      </c>
      <c r="S56" s="229">
        <f t="shared" si="5"/>
        <v>0</v>
      </c>
      <c r="T56" s="229">
        <f t="shared" si="6"/>
        <v>0</v>
      </c>
      <c r="U56" s="230">
        <f t="shared" si="7"/>
        <v>0</v>
      </c>
      <c r="V56" s="230">
        <f t="shared" si="8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9"/>
        <v>0</v>
      </c>
      <c r="H57" s="241">
        <f t="shared" si="0"/>
        <v>0</v>
      </c>
      <c r="I57" s="242"/>
      <c r="J57" s="243">
        <f t="shared" si="1"/>
        <v>0</v>
      </c>
      <c r="K57" s="240">
        <f t="shared" si="2"/>
        <v>0</v>
      </c>
      <c r="L57" s="240">
        <f t="shared" si="3"/>
        <v>0</v>
      </c>
      <c r="M57" s="244" t="s">
        <v>84</v>
      </c>
      <c r="N57" s="245"/>
      <c r="O57" s="226"/>
      <c r="P57" s="246"/>
      <c r="Q57" s="239"/>
      <c r="R57" s="247">
        <f t="shared" si="4"/>
        <v>0</v>
      </c>
      <c r="S57" s="248">
        <f t="shared" si="5"/>
        <v>0</v>
      </c>
      <c r="T57" s="248">
        <f t="shared" si="6"/>
        <v>0</v>
      </c>
      <c r="U57" s="249">
        <f t="shared" si="7"/>
        <v>0</v>
      </c>
      <c r="V57" s="249">
        <f t="shared" si="8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9"/>
        <v>0</v>
      </c>
      <c r="H58" s="222">
        <f t="shared" si="0"/>
        <v>0</v>
      </c>
      <c r="I58" s="242"/>
      <c r="J58" s="224">
        <f t="shared" si="1"/>
        <v>0</v>
      </c>
      <c r="K58" s="221">
        <f t="shared" si="2"/>
        <v>0</v>
      </c>
      <c r="L58" s="221">
        <f t="shared" si="3"/>
        <v>0</v>
      </c>
      <c r="M58" s="220" t="s">
        <v>84</v>
      </c>
      <c r="N58" s="254"/>
      <c r="O58" s="226"/>
      <c r="P58" s="255"/>
      <c r="Q58" s="228"/>
      <c r="R58" s="229">
        <f t="shared" si="4"/>
        <v>0</v>
      </c>
      <c r="S58" s="229">
        <f t="shared" si="5"/>
        <v>0</v>
      </c>
      <c r="T58" s="229">
        <f t="shared" si="6"/>
        <v>0</v>
      </c>
      <c r="U58" s="230">
        <f t="shared" si="7"/>
        <v>0</v>
      </c>
      <c r="V58" s="230">
        <f t="shared" si="8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9"/>
        <v>0</v>
      </c>
      <c r="H59" s="241">
        <f t="shared" si="0"/>
        <v>0</v>
      </c>
      <c r="I59" s="242"/>
      <c r="J59" s="243">
        <f t="shared" si="1"/>
        <v>0</v>
      </c>
      <c r="K59" s="240">
        <f t="shared" si="2"/>
        <v>0</v>
      </c>
      <c r="L59" s="240">
        <f t="shared" si="3"/>
        <v>0</v>
      </c>
      <c r="M59" s="244" t="s">
        <v>84</v>
      </c>
      <c r="N59" s="245"/>
      <c r="O59" s="226"/>
      <c r="P59" s="246"/>
      <c r="Q59" s="239"/>
      <c r="R59" s="247">
        <f t="shared" si="4"/>
        <v>0</v>
      </c>
      <c r="S59" s="248">
        <f t="shared" si="5"/>
        <v>0</v>
      </c>
      <c r="T59" s="248">
        <f t="shared" si="6"/>
        <v>0</v>
      </c>
      <c r="U59" s="249">
        <f t="shared" si="7"/>
        <v>0</v>
      </c>
      <c r="V59" s="249">
        <f t="shared" si="8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9"/>
        <v>0</v>
      </c>
      <c r="H60" s="222">
        <f t="shared" si="0"/>
        <v>0</v>
      </c>
      <c r="I60" s="242"/>
      <c r="J60" s="224">
        <f t="shared" si="1"/>
        <v>0</v>
      </c>
      <c r="K60" s="221">
        <f t="shared" si="2"/>
        <v>0</v>
      </c>
      <c r="L60" s="221">
        <f t="shared" si="3"/>
        <v>0</v>
      </c>
      <c r="M60" s="220" t="s">
        <v>84</v>
      </c>
      <c r="N60" s="254"/>
      <c r="O60" s="226"/>
      <c r="P60" s="255"/>
      <c r="Q60" s="228"/>
      <c r="R60" s="229">
        <f t="shared" si="4"/>
        <v>0</v>
      </c>
      <c r="S60" s="229">
        <f t="shared" si="5"/>
        <v>0</v>
      </c>
      <c r="T60" s="229">
        <f t="shared" si="6"/>
        <v>0</v>
      </c>
      <c r="U60" s="230">
        <f t="shared" si="7"/>
        <v>0</v>
      </c>
      <c r="V60" s="230">
        <f t="shared" si="8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16</v>
      </c>
      <c r="F61" s="265">
        <f>SUM(F18:F60)</f>
        <v>12131.09</v>
      </c>
      <c r="G61" s="266">
        <f>SUM(G18:G60)</f>
        <v>4905.78</v>
      </c>
      <c r="H61" s="267">
        <f>SUM(H18:H60)</f>
        <v>22798.49</v>
      </c>
      <c r="I61" s="268"/>
      <c r="J61" s="269">
        <f>SUM(J18:J60)</f>
        <v>16</v>
      </c>
      <c r="K61" s="266">
        <f>SUM(K18:K60)</f>
        <v>10902.330000000002</v>
      </c>
      <c r="L61" s="267">
        <f>SUM(L18:L60)</f>
        <v>21569.730000000003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10902.330000000002</v>
      </c>
      <c r="T61" s="267">
        <f>SUM(T18:T60)</f>
        <v>21569.730000000003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63" priority="3" stopIfTrue="1">
      <formula>$U$9&gt;100%</formula>
    </cfRule>
    <cfRule type="expression" dxfId="62" priority="4">
      <formula>$U$9&lt;50%</formula>
    </cfRule>
  </conditionalFormatting>
  <conditionalFormatting sqref="V9:V10">
    <cfRule type="expression" dxfId="61" priority="1">
      <formula>$V$9&lt;50%</formula>
    </cfRule>
    <cfRule type="expression" dxfId="60" priority="2">
      <formula>$V$9&gt;50%</formula>
    </cfRule>
  </conditionalFormatting>
  <dataValidations count="5">
    <dataValidation type="list" allowBlank="1" showInputMessage="1" showErrorMessage="1" sqref="F17 K17 Q17 Q14" xr:uid="{476CADEA-8D26-4498-B7D0-7D6F07D4C614}">
      <formula1>$Y$11:$Y$12</formula1>
    </dataValidation>
    <dataValidation type="list" allowBlank="1" showInputMessage="1" showErrorMessage="1" sqref="H13" xr:uid="{1CEF630D-93E2-4528-BE57-A52D6E4A082F}">
      <formula1>$Y$13:$Y$14</formula1>
    </dataValidation>
    <dataValidation type="list" allowBlank="1" showInputMessage="1" showErrorMessage="1" sqref="I13" xr:uid="{0846D22D-91F3-4C6A-8378-6D32EEA77B10}">
      <formula1>$K$9:$K$9</formula1>
    </dataValidation>
    <dataValidation type="list" showInputMessage="1" showErrorMessage="1" sqref="D52:D60 D18:D19 D21:D22 D25:D27" xr:uid="{E1A9B20D-5AA5-49A3-B44D-92BC98C778FF}">
      <formula1>$Z$18:$Z$29</formula1>
    </dataValidation>
    <dataValidation type="list" allowBlank="1" showInputMessage="1" showErrorMessage="1" sqref="M18:M60" xr:uid="{F9811AC9-C24A-4AD0-B983-A90F192BB52C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A714C-7759-4617-A10D-B936E8B91E99}">
  <sheetPr>
    <pageSetUpPr fitToPage="1"/>
  </sheetPr>
  <dimension ref="A1:AB63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523" t="s">
        <v>2</v>
      </c>
      <c r="I1" s="524"/>
      <c r="J1" s="524"/>
      <c r="K1" s="525"/>
      <c r="L1" s="528" t="s">
        <v>3</v>
      </c>
      <c r="M1" s="529"/>
      <c r="N1" s="529"/>
      <c r="O1" s="529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77">
        <v>421315</v>
      </c>
      <c r="G2" s="549"/>
      <c r="H2" s="546" t="s">
        <v>7</v>
      </c>
      <c r="I2" s="550"/>
      <c r="J2" s="547"/>
      <c r="K2" s="148"/>
      <c r="L2" s="551" t="s">
        <v>8</v>
      </c>
      <c r="M2" s="552"/>
      <c r="N2" s="553"/>
      <c r="O2" s="149"/>
      <c r="P2" s="554">
        <f>H61</f>
        <v>3132.75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532" t="s">
        <v>13</v>
      </c>
      <c r="I3" s="536"/>
      <c r="J3" s="533"/>
      <c r="K3" s="154"/>
      <c r="L3" s="537" t="s">
        <v>14</v>
      </c>
      <c r="M3" s="538"/>
      <c r="N3" s="539"/>
      <c r="O3" s="149"/>
      <c r="P3" s="540">
        <f>L61</f>
        <v>1561.4099999999999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676" t="s">
        <v>319</v>
      </c>
      <c r="G4" s="673"/>
      <c r="H4" s="532" t="s">
        <v>19</v>
      </c>
      <c r="I4" s="536"/>
      <c r="J4" s="533"/>
      <c r="K4" s="154"/>
      <c r="L4" s="537" t="s">
        <v>20</v>
      </c>
      <c r="M4" s="538"/>
      <c r="N4" s="539"/>
      <c r="O4" s="149"/>
      <c r="P4" s="540">
        <f>P2-P3</f>
        <v>1571.3400000000001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684" t="s">
        <v>320</v>
      </c>
      <c r="G5" s="685"/>
      <c r="H5" s="532" t="s">
        <v>25</v>
      </c>
      <c r="I5" s="536"/>
      <c r="J5" s="533"/>
      <c r="K5" s="154"/>
      <c r="L5" s="558" t="s">
        <v>26</v>
      </c>
      <c r="M5" s="559"/>
      <c r="N5" s="560"/>
      <c r="O5" s="149"/>
      <c r="P5" s="561">
        <f>IFERROR((P2-P3)/P2,"")</f>
        <v>0.50158486952358161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72" t="s">
        <v>321</v>
      </c>
      <c r="G6" s="673"/>
      <c r="H6" s="532" t="s">
        <v>31</v>
      </c>
      <c r="I6" s="536"/>
      <c r="J6" s="533"/>
      <c r="K6" s="154"/>
      <c r="L6" s="574" t="s">
        <v>32</v>
      </c>
      <c r="M6" s="575"/>
      <c r="N6" s="576"/>
      <c r="O6" s="149"/>
      <c r="P6" s="577">
        <f>T61</f>
        <v>1561.4099999999999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671"/>
      <c r="G7" s="535"/>
      <c r="H7" s="532" t="s">
        <v>36</v>
      </c>
      <c r="I7" s="536"/>
      <c r="J7" s="533"/>
      <c r="K7" s="154"/>
      <c r="L7" s="564" t="s">
        <v>37</v>
      </c>
      <c r="M7" s="565"/>
      <c r="N7" s="56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532" t="s">
        <v>40</v>
      </c>
      <c r="I8" s="536"/>
      <c r="J8" s="533"/>
      <c r="K8" s="154"/>
      <c r="L8" s="564" t="s">
        <v>41</v>
      </c>
      <c r="M8" s="565"/>
      <c r="N8" s="56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377</v>
      </c>
      <c r="G9" s="535"/>
      <c r="H9" s="171"/>
      <c r="I9" s="172"/>
      <c r="J9" s="172"/>
      <c r="K9" s="173"/>
      <c r="L9" s="564" t="s">
        <v>47</v>
      </c>
      <c r="M9" s="565"/>
      <c r="N9" s="56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1561.4099999999999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542" t="s">
        <v>48</v>
      </c>
      <c r="M10" s="579"/>
      <c r="N10" s="543"/>
      <c r="O10" s="149"/>
      <c r="P10" s="580">
        <f>E61</f>
        <v>11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650" t="s">
        <v>50</v>
      </c>
      <c r="K11" s="651"/>
      <c r="L11" s="651"/>
      <c r="M11" s="651"/>
      <c r="N11" s="652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653"/>
      <c r="K12" s="654"/>
      <c r="L12" s="654"/>
      <c r="M12" s="654"/>
      <c r="N12" s="655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656"/>
      <c r="K13" s="657"/>
      <c r="L13" s="657"/>
      <c r="M13" s="657"/>
      <c r="N13" s="658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601" t="s">
        <v>59</v>
      </c>
      <c r="K14" s="602"/>
      <c r="L14" s="605" t="s">
        <v>60</v>
      </c>
      <c r="M14" s="606"/>
      <c r="N14" s="60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603"/>
      <c r="K15" s="604"/>
      <c r="L15" s="608"/>
      <c r="M15" s="609"/>
      <c r="N15" s="61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631" t="s">
        <v>69</v>
      </c>
      <c r="K16" s="201" t="s">
        <v>72</v>
      </c>
      <c r="L16" s="202" t="s">
        <v>73</v>
      </c>
      <c r="M16" s="633" t="s">
        <v>74</v>
      </c>
      <c r="N16" s="633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8"/>
      <c r="C17" s="678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632"/>
      <c r="K17" s="614" t="s">
        <v>52</v>
      </c>
      <c r="L17" s="615"/>
      <c r="M17" s="634"/>
      <c r="N17" s="634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 s="292" t="s">
        <v>322</v>
      </c>
      <c r="C18" s="377" t="s">
        <v>295</v>
      </c>
      <c r="D18" s="367"/>
      <c r="E18" s="219">
        <v>1</v>
      </c>
      <c r="F18" s="220">
        <v>510</v>
      </c>
      <c r="G18" s="221">
        <f t="shared" ref="G18:G60" si="0">ROUND(IF($F$17="USD $", F18*$E$15,F18*$D$15),2)</f>
        <v>359.15</v>
      </c>
      <c r="H18" s="222">
        <f t="shared" ref="H18:H60" si="1">ROUND(IF($H$17=$G$17,E18*G18,E18*F18),2)</f>
        <v>510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193.8</v>
      </c>
      <c r="L18" s="221">
        <f t="shared" ref="L18:L60" si="4">ROUND((J18*K18),2)</f>
        <v>193.8</v>
      </c>
      <c r="M18" s="220" t="s">
        <v>84</v>
      </c>
      <c r="N18" s="225">
        <v>0.62</v>
      </c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193.8</v>
      </c>
      <c r="T18" s="229">
        <f t="shared" ref="T18:T60" si="7">ROUND(L18-R18,2)</f>
        <v>193.8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294" t="s">
        <v>323</v>
      </c>
      <c r="C19" s="378" t="s">
        <v>324</v>
      </c>
      <c r="D19" s="368"/>
      <c r="E19" s="238">
        <v>1</v>
      </c>
      <c r="F19" s="239">
        <v>676</v>
      </c>
      <c r="G19" s="240">
        <f t="shared" si="0"/>
        <v>476.06</v>
      </c>
      <c r="H19" s="241">
        <f t="shared" si="1"/>
        <v>676</v>
      </c>
      <c r="I19" s="242"/>
      <c r="J19" s="243">
        <f t="shared" si="2"/>
        <v>1</v>
      </c>
      <c r="K19" s="240">
        <f t="shared" si="3"/>
        <v>256.88</v>
      </c>
      <c r="L19" s="240">
        <f t="shared" si="4"/>
        <v>256.88</v>
      </c>
      <c r="M19" s="244" t="s">
        <v>84</v>
      </c>
      <c r="N19" s="245">
        <v>0.62</v>
      </c>
      <c r="O19" s="226"/>
      <c r="P19" s="246"/>
      <c r="Q19" s="239"/>
      <c r="R19" s="247">
        <f t="shared" si="5"/>
        <v>0</v>
      </c>
      <c r="S19" s="248">
        <f t="shared" si="6"/>
        <v>256.88</v>
      </c>
      <c r="T19" s="248">
        <f t="shared" si="7"/>
        <v>256.88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292" t="s">
        <v>325</v>
      </c>
      <c r="C20" s="377" t="s">
        <v>83</v>
      </c>
      <c r="D20" s="369"/>
      <c r="E20" s="219">
        <v>1</v>
      </c>
      <c r="F20" s="220">
        <v>55.25</v>
      </c>
      <c r="G20" s="221">
        <f t="shared" si="0"/>
        <v>38.909999999999997</v>
      </c>
      <c r="H20" s="222">
        <f t="shared" si="1"/>
        <v>55.25</v>
      </c>
      <c r="I20" s="242"/>
      <c r="J20" s="224">
        <f t="shared" si="2"/>
        <v>1</v>
      </c>
      <c r="K20" s="221">
        <f t="shared" si="3"/>
        <v>21</v>
      </c>
      <c r="L20" s="221">
        <f t="shared" si="4"/>
        <v>21</v>
      </c>
      <c r="M20" s="220" t="s">
        <v>84</v>
      </c>
      <c r="N20" s="254">
        <v>0.62</v>
      </c>
      <c r="O20" s="226"/>
      <c r="P20" s="255"/>
      <c r="Q20" s="228"/>
      <c r="R20" s="229">
        <f t="shared" si="5"/>
        <v>0</v>
      </c>
      <c r="S20" s="229">
        <f t="shared" si="6"/>
        <v>21</v>
      </c>
      <c r="T20" s="229">
        <f t="shared" si="7"/>
        <v>21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294" t="s">
        <v>326</v>
      </c>
      <c r="C21" s="378" t="s">
        <v>327</v>
      </c>
      <c r="D21" s="368"/>
      <c r="E21" s="238">
        <v>1</v>
      </c>
      <c r="F21" s="239">
        <v>403</v>
      </c>
      <c r="G21" s="240">
        <f t="shared" si="0"/>
        <v>283.8</v>
      </c>
      <c r="H21" s="241">
        <f t="shared" si="1"/>
        <v>403</v>
      </c>
      <c r="I21" s="242"/>
      <c r="J21" s="243">
        <f t="shared" si="2"/>
        <v>1</v>
      </c>
      <c r="K21" s="240">
        <f t="shared" si="3"/>
        <v>153.13999999999999</v>
      </c>
      <c r="L21" s="240">
        <f t="shared" si="4"/>
        <v>153.13999999999999</v>
      </c>
      <c r="M21" s="244" t="s">
        <v>84</v>
      </c>
      <c r="N21" s="245">
        <v>0.62</v>
      </c>
      <c r="O21" s="226"/>
      <c r="P21" s="246"/>
      <c r="Q21" s="239"/>
      <c r="R21" s="247">
        <f t="shared" si="5"/>
        <v>0</v>
      </c>
      <c r="S21" s="248">
        <f t="shared" si="6"/>
        <v>153.13999999999999</v>
      </c>
      <c r="T21" s="248">
        <f t="shared" si="7"/>
        <v>153.13999999999999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292" t="s">
        <v>328</v>
      </c>
      <c r="C22" s="377" t="s">
        <v>327</v>
      </c>
      <c r="D22" s="369"/>
      <c r="E22" s="219">
        <v>1</v>
      </c>
      <c r="F22" s="220">
        <v>208</v>
      </c>
      <c r="G22" s="221">
        <f t="shared" si="0"/>
        <v>146.47999999999999</v>
      </c>
      <c r="H22" s="222">
        <f t="shared" si="1"/>
        <v>208</v>
      </c>
      <c r="I22" s="242"/>
      <c r="J22" s="224">
        <f t="shared" si="2"/>
        <v>1</v>
      </c>
      <c r="K22" s="221">
        <f t="shared" si="3"/>
        <v>79.040000000000006</v>
      </c>
      <c r="L22" s="221">
        <f t="shared" si="4"/>
        <v>79.040000000000006</v>
      </c>
      <c r="M22" s="220" t="s">
        <v>84</v>
      </c>
      <c r="N22" s="254">
        <v>0.62</v>
      </c>
      <c r="O22" s="226"/>
      <c r="P22" s="255"/>
      <c r="Q22" s="228"/>
      <c r="R22" s="229">
        <f t="shared" si="5"/>
        <v>0</v>
      </c>
      <c r="S22" s="229">
        <f t="shared" si="6"/>
        <v>79.040000000000006</v>
      </c>
      <c r="T22" s="229">
        <f t="shared" si="7"/>
        <v>79.040000000000006</v>
      </c>
      <c r="U22" s="230">
        <f t="shared" si="8"/>
        <v>0</v>
      </c>
      <c r="V22" s="230">
        <f t="shared" si="9"/>
        <v>1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294" t="s">
        <v>329</v>
      </c>
      <c r="C23" s="378" t="s">
        <v>330</v>
      </c>
      <c r="D23" s="368"/>
      <c r="E23" s="238">
        <v>1</v>
      </c>
      <c r="F23" s="239">
        <v>451.75</v>
      </c>
      <c r="G23" s="240">
        <f t="shared" si="0"/>
        <v>318.13</v>
      </c>
      <c r="H23" s="241">
        <f t="shared" si="1"/>
        <v>451.75</v>
      </c>
      <c r="I23" s="242"/>
      <c r="J23" s="243">
        <f t="shared" si="2"/>
        <v>1</v>
      </c>
      <c r="K23" s="240">
        <f t="shared" si="3"/>
        <v>171.67</v>
      </c>
      <c r="L23" s="240">
        <f t="shared" si="4"/>
        <v>171.67</v>
      </c>
      <c r="M23" s="244" t="s">
        <v>84</v>
      </c>
      <c r="N23" s="245">
        <v>0.62</v>
      </c>
      <c r="O23" s="226"/>
      <c r="P23" s="246"/>
      <c r="Q23" s="239"/>
      <c r="R23" s="247">
        <f t="shared" si="5"/>
        <v>0</v>
      </c>
      <c r="S23" s="248">
        <f t="shared" si="6"/>
        <v>171.67</v>
      </c>
      <c r="T23" s="248">
        <f t="shared" si="7"/>
        <v>171.67</v>
      </c>
      <c r="U23" s="249">
        <f t="shared" si="8"/>
        <v>0</v>
      </c>
      <c r="V23" s="249">
        <f t="shared" si="9"/>
        <v>1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292" t="s">
        <v>331</v>
      </c>
      <c r="C24" s="377" t="s">
        <v>278</v>
      </c>
      <c r="D24" s="369"/>
      <c r="E24" s="219">
        <v>1</v>
      </c>
      <c r="F24" s="220">
        <v>188.5</v>
      </c>
      <c r="G24" s="221">
        <f t="shared" si="0"/>
        <v>132.75</v>
      </c>
      <c r="H24" s="222">
        <f t="shared" si="1"/>
        <v>188.5</v>
      </c>
      <c r="I24" s="242"/>
      <c r="J24" s="224">
        <f t="shared" si="2"/>
        <v>1</v>
      </c>
      <c r="K24" s="221">
        <f t="shared" si="3"/>
        <v>71.63</v>
      </c>
      <c r="L24" s="221">
        <f t="shared" si="4"/>
        <v>71.63</v>
      </c>
      <c r="M24" s="220" t="s">
        <v>84</v>
      </c>
      <c r="N24" s="254">
        <v>0.62</v>
      </c>
      <c r="O24" s="226"/>
      <c r="P24" s="255"/>
      <c r="Q24" s="228"/>
      <c r="R24" s="229">
        <f t="shared" si="5"/>
        <v>0</v>
      </c>
      <c r="S24" s="229">
        <f t="shared" si="6"/>
        <v>71.63</v>
      </c>
      <c r="T24" s="229">
        <f t="shared" si="7"/>
        <v>71.63</v>
      </c>
      <c r="U24" s="230">
        <f t="shared" si="8"/>
        <v>0</v>
      </c>
      <c r="V24" s="230">
        <f t="shared" si="9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 s="294" t="s">
        <v>332</v>
      </c>
      <c r="C25" s="378" t="s">
        <v>292</v>
      </c>
      <c r="D25" s="368"/>
      <c r="E25" s="238">
        <v>1</v>
      </c>
      <c r="F25" s="239">
        <v>390</v>
      </c>
      <c r="G25" s="240">
        <f t="shared" si="0"/>
        <v>274.64999999999998</v>
      </c>
      <c r="H25" s="241">
        <f t="shared" si="1"/>
        <v>390</v>
      </c>
      <c r="I25" s="242"/>
      <c r="J25" s="243">
        <f t="shared" si="2"/>
        <v>1</v>
      </c>
      <c r="K25" s="240">
        <f t="shared" si="3"/>
        <v>390</v>
      </c>
      <c r="L25" s="240">
        <f t="shared" si="4"/>
        <v>390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390</v>
      </c>
      <c r="T25" s="248">
        <f t="shared" si="7"/>
        <v>390</v>
      </c>
      <c r="U25" s="249">
        <f t="shared" si="8"/>
        <v>0</v>
      </c>
      <c r="V25" s="249">
        <f t="shared" si="9"/>
        <v>1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 s="357" t="s">
        <v>333</v>
      </c>
      <c r="C26" s="377" t="s">
        <v>301</v>
      </c>
      <c r="D26" s="369"/>
      <c r="E26" s="219">
        <v>1</v>
      </c>
      <c r="F26" s="220">
        <v>52</v>
      </c>
      <c r="G26" s="221">
        <f t="shared" si="0"/>
        <v>36.619999999999997</v>
      </c>
      <c r="H26" s="222">
        <f t="shared" si="1"/>
        <v>52</v>
      </c>
      <c r="I26" s="242"/>
      <c r="J26" s="224">
        <f t="shared" si="2"/>
        <v>1</v>
      </c>
      <c r="K26" s="221">
        <f t="shared" si="3"/>
        <v>26</v>
      </c>
      <c r="L26" s="221">
        <f t="shared" si="4"/>
        <v>26</v>
      </c>
      <c r="M26" s="220" t="s">
        <v>84</v>
      </c>
      <c r="N26" s="254">
        <v>0.5</v>
      </c>
      <c r="O26" s="226"/>
      <c r="P26" s="255"/>
      <c r="Q26" s="228"/>
      <c r="R26" s="229">
        <f t="shared" si="5"/>
        <v>0</v>
      </c>
      <c r="S26" s="229">
        <f t="shared" si="6"/>
        <v>26</v>
      </c>
      <c r="T26" s="229">
        <f t="shared" si="7"/>
        <v>26</v>
      </c>
      <c r="U26" s="230">
        <f t="shared" si="8"/>
        <v>0</v>
      </c>
      <c r="V26" s="230">
        <f t="shared" si="9"/>
        <v>1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294" t="s">
        <v>334</v>
      </c>
      <c r="C27" s="378" t="s">
        <v>335</v>
      </c>
      <c r="D27" s="370"/>
      <c r="E27" s="371">
        <v>1</v>
      </c>
      <c r="F27" s="239">
        <v>130</v>
      </c>
      <c r="G27" s="240">
        <f t="shared" si="0"/>
        <v>91.55</v>
      </c>
      <c r="H27" s="241">
        <f t="shared" si="1"/>
        <v>130</v>
      </c>
      <c r="I27" s="242"/>
      <c r="J27" s="243">
        <f t="shared" si="2"/>
        <v>1</v>
      </c>
      <c r="K27" s="240">
        <f t="shared" si="3"/>
        <v>130</v>
      </c>
      <c r="L27" s="240">
        <f t="shared" si="4"/>
        <v>130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130</v>
      </c>
      <c r="T27" s="248">
        <f t="shared" si="7"/>
        <v>130</v>
      </c>
      <c r="U27" s="249">
        <f t="shared" si="8"/>
        <v>0</v>
      </c>
      <c r="V27" s="249">
        <f t="shared" si="9"/>
        <v>1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372" t="s">
        <v>336</v>
      </c>
      <c r="C28" s="377" t="s">
        <v>278</v>
      </c>
      <c r="D28" s="373"/>
      <c r="E28" s="361">
        <v>1</v>
      </c>
      <c r="F28" s="220">
        <v>68.25</v>
      </c>
      <c r="G28" s="221">
        <f t="shared" si="0"/>
        <v>48.06</v>
      </c>
      <c r="H28" s="222">
        <f t="shared" si="1"/>
        <v>68.25</v>
      </c>
      <c r="I28" s="242"/>
      <c r="J28" s="224">
        <f t="shared" si="2"/>
        <v>1</v>
      </c>
      <c r="K28" s="221">
        <f t="shared" si="3"/>
        <v>68.25</v>
      </c>
      <c r="L28" s="221">
        <f t="shared" si="4"/>
        <v>68.25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68.25</v>
      </c>
      <c r="T28" s="229">
        <f t="shared" si="7"/>
        <v>68.25</v>
      </c>
      <c r="U28" s="230">
        <f t="shared" si="8"/>
        <v>0</v>
      </c>
      <c r="V28" s="230">
        <f t="shared" si="9"/>
        <v>1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374"/>
      <c r="C29" s="378"/>
      <c r="D29" s="370"/>
      <c r="E29" s="364"/>
      <c r="F29" s="239"/>
      <c r="G29" s="240">
        <f t="shared" si="0"/>
        <v>0</v>
      </c>
      <c r="H29" s="241">
        <f t="shared" si="1"/>
        <v>0</v>
      </c>
      <c r="I29" s="242"/>
      <c r="J29" s="243">
        <f t="shared" si="2"/>
        <v>0</v>
      </c>
      <c r="K29" s="240">
        <f t="shared" si="3"/>
        <v>0</v>
      </c>
      <c r="L29" s="240">
        <f t="shared" si="4"/>
        <v>0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0</v>
      </c>
      <c r="T29" s="248">
        <f t="shared" si="7"/>
        <v>0</v>
      </c>
      <c r="U29" s="249">
        <f t="shared" si="8"/>
        <v>0</v>
      </c>
      <c r="V29" s="249">
        <f t="shared" si="9"/>
        <v>0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292"/>
      <c r="C30" s="377"/>
      <c r="D30" s="367"/>
      <c r="E30" s="219"/>
      <c r="F30" s="220"/>
      <c r="G30" s="221">
        <f t="shared" si="0"/>
        <v>0</v>
      </c>
      <c r="H30" s="222">
        <f t="shared" si="1"/>
        <v>0</v>
      </c>
      <c r="I30" s="242"/>
      <c r="J30" s="224">
        <f t="shared" si="2"/>
        <v>0</v>
      </c>
      <c r="K30" s="221">
        <f t="shared" si="3"/>
        <v>0</v>
      </c>
      <c r="L30" s="221">
        <f t="shared" si="4"/>
        <v>0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0</v>
      </c>
      <c r="T30" s="229">
        <f t="shared" si="7"/>
        <v>0</v>
      </c>
      <c r="U30" s="230">
        <f t="shared" si="8"/>
        <v>0</v>
      </c>
      <c r="V30" s="230">
        <f t="shared" si="9"/>
        <v>0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294"/>
      <c r="C31" s="378"/>
      <c r="D31" s="368"/>
      <c r="E31" s="238"/>
      <c r="F31" s="239"/>
      <c r="G31" s="240">
        <f t="shared" si="0"/>
        <v>0</v>
      </c>
      <c r="H31" s="241">
        <f t="shared" si="1"/>
        <v>0</v>
      </c>
      <c r="I31" s="242"/>
      <c r="J31" s="243">
        <f t="shared" si="2"/>
        <v>0</v>
      </c>
      <c r="K31" s="240">
        <f t="shared" si="3"/>
        <v>0</v>
      </c>
      <c r="L31" s="240">
        <f t="shared" si="4"/>
        <v>0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0</v>
      </c>
      <c r="T31" s="248">
        <f t="shared" si="7"/>
        <v>0</v>
      </c>
      <c r="U31" s="249">
        <f t="shared" si="8"/>
        <v>0</v>
      </c>
      <c r="V31" s="249">
        <f t="shared" si="9"/>
        <v>0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292"/>
      <c r="C32" s="377"/>
      <c r="D32" s="369"/>
      <c r="E32" s="219"/>
      <c r="F32" s="220"/>
      <c r="G32" s="221">
        <f t="shared" si="0"/>
        <v>0</v>
      </c>
      <c r="H32" s="222">
        <f t="shared" si="1"/>
        <v>0</v>
      </c>
      <c r="I32" s="242"/>
      <c r="J32" s="224">
        <f t="shared" si="2"/>
        <v>0</v>
      </c>
      <c r="K32" s="221">
        <f t="shared" si="3"/>
        <v>0</v>
      </c>
      <c r="L32" s="221">
        <f t="shared" si="4"/>
        <v>0</v>
      </c>
      <c r="M32" s="220" t="s">
        <v>84</v>
      </c>
      <c r="N32" s="254">
        <v>0.5</v>
      </c>
      <c r="O32" s="226"/>
      <c r="P32" s="255"/>
      <c r="Q32" s="228"/>
      <c r="R32" s="229">
        <f t="shared" si="5"/>
        <v>0</v>
      </c>
      <c r="S32" s="229">
        <f t="shared" si="6"/>
        <v>0</v>
      </c>
      <c r="T32" s="229">
        <f t="shared" si="7"/>
        <v>0</v>
      </c>
      <c r="U32" s="230">
        <f t="shared" si="8"/>
        <v>0</v>
      </c>
      <c r="V32" s="230">
        <f t="shared" si="9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294"/>
      <c r="C33" s="378"/>
      <c r="D33" s="368"/>
      <c r="E33" s="238"/>
      <c r="F33" s="239"/>
      <c r="G33" s="240">
        <f t="shared" si="0"/>
        <v>0</v>
      </c>
      <c r="H33" s="241">
        <f t="shared" si="1"/>
        <v>0</v>
      </c>
      <c r="I33" s="242"/>
      <c r="J33" s="243">
        <f t="shared" si="2"/>
        <v>0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292"/>
      <c r="C34" s="377"/>
      <c r="D34" s="369"/>
      <c r="E34" s="219"/>
      <c r="F34" s="220"/>
      <c r="G34" s="221">
        <f t="shared" si="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>
        <v>0.5</v>
      </c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294"/>
      <c r="C35" s="378"/>
      <c r="D35" s="368"/>
      <c r="E35" s="238"/>
      <c r="F35" s="239"/>
      <c r="G35" s="240">
        <f t="shared" si="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>
        <v>0.5</v>
      </c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292"/>
      <c r="C36" s="377"/>
      <c r="D36" s="369"/>
      <c r="E36" s="219"/>
      <c r="F36" s="220"/>
      <c r="G36" s="221">
        <f t="shared" si="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294"/>
      <c r="C37" s="378"/>
      <c r="D37" s="368"/>
      <c r="E37" s="238"/>
      <c r="F37" s="239"/>
      <c r="G37" s="240">
        <f t="shared" si="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357"/>
      <c r="C38" s="377"/>
      <c r="D38" s="369"/>
      <c r="E38" s="219"/>
      <c r="F38" s="220"/>
      <c r="G38" s="221">
        <f t="shared" si="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294"/>
      <c r="C39" s="378"/>
      <c r="D39" s="370"/>
      <c r="E39" s="371"/>
      <c r="F39" s="239"/>
      <c r="G39" s="240">
        <f t="shared" si="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372"/>
      <c r="C40" s="377"/>
      <c r="D40" s="373"/>
      <c r="E40" s="361"/>
      <c r="F40" s="220"/>
      <c r="G40" s="221">
        <f t="shared" si="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362"/>
      <c r="C41" s="376"/>
      <c r="D41" s="286"/>
      <c r="E41" s="364"/>
      <c r="F41" s="239"/>
      <c r="G41" s="240">
        <f t="shared" si="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358"/>
      <c r="C42" s="365"/>
      <c r="D42" s="287"/>
      <c r="E42" s="361"/>
      <c r="F42" s="220"/>
      <c r="G42" s="221">
        <f t="shared" si="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362"/>
      <c r="C43" s="363"/>
      <c r="D43" s="286"/>
      <c r="E43" s="364"/>
      <c r="F43" s="239"/>
      <c r="G43" s="240">
        <f t="shared" si="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358"/>
      <c r="C44" s="365"/>
      <c r="D44" s="287"/>
      <c r="E44" s="361"/>
      <c r="F44" s="220"/>
      <c r="G44" s="221">
        <f t="shared" si="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362"/>
      <c r="C45" s="363"/>
      <c r="D45" s="286"/>
      <c r="E45" s="364"/>
      <c r="F45" s="239"/>
      <c r="G45" s="240">
        <f t="shared" si="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358"/>
      <c r="C46" s="365"/>
      <c r="D46" s="287"/>
      <c r="E46" s="361"/>
      <c r="F46" s="220"/>
      <c r="G46" s="221">
        <f t="shared" si="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362"/>
      <c r="C47" s="363"/>
      <c r="D47" s="286"/>
      <c r="E47" s="364"/>
      <c r="F47" s="239"/>
      <c r="G47" s="240">
        <f t="shared" si="0"/>
        <v>0</v>
      </c>
      <c r="H47" s="241">
        <f t="shared" si="1"/>
        <v>0</v>
      </c>
      <c r="I47" s="242"/>
      <c r="J47" s="243">
        <f t="shared" si="2"/>
        <v>0</v>
      </c>
      <c r="K47" s="240">
        <f t="shared" si="3"/>
        <v>0</v>
      </c>
      <c r="L47" s="240">
        <f t="shared" si="4"/>
        <v>0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0</v>
      </c>
      <c r="T47" s="248">
        <f t="shared" si="7"/>
        <v>0</v>
      </c>
      <c r="U47" s="249">
        <f t="shared" si="8"/>
        <v>0</v>
      </c>
      <c r="V47" s="249">
        <f t="shared" si="9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358"/>
      <c r="C48" s="365"/>
      <c r="D48" s="287"/>
      <c r="E48" s="361"/>
      <c r="F48" s="220"/>
      <c r="G48" s="221">
        <f t="shared" si="0"/>
        <v>0</v>
      </c>
      <c r="H48" s="222">
        <f t="shared" si="1"/>
        <v>0</v>
      </c>
      <c r="I48" s="242"/>
      <c r="J48" s="224">
        <f t="shared" si="2"/>
        <v>0</v>
      </c>
      <c r="K48" s="221">
        <f t="shared" si="3"/>
        <v>0</v>
      </c>
      <c r="L48" s="221">
        <f t="shared" si="4"/>
        <v>0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0</v>
      </c>
      <c r="T48" s="229">
        <f t="shared" si="7"/>
        <v>0</v>
      </c>
      <c r="U48" s="230">
        <f t="shared" si="8"/>
        <v>0</v>
      </c>
      <c r="V48" s="230">
        <f t="shared" si="9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362"/>
      <c r="C49" s="363"/>
      <c r="D49" s="286"/>
      <c r="E49" s="364"/>
      <c r="F49" s="239"/>
      <c r="G49" s="240">
        <f t="shared" si="0"/>
        <v>0</v>
      </c>
      <c r="H49" s="241">
        <f t="shared" si="1"/>
        <v>0</v>
      </c>
      <c r="I49" s="242"/>
      <c r="J49" s="243">
        <f t="shared" si="2"/>
        <v>0</v>
      </c>
      <c r="K49" s="240">
        <f t="shared" si="3"/>
        <v>0</v>
      </c>
      <c r="L49" s="240">
        <f t="shared" si="4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0</v>
      </c>
      <c r="T49" s="248">
        <f t="shared" si="7"/>
        <v>0</v>
      </c>
      <c r="U49" s="249">
        <f t="shared" si="8"/>
        <v>0</v>
      </c>
      <c r="V49" s="249">
        <f t="shared" si="9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358"/>
      <c r="C50" s="365"/>
      <c r="D50" s="287"/>
      <c r="E50" s="361"/>
      <c r="F50" s="220"/>
      <c r="G50" s="221">
        <f t="shared" si="0"/>
        <v>0</v>
      </c>
      <c r="H50" s="222">
        <f t="shared" si="1"/>
        <v>0</v>
      </c>
      <c r="I50" s="242"/>
      <c r="J50" s="224">
        <f t="shared" si="2"/>
        <v>0</v>
      </c>
      <c r="K50" s="221">
        <f t="shared" si="3"/>
        <v>0</v>
      </c>
      <c r="L50" s="221">
        <f t="shared" si="4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0</v>
      </c>
      <c r="T50" s="229">
        <f t="shared" si="7"/>
        <v>0</v>
      </c>
      <c r="U50" s="230">
        <f t="shared" si="8"/>
        <v>0</v>
      </c>
      <c r="V50" s="230">
        <f t="shared" si="9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362"/>
      <c r="C51" s="363"/>
      <c r="D51" s="286"/>
      <c r="E51" s="364"/>
      <c r="F51" s="239"/>
      <c r="G51" s="240">
        <f t="shared" si="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11</v>
      </c>
      <c r="F61" s="265">
        <f>SUM(F18:F60)</f>
        <v>3132.75</v>
      </c>
      <c r="G61" s="266">
        <f>SUM(G18:G60)</f>
        <v>2206.1600000000003</v>
      </c>
      <c r="H61" s="267">
        <f>SUM(H18:H60)</f>
        <v>3132.75</v>
      </c>
      <c r="I61" s="268"/>
      <c r="J61" s="269">
        <f>SUM(J18:J60)</f>
        <v>11</v>
      </c>
      <c r="K61" s="266">
        <f>SUM(K18:K60)</f>
        <v>1561.4099999999999</v>
      </c>
      <c r="L61" s="267">
        <f>SUM(L18:L60)</f>
        <v>1561.4099999999999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1561.4099999999999</v>
      </c>
      <c r="T61" s="267">
        <f>SUM(T18:T60)</f>
        <v>1561.4099999999999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59" priority="3" stopIfTrue="1">
      <formula>$U$9&gt;100%</formula>
    </cfRule>
    <cfRule type="expression" dxfId="58" priority="4">
      <formula>$U$9&lt;50%</formula>
    </cfRule>
  </conditionalFormatting>
  <conditionalFormatting sqref="V9:V10">
    <cfRule type="expression" dxfId="57" priority="1">
      <formula>$V$9&lt;50%</formula>
    </cfRule>
    <cfRule type="expression" dxfId="56" priority="2">
      <formula>$V$9&gt;50%</formula>
    </cfRule>
  </conditionalFormatting>
  <dataValidations count="5">
    <dataValidation type="list" allowBlank="1" showInputMessage="1" showErrorMessage="1" sqref="M18:M60" xr:uid="{28B7CC1C-CEC9-44F2-BE57-CD8DE15E3581}">
      <formula1>$Y$31:$Y$32</formula1>
    </dataValidation>
    <dataValidation type="list" showInputMessage="1" showErrorMessage="1" sqref="D52:D60 D30:D38 D18:D26" xr:uid="{3A57ABB2-78D0-458A-92CE-2A64E9954AEE}">
      <formula1>$Z$18:$Z$29</formula1>
    </dataValidation>
    <dataValidation type="list" allowBlank="1" showInputMessage="1" showErrorMessage="1" sqref="I13" xr:uid="{1D16B5D3-0952-47CD-BFCC-9E0B65C5D9AA}">
      <formula1>$K$9:$K$9</formula1>
    </dataValidation>
    <dataValidation type="list" allowBlank="1" showInputMessage="1" showErrorMessage="1" sqref="H13" xr:uid="{FC5AAC2E-79BB-4767-B666-40B37889A1BE}">
      <formula1>$Y$13:$Y$14</formula1>
    </dataValidation>
    <dataValidation type="list" allowBlank="1" showInputMessage="1" showErrorMessage="1" sqref="F17 K17 Q17 Q14" xr:uid="{096A760D-FE9D-4A76-8650-FF7C09A18F0E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EFCCC-3562-4BBD-80AB-B362510BEAA7}">
  <sheetPr>
    <pageSetUpPr fitToPage="1"/>
  </sheetPr>
  <dimension ref="A1:AB63"/>
  <sheetViews>
    <sheetView zoomScale="85" zoomScaleNormal="85" workbookViewId="0">
      <selection activeCell="F5" sqref="F5:G5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523" t="s">
        <v>2</v>
      </c>
      <c r="I1" s="524"/>
      <c r="J1" s="524"/>
      <c r="K1" s="525"/>
      <c r="L1" s="528" t="s">
        <v>3</v>
      </c>
      <c r="M1" s="529"/>
      <c r="N1" s="529"/>
      <c r="O1" s="529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77">
        <v>45353</v>
      </c>
      <c r="G2" s="549"/>
      <c r="H2" s="546" t="s">
        <v>7</v>
      </c>
      <c r="I2" s="550"/>
      <c r="J2" s="547"/>
      <c r="K2" s="148"/>
      <c r="L2" s="551" t="s">
        <v>8</v>
      </c>
      <c r="M2" s="552"/>
      <c r="N2" s="553"/>
      <c r="O2" s="149"/>
      <c r="P2" s="554">
        <f>H61</f>
        <v>11625.18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532" t="s">
        <v>13</v>
      </c>
      <c r="I3" s="536"/>
      <c r="J3" s="533"/>
      <c r="K3" s="154"/>
      <c r="L3" s="537" t="s">
        <v>14</v>
      </c>
      <c r="M3" s="538"/>
      <c r="N3" s="539"/>
      <c r="O3" s="149"/>
      <c r="P3" s="540">
        <f>L61</f>
        <v>11625.18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676" t="s">
        <v>337</v>
      </c>
      <c r="G4" s="673"/>
      <c r="H4" s="532" t="s">
        <v>19</v>
      </c>
      <c r="I4" s="536"/>
      <c r="J4" s="533"/>
      <c r="K4" s="154"/>
      <c r="L4" s="537" t="s">
        <v>20</v>
      </c>
      <c r="M4" s="538"/>
      <c r="N4" s="539"/>
      <c r="O4" s="149"/>
      <c r="P4" s="540">
        <f>P2-P3</f>
        <v>0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684" t="s">
        <v>338</v>
      </c>
      <c r="G5" s="685"/>
      <c r="H5" s="532" t="s">
        <v>25</v>
      </c>
      <c r="I5" s="536"/>
      <c r="J5" s="533"/>
      <c r="K5" s="154"/>
      <c r="L5" s="558" t="s">
        <v>26</v>
      </c>
      <c r="M5" s="559"/>
      <c r="N5" s="560"/>
      <c r="O5" s="149"/>
      <c r="P5" s="561">
        <f>IFERROR((P2-P3)/P2,"")</f>
        <v>0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86" t="s">
        <v>339</v>
      </c>
      <c r="G6" s="687"/>
      <c r="H6" s="532" t="s">
        <v>31</v>
      </c>
      <c r="I6" s="536"/>
      <c r="J6" s="533"/>
      <c r="K6" s="154"/>
      <c r="L6" s="574" t="s">
        <v>32</v>
      </c>
      <c r="M6" s="575"/>
      <c r="N6" s="576"/>
      <c r="O6" s="149"/>
      <c r="P6" s="577">
        <f>T61</f>
        <v>11625.18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671"/>
      <c r="G7" s="535"/>
      <c r="H7" s="532" t="s">
        <v>36</v>
      </c>
      <c r="I7" s="536"/>
      <c r="J7" s="533"/>
      <c r="K7" s="154"/>
      <c r="L7" s="564" t="s">
        <v>37</v>
      </c>
      <c r="M7" s="565"/>
      <c r="N7" s="56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532" t="s">
        <v>40</v>
      </c>
      <c r="I8" s="536"/>
      <c r="J8" s="533"/>
      <c r="K8" s="154"/>
      <c r="L8" s="564" t="s">
        <v>41</v>
      </c>
      <c r="M8" s="565"/>
      <c r="N8" s="56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365</v>
      </c>
      <c r="G9" s="535"/>
      <c r="H9" s="171"/>
      <c r="I9" s="172"/>
      <c r="J9" s="172"/>
      <c r="K9" s="173"/>
      <c r="L9" s="564" t="s">
        <v>47</v>
      </c>
      <c r="M9" s="565"/>
      <c r="N9" s="56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11625.18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542" t="s">
        <v>48</v>
      </c>
      <c r="M10" s="579"/>
      <c r="N10" s="543"/>
      <c r="O10" s="149"/>
      <c r="P10" s="580">
        <f>E61</f>
        <v>9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650" t="s">
        <v>50</v>
      </c>
      <c r="K11" s="651"/>
      <c r="L11" s="651"/>
      <c r="M11" s="651"/>
      <c r="N11" s="652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653"/>
      <c r="K12" s="654"/>
      <c r="L12" s="654"/>
      <c r="M12" s="654"/>
      <c r="N12" s="655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656"/>
      <c r="K13" s="657"/>
      <c r="L13" s="657"/>
      <c r="M13" s="657"/>
      <c r="N13" s="658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601" t="s">
        <v>59</v>
      </c>
      <c r="K14" s="602"/>
      <c r="L14" s="605" t="s">
        <v>60</v>
      </c>
      <c r="M14" s="606"/>
      <c r="N14" s="60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603"/>
      <c r="K15" s="604"/>
      <c r="L15" s="608"/>
      <c r="M15" s="609"/>
      <c r="N15" s="61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631" t="s">
        <v>69</v>
      </c>
      <c r="K16" s="201" t="s">
        <v>72</v>
      </c>
      <c r="L16" s="202" t="s">
        <v>73</v>
      </c>
      <c r="M16" s="633" t="s">
        <v>74</v>
      </c>
      <c r="N16" s="633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8"/>
      <c r="C17" s="678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632"/>
      <c r="K17" s="614" t="s">
        <v>52</v>
      </c>
      <c r="L17" s="615"/>
      <c r="M17" s="634"/>
      <c r="N17" s="634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 s="292">
        <v>5200016387</v>
      </c>
      <c r="C18" s="293" t="s">
        <v>290</v>
      </c>
      <c r="D18" s="367"/>
      <c r="E18" s="219">
        <v>1</v>
      </c>
      <c r="F18" s="220">
        <v>119.29</v>
      </c>
      <c r="G18" s="221">
        <f t="shared" ref="G18:G26" si="0">ROUND(IF($F$17="USD $", F18*$E$15,F18*$D$15),2)</f>
        <v>84.01</v>
      </c>
      <c r="H18" s="222">
        <f t="shared" ref="H18:H60" si="1">ROUND(IF($H$17=$G$17,E18*G18,E18*F18),2)</f>
        <v>119.29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119.29</v>
      </c>
      <c r="L18" s="221">
        <f t="shared" ref="L18:L60" si="4">ROUND((J18*K18),2)</f>
        <v>119.29</v>
      </c>
      <c r="M18" s="220" t="s">
        <v>84</v>
      </c>
      <c r="N18" s="225"/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119.29</v>
      </c>
      <c r="T18" s="229">
        <f t="shared" ref="T18:T60" si="7">ROUND(L18-R18,2)</f>
        <v>119.29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294">
        <v>1000382918</v>
      </c>
      <c r="C19" s="294" t="s">
        <v>180</v>
      </c>
      <c r="D19" s="368"/>
      <c r="E19" s="238">
        <v>1</v>
      </c>
      <c r="F19" s="239">
        <v>88.22</v>
      </c>
      <c r="G19" s="240">
        <f t="shared" si="0"/>
        <v>62.13</v>
      </c>
      <c r="H19" s="241">
        <f t="shared" si="1"/>
        <v>88.22</v>
      </c>
      <c r="I19" s="242"/>
      <c r="J19" s="243">
        <f t="shared" si="2"/>
        <v>1</v>
      </c>
      <c r="K19" s="240">
        <f t="shared" si="3"/>
        <v>88.22</v>
      </c>
      <c r="L19" s="240">
        <f t="shared" si="4"/>
        <v>88.22</v>
      </c>
      <c r="M19" s="244" t="s">
        <v>84</v>
      </c>
      <c r="N19" s="245"/>
      <c r="O19" s="226"/>
      <c r="P19" s="246"/>
      <c r="Q19" s="239"/>
      <c r="R19" s="247">
        <f t="shared" si="5"/>
        <v>0</v>
      </c>
      <c r="S19" s="248">
        <f t="shared" si="6"/>
        <v>88.22</v>
      </c>
      <c r="T19" s="248">
        <f t="shared" si="7"/>
        <v>88.22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292">
        <v>1000337856</v>
      </c>
      <c r="C20" s="292" t="s">
        <v>292</v>
      </c>
      <c r="D20" s="369"/>
      <c r="E20" s="219">
        <v>1</v>
      </c>
      <c r="F20" s="220">
        <v>151.83000000000001</v>
      </c>
      <c r="G20" s="221">
        <f t="shared" si="0"/>
        <v>106.92</v>
      </c>
      <c r="H20" s="222">
        <f t="shared" si="1"/>
        <v>151.83000000000001</v>
      </c>
      <c r="I20" s="242"/>
      <c r="J20" s="224">
        <f t="shared" si="2"/>
        <v>1</v>
      </c>
      <c r="K20" s="221">
        <f t="shared" si="3"/>
        <v>151.83000000000001</v>
      </c>
      <c r="L20" s="221">
        <f t="shared" si="4"/>
        <v>151.83000000000001</v>
      </c>
      <c r="M20" s="220" t="s">
        <v>84</v>
      </c>
      <c r="N20" s="254"/>
      <c r="O20" s="226"/>
      <c r="P20" s="255"/>
      <c r="Q20" s="228"/>
      <c r="R20" s="229">
        <f t="shared" si="5"/>
        <v>0</v>
      </c>
      <c r="S20" s="229">
        <f t="shared" si="6"/>
        <v>151.83000000000001</v>
      </c>
      <c r="T20" s="229">
        <f t="shared" si="7"/>
        <v>151.83000000000001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294">
        <v>1000337856</v>
      </c>
      <c r="C21" s="294" t="s">
        <v>278</v>
      </c>
      <c r="D21" s="368"/>
      <c r="E21" s="238">
        <v>1</v>
      </c>
      <c r="F21" s="239">
        <v>151.83000000000001</v>
      </c>
      <c r="G21" s="240">
        <f t="shared" si="0"/>
        <v>106.92</v>
      </c>
      <c r="H21" s="241">
        <f t="shared" si="1"/>
        <v>151.83000000000001</v>
      </c>
      <c r="I21" s="242"/>
      <c r="J21" s="243">
        <f t="shared" si="2"/>
        <v>1</v>
      </c>
      <c r="K21" s="240">
        <f t="shared" si="3"/>
        <v>151.83000000000001</v>
      </c>
      <c r="L21" s="240">
        <f t="shared" si="4"/>
        <v>151.83000000000001</v>
      </c>
      <c r="M21" s="244" t="s">
        <v>84</v>
      </c>
      <c r="N21" s="245"/>
      <c r="O21" s="226"/>
      <c r="P21" s="246"/>
      <c r="Q21" s="239"/>
      <c r="R21" s="247">
        <f t="shared" si="5"/>
        <v>0</v>
      </c>
      <c r="S21" s="248">
        <f t="shared" si="6"/>
        <v>151.83000000000001</v>
      </c>
      <c r="T21" s="248">
        <f t="shared" si="7"/>
        <v>151.83000000000001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380">
        <v>1000407242</v>
      </c>
      <c r="C22" s="380" t="s">
        <v>294</v>
      </c>
      <c r="D22" s="369"/>
      <c r="E22" s="219">
        <v>1</v>
      </c>
      <c r="F22" s="220">
        <v>69.510000000000005</v>
      </c>
      <c r="G22" s="221">
        <f t="shared" si="0"/>
        <v>48.95</v>
      </c>
      <c r="H22" s="222">
        <f t="shared" si="1"/>
        <v>69.510000000000005</v>
      </c>
      <c r="I22" s="242"/>
      <c r="J22" s="224">
        <f t="shared" si="2"/>
        <v>1</v>
      </c>
      <c r="K22" s="221">
        <f t="shared" si="3"/>
        <v>69.510000000000005</v>
      </c>
      <c r="L22" s="221">
        <f t="shared" si="4"/>
        <v>69.510000000000005</v>
      </c>
      <c r="M22" s="220" t="s">
        <v>84</v>
      </c>
      <c r="N22" s="254"/>
      <c r="O22" s="226"/>
      <c r="P22" s="255"/>
      <c r="Q22" s="228"/>
      <c r="R22" s="229">
        <f t="shared" si="5"/>
        <v>0</v>
      </c>
      <c r="S22" s="229">
        <f t="shared" si="6"/>
        <v>69.510000000000005</v>
      </c>
      <c r="T22" s="229">
        <f t="shared" si="7"/>
        <v>69.510000000000005</v>
      </c>
      <c r="U22" s="230">
        <f t="shared" si="8"/>
        <v>0</v>
      </c>
      <c r="V22" s="230">
        <f t="shared" si="9"/>
        <v>1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294">
        <v>1000407243</v>
      </c>
      <c r="C23" s="294" t="s">
        <v>182</v>
      </c>
      <c r="D23" s="368"/>
      <c r="E23" s="238">
        <v>1</v>
      </c>
      <c r="F23" s="239">
        <v>69.89</v>
      </c>
      <c r="G23" s="240">
        <f t="shared" si="0"/>
        <v>49.22</v>
      </c>
      <c r="H23" s="241">
        <f t="shared" si="1"/>
        <v>69.89</v>
      </c>
      <c r="I23" s="242"/>
      <c r="J23" s="243">
        <f t="shared" si="2"/>
        <v>1</v>
      </c>
      <c r="K23" s="240">
        <f t="shared" si="3"/>
        <v>69.89</v>
      </c>
      <c r="L23" s="240">
        <f t="shared" si="4"/>
        <v>69.89</v>
      </c>
      <c r="M23" s="244" t="s">
        <v>84</v>
      </c>
      <c r="N23" s="245"/>
      <c r="O23" s="226"/>
      <c r="P23" s="246"/>
      <c r="Q23" s="239"/>
      <c r="R23" s="247">
        <f t="shared" si="5"/>
        <v>0</v>
      </c>
      <c r="S23" s="248">
        <f t="shared" si="6"/>
        <v>69.89</v>
      </c>
      <c r="T23" s="248">
        <f t="shared" si="7"/>
        <v>69.89</v>
      </c>
      <c r="U23" s="249">
        <f t="shared" si="8"/>
        <v>0</v>
      </c>
      <c r="V23" s="249">
        <f t="shared" si="9"/>
        <v>1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292">
        <v>5100044914</v>
      </c>
      <c r="C24" s="292" t="s">
        <v>188</v>
      </c>
      <c r="D24" s="369"/>
      <c r="E24" s="219">
        <v>1</v>
      </c>
      <c r="F24" s="220">
        <v>3770.38</v>
      </c>
      <c r="G24" s="221">
        <f t="shared" si="0"/>
        <v>2655.2</v>
      </c>
      <c r="H24" s="222">
        <f t="shared" si="1"/>
        <v>3770.38</v>
      </c>
      <c r="I24" s="242"/>
      <c r="J24" s="224">
        <f t="shared" si="2"/>
        <v>1</v>
      </c>
      <c r="K24" s="221">
        <f t="shared" si="3"/>
        <v>3770.38</v>
      </c>
      <c r="L24" s="221">
        <f t="shared" si="4"/>
        <v>3770.38</v>
      </c>
      <c r="M24" s="220" t="s">
        <v>84</v>
      </c>
      <c r="N24" s="254"/>
      <c r="O24" s="226"/>
      <c r="P24" s="255"/>
      <c r="Q24" s="228"/>
      <c r="R24" s="229">
        <f t="shared" si="5"/>
        <v>0</v>
      </c>
      <c r="S24" s="229">
        <f t="shared" si="6"/>
        <v>3770.38</v>
      </c>
      <c r="T24" s="229">
        <f t="shared" si="7"/>
        <v>3770.38</v>
      </c>
      <c r="U24" s="230">
        <f t="shared" si="8"/>
        <v>0</v>
      </c>
      <c r="V24" s="230">
        <f t="shared" si="9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 s="294">
        <v>5100044799</v>
      </c>
      <c r="C25" s="294" t="s">
        <v>189</v>
      </c>
      <c r="D25" s="368"/>
      <c r="E25" s="238">
        <v>1</v>
      </c>
      <c r="F25" s="239">
        <v>4134.43</v>
      </c>
      <c r="G25" s="240">
        <f t="shared" si="0"/>
        <v>2911.57</v>
      </c>
      <c r="H25" s="241">
        <f t="shared" si="1"/>
        <v>4134.43</v>
      </c>
      <c r="I25" s="242"/>
      <c r="J25" s="243">
        <f t="shared" si="2"/>
        <v>1</v>
      </c>
      <c r="K25" s="240">
        <f t="shared" si="3"/>
        <v>4134.43</v>
      </c>
      <c r="L25" s="240">
        <f t="shared" si="4"/>
        <v>4134.43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4134.43</v>
      </c>
      <c r="T25" s="248">
        <f t="shared" si="7"/>
        <v>4134.43</v>
      </c>
      <c r="U25" s="249">
        <f t="shared" si="8"/>
        <v>0</v>
      </c>
      <c r="V25" s="249">
        <f t="shared" si="9"/>
        <v>1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 s="292">
        <v>5200016359</v>
      </c>
      <c r="C26" s="357" t="s">
        <v>298</v>
      </c>
      <c r="D26" s="369"/>
      <c r="E26" s="219">
        <v>1</v>
      </c>
      <c r="F26" s="220">
        <v>3069.8</v>
      </c>
      <c r="G26" s="221">
        <f t="shared" si="0"/>
        <v>2161.83</v>
      </c>
      <c r="H26" s="222">
        <f t="shared" si="1"/>
        <v>3069.8</v>
      </c>
      <c r="I26" s="242"/>
      <c r="J26" s="224">
        <f t="shared" si="2"/>
        <v>1</v>
      </c>
      <c r="K26" s="221">
        <f t="shared" si="3"/>
        <v>3069.8</v>
      </c>
      <c r="L26" s="221">
        <f t="shared" si="4"/>
        <v>3069.8</v>
      </c>
      <c r="M26" s="220" t="s">
        <v>84</v>
      </c>
      <c r="N26" s="254"/>
      <c r="O26" s="226"/>
      <c r="P26" s="255"/>
      <c r="Q26" s="228"/>
      <c r="R26" s="229">
        <f t="shared" si="5"/>
        <v>0</v>
      </c>
      <c r="S26" s="229">
        <f t="shared" si="6"/>
        <v>3069.8</v>
      </c>
      <c r="T26" s="229">
        <f t="shared" si="7"/>
        <v>3069.8</v>
      </c>
      <c r="U26" s="230">
        <f t="shared" si="8"/>
        <v>0</v>
      </c>
      <c r="V26" s="230">
        <f t="shared" si="9"/>
        <v>1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294"/>
      <c r="C27" s="294"/>
      <c r="D27" s="370"/>
      <c r="E27" s="371"/>
      <c r="F27" s="239"/>
      <c r="G27" s="240"/>
      <c r="H27" s="241">
        <f t="shared" si="1"/>
        <v>0</v>
      </c>
      <c r="I27" s="242"/>
      <c r="J27" s="243">
        <f t="shared" si="2"/>
        <v>0</v>
      </c>
      <c r="K27" s="240">
        <f t="shared" si="3"/>
        <v>0</v>
      </c>
      <c r="L27" s="240">
        <f t="shared" si="4"/>
        <v>0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0</v>
      </c>
      <c r="T27" s="248">
        <f t="shared" si="7"/>
        <v>0</v>
      </c>
      <c r="U27" s="249">
        <f t="shared" si="8"/>
        <v>0</v>
      </c>
      <c r="V27" s="249">
        <f t="shared" si="9"/>
        <v>0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292"/>
      <c r="C28" s="293"/>
      <c r="D28" s="367"/>
      <c r="E28" s="219"/>
      <c r="F28" s="220"/>
      <c r="G28" s="221">
        <f t="shared" ref="G28:G60" si="10">ROUND(IF($F$17="USD $", F28*$E$15,F28*$D$15),2)</f>
        <v>0</v>
      </c>
      <c r="H28" s="222">
        <f t="shared" si="1"/>
        <v>0</v>
      </c>
      <c r="I28" s="242"/>
      <c r="J28" s="224">
        <f t="shared" si="2"/>
        <v>0</v>
      </c>
      <c r="K28" s="221">
        <f t="shared" si="3"/>
        <v>0</v>
      </c>
      <c r="L28" s="221">
        <f t="shared" si="4"/>
        <v>0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0</v>
      </c>
      <c r="T28" s="229">
        <f t="shared" si="7"/>
        <v>0</v>
      </c>
      <c r="U28" s="230">
        <f t="shared" si="8"/>
        <v>0</v>
      </c>
      <c r="V28" s="230">
        <f t="shared" si="9"/>
        <v>0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381"/>
      <c r="C29" s="381"/>
      <c r="D29" s="368"/>
      <c r="E29" s="238"/>
      <c r="F29" s="239"/>
      <c r="G29" s="240">
        <f t="shared" si="10"/>
        <v>0</v>
      </c>
      <c r="H29" s="241">
        <f t="shared" si="1"/>
        <v>0</v>
      </c>
      <c r="I29" s="242"/>
      <c r="J29" s="243">
        <f t="shared" si="2"/>
        <v>0</v>
      </c>
      <c r="K29" s="240">
        <f t="shared" si="3"/>
        <v>0</v>
      </c>
      <c r="L29" s="240">
        <f t="shared" si="4"/>
        <v>0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0</v>
      </c>
      <c r="T29" s="248">
        <f t="shared" si="7"/>
        <v>0</v>
      </c>
      <c r="U29" s="249">
        <f t="shared" si="8"/>
        <v>0</v>
      </c>
      <c r="V29" s="249">
        <f t="shared" si="9"/>
        <v>0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292"/>
      <c r="C30" s="292"/>
      <c r="D30" s="369"/>
      <c r="E30" s="219"/>
      <c r="F30" s="220"/>
      <c r="G30" s="221">
        <f t="shared" si="10"/>
        <v>0</v>
      </c>
      <c r="H30" s="222">
        <f t="shared" si="1"/>
        <v>0</v>
      </c>
      <c r="I30" s="242"/>
      <c r="J30" s="224">
        <f t="shared" si="2"/>
        <v>0</v>
      </c>
      <c r="K30" s="221">
        <f t="shared" si="3"/>
        <v>0</v>
      </c>
      <c r="L30" s="221">
        <f t="shared" si="4"/>
        <v>0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0</v>
      </c>
      <c r="T30" s="229">
        <f t="shared" si="7"/>
        <v>0</v>
      </c>
      <c r="U30" s="230">
        <f t="shared" si="8"/>
        <v>0</v>
      </c>
      <c r="V30" s="230">
        <f t="shared" si="9"/>
        <v>0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294"/>
      <c r="C31" s="294"/>
      <c r="D31" s="368"/>
      <c r="E31" s="238"/>
      <c r="F31" s="239"/>
      <c r="G31" s="240">
        <f t="shared" si="10"/>
        <v>0</v>
      </c>
      <c r="H31" s="241">
        <f t="shared" si="1"/>
        <v>0</v>
      </c>
      <c r="I31" s="242"/>
      <c r="J31" s="243">
        <f t="shared" si="2"/>
        <v>0</v>
      </c>
      <c r="K31" s="240">
        <f t="shared" si="3"/>
        <v>0</v>
      </c>
      <c r="L31" s="240">
        <f t="shared" si="4"/>
        <v>0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0</v>
      </c>
      <c r="T31" s="248">
        <f t="shared" si="7"/>
        <v>0</v>
      </c>
      <c r="U31" s="249">
        <f t="shared" si="8"/>
        <v>0</v>
      </c>
      <c r="V31" s="249">
        <f t="shared" si="9"/>
        <v>0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292"/>
      <c r="C32" s="292"/>
      <c r="D32" s="369"/>
      <c r="E32" s="219"/>
      <c r="F32" s="220"/>
      <c r="G32" s="221">
        <f t="shared" si="10"/>
        <v>0</v>
      </c>
      <c r="H32" s="222">
        <f t="shared" si="1"/>
        <v>0</v>
      </c>
      <c r="I32" s="242"/>
      <c r="J32" s="224">
        <f t="shared" si="2"/>
        <v>0</v>
      </c>
      <c r="K32" s="221">
        <f t="shared" si="3"/>
        <v>0</v>
      </c>
      <c r="L32" s="221">
        <f t="shared" si="4"/>
        <v>0</v>
      </c>
      <c r="M32" s="220" t="s">
        <v>84</v>
      </c>
      <c r="N32" s="254"/>
      <c r="O32" s="226"/>
      <c r="P32" s="255"/>
      <c r="Q32" s="228"/>
      <c r="R32" s="229">
        <f t="shared" si="5"/>
        <v>0</v>
      </c>
      <c r="S32" s="229">
        <f t="shared" si="6"/>
        <v>0</v>
      </c>
      <c r="T32" s="229">
        <f t="shared" si="7"/>
        <v>0</v>
      </c>
      <c r="U32" s="230">
        <f t="shared" si="8"/>
        <v>0</v>
      </c>
      <c r="V32" s="230">
        <f t="shared" si="9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294"/>
      <c r="C33" s="294"/>
      <c r="D33" s="368"/>
      <c r="E33" s="238"/>
      <c r="F33" s="239"/>
      <c r="G33" s="240">
        <f t="shared" si="10"/>
        <v>0</v>
      </c>
      <c r="H33" s="241">
        <f t="shared" si="1"/>
        <v>0</v>
      </c>
      <c r="I33" s="242"/>
      <c r="J33" s="243">
        <f t="shared" si="2"/>
        <v>0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/>
      <c r="C34" s="292"/>
      <c r="D34" s="369"/>
      <c r="E34" s="219"/>
      <c r="F34" s="220"/>
      <c r="G34" s="221">
        <f t="shared" si="1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/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/>
      <c r="C35" s="294"/>
      <c r="D35" s="368"/>
      <c r="E35" s="238"/>
      <c r="F35" s="239"/>
      <c r="G35" s="240">
        <f t="shared" si="1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/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/>
      <c r="C36" s="357"/>
      <c r="D36" s="369"/>
      <c r="E36" s="219"/>
      <c r="F36" s="220"/>
      <c r="G36" s="221">
        <f t="shared" si="1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362"/>
      <c r="C37" s="363"/>
      <c r="D37" s="286"/>
      <c r="E37" s="364"/>
      <c r="F37" s="239"/>
      <c r="G37" s="240">
        <f t="shared" si="1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358"/>
      <c r="C38" s="365"/>
      <c r="D38" s="287"/>
      <c r="E38" s="361"/>
      <c r="F38" s="220"/>
      <c r="G38" s="221">
        <f t="shared" si="1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362"/>
      <c r="C39" s="363"/>
      <c r="D39" s="286"/>
      <c r="E39" s="364"/>
      <c r="F39" s="239"/>
      <c r="G39" s="240">
        <f t="shared" si="1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358"/>
      <c r="C40" s="365"/>
      <c r="D40" s="287"/>
      <c r="E40" s="361"/>
      <c r="F40" s="220"/>
      <c r="G40" s="221">
        <f t="shared" si="1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362"/>
      <c r="C41" s="363"/>
      <c r="D41" s="286"/>
      <c r="E41" s="364"/>
      <c r="F41" s="239"/>
      <c r="G41" s="240">
        <f t="shared" si="1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358"/>
      <c r="C42" s="365"/>
      <c r="D42" s="287"/>
      <c r="E42" s="361"/>
      <c r="F42" s="220"/>
      <c r="G42" s="221">
        <f t="shared" si="1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362"/>
      <c r="C43" s="363"/>
      <c r="D43" s="286"/>
      <c r="E43" s="364"/>
      <c r="F43" s="239"/>
      <c r="G43" s="240">
        <f t="shared" si="1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358"/>
      <c r="C44" s="365"/>
      <c r="D44" s="287"/>
      <c r="E44" s="361"/>
      <c r="F44" s="220"/>
      <c r="G44" s="221">
        <f t="shared" si="1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362"/>
      <c r="C45" s="363"/>
      <c r="D45" s="286"/>
      <c r="E45" s="364"/>
      <c r="F45" s="239"/>
      <c r="G45" s="240">
        <f t="shared" si="1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358"/>
      <c r="C46" s="365"/>
      <c r="D46" s="287"/>
      <c r="E46" s="361"/>
      <c r="F46" s="220"/>
      <c r="G46" s="221">
        <f t="shared" si="1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362"/>
      <c r="C47" s="363"/>
      <c r="D47" s="286"/>
      <c r="E47" s="364"/>
      <c r="F47" s="239"/>
      <c r="G47" s="240">
        <f t="shared" si="10"/>
        <v>0</v>
      </c>
      <c r="H47" s="241">
        <f t="shared" si="1"/>
        <v>0</v>
      </c>
      <c r="I47" s="242"/>
      <c r="J47" s="243">
        <f t="shared" si="2"/>
        <v>0</v>
      </c>
      <c r="K47" s="240">
        <f t="shared" si="3"/>
        <v>0</v>
      </c>
      <c r="L47" s="240">
        <f t="shared" si="4"/>
        <v>0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0</v>
      </c>
      <c r="T47" s="248">
        <f t="shared" si="7"/>
        <v>0</v>
      </c>
      <c r="U47" s="249">
        <f t="shared" si="8"/>
        <v>0</v>
      </c>
      <c r="V47" s="249">
        <f t="shared" si="9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358"/>
      <c r="C48" s="365"/>
      <c r="D48" s="287"/>
      <c r="E48" s="361"/>
      <c r="F48" s="220"/>
      <c r="G48" s="221">
        <f t="shared" si="10"/>
        <v>0</v>
      </c>
      <c r="H48" s="222">
        <f t="shared" si="1"/>
        <v>0</v>
      </c>
      <c r="I48" s="242"/>
      <c r="J48" s="224">
        <f t="shared" si="2"/>
        <v>0</v>
      </c>
      <c r="K48" s="221">
        <f t="shared" si="3"/>
        <v>0</v>
      </c>
      <c r="L48" s="221">
        <f t="shared" si="4"/>
        <v>0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0</v>
      </c>
      <c r="T48" s="229">
        <f t="shared" si="7"/>
        <v>0</v>
      </c>
      <c r="U48" s="230">
        <f t="shared" si="8"/>
        <v>0</v>
      </c>
      <c r="V48" s="230">
        <f t="shared" si="9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362"/>
      <c r="C49" s="363"/>
      <c r="D49" s="286"/>
      <c r="E49" s="364"/>
      <c r="F49" s="239"/>
      <c r="G49" s="240">
        <f t="shared" si="10"/>
        <v>0</v>
      </c>
      <c r="H49" s="241">
        <f t="shared" si="1"/>
        <v>0</v>
      </c>
      <c r="I49" s="242"/>
      <c r="J49" s="243">
        <f t="shared" si="2"/>
        <v>0</v>
      </c>
      <c r="K49" s="240">
        <f t="shared" si="3"/>
        <v>0</v>
      </c>
      <c r="L49" s="240">
        <f t="shared" si="4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0</v>
      </c>
      <c r="T49" s="248">
        <f t="shared" si="7"/>
        <v>0</v>
      </c>
      <c r="U49" s="249">
        <f t="shared" si="8"/>
        <v>0</v>
      </c>
      <c r="V49" s="249">
        <f t="shared" si="9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358"/>
      <c r="C50" s="365"/>
      <c r="D50" s="287"/>
      <c r="E50" s="361"/>
      <c r="F50" s="220"/>
      <c r="G50" s="221">
        <f t="shared" si="10"/>
        <v>0</v>
      </c>
      <c r="H50" s="222">
        <f t="shared" si="1"/>
        <v>0</v>
      </c>
      <c r="I50" s="242"/>
      <c r="J50" s="224">
        <f t="shared" si="2"/>
        <v>0</v>
      </c>
      <c r="K50" s="221">
        <f t="shared" si="3"/>
        <v>0</v>
      </c>
      <c r="L50" s="221">
        <f t="shared" si="4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0</v>
      </c>
      <c r="T50" s="229">
        <f t="shared" si="7"/>
        <v>0</v>
      </c>
      <c r="U50" s="230">
        <f t="shared" si="8"/>
        <v>0</v>
      </c>
      <c r="V50" s="230">
        <f t="shared" si="9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362"/>
      <c r="C51" s="363"/>
      <c r="D51" s="286"/>
      <c r="E51" s="364"/>
      <c r="F51" s="239"/>
      <c r="G51" s="240">
        <f t="shared" si="1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1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1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1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1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1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1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1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1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1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9</v>
      </c>
      <c r="F61" s="265">
        <f>SUM(F18:F60)</f>
        <v>11625.18</v>
      </c>
      <c r="G61" s="266">
        <f>SUM(G18:G60)</f>
        <v>8186.75</v>
      </c>
      <c r="H61" s="267">
        <f>SUM(H18:H60)</f>
        <v>11625.18</v>
      </c>
      <c r="I61" s="268"/>
      <c r="J61" s="269">
        <f>SUM(J18:J60)</f>
        <v>9</v>
      </c>
      <c r="K61" s="266">
        <f>SUM(K18:K60)</f>
        <v>11625.18</v>
      </c>
      <c r="L61" s="267">
        <f>SUM(L18:L60)</f>
        <v>11625.18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11625.18</v>
      </c>
      <c r="T61" s="267">
        <f>SUM(T18:T60)</f>
        <v>11625.18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55" priority="3" stopIfTrue="1">
      <formula>$U$9&gt;100%</formula>
    </cfRule>
    <cfRule type="expression" dxfId="54" priority="4">
      <formula>$U$9&lt;50%</formula>
    </cfRule>
  </conditionalFormatting>
  <conditionalFormatting sqref="V9:V10">
    <cfRule type="expression" dxfId="53" priority="1">
      <formula>$V$9&lt;50%</formula>
    </cfRule>
    <cfRule type="expression" dxfId="52" priority="2">
      <formula>$V$9&gt;50%</formula>
    </cfRule>
  </conditionalFormatting>
  <dataValidations count="5">
    <dataValidation type="list" allowBlank="1" showInputMessage="1" showErrorMessage="1" sqref="F17 K17 Q17 Q14" xr:uid="{B0567CA6-1535-47D1-9DD1-EC690550C4F7}">
      <formula1>$Y$11:$Y$12</formula1>
    </dataValidation>
    <dataValidation type="list" allowBlank="1" showInputMessage="1" showErrorMessage="1" sqref="H13" xr:uid="{3FED6DB8-B395-44EB-95FD-79CEC54FE439}">
      <formula1>$Y$13:$Y$14</formula1>
    </dataValidation>
    <dataValidation type="list" allowBlank="1" showInputMessage="1" showErrorMessage="1" sqref="I13" xr:uid="{70416201-7DB0-4402-A9B4-38D3648EE53E}">
      <formula1>$K$9:$K$9</formula1>
    </dataValidation>
    <dataValidation type="list" showInputMessage="1" showErrorMessage="1" sqref="D52:D60 D28:D36 D18:D26" xr:uid="{95F25B35-768E-4A2D-8D54-A2524B36E270}">
      <formula1>$Z$18:$Z$29</formula1>
    </dataValidation>
    <dataValidation type="list" allowBlank="1" showInputMessage="1" showErrorMessage="1" sqref="M18:M60" xr:uid="{E5B85BEF-5B40-4A61-BB85-0F39A3E624D4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69443-8D7B-44A5-9511-49FFCFC98081}">
  <sheetPr>
    <pageSetUpPr fitToPage="1"/>
  </sheetPr>
  <dimension ref="A1:AB63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302" t="s">
        <v>2</v>
      </c>
      <c r="I1" s="303"/>
      <c r="J1" s="303"/>
      <c r="K1" s="304"/>
      <c r="L1" s="305" t="s">
        <v>3</v>
      </c>
      <c r="M1" s="306"/>
      <c r="N1" s="306"/>
      <c r="O1" s="306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77" t="s">
        <v>376</v>
      </c>
      <c r="G2" s="549"/>
      <c r="H2" s="315" t="s">
        <v>7</v>
      </c>
      <c r="I2" s="317"/>
      <c r="J2" s="316"/>
      <c r="K2" s="148"/>
      <c r="L2" s="318" t="s">
        <v>8</v>
      </c>
      <c r="M2" s="319"/>
      <c r="N2" s="320"/>
      <c r="O2" s="149"/>
      <c r="P2" s="554">
        <f>H61</f>
        <v>10639.199999999999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307" t="s">
        <v>13</v>
      </c>
      <c r="I3" s="309"/>
      <c r="J3" s="308"/>
      <c r="K3" s="154"/>
      <c r="L3" s="310" t="s">
        <v>14</v>
      </c>
      <c r="M3" s="311"/>
      <c r="N3" s="312"/>
      <c r="O3" s="149"/>
      <c r="P3" s="540">
        <f>L61</f>
        <v>10639.199999999999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681" t="s">
        <v>337</v>
      </c>
      <c r="G4" s="673"/>
      <c r="H4" s="307" t="s">
        <v>19</v>
      </c>
      <c r="I4" s="309"/>
      <c r="J4" s="308"/>
      <c r="K4" s="154"/>
      <c r="L4" s="310" t="s">
        <v>20</v>
      </c>
      <c r="M4" s="311"/>
      <c r="N4" s="312"/>
      <c r="O4" s="149"/>
      <c r="P4" s="540">
        <f>P2-P3</f>
        <v>0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688" t="s">
        <v>340</v>
      </c>
      <c r="G5" s="685"/>
      <c r="H5" s="307" t="s">
        <v>25</v>
      </c>
      <c r="I5" s="309"/>
      <c r="J5" s="308"/>
      <c r="K5" s="154"/>
      <c r="L5" s="321" t="s">
        <v>26</v>
      </c>
      <c r="M5" s="322"/>
      <c r="N5" s="323"/>
      <c r="O5" s="149"/>
      <c r="P5" s="561">
        <f>IFERROR((P2-P3)/P2,"")</f>
        <v>0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81" t="s">
        <v>341</v>
      </c>
      <c r="G6" s="673"/>
      <c r="H6" s="307" t="s">
        <v>31</v>
      </c>
      <c r="I6" s="309"/>
      <c r="J6" s="308"/>
      <c r="K6" s="154"/>
      <c r="L6" s="327" t="s">
        <v>32</v>
      </c>
      <c r="M6" s="328"/>
      <c r="N6" s="329"/>
      <c r="O6" s="149"/>
      <c r="P6" s="577">
        <f>T61</f>
        <v>10639.199999999999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671"/>
      <c r="G7" s="535"/>
      <c r="H7" s="307" t="s">
        <v>36</v>
      </c>
      <c r="I7" s="309"/>
      <c r="J7" s="308"/>
      <c r="K7" s="154"/>
      <c r="L7" s="324" t="s">
        <v>37</v>
      </c>
      <c r="M7" s="325"/>
      <c r="N7" s="32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307" t="s">
        <v>40</v>
      </c>
      <c r="I8" s="309"/>
      <c r="J8" s="308"/>
      <c r="K8" s="154"/>
      <c r="L8" s="324" t="s">
        <v>41</v>
      </c>
      <c r="M8" s="325"/>
      <c r="N8" s="32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366</v>
      </c>
      <c r="G9" s="535"/>
      <c r="H9" s="171"/>
      <c r="I9" s="172"/>
      <c r="J9" s="172"/>
      <c r="K9" s="173"/>
      <c r="L9" s="324" t="s">
        <v>47</v>
      </c>
      <c r="M9" s="325"/>
      <c r="N9" s="32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10639.199999999999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313" t="s">
        <v>48</v>
      </c>
      <c r="M10" s="330"/>
      <c r="N10" s="314"/>
      <c r="O10" s="149"/>
      <c r="P10" s="580">
        <f>E61</f>
        <v>12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347" t="s">
        <v>50</v>
      </c>
      <c r="K11" s="348"/>
      <c r="L11" s="348"/>
      <c r="M11" s="348"/>
      <c r="N11" s="349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350"/>
      <c r="K12" s="351"/>
      <c r="L12" s="351"/>
      <c r="M12" s="351"/>
      <c r="N12" s="352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353"/>
      <c r="K13" s="354"/>
      <c r="L13" s="354"/>
      <c r="M13" s="354"/>
      <c r="N13" s="355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331" t="s">
        <v>59</v>
      </c>
      <c r="K14" s="332"/>
      <c r="L14" s="335" t="s">
        <v>60</v>
      </c>
      <c r="M14" s="336"/>
      <c r="N14" s="33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333"/>
      <c r="K15" s="334"/>
      <c r="L15" s="338"/>
      <c r="M15" s="339"/>
      <c r="N15" s="34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343" t="s">
        <v>69</v>
      </c>
      <c r="K16" s="201" t="s">
        <v>72</v>
      </c>
      <c r="L16" s="202" t="s">
        <v>73</v>
      </c>
      <c r="M16" s="345" t="s">
        <v>74</v>
      </c>
      <c r="N16" s="345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8"/>
      <c r="C17" s="678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344"/>
      <c r="K17" s="341" t="s">
        <v>52</v>
      </c>
      <c r="L17" s="342"/>
      <c r="M17" s="346"/>
      <c r="N17" s="346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 s="292">
        <v>5000155678</v>
      </c>
      <c r="C18" s="366" t="s">
        <v>342</v>
      </c>
      <c r="D18" s="367"/>
      <c r="E18" s="219">
        <v>1</v>
      </c>
      <c r="F18" s="220">
        <v>88.22</v>
      </c>
      <c r="G18" s="221">
        <f t="shared" ref="G18:G26" si="0">ROUND(IF($F$17="USD $", F18*$E$15,F18*$D$15),2)</f>
        <v>62.13</v>
      </c>
      <c r="H18" s="222">
        <f t="shared" ref="H18:H60" si="1">ROUND(IF($H$17=$G$17,E18*G18,E18*F18),2)</f>
        <v>88.22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88.22</v>
      </c>
      <c r="L18" s="221">
        <f t="shared" ref="L18:L60" si="4">ROUND((J18*K18),2)</f>
        <v>88.22</v>
      </c>
      <c r="M18" s="220" t="s">
        <v>84</v>
      </c>
      <c r="N18" s="225"/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88.22</v>
      </c>
      <c r="T18" s="229">
        <f t="shared" ref="T18:T60" si="7">ROUND(L18-R18,2)</f>
        <v>88.22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294">
        <v>5200015526</v>
      </c>
      <c r="C19" s="294" t="s">
        <v>343</v>
      </c>
      <c r="D19" s="368"/>
      <c r="E19" s="238">
        <v>1</v>
      </c>
      <c r="F19" s="239">
        <v>37.520000000000003</v>
      </c>
      <c r="G19" s="240">
        <f t="shared" si="0"/>
        <v>26.42</v>
      </c>
      <c r="H19" s="241">
        <f t="shared" si="1"/>
        <v>37.520000000000003</v>
      </c>
      <c r="I19" s="242"/>
      <c r="J19" s="243">
        <f t="shared" si="2"/>
        <v>1</v>
      </c>
      <c r="K19" s="240">
        <f t="shared" si="3"/>
        <v>37.520000000000003</v>
      </c>
      <c r="L19" s="240">
        <f t="shared" si="4"/>
        <v>37.520000000000003</v>
      </c>
      <c r="M19" s="244" t="s">
        <v>84</v>
      </c>
      <c r="N19" s="245"/>
      <c r="O19" s="226"/>
      <c r="P19" s="246"/>
      <c r="Q19" s="239"/>
      <c r="R19" s="247">
        <f t="shared" si="5"/>
        <v>0</v>
      </c>
      <c r="S19" s="248">
        <f t="shared" si="6"/>
        <v>37.520000000000003</v>
      </c>
      <c r="T19" s="248">
        <f t="shared" si="7"/>
        <v>37.520000000000003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292">
        <v>5200009520</v>
      </c>
      <c r="C20" s="292" t="s">
        <v>344</v>
      </c>
      <c r="D20" s="369"/>
      <c r="E20" s="219">
        <v>1</v>
      </c>
      <c r="F20" s="220">
        <v>208.39</v>
      </c>
      <c r="G20" s="221">
        <f t="shared" si="0"/>
        <v>146.75</v>
      </c>
      <c r="H20" s="222">
        <f t="shared" si="1"/>
        <v>208.39</v>
      </c>
      <c r="I20" s="242"/>
      <c r="J20" s="224">
        <f t="shared" si="2"/>
        <v>1</v>
      </c>
      <c r="K20" s="221">
        <f t="shared" si="3"/>
        <v>208.39</v>
      </c>
      <c r="L20" s="221">
        <f t="shared" si="4"/>
        <v>208.39</v>
      </c>
      <c r="M20" s="220" t="s">
        <v>84</v>
      </c>
      <c r="N20" s="254"/>
      <c r="O20" s="226"/>
      <c r="P20" s="255"/>
      <c r="Q20" s="228"/>
      <c r="R20" s="229">
        <f t="shared" si="5"/>
        <v>0</v>
      </c>
      <c r="S20" s="229">
        <f t="shared" si="6"/>
        <v>208.39</v>
      </c>
      <c r="T20" s="229">
        <f t="shared" si="7"/>
        <v>208.39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294">
        <v>5000082116</v>
      </c>
      <c r="C21" s="294" t="s">
        <v>345</v>
      </c>
      <c r="D21" s="368"/>
      <c r="E21" s="238">
        <v>1</v>
      </c>
      <c r="F21" s="239">
        <v>35.44</v>
      </c>
      <c r="G21" s="240">
        <f t="shared" si="0"/>
        <v>24.96</v>
      </c>
      <c r="H21" s="241">
        <f t="shared" si="1"/>
        <v>35.44</v>
      </c>
      <c r="I21" s="242"/>
      <c r="J21" s="243">
        <f t="shared" si="2"/>
        <v>1</v>
      </c>
      <c r="K21" s="240">
        <f t="shared" si="3"/>
        <v>35.44</v>
      </c>
      <c r="L21" s="240">
        <f t="shared" si="4"/>
        <v>35.44</v>
      </c>
      <c r="M21" s="244" t="s">
        <v>84</v>
      </c>
      <c r="N21" s="245"/>
      <c r="O21" s="226"/>
      <c r="P21" s="246"/>
      <c r="Q21" s="239"/>
      <c r="R21" s="247">
        <f t="shared" si="5"/>
        <v>0</v>
      </c>
      <c r="S21" s="248">
        <f t="shared" si="6"/>
        <v>35.44</v>
      </c>
      <c r="T21" s="248">
        <f t="shared" si="7"/>
        <v>35.44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292"/>
      <c r="C22" s="292"/>
      <c r="D22" s="369"/>
      <c r="E22" s="219"/>
      <c r="F22" s="220"/>
      <c r="G22" s="221">
        <f t="shared" si="0"/>
        <v>0</v>
      </c>
      <c r="H22" s="222">
        <f t="shared" si="1"/>
        <v>0</v>
      </c>
      <c r="I22" s="242"/>
      <c r="J22" s="224">
        <f t="shared" si="2"/>
        <v>0</v>
      </c>
      <c r="K22" s="221">
        <f t="shared" si="3"/>
        <v>0</v>
      </c>
      <c r="L22" s="221">
        <f t="shared" si="4"/>
        <v>0</v>
      </c>
      <c r="M22" s="220" t="s">
        <v>84</v>
      </c>
      <c r="N22" s="254"/>
      <c r="O22" s="226"/>
      <c r="P22" s="255"/>
      <c r="Q22" s="228"/>
      <c r="R22" s="229">
        <f t="shared" si="5"/>
        <v>0</v>
      </c>
      <c r="S22" s="229">
        <f t="shared" si="6"/>
        <v>0</v>
      </c>
      <c r="T22" s="229">
        <f t="shared" si="7"/>
        <v>0</v>
      </c>
      <c r="U22" s="230">
        <f t="shared" si="8"/>
        <v>0</v>
      </c>
      <c r="V22" s="230">
        <f t="shared" si="9"/>
        <v>0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294"/>
      <c r="C23" s="294"/>
      <c r="D23" s="368"/>
      <c r="E23" s="238"/>
      <c r="F23" s="239"/>
      <c r="G23" s="240">
        <f t="shared" si="0"/>
        <v>0</v>
      </c>
      <c r="H23" s="241">
        <f t="shared" si="1"/>
        <v>0</v>
      </c>
      <c r="I23" s="242"/>
      <c r="J23" s="243">
        <f t="shared" si="2"/>
        <v>0</v>
      </c>
      <c r="K23" s="240">
        <f t="shared" si="3"/>
        <v>0</v>
      </c>
      <c r="L23" s="240">
        <f t="shared" si="4"/>
        <v>0</v>
      </c>
      <c r="M23" s="244" t="s">
        <v>84</v>
      </c>
      <c r="N23" s="245"/>
      <c r="O23" s="226"/>
      <c r="P23" s="246"/>
      <c r="Q23" s="239"/>
      <c r="R23" s="247">
        <f t="shared" si="5"/>
        <v>0</v>
      </c>
      <c r="S23" s="248">
        <f t="shared" si="6"/>
        <v>0</v>
      </c>
      <c r="T23" s="248">
        <f t="shared" si="7"/>
        <v>0</v>
      </c>
      <c r="U23" s="249">
        <f t="shared" si="8"/>
        <v>0</v>
      </c>
      <c r="V23" s="249">
        <f t="shared" si="9"/>
        <v>0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292">
        <v>5200009453</v>
      </c>
      <c r="C24" s="292" t="s">
        <v>346</v>
      </c>
      <c r="D24" s="369"/>
      <c r="E24" s="219">
        <v>1</v>
      </c>
      <c r="F24" s="220">
        <v>3367.35</v>
      </c>
      <c r="G24" s="221">
        <f t="shared" si="0"/>
        <v>2371.37</v>
      </c>
      <c r="H24" s="222">
        <f t="shared" si="1"/>
        <v>3367.35</v>
      </c>
      <c r="I24" s="242"/>
      <c r="J24" s="224">
        <f t="shared" si="2"/>
        <v>1</v>
      </c>
      <c r="K24" s="221">
        <f t="shared" si="3"/>
        <v>3367.35</v>
      </c>
      <c r="L24" s="221">
        <f t="shared" si="4"/>
        <v>3367.35</v>
      </c>
      <c r="M24" s="220" t="s">
        <v>84</v>
      </c>
      <c r="N24" s="254"/>
      <c r="O24" s="226"/>
      <c r="P24" s="255"/>
      <c r="Q24" s="228"/>
      <c r="R24" s="229">
        <f t="shared" si="5"/>
        <v>0</v>
      </c>
      <c r="S24" s="229">
        <f t="shared" si="6"/>
        <v>3367.35</v>
      </c>
      <c r="T24" s="229">
        <f t="shared" si="7"/>
        <v>3367.35</v>
      </c>
      <c r="U24" s="230">
        <f t="shared" si="8"/>
        <v>0</v>
      </c>
      <c r="V24" s="230">
        <f t="shared" si="9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>
        <v>5000153758</v>
      </c>
      <c r="C25" s="294" t="s">
        <v>347</v>
      </c>
      <c r="D25" s="368"/>
      <c r="E25" s="238">
        <v>1</v>
      </c>
      <c r="F25" s="239">
        <v>287.2</v>
      </c>
      <c r="G25" s="240">
        <f t="shared" si="0"/>
        <v>202.25</v>
      </c>
      <c r="H25" s="241">
        <f t="shared" si="1"/>
        <v>287.2</v>
      </c>
      <c r="I25" s="242"/>
      <c r="J25" s="243">
        <f t="shared" si="2"/>
        <v>1</v>
      </c>
      <c r="K25" s="240">
        <f t="shared" si="3"/>
        <v>287.2</v>
      </c>
      <c r="L25" s="240">
        <f t="shared" si="4"/>
        <v>287.2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287.2</v>
      </c>
      <c r="T25" s="248">
        <f t="shared" si="7"/>
        <v>287.2</v>
      </c>
      <c r="U25" s="249">
        <f t="shared" si="8"/>
        <v>0</v>
      </c>
      <c r="V25" s="249">
        <f t="shared" si="9"/>
        <v>1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>
        <v>5000160388</v>
      </c>
      <c r="C26" s="357" t="s">
        <v>348</v>
      </c>
      <c r="D26" s="369"/>
      <c r="E26" s="219">
        <v>1</v>
      </c>
      <c r="F26" s="220">
        <v>2605.06</v>
      </c>
      <c r="G26" s="221">
        <f t="shared" si="0"/>
        <v>1834.55</v>
      </c>
      <c r="H26" s="222">
        <f t="shared" si="1"/>
        <v>2605.06</v>
      </c>
      <c r="I26" s="242"/>
      <c r="J26" s="224">
        <f t="shared" si="2"/>
        <v>1</v>
      </c>
      <c r="K26" s="221">
        <f t="shared" si="3"/>
        <v>2605.06</v>
      </c>
      <c r="L26" s="221">
        <f t="shared" si="4"/>
        <v>2605.06</v>
      </c>
      <c r="M26" s="220" t="s">
        <v>84</v>
      </c>
      <c r="N26" s="254"/>
      <c r="O26" s="226"/>
      <c r="P26" s="255"/>
      <c r="Q26" s="228"/>
      <c r="R26" s="229">
        <f t="shared" si="5"/>
        <v>0</v>
      </c>
      <c r="S26" s="229">
        <f t="shared" si="6"/>
        <v>2605.06</v>
      </c>
      <c r="T26" s="229">
        <f t="shared" si="7"/>
        <v>2605.06</v>
      </c>
      <c r="U26" s="230">
        <f t="shared" si="8"/>
        <v>0</v>
      </c>
      <c r="V26" s="230">
        <f t="shared" si="9"/>
        <v>1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294">
        <v>5100061991</v>
      </c>
      <c r="C27" s="294" t="s">
        <v>349</v>
      </c>
      <c r="D27" s="370"/>
      <c r="E27" s="382">
        <v>3</v>
      </c>
      <c r="F27" s="239">
        <v>1265.32</v>
      </c>
      <c r="G27" s="240"/>
      <c r="H27" s="241">
        <f t="shared" si="1"/>
        <v>3795.96</v>
      </c>
      <c r="I27" s="242"/>
      <c r="J27" s="243">
        <f t="shared" si="2"/>
        <v>3</v>
      </c>
      <c r="K27" s="240">
        <f t="shared" si="3"/>
        <v>1265.32</v>
      </c>
      <c r="L27" s="240">
        <f t="shared" si="4"/>
        <v>3795.96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1265.32</v>
      </c>
      <c r="T27" s="248">
        <f t="shared" si="7"/>
        <v>3795.96</v>
      </c>
      <c r="U27" s="249">
        <f t="shared" si="8"/>
        <v>0</v>
      </c>
      <c r="V27" s="249">
        <f t="shared" si="9"/>
        <v>1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379">
        <v>5100066530</v>
      </c>
      <c r="C28" s="379" t="s">
        <v>350</v>
      </c>
      <c r="D28" s="367"/>
      <c r="E28" s="219">
        <v>2</v>
      </c>
      <c r="F28" s="220">
        <v>107.03</v>
      </c>
      <c r="G28" s="221">
        <f t="shared" ref="G28:G60" si="10">ROUND(IF($F$17="USD $", F28*$E$15,F28*$D$15),2)</f>
        <v>75.37</v>
      </c>
      <c r="H28" s="222">
        <f t="shared" si="1"/>
        <v>214.06</v>
      </c>
      <c r="I28" s="242"/>
      <c r="J28" s="224">
        <f t="shared" si="2"/>
        <v>2</v>
      </c>
      <c r="K28" s="221">
        <f t="shared" si="3"/>
        <v>107.03</v>
      </c>
      <c r="L28" s="221">
        <f t="shared" si="4"/>
        <v>214.06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107.03</v>
      </c>
      <c r="T28" s="229">
        <f t="shared" si="7"/>
        <v>214.06</v>
      </c>
      <c r="U28" s="230">
        <f t="shared" si="8"/>
        <v>0</v>
      </c>
      <c r="V28" s="230">
        <f t="shared" si="9"/>
        <v>1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374"/>
      <c r="C29" s="374"/>
      <c r="D29" s="368"/>
      <c r="E29" s="238"/>
      <c r="F29" s="239"/>
      <c r="G29" s="240">
        <f t="shared" si="10"/>
        <v>0</v>
      </c>
      <c r="H29" s="241">
        <f t="shared" si="1"/>
        <v>0</v>
      </c>
      <c r="I29" s="242"/>
      <c r="J29" s="243">
        <f t="shared" si="2"/>
        <v>0</v>
      </c>
      <c r="K29" s="240">
        <f t="shared" si="3"/>
        <v>0</v>
      </c>
      <c r="L29" s="240">
        <f t="shared" si="4"/>
        <v>0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0</v>
      </c>
      <c r="T29" s="248">
        <f t="shared" si="7"/>
        <v>0</v>
      </c>
      <c r="U29" s="249">
        <f t="shared" si="8"/>
        <v>0</v>
      </c>
      <c r="V29" s="249">
        <f t="shared" si="9"/>
        <v>0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358"/>
      <c r="C30" s="359"/>
      <c r="D30" s="369"/>
      <c r="E30" s="219"/>
      <c r="F30" s="220"/>
      <c r="G30" s="221">
        <f t="shared" si="10"/>
        <v>0</v>
      </c>
      <c r="H30" s="222">
        <f t="shared" si="1"/>
        <v>0</v>
      </c>
      <c r="I30" s="242"/>
      <c r="J30" s="224">
        <f t="shared" si="2"/>
        <v>0</v>
      </c>
      <c r="K30" s="221">
        <f t="shared" si="3"/>
        <v>0</v>
      </c>
      <c r="L30" s="221">
        <f t="shared" si="4"/>
        <v>0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0</v>
      </c>
      <c r="T30" s="229">
        <f t="shared" si="7"/>
        <v>0</v>
      </c>
      <c r="U30" s="230">
        <f t="shared" si="8"/>
        <v>0</v>
      </c>
      <c r="V30" s="230">
        <f t="shared" si="9"/>
        <v>0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362"/>
      <c r="C31" s="363"/>
      <c r="D31" s="368"/>
      <c r="E31" s="238"/>
      <c r="F31" s="239"/>
      <c r="G31" s="240">
        <f t="shared" si="10"/>
        <v>0</v>
      </c>
      <c r="H31" s="241">
        <f t="shared" si="1"/>
        <v>0</v>
      </c>
      <c r="I31" s="242"/>
      <c r="J31" s="243">
        <f t="shared" si="2"/>
        <v>0</v>
      </c>
      <c r="K31" s="240">
        <f t="shared" si="3"/>
        <v>0</v>
      </c>
      <c r="L31" s="240">
        <f t="shared" si="4"/>
        <v>0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0</v>
      </c>
      <c r="T31" s="248">
        <f t="shared" si="7"/>
        <v>0</v>
      </c>
      <c r="U31" s="249">
        <f t="shared" si="8"/>
        <v>0</v>
      </c>
      <c r="V31" s="249">
        <f t="shared" si="9"/>
        <v>0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358"/>
      <c r="C32" s="365"/>
      <c r="D32" s="369"/>
      <c r="E32" s="219"/>
      <c r="F32" s="220"/>
      <c r="G32" s="221">
        <f t="shared" si="10"/>
        <v>0</v>
      </c>
      <c r="H32" s="222">
        <f t="shared" si="1"/>
        <v>0</v>
      </c>
      <c r="I32" s="242"/>
      <c r="J32" s="224">
        <f t="shared" si="2"/>
        <v>0</v>
      </c>
      <c r="K32" s="221">
        <f t="shared" si="3"/>
        <v>0</v>
      </c>
      <c r="L32" s="221">
        <f t="shared" si="4"/>
        <v>0</v>
      </c>
      <c r="M32" s="220" t="s">
        <v>84</v>
      </c>
      <c r="N32" s="254"/>
      <c r="O32" s="226"/>
      <c r="P32" s="255"/>
      <c r="Q32" s="228"/>
      <c r="R32" s="229">
        <f t="shared" si="5"/>
        <v>0</v>
      </c>
      <c r="S32" s="229">
        <f t="shared" si="6"/>
        <v>0</v>
      </c>
      <c r="T32" s="229">
        <f t="shared" si="7"/>
        <v>0</v>
      </c>
      <c r="U32" s="230">
        <f t="shared" si="8"/>
        <v>0</v>
      </c>
      <c r="V32" s="230">
        <f t="shared" si="9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362"/>
      <c r="C33" s="363"/>
      <c r="D33" s="368"/>
      <c r="E33" s="238"/>
      <c r="F33" s="239"/>
      <c r="G33" s="240">
        <f t="shared" si="10"/>
        <v>0</v>
      </c>
      <c r="H33" s="241">
        <f t="shared" si="1"/>
        <v>0</v>
      </c>
      <c r="I33" s="242"/>
      <c r="J33" s="243">
        <f t="shared" si="2"/>
        <v>0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358"/>
      <c r="C34" s="365"/>
      <c r="D34" s="369"/>
      <c r="E34" s="219"/>
      <c r="F34" s="220"/>
      <c r="G34" s="221">
        <f t="shared" si="1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/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362"/>
      <c r="C35" s="363"/>
      <c r="D35" s="368"/>
      <c r="E35" s="238"/>
      <c r="F35" s="239"/>
      <c r="G35" s="240">
        <f t="shared" si="1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/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358"/>
      <c r="C36" s="365"/>
      <c r="D36" s="369"/>
      <c r="E36" s="219"/>
      <c r="F36" s="220"/>
      <c r="G36" s="221">
        <f t="shared" si="1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362"/>
      <c r="C37" s="363"/>
      <c r="D37" s="286"/>
      <c r="E37" s="364"/>
      <c r="F37" s="239"/>
      <c r="G37" s="240">
        <f t="shared" si="1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358"/>
      <c r="C38" s="365"/>
      <c r="D38" s="287"/>
      <c r="E38" s="361"/>
      <c r="F38" s="220"/>
      <c r="G38" s="221">
        <f t="shared" si="1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362"/>
      <c r="C39" s="363"/>
      <c r="D39" s="286"/>
      <c r="E39" s="364"/>
      <c r="F39" s="239"/>
      <c r="G39" s="240">
        <f t="shared" si="1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358"/>
      <c r="C40" s="365"/>
      <c r="D40" s="287"/>
      <c r="E40" s="361"/>
      <c r="F40" s="220"/>
      <c r="G40" s="221">
        <f t="shared" si="1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362"/>
      <c r="C41" s="363"/>
      <c r="D41" s="286"/>
      <c r="E41" s="364"/>
      <c r="F41" s="239"/>
      <c r="G41" s="240">
        <f t="shared" si="1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358"/>
      <c r="C42" s="365"/>
      <c r="D42" s="287"/>
      <c r="E42" s="361"/>
      <c r="F42" s="220"/>
      <c r="G42" s="221">
        <f t="shared" si="1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362"/>
      <c r="C43" s="363"/>
      <c r="D43" s="286"/>
      <c r="E43" s="364"/>
      <c r="F43" s="239"/>
      <c r="G43" s="240">
        <f t="shared" si="1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358"/>
      <c r="C44" s="365"/>
      <c r="D44" s="287"/>
      <c r="E44" s="361"/>
      <c r="F44" s="220"/>
      <c r="G44" s="221">
        <f t="shared" si="1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362"/>
      <c r="C45" s="363"/>
      <c r="D45" s="286"/>
      <c r="E45" s="364"/>
      <c r="F45" s="239"/>
      <c r="G45" s="240">
        <f t="shared" si="1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358"/>
      <c r="C46" s="365"/>
      <c r="D46" s="287"/>
      <c r="E46" s="361"/>
      <c r="F46" s="220"/>
      <c r="G46" s="221">
        <f t="shared" si="1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362"/>
      <c r="C47" s="363"/>
      <c r="D47" s="286"/>
      <c r="E47" s="364"/>
      <c r="F47" s="239"/>
      <c r="G47" s="240">
        <f t="shared" si="10"/>
        <v>0</v>
      </c>
      <c r="H47" s="241">
        <f t="shared" si="1"/>
        <v>0</v>
      </c>
      <c r="I47" s="242"/>
      <c r="J47" s="243">
        <f t="shared" si="2"/>
        <v>0</v>
      </c>
      <c r="K47" s="240">
        <f t="shared" si="3"/>
        <v>0</v>
      </c>
      <c r="L47" s="240">
        <f t="shared" si="4"/>
        <v>0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0</v>
      </c>
      <c r="T47" s="248">
        <f t="shared" si="7"/>
        <v>0</v>
      </c>
      <c r="U47" s="249">
        <f t="shared" si="8"/>
        <v>0</v>
      </c>
      <c r="V47" s="249">
        <f t="shared" si="9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358"/>
      <c r="C48" s="365"/>
      <c r="D48" s="287"/>
      <c r="E48" s="361"/>
      <c r="F48" s="220"/>
      <c r="G48" s="221">
        <f t="shared" si="10"/>
        <v>0</v>
      </c>
      <c r="H48" s="222">
        <f t="shared" si="1"/>
        <v>0</v>
      </c>
      <c r="I48" s="242"/>
      <c r="J48" s="224">
        <f t="shared" si="2"/>
        <v>0</v>
      </c>
      <c r="K48" s="221">
        <f t="shared" si="3"/>
        <v>0</v>
      </c>
      <c r="L48" s="221">
        <f t="shared" si="4"/>
        <v>0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0</v>
      </c>
      <c r="T48" s="229">
        <f t="shared" si="7"/>
        <v>0</v>
      </c>
      <c r="U48" s="230">
        <f t="shared" si="8"/>
        <v>0</v>
      </c>
      <c r="V48" s="230">
        <f t="shared" si="9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362"/>
      <c r="C49" s="363"/>
      <c r="D49" s="286"/>
      <c r="E49" s="364"/>
      <c r="F49" s="239"/>
      <c r="G49" s="240">
        <f t="shared" si="10"/>
        <v>0</v>
      </c>
      <c r="H49" s="241">
        <f t="shared" si="1"/>
        <v>0</v>
      </c>
      <c r="I49" s="242"/>
      <c r="J49" s="243">
        <f t="shared" si="2"/>
        <v>0</v>
      </c>
      <c r="K49" s="240">
        <f t="shared" si="3"/>
        <v>0</v>
      </c>
      <c r="L49" s="240">
        <f t="shared" si="4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0</v>
      </c>
      <c r="T49" s="248">
        <f t="shared" si="7"/>
        <v>0</v>
      </c>
      <c r="U49" s="249">
        <f t="shared" si="8"/>
        <v>0</v>
      </c>
      <c r="V49" s="249">
        <f t="shared" si="9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358"/>
      <c r="C50" s="365"/>
      <c r="D50" s="287"/>
      <c r="E50" s="361"/>
      <c r="F50" s="220"/>
      <c r="G50" s="221">
        <f t="shared" si="10"/>
        <v>0</v>
      </c>
      <c r="H50" s="222">
        <f t="shared" si="1"/>
        <v>0</v>
      </c>
      <c r="I50" s="242"/>
      <c r="J50" s="224">
        <f t="shared" si="2"/>
        <v>0</v>
      </c>
      <c r="K50" s="221">
        <f t="shared" si="3"/>
        <v>0</v>
      </c>
      <c r="L50" s="221">
        <f t="shared" si="4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0</v>
      </c>
      <c r="T50" s="229">
        <f t="shared" si="7"/>
        <v>0</v>
      </c>
      <c r="U50" s="230">
        <f t="shared" si="8"/>
        <v>0</v>
      </c>
      <c r="V50" s="230">
        <f t="shared" si="9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362"/>
      <c r="C51" s="363"/>
      <c r="D51" s="286"/>
      <c r="E51" s="364"/>
      <c r="F51" s="239"/>
      <c r="G51" s="240">
        <f t="shared" si="1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1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1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1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1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1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1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1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1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1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12</v>
      </c>
      <c r="F61" s="265">
        <f>SUM(F18:F60)</f>
        <v>8001.53</v>
      </c>
      <c r="G61" s="266">
        <f>SUM(G18:G60)</f>
        <v>4743.8</v>
      </c>
      <c r="H61" s="267">
        <f>SUM(H18:H60)</f>
        <v>10639.199999999999</v>
      </c>
      <c r="I61" s="268"/>
      <c r="J61" s="269">
        <f>SUM(J18:J60)</f>
        <v>12</v>
      </c>
      <c r="K61" s="266">
        <f>SUM(K18:K60)</f>
        <v>8001.53</v>
      </c>
      <c r="L61" s="267">
        <f>SUM(L18:L60)</f>
        <v>10639.199999999999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8001.53</v>
      </c>
      <c r="T61" s="267">
        <f>SUM(T18:T60)</f>
        <v>10639.199999999999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61">
    <mergeCell ref="B1:C1"/>
    <mergeCell ref="D1:G1"/>
    <mergeCell ref="P1:R1"/>
    <mergeCell ref="S1:W1"/>
    <mergeCell ref="U2:V2"/>
    <mergeCell ref="D2:E2"/>
    <mergeCell ref="F2:G2"/>
    <mergeCell ref="P2:R2"/>
    <mergeCell ref="S2:T2"/>
    <mergeCell ref="D3:E3"/>
    <mergeCell ref="F3:G3"/>
    <mergeCell ref="P3:R3"/>
    <mergeCell ref="S3:T3"/>
    <mergeCell ref="U3:V3"/>
    <mergeCell ref="U4:V4"/>
    <mergeCell ref="D5:E5"/>
    <mergeCell ref="F5:G5"/>
    <mergeCell ref="P5:R5"/>
    <mergeCell ref="S5:T5"/>
    <mergeCell ref="U5:V5"/>
    <mergeCell ref="D4:E4"/>
    <mergeCell ref="F4:G4"/>
    <mergeCell ref="P4:R4"/>
    <mergeCell ref="S4:T4"/>
    <mergeCell ref="U6:V6"/>
    <mergeCell ref="D7:E7"/>
    <mergeCell ref="F7:G7"/>
    <mergeCell ref="P7:R7"/>
    <mergeCell ref="S7:T7"/>
    <mergeCell ref="U7:V7"/>
    <mergeCell ref="D6:E6"/>
    <mergeCell ref="F6:G6"/>
    <mergeCell ref="P6:R6"/>
    <mergeCell ref="S6:T6"/>
    <mergeCell ref="P10:R10"/>
    <mergeCell ref="D8:E8"/>
    <mergeCell ref="F8:G8"/>
    <mergeCell ref="P8:R8"/>
    <mergeCell ref="D9:E9"/>
    <mergeCell ref="F9:G9"/>
    <mergeCell ref="P9:R9"/>
    <mergeCell ref="S9:S10"/>
    <mergeCell ref="T9:T10"/>
    <mergeCell ref="U9:U10"/>
    <mergeCell ref="V9:V10"/>
    <mergeCell ref="W9:W10"/>
    <mergeCell ref="R17:V17"/>
    <mergeCell ref="P15:V15"/>
    <mergeCell ref="B16:B17"/>
    <mergeCell ref="C16:C17"/>
    <mergeCell ref="D16:D17"/>
    <mergeCell ref="E16:E17"/>
    <mergeCell ref="F16:G16"/>
    <mergeCell ref="P16:P17"/>
    <mergeCell ref="B11:C15"/>
    <mergeCell ref="D11:E13"/>
    <mergeCell ref="F11:H12"/>
    <mergeCell ref="P11:V13"/>
    <mergeCell ref="F13:G13"/>
    <mergeCell ref="F14:H14"/>
    <mergeCell ref="F15:H15"/>
  </mergeCells>
  <conditionalFormatting sqref="U9:U10">
    <cfRule type="expression" dxfId="51" priority="3" stopIfTrue="1">
      <formula>$U$9&gt;100%</formula>
    </cfRule>
    <cfRule type="expression" dxfId="50" priority="4">
      <formula>$U$9&lt;50%</formula>
    </cfRule>
  </conditionalFormatting>
  <conditionalFormatting sqref="V9:V10">
    <cfRule type="expression" dxfId="49" priority="1">
      <formula>$V$9&lt;50%</formula>
    </cfRule>
    <cfRule type="expression" dxfId="48" priority="2">
      <formula>$V$9&gt;50%</formula>
    </cfRule>
  </conditionalFormatting>
  <dataValidations count="5">
    <dataValidation type="list" allowBlank="1" showInputMessage="1" showErrorMessage="1" sqref="M18:M60" xr:uid="{03DBAA1F-36B4-4F0C-AD87-45FDA8216C27}">
      <formula1>$Y$31:$Y$32</formula1>
    </dataValidation>
    <dataValidation type="list" allowBlank="1" showInputMessage="1" showErrorMessage="1" sqref="I13" xr:uid="{5F56FF19-90A5-4E8F-8122-78D0A1F515BE}">
      <formula1>$K$9:$K$9</formula1>
    </dataValidation>
    <dataValidation type="list" allowBlank="1" showInputMessage="1" showErrorMessage="1" sqref="Q14 K17 Q17 F17" xr:uid="{2E2EC3A7-546B-4274-B3E5-BCC91D2E8518}">
      <formula1>$Y$11:$Y$12</formula1>
    </dataValidation>
    <dataValidation type="list" showInputMessage="1" showErrorMessage="1" sqref="D52:D60 D28:D36 D18:D26" xr:uid="{F321B4CC-228D-4529-A224-091A6EFCD90D}">
      <formula1>$Z$18:$Z$29</formula1>
    </dataValidation>
    <dataValidation type="list" allowBlank="1" showInputMessage="1" showErrorMessage="1" sqref="H13" xr:uid="{82B46100-108B-4716-ADF2-0E11CD0BFBFC}">
      <formula1>$Y$13:$Y$14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020AD-03AD-40C0-AD9B-C204FC1002B6}">
  <sheetPr>
    <pageSetUpPr fitToPage="1"/>
  </sheetPr>
  <dimension ref="A1:AB63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302" t="s">
        <v>2</v>
      </c>
      <c r="I1" s="303"/>
      <c r="J1" s="303"/>
      <c r="K1" s="304"/>
      <c r="L1" s="305" t="s">
        <v>3</v>
      </c>
      <c r="M1" s="306"/>
      <c r="N1" s="306"/>
      <c r="O1" s="306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77" t="s">
        <v>375</v>
      </c>
      <c r="G2" s="549"/>
      <c r="H2" s="315" t="s">
        <v>7</v>
      </c>
      <c r="I2" s="317"/>
      <c r="J2" s="316"/>
      <c r="K2" s="148"/>
      <c r="L2" s="318" t="s">
        <v>8</v>
      </c>
      <c r="M2" s="319"/>
      <c r="N2" s="320"/>
      <c r="O2" s="149"/>
      <c r="P2" s="554">
        <f>H61</f>
        <v>10639.199999999999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307" t="s">
        <v>13</v>
      </c>
      <c r="I3" s="309"/>
      <c r="J3" s="308"/>
      <c r="K3" s="154"/>
      <c r="L3" s="310" t="s">
        <v>14</v>
      </c>
      <c r="M3" s="311"/>
      <c r="N3" s="312"/>
      <c r="O3" s="149"/>
      <c r="P3" s="540">
        <f>L61</f>
        <v>10639.199999999999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681" t="s">
        <v>337</v>
      </c>
      <c r="G4" s="673"/>
      <c r="H4" s="307" t="s">
        <v>19</v>
      </c>
      <c r="I4" s="309"/>
      <c r="J4" s="308"/>
      <c r="K4" s="154"/>
      <c r="L4" s="310" t="s">
        <v>20</v>
      </c>
      <c r="M4" s="311"/>
      <c r="N4" s="312"/>
      <c r="O4" s="149"/>
      <c r="P4" s="540">
        <f>P2-P3</f>
        <v>0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688" t="s">
        <v>340</v>
      </c>
      <c r="G5" s="685"/>
      <c r="H5" s="307" t="s">
        <v>25</v>
      </c>
      <c r="I5" s="309"/>
      <c r="J5" s="308"/>
      <c r="K5" s="154"/>
      <c r="L5" s="321" t="s">
        <v>26</v>
      </c>
      <c r="M5" s="322"/>
      <c r="N5" s="323"/>
      <c r="O5" s="149"/>
      <c r="P5" s="561">
        <f>IFERROR((P2-P3)/P2,"")</f>
        <v>0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81" t="s">
        <v>351</v>
      </c>
      <c r="G6" s="673"/>
      <c r="H6" s="307" t="s">
        <v>31</v>
      </c>
      <c r="I6" s="309"/>
      <c r="J6" s="308"/>
      <c r="K6" s="154"/>
      <c r="L6" s="327" t="s">
        <v>32</v>
      </c>
      <c r="M6" s="328"/>
      <c r="N6" s="329"/>
      <c r="O6" s="149"/>
      <c r="P6" s="577">
        <f>T61</f>
        <v>10639.199999999999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671"/>
      <c r="G7" s="535"/>
      <c r="H7" s="307" t="s">
        <v>36</v>
      </c>
      <c r="I7" s="309"/>
      <c r="J7" s="308"/>
      <c r="K7" s="154"/>
      <c r="L7" s="324" t="s">
        <v>37</v>
      </c>
      <c r="M7" s="325"/>
      <c r="N7" s="32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307" t="s">
        <v>40</v>
      </c>
      <c r="I8" s="309"/>
      <c r="J8" s="308"/>
      <c r="K8" s="154"/>
      <c r="L8" s="324" t="s">
        <v>41</v>
      </c>
      <c r="M8" s="325"/>
      <c r="N8" s="32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366</v>
      </c>
      <c r="G9" s="535"/>
      <c r="H9" s="171"/>
      <c r="I9" s="172"/>
      <c r="J9" s="172"/>
      <c r="K9" s="173"/>
      <c r="L9" s="324" t="s">
        <v>47</v>
      </c>
      <c r="M9" s="325"/>
      <c r="N9" s="32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10639.199999999999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313" t="s">
        <v>48</v>
      </c>
      <c r="M10" s="330"/>
      <c r="N10" s="314"/>
      <c r="O10" s="149"/>
      <c r="P10" s="580">
        <f>E61</f>
        <v>12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347" t="s">
        <v>50</v>
      </c>
      <c r="K11" s="348"/>
      <c r="L11" s="348"/>
      <c r="M11" s="348"/>
      <c r="N11" s="349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350"/>
      <c r="K12" s="351"/>
      <c r="L12" s="351"/>
      <c r="M12" s="351"/>
      <c r="N12" s="352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353"/>
      <c r="K13" s="354"/>
      <c r="L13" s="354"/>
      <c r="M13" s="354"/>
      <c r="N13" s="355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331" t="s">
        <v>59</v>
      </c>
      <c r="K14" s="332"/>
      <c r="L14" s="335" t="s">
        <v>60</v>
      </c>
      <c r="M14" s="336"/>
      <c r="N14" s="33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333"/>
      <c r="K15" s="334"/>
      <c r="L15" s="338"/>
      <c r="M15" s="339"/>
      <c r="N15" s="34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343" t="s">
        <v>69</v>
      </c>
      <c r="K16" s="201" t="s">
        <v>72</v>
      </c>
      <c r="L16" s="202" t="s">
        <v>73</v>
      </c>
      <c r="M16" s="345" t="s">
        <v>74</v>
      </c>
      <c r="N16" s="345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8"/>
      <c r="C17" s="678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344"/>
      <c r="K17" s="341" t="s">
        <v>52</v>
      </c>
      <c r="L17" s="342"/>
      <c r="M17" s="346"/>
      <c r="N17" s="346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 s="292">
        <v>5000155678</v>
      </c>
      <c r="C18" s="366" t="s">
        <v>342</v>
      </c>
      <c r="D18" s="367"/>
      <c r="E18" s="219">
        <v>1</v>
      </c>
      <c r="F18" s="220">
        <v>88.22</v>
      </c>
      <c r="G18" s="221">
        <f t="shared" ref="G18:G26" si="0">ROUND(IF($F$17="USD $", F18*$E$15,F18*$D$15),2)</f>
        <v>62.13</v>
      </c>
      <c r="H18" s="222">
        <f t="shared" ref="H18:H60" si="1">ROUND(IF($H$17=$G$17,E18*G18,E18*F18),2)</f>
        <v>88.22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88.22</v>
      </c>
      <c r="L18" s="221">
        <f t="shared" ref="L18:L60" si="4">ROUND((J18*K18),2)</f>
        <v>88.22</v>
      </c>
      <c r="M18" s="220" t="s">
        <v>84</v>
      </c>
      <c r="N18" s="225"/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88.22</v>
      </c>
      <c r="T18" s="229">
        <f t="shared" ref="T18:T60" si="7">ROUND(L18-R18,2)</f>
        <v>88.22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294">
        <v>5200015526</v>
      </c>
      <c r="C19" s="294" t="s">
        <v>343</v>
      </c>
      <c r="D19" s="368"/>
      <c r="E19" s="238">
        <v>1</v>
      </c>
      <c r="F19" s="239">
        <v>37.520000000000003</v>
      </c>
      <c r="G19" s="240">
        <f t="shared" si="0"/>
        <v>26.42</v>
      </c>
      <c r="H19" s="241">
        <f t="shared" si="1"/>
        <v>37.520000000000003</v>
      </c>
      <c r="I19" s="242"/>
      <c r="J19" s="243">
        <f t="shared" si="2"/>
        <v>1</v>
      </c>
      <c r="K19" s="240">
        <f t="shared" si="3"/>
        <v>37.520000000000003</v>
      </c>
      <c r="L19" s="240">
        <f t="shared" si="4"/>
        <v>37.520000000000003</v>
      </c>
      <c r="M19" s="244" t="s">
        <v>84</v>
      </c>
      <c r="N19" s="245"/>
      <c r="O19" s="226"/>
      <c r="P19" s="246"/>
      <c r="Q19" s="239"/>
      <c r="R19" s="247">
        <f t="shared" si="5"/>
        <v>0</v>
      </c>
      <c r="S19" s="248">
        <f t="shared" si="6"/>
        <v>37.520000000000003</v>
      </c>
      <c r="T19" s="248">
        <f t="shared" si="7"/>
        <v>37.520000000000003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292">
        <v>5200009520</v>
      </c>
      <c r="C20" s="292" t="s">
        <v>344</v>
      </c>
      <c r="D20" s="369"/>
      <c r="E20" s="219">
        <v>1</v>
      </c>
      <c r="F20" s="220">
        <v>208.39</v>
      </c>
      <c r="G20" s="221">
        <f t="shared" si="0"/>
        <v>146.75</v>
      </c>
      <c r="H20" s="222">
        <f t="shared" si="1"/>
        <v>208.39</v>
      </c>
      <c r="I20" s="242"/>
      <c r="J20" s="224">
        <f t="shared" si="2"/>
        <v>1</v>
      </c>
      <c r="K20" s="221">
        <f t="shared" si="3"/>
        <v>208.39</v>
      </c>
      <c r="L20" s="221">
        <f t="shared" si="4"/>
        <v>208.39</v>
      </c>
      <c r="M20" s="220" t="s">
        <v>84</v>
      </c>
      <c r="N20" s="254"/>
      <c r="O20" s="226"/>
      <c r="P20" s="255"/>
      <c r="Q20" s="228"/>
      <c r="R20" s="229">
        <f t="shared" si="5"/>
        <v>0</v>
      </c>
      <c r="S20" s="229">
        <f t="shared" si="6"/>
        <v>208.39</v>
      </c>
      <c r="T20" s="229">
        <f t="shared" si="7"/>
        <v>208.39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294">
        <v>5000082116</v>
      </c>
      <c r="C21" s="294" t="s">
        <v>345</v>
      </c>
      <c r="D21" s="368"/>
      <c r="E21" s="238">
        <v>1</v>
      </c>
      <c r="F21" s="239">
        <v>35.44</v>
      </c>
      <c r="G21" s="240">
        <f t="shared" si="0"/>
        <v>24.96</v>
      </c>
      <c r="H21" s="241">
        <f t="shared" si="1"/>
        <v>35.44</v>
      </c>
      <c r="I21" s="242"/>
      <c r="J21" s="243">
        <f t="shared" si="2"/>
        <v>1</v>
      </c>
      <c r="K21" s="240">
        <f t="shared" si="3"/>
        <v>35.44</v>
      </c>
      <c r="L21" s="240">
        <f t="shared" si="4"/>
        <v>35.44</v>
      </c>
      <c r="M21" s="244" t="s">
        <v>84</v>
      </c>
      <c r="N21" s="245"/>
      <c r="O21" s="226"/>
      <c r="P21" s="246"/>
      <c r="Q21" s="239"/>
      <c r="R21" s="247">
        <f t="shared" si="5"/>
        <v>0</v>
      </c>
      <c r="S21" s="248">
        <f t="shared" si="6"/>
        <v>35.44</v>
      </c>
      <c r="T21" s="248">
        <f t="shared" si="7"/>
        <v>35.44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292"/>
      <c r="C22" s="292"/>
      <c r="D22" s="369"/>
      <c r="E22" s="219"/>
      <c r="F22" s="220"/>
      <c r="G22" s="221">
        <f t="shared" si="0"/>
        <v>0</v>
      </c>
      <c r="H22" s="222">
        <f t="shared" si="1"/>
        <v>0</v>
      </c>
      <c r="I22" s="242"/>
      <c r="J22" s="224">
        <f t="shared" si="2"/>
        <v>0</v>
      </c>
      <c r="K22" s="221">
        <f t="shared" si="3"/>
        <v>0</v>
      </c>
      <c r="L22" s="221">
        <f t="shared" si="4"/>
        <v>0</v>
      </c>
      <c r="M22" s="220" t="s">
        <v>84</v>
      </c>
      <c r="N22" s="254"/>
      <c r="O22" s="226"/>
      <c r="P22" s="255"/>
      <c r="Q22" s="228"/>
      <c r="R22" s="229">
        <f t="shared" si="5"/>
        <v>0</v>
      </c>
      <c r="S22" s="229">
        <f t="shared" si="6"/>
        <v>0</v>
      </c>
      <c r="T22" s="229">
        <f t="shared" si="7"/>
        <v>0</v>
      </c>
      <c r="U22" s="230">
        <f t="shared" si="8"/>
        <v>0</v>
      </c>
      <c r="V22" s="230">
        <f t="shared" si="9"/>
        <v>0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294"/>
      <c r="C23" s="294"/>
      <c r="D23" s="368"/>
      <c r="E23" s="238"/>
      <c r="F23" s="239"/>
      <c r="G23" s="240">
        <f t="shared" si="0"/>
        <v>0</v>
      </c>
      <c r="H23" s="241">
        <f t="shared" si="1"/>
        <v>0</v>
      </c>
      <c r="I23" s="242"/>
      <c r="J23" s="243">
        <f t="shared" si="2"/>
        <v>0</v>
      </c>
      <c r="K23" s="240">
        <f t="shared" si="3"/>
        <v>0</v>
      </c>
      <c r="L23" s="240">
        <f t="shared" si="4"/>
        <v>0</v>
      </c>
      <c r="M23" s="244" t="s">
        <v>84</v>
      </c>
      <c r="N23" s="245"/>
      <c r="O23" s="226"/>
      <c r="P23" s="246"/>
      <c r="Q23" s="239"/>
      <c r="R23" s="247">
        <f t="shared" si="5"/>
        <v>0</v>
      </c>
      <c r="S23" s="248">
        <f t="shared" si="6"/>
        <v>0</v>
      </c>
      <c r="T23" s="248">
        <f t="shared" si="7"/>
        <v>0</v>
      </c>
      <c r="U23" s="249">
        <f t="shared" si="8"/>
        <v>0</v>
      </c>
      <c r="V23" s="249">
        <f t="shared" si="9"/>
        <v>0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292">
        <v>5200009453</v>
      </c>
      <c r="C24" s="292" t="s">
        <v>346</v>
      </c>
      <c r="D24" s="369"/>
      <c r="E24" s="219">
        <v>1</v>
      </c>
      <c r="F24" s="220">
        <v>3367.35</v>
      </c>
      <c r="G24" s="221">
        <f t="shared" si="0"/>
        <v>2371.37</v>
      </c>
      <c r="H24" s="222">
        <f t="shared" si="1"/>
        <v>3367.35</v>
      </c>
      <c r="I24" s="242"/>
      <c r="J24" s="224">
        <f t="shared" si="2"/>
        <v>1</v>
      </c>
      <c r="K24" s="221">
        <f t="shared" si="3"/>
        <v>3367.35</v>
      </c>
      <c r="L24" s="221">
        <f t="shared" si="4"/>
        <v>3367.35</v>
      </c>
      <c r="M24" s="220" t="s">
        <v>84</v>
      </c>
      <c r="N24" s="254"/>
      <c r="O24" s="226"/>
      <c r="P24" s="255"/>
      <c r="Q24" s="228"/>
      <c r="R24" s="229">
        <f t="shared" si="5"/>
        <v>0</v>
      </c>
      <c r="S24" s="229">
        <f t="shared" si="6"/>
        <v>3367.35</v>
      </c>
      <c r="T24" s="229">
        <f t="shared" si="7"/>
        <v>3367.35</v>
      </c>
      <c r="U24" s="230">
        <f t="shared" si="8"/>
        <v>0</v>
      </c>
      <c r="V24" s="230">
        <f t="shared" si="9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>
        <v>5000153758</v>
      </c>
      <c r="C25" s="294" t="s">
        <v>347</v>
      </c>
      <c r="D25" s="368"/>
      <c r="E25" s="238">
        <v>1</v>
      </c>
      <c r="F25" s="239">
        <v>287.2</v>
      </c>
      <c r="G25" s="240">
        <f t="shared" si="0"/>
        <v>202.25</v>
      </c>
      <c r="H25" s="241">
        <f t="shared" si="1"/>
        <v>287.2</v>
      </c>
      <c r="I25" s="242"/>
      <c r="J25" s="243">
        <f t="shared" si="2"/>
        <v>1</v>
      </c>
      <c r="K25" s="240">
        <f t="shared" si="3"/>
        <v>287.2</v>
      </c>
      <c r="L25" s="240">
        <f t="shared" si="4"/>
        <v>287.2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287.2</v>
      </c>
      <c r="T25" s="248">
        <f t="shared" si="7"/>
        <v>287.2</v>
      </c>
      <c r="U25" s="249">
        <f t="shared" si="8"/>
        <v>0</v>
      </c>
      <c r="V25" s="249">
        <f t="shared" si="9"/>
        <v>1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>
        <v>5000160388</v>
      </c>
      <c r="C26" s="357" t="s">
        <v>348</v>
      </c>
      <c r="D26" s="369"/>
      <c r="E26" s="219">
        <v>1</v>
      </c>
      <c r="F26" s="220">
        <v>2605.06</v>
      </c>
      <c r="G26" s="221">
        <f t="shared" si="0"/>
        <v>1834.55</v>
      </c>
      <c r="H26" s="222">
        <f t="shared" si="1"/>
        <v>2605.06</v>
      </c>
      <c r="I26" s="242"/>
      <c r="J26" s="224">
        <f t="shared" si="2"/>
        <v>1</v>
      </c>
      <c r="K26" s="221">
        <f t="shared" si="3"/>
        <v>2605.06</v>
      </c>
      <c r="L26" s="221">
        <f t="shared" si="4"/>
        <v>2605.06</v>
      </c>
      <c r="M26" s="220" t="s">
        <v>84</v>
      </c>
      <c r="N26" s="254"/>
      <c r="O26" s="226"/>
      <c r="P26" s="255"/>
      <c r="Q26" s="228"/>
      <c r="R26" s="229">
        <f t="shared" si="5"/>
        <v>0</v>
      </c>
      <c r="S26" s="229">
        <f t="shared" si="6"/>
        <v>2605.06</v>
      </c>
      <c r="T26" s="229">
        <f t="shared" si="7"/>
        <v>2605.06</v>
      </c>
      <c r="U26" s="230">
        <f t="shared" si="8"/>
        <v>0</v>
      </c>
      <c r="V26" s="230">
        <f t="shared" si="9"/>
        <v>1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294">
        <v>5100061991</v>
      </c>
      <c r="C27" s="294" t="s">
        <v>349</v>
      </c>
      <c r="D27" s="370"/>
      <c r="E27" s="382">
        <v>3</v>
      </c>
      <c r="F27" s="239">
        <v>1265.32</v>
      </c>
      <c r="G27" s="240"/>
      <c r="H27" s="241">
        <f t="shared" si="1"/>
        <v>3795.96</v>
      </c>
      <c r="I27" s="242"/>
      <c r="J27" s="243">
        <f t="shared" si="2"/>
        <v>3</v>
      </c>
      <c r="K27" s="240">
        <f t="shared" si="3"/>
        <v>1265.32</v>
      </c>
      <c r="L27" s="240">
        <f t="shared" si="4"/>
        <v>3795.96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1265.32</v>
      </c>
      <c r="T27" s="248">
        <f t="shared" si="7"/>
        <v>3795.96</v>
      </c>
      <c r="U27" s="249">
        <f t="shared" si="8"/>
        <v>0</v>
      </c>
      <c r="V27" s="249">
        <f t="shared" si="9"/>
        <v>1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379">
        <v>5100066530</v>
      </c>
      <c r="C28" s="379" t="s">
        <v>350</v>
      </c>
      <c r="D28" s="367"/>
      <c r="E28" s="219">
        <v>2</v>
      </c>
      <c r="F28" s="220">
        <v>107.03</v>
      </c>
      <c r="G28" s="221">
        <f t="shared" ref="G28:G60" si="10">ROUND(IF($F$17="USD $", F28*$E$15,F28*$D$15),2)</f>
        <v>75.37</v>
      </c>
      <c r="H28" s="222">
        <f t="shared" si="1"/>
        <v>214.06</v>
      </c>
      <c r="I28" s="242"/>
      <c r="J28" s="224">
        <f t="shared" si="2"/>
        <v>2</v>
      </c>
      <c r="K28" s="221">
        <f t="shared" si="3"/>
        <v>107.03</v>
      </c>
      <c r="L28" s="221">
        <f t="shared" si="4"/>
        <v>214.06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107.03</v>
      </c>
      <c r="T28" s="229">
        <f t="shared" si="7"/>
        <v>214.06</v>
      </c>
      <c r="U28" s="230">
        <f t="shared" si="8"/>
        <v>0</v>
      </c>
      <c r="V28" s="230">
        <f t="shared" si="9"/>
        <v>1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374"/>
      <c r="C29" s="374"/>
      <c r="D29" s="368"/>
      <c r="E29" s="238"/>
      <c r="F29" s="239"/>
      <c r="G29" s="240">
        <f t="shared" si="10"/>
        <v>0</v>
      </c>
      <c r="H29" s="241">
        <f t="shared" si="1"/>
        <v>0</v>
      </c>
      <c r="I29" s="242"/>
      <c r="J29" s="243">
        <f t="shared" si="2"/>
        <v>0</v>
      </c>
      <c r="K29" s="240">
        <f t="shared" si="3"/>
        <v>0</v>
      </c>
      <c r="L29" s="240">
        <f t="shared" si="4"/>
        <v>0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0</v>
      </c>
      <c r="T29" s="248">
        <f t="shared" si="7"/>
        <v>0</v>
      </c>
      <c r="U29" s="249">
        <f t="shared" si="8"/>
        <v>0</v>
      </c>
      <c r="V29" s="249">
        <f t="shared" si="9"/>
        <v>0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358"/>
      <c r="C30" s="359"/>
      <c r="D30" s="369"/>
      <c r="E30" s="219"/>
      <c r="F30" s="220"/>
      <c r="G30" s="221">
        <f t="shared" si="10"/>
        <v>0</v>
      </c>
      <c r="H30" s="222">
        <f t="shared" si="1"/>
        <v>0</v>
      </c>
      <c r="I30" s="242"/>
      <c r="J30" s="224">
        <f t="shared" si="2"/>
        <v>0</v>
      </c>
      <c r="K30" s="221">
        <f t="shared" si="3"/>
        <v>0</v>
      </c>
      <c r="L30" s="221">
        <f t="shared" si="4"/>
        <v>0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0</v>
      </c>
      <c r="T30" s="229">
        <f t="shared" si="7"/>
        <v>0</v>
      </c>
      <c r="U30" s="230">
        <f t="shared" si="8"/>
        <v>0</v>
      </c>
      <c r="V30" s="230">
        <f t="shared" si="9"/>
        <v>0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362"/>
      <c r="C31" s="363"/>
      <c r="D31" s="368"/>
      <c r="E31" s="238"/>
      <c r="F31" s="239"/>
      <c r="G31" s="240">
        <f t="shared" si="10"/>
        <v>0</v>
      </c>
      <c r="H31" s="241">
        <f t="shared" si="1"/>
        <v>0</v>
      </c>
      <c r="I31" s="242"/>
      <c r="J31" s="243">
        <f t="shared" si="2"/>
        <v>0</v>
      </c>
      <c r="K31" s="240">
        <f t="shared" si="3"/>
        <v>0</v>
      </c>
      <c r="L31" s="240">
        <f t="shared" si="4"/>
        <v>0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0</v>
      </c>
      <c r="T31" s="248">
        <f t="shared" si="7"/>
        <v>0</v>
      </c>
      <c r="U31" s="249">
        <f t="shared" si="8"/>
        <v>0</v>
      </c>
      <c r="V31" s="249">
        <f t="shared" si="9"/>
        <v>0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358"/>
      <c r="C32" s="365"/>
      <c r="D32" s="369"/>
      <c r="E32" s="219"/>
      <c r="F32" s="220"/>
      <c r="G32" s="221">
        <f t="shared" si="10"/>
        <v>0</v>
      </c>
      <c r="H32" s="222">
        <f t="shared" si="1"/>
        <v>0</v>
      </c>
      <c r="I32" s="242"/>
      <c r="J32" s="224">
        <f t="shared" si="2"/>
        <v>0</v>
      </c>
      <c r="K32" s="221">
        <f t="shared" si="3"/>
        <v>0</v>
      </c>
      <c r="L32" s="221">
        <f t="shared" si="4"/>
        <v>0</v>
      </c>
      <c r="M32" s="220" t="s">
        <v>84</v>
      </c>
      <c r="N32" s="254"/>
      <c r="O32" s="226"/>
      <c r="P32" s="255"/>
      <c r="Q32" s="228"/>
      <c r="R32" s="229">
        <f t="shared" si="5"/>
        <v>0</v>
      </c>
      <c r="S32" s="229">
        <f t="shared" si="6"/>
        <v>0</v>
      </c>
      <c r="T32" s="229">
        <f t="shared" si="7"/>
        <v>0</v>
      </c>
      <c r="U32" s="230">
        <f t="shared" si="8"/>
        <v>0</v>
      </c>
      <c r="V32" s="230">
        <f t="shared" si="9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362"/>
      <c r="C33" s="363"/>
      <c r="D33" s="368"/>
      <c r="E33" s="238"/>
      <c r="F33" s="239"/>
      <c r="G33" s="240">
        <f t="shared" si="10"/>
        <v>0</v>
      </c>
      <c r="H33" s="241">
        <f t="shared" si="1"/>
        <v>0</v>
      </c>
      <c r="I33" s="242"/>
      <c r="J33" s="243">
        <f t="shared" si="2"/>
        <v>0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358"/>
      <c r="C34" s="365"/>
      <c r="D34" s="369"/>
      <c r="E34" s="219"/>
      <c r="F34" s="220"/>
      <c r="G34" s="221">
        <f t="shared" si="1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/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362"/>
      <c r="C35" s="363"/>
      <c r="D35" s="368"/>
      <c r="E35" s="238"/>
      <c r="F35" s="239"/>
      <c r="G35" s="240">
        <f t="shared" si="1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/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358"/>
      <c r="C36" s="365"/>
      <c r="D36" s="369"/>
      <c r="E36" s="219"/>
      <c r="F36" s="220"/>
      <c r="G36" s="221">
        <f t="shared" si="1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362"/>
      <c r="C37" s="363"/>
      <c r="D37" s="286"/>
      <c r="E37" s="364"/>
      <c r="F37" s="239"/>
      <c r="G37" s="240">
        <f t="shared" si="1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358"/>
      <c r="C38" s="365"/>
      <c r="D38" s="287"/>
      <c r="E38" s="361"/>
      <c r="F38" s="220"/>
      <c r="G38" s="221">
        <f t="shared" si="1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362"/>
      <c r="C39" s="363"/>
      <c r="D39" s="286"/>
      <c r="E39" s="364"/>
      <c r="F39" s="239"/>
      <c r="G39" s="240">
        <f t="shared" si="1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358"/>
      <c r="C40" s="365"/>
      <c r="D40" s="287"/>
      <c r="E40" s="361"/>
      <c r="F40" s="220"/>
      <c r="G40" s="221">
        <f t="shared" si="1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362"/>
      <c r="C41" s="363"/>
      <c r="D41" s="286"/>
      <c r="E41" s="364"/>
      <c r="F41" s="239"/>
      <c r="G41" s="240">
        <f t="shared" si="1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358"/>
      <c r="C42" s="365"/>
      <c r="D42" s="287"/>
      <c r="E42" s="361"/>
      <c r="F42" s="220"/>
      <c r="G42" s="221">
        <f t="shared" si="1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362"/>
      <c r="C43" s="363"/>
      <c r="D43" s="286"/>
      <c r="E43" s="364"/>
      <c r="F43" s="239"/>
      <c r="G43" s="240">
        <f t="shared" si="1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358"/>
      <c r="C44" s="365"/>
      <c r="D44" s="287"/>
      <c r="E44" s="361"/>
      <c r="F44" s="220"/>
      <c r="G44" s="221">
        <f t="shared" si="1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362"/>
      <c r="C45" s="363"/>
      <c r="D45" s="286"/>
      <c r="E45" s="364"/>
      <c r="F45" s="239"/>
      <c r="G45" s="240">
        <f t="shared" si="1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358"/>
      <c r="C46" s="365"/>
      <c r="D46" s="287"/>
      <c r="E46" s="361"/>
      <c r="F46" s="220"/>
      <c r="G46" s="221">
        <f t="shared" si="1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362"/>
      <c r="C47" s="363"/>
      <c r="D47" s="286"/>
      <c r="E47" s="364"/>
      <c r="F47" s="239"/>
      <c r="G47" s="240">
        <f t="shared" si="10"/>
        <v>0</v>
      </c>
      <c r="H47" s="241">
        <f t="shared" si="1"/>
        <v>0</v>
      </c>
      <c r="I47" s="242"/>
      <c r="J47" s="243">
        <f t="shared" si="2"/>
        <v>0</v>
      </c>
      <c r="K47" s="240">
        <f t="shared" si="3"/>
        <v>0</v>
      </c>
      <c r="L47" s="240">
        <f t="shared" si="4"/>
        <v>0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0</v>
      </c>
      <c r="T47" s="248">
        <f t="shared" si="7"/>
        <v>0</v>
      </c>
      <c r="U47" s="249">
        <f t="shared" si="8"/>
        <v>0</v>
      </c>
      <c r="V47" s="249">
        <f t="shared" si="9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358"/>
      <c r="C48" s="365"/>
      <c r="D48" s="287"/>
      <c r="E48" s="361"/>
      <c r="F48" s="220"/>
      <c r="G48" s="221">
        <f t="shared" si="10"/>
        <v>0</v>
      </c>
      <c r="H48" s="222">
        <f t="shared" si="1"/>
        <v>0</v>
      </c>
      <c r="I48" s="242"/>
      <c r="J48" s="224">
        <f t="shared" si="2"/>
        <v>0</v>
      </c>
      <c r="K48" s="221">
        <f t="shared" si="3"/>
        <v>0</v>
      </c>
      <c r="L48" s="221">
        <f t="shared" si="4"/>
        <v>0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0</v>
      </c>
      <c r="T48" s="229">
        <f t="shared" si="7"/>
        <v>0</v>
      </c>
      <c r="U48" s="230">
        <f t="shared" si="8"/>
        <v>0</v>
      </c>
      <c r="V48" s="230">
        <f t="shared" si="9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362"/>
      <c r="C49" s="363"/>
      <c r="D49" s="286"/>
      <c r="E49" s="364"/>
      <c r="F49" s="239"/>
      <c r="G49" s="240">
        <f t="shared" si="10"/>
        <v>0</v>
      </c>
      <c r="H49" s="241">
        <f t="shared" si="1"/>
        <v>0</v>
      </c>
      <c r="I49" s="242"/>
      <c r="J49" s="243">
        <f t="shared" si="2"/>
        <v>0</v>
      </c>
      <c r="K49" s="240">
        <f t="shared" si="3"/>
        <v>0</v>
      </c>
      <c r="L49" s="240">
        <f t="shared" si="4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0</v>
      </c>
      <c r="T49" s="248">
        <f t="shared" si="7"/>
        <v>0</v>
      </c>
      <c r="U49" s="249">
        <f t="shared" si="8"/>
        <v>0</v>
      </c>
      <c r="V49" s="249">
        <f t="shared" si="9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358"/>
      <c r="C50" s="365"/>
      <c r="D50" s="287"/>
      <c r="E50" s="361"/>
      <c r="F50" s="220"/>
      <c r="G50" s="221">
        <f t="shared" si="10"/>
        <v>0</v>
      </c>
      <c r="H50" s="222">
        <f t="shared" si="1"/>
        <v>0</v>
      </c>
      <c r="I50" s="242"/>
      <c r="J50" s="224">
        <f t="shared" si="2"/>
        <v>0</v>
      </c>
      <c r="K50" s="221">
        <f t="shared" si="3"/>
        <v>0</v>
      </c>
      <c r="L50" s="221">
        <f t="shared" si="4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0</v>
      </c>
      <c r="T50" s="229">
        <f t="shared" si="7"/>
        <v>0</v>
      </c>
      <c r="U50" s="230">
        <f t="shared" si="8"/>
        <v>0</v>
      </c>
      <c r="V50" s="230">
        <f t="shared" si="9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362"/>
      <c r="C51" s="363"/>
      <c r="D51" s="286"/>
      <c r="E51" s="364"/>
      <c r="F51" s="239"/>
      <c r="G51" s="240">
        <f t="shared" si="1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1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1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1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1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1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1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1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1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1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12</v>
      </c>
      <c r="F61" s="265">
        <f>SUM(F18:F60)</f>
        <v>8001.53</v>
      </c>
      <c r="G61" s="266">
        <f>SUM(G18:G60)</f>
        <v>4743.8</v>
      </c>
      <c r="H61" s="267">
        <f>SUM(H18:H60)</f>
        <v>10639.199999999999</v>
      </c>
      <c r="I61" s="268"/>
      <c r="J61" s="269">
        <f>SUM(J18:J60)</f>
        <v>12</v>
      </c>
      <c r="K61" s="266">
        <f>SUM(K18:K60)</f>
        <v>8001.53</v>
      </c>
      <c r="L61" s="267">
        <f>SUM(L18:L60)</f>
        <v>10639.199999999999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8001.53</v>
      </c>
      <c r="T61" s="267">
        <f>SUM(T18:T60)</f>
        <v>10639.199999999999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61">
    <mergeCell ref="P16:P17"/>
    <mergeCell ref="R17:V17"/>
    <mergeCell ref="B16:B17"/>
    <mergeCell ref="C16:C17"/>
    <mergeCell ref="D16:D17"/>
    <mergeCell ref="E16:E17"/>
    <mergeCell ref="F16:G16"/>
    <mergeCell ref="D9:E9"/>
    <mergeCell ref="F9:G9"/>
    <mergeCell ref="P9:R9"/>
    <mergeCell ref="S9:S10"/>
    <mergeCell ref="T9:T10"/>
    <mergeCell ref="B11:C15"/>
    <mergeCell ref="D11:E13"/>
    <mergeCell ref="F11:H12"/>
    <mergeCell ref="P11:V13"/>
    <mergeCell ref="F13:G13"/>
    <mergeCell ref="F14:H14"/>
    <mergeCell ref="F15:H15"/>
    <mergeCell ref="P15:V15"/>
    <mergeCell ref="S7:T7"/>
    <mergeCell ref="U7:V7"/>
    <mergeCell ref="V9:V10"/>
    <mergeCell ref="W9:W10"/>
    <mergeCell ref="P10:R10"/>
    <mergeCell ref="U9:U10"/>
    <mergeCell ref="D8:E8"/>
    <mergeCell ref="F8:G8"/>
    <mergeCell ref="P8:R8"/>
    <mergeCell ref="D5:E5"/>
    <mergeCell ref="F5:G5"/>
    <mergeCell ref="P5:R5"/>
    <mergeCell ref="D7:E7"/>
    <mergeCell ref="F7:G7"/>
    <mergeCell ref="P7:R7"/>
    <mergeCell ref="S5:T5"/>
    <mergeCell ref="U5:V5"/>
    <mergeCell ref="D6:E6"/>
    <mergeCell ref="F6:G6"/>
    <mergeCell ref="P6:R6"/>
    <mergeCell ref="S6:T6"/>
    <mergeCell ref="U6:V6"/>
    <mergeCell ref="D3:E3"/>
    <mergeCell ref="F3:G3"/>
    <mergeCell ref="P3:R3"/>
    <mergeCell ref="S3:T3"/>
    <mergeCell ref="U3:V3"/>
    <mergeCell ref="D4:E4"/>
    <mergeCell ref="F4:G4"/>
    <mergeCell ref="P4:R4"/>
    <mergeCell ref="S4:T4"/>
    <mergeCell ref="U4:V4"/>
    <mergeCell ref="B1:C1"/>
    <mergeCell ref="D1:G1"/>
    <mergeCell ref="P1:R1"/>
    <mergeCell ref="S1:W1"/>
    <mergeCell ref="D2:E2"/>
    <mergeCell ref="F2:G2"/>
    <mergeCell ref="P2:R2"/>
    <mergeCell ref="S2:T2"/>
    <mergeCell ref="U2:V2"/>
  </mergeCells>
  <conditionalFormatting sqref="U9:U10">
    <cfRule type="expression" dxfId="47" priority="3" stopIfTrue="1">
      <formula>$U$9&gt;100%</formula>
    </cfRule>
    <cfRule type="expression" dxfId="46" priority="4">
      <formula>$U$9&lt;50%</formula>
    </cfRule>
  </conditionalFormatting>
  <conditionalFormatting sqref="V9:V10">
    <cfRule type="expression" dxfId="45" priority="1">
      <formula>$V$9&lt;50%</formula>
    </cfRule>
    <cfRule type="expression" dxfId="44" priority="2">
      <formula>$V$9&gt;50%</formula>
    </cfRule>
  </conditionalFormatting>
  <dataValidations count="5">
    <dataValidation type="list" allowBlank="1" showInputMessage="1" showErrorMessage="1" sqref="H13" xr:uid="{CF9E0387-672F-42D4-BEA6-1FEC5E0749CE}">
      <formula1>$Y$13:$Y$14</formula1>
    </dataValidation>
    <dataValidation type="list" showInputMessage="1" showErrorMessage="1" sqref="D52:D60 D28:D36 D18:D26" xr:uid="{3F4339F2-7233-45FD-82F0-C51ADAA48B4B}">
      <formula1>$Z$18:$Z$29</formula1>
    </dataValidation>
    <dataValidation type="list" allowBlank="1" showInputMessage="1" showErrorMessage="1" sqref="Q14 K17 Q17 F17" xr:uid="{7D4D711A-A1E3-4614-83B3-696CBB6BD6F2}">
      <formula1>$Y$11:$Y$12</formula1>
    </dataValidation>
    <dataValidation type="list" allowBlank="1" showInputMessage="1" showErrorMessage="1" sqref="I13" xr:uid="{23B23B88-1EED-4E90-8AFB-D424585301CA}">
      <formula1>$K$9:$K$9</formula1>
    </dataValidation>
    <dataValidation type="list" allowBlank="1" showInputMessage="1" showErrorMessage="1" sqref="M18:M60" xr:uid="{1489354B-4FBC-4619-8164-82DD8E869A3F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A0FCD-8193-4BB2-B68F-59CB0C4F32BE}">
  <sheetPr>
    <pageSetUpPr fitToPage="1"/>
  </sheetPr>
  <dimension ref="A1:AB63"/>
  <sheetViews>
    <sheetView zoomScale="85" zoomScaleNormal="85" workbookViewId="0">
      <selection activeCell="F4" sqref="F4:G5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302" t="s">
        <v>2</v>
      </c>
      <c r="I1" s="303"/>
      <c r="J1" s="303"/>
      <c r="K1" s="304"/>
      <c r="L1" s="305" t="s">
        <v>3</v>
      </c>
      <c r="M1" s="306"/>
      <c r="N1" s="306"/>
      <c r="O1" s="306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77" t="s">
        <v>375</v>
      </c>
      <c r="G2" s="549"/>
      <c r="H2" s="315" t="s">
        <v>7</v>
      </c>
      <c r="I2" s="317"/>
      <c r="J2" s="316"/>
      <c r="K2" s="148"/>
      <c r="L2" s="318" t="s">
        <v>8</v>
      </c>
      <c r="M2" s="319"/>
      <c r="N2" s="320"/>
      <c r="O2" s="149"/>
      <c r="P2" s="554">
        <f>H61</f>
        <v>10639.199999999999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307" t="s">
        <v>13</v>
      </c>
      <c r="I3" s="309"/>
      <c r="J3" s="308"/>
      <c r="K3" s="154"/>
      <c r="L3" s="310" t="s">
        <v>14</v>
      </c>
      <c r="M3" s="311"/>
      <c r="N3" s="312"/>
      <c r="O3" s="149"/>
      <c r="P3" s="540">
        <f>L61</f>
        <v>10639.199999999999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681" t="s">
        <v>337</v>
      </c>
      <c r="G4" s="673"/>
      <c r="H4" s="307" t="s">
        <v>19</v>
      </c>
      <c r="I4" s="309"/>
      <c r="J4" s="308"/>
      <c r="K4" s="154"/>
      <c r="L4" s="310" t="s">
        <v>20</v>
      </c>
      <c r="M4" s="311"/>
      <c r="N4" s="312"/>
      <c r="O4" s="149"/>
      <c r="P4" s="540">
        <f>P2-P3</f>
        <v>0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688" t="s">
        <v>340</v>
      </c>
      <c r="G5" s="685"/>
      <c r="H5" s="307" t="s">
        <v>25</v>
      </c>
      <c r="I5" s="309"/>
      <c r="J5" s="308"/>
      <c r="K5" s="154"/>
      <c r="L5" s="321" t="s">
        <v>26</v>
      </c>
      <c r="M5" s="322"/>
      <c r="N5" s="323"/>
      <c r="O5" s="149"/>
      <c r="P5" s="561">
        <f>IFERROR((P2-P3)/P2,"")</f>
        <v>0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81" t="s">
        <v>351</v>
      </c>
      <c r="G6" s="673"/>
      <c r="H6" s="307" t="s">
        <v>31</v>
      </c>
      <c r="I6" s="309"/>
      <c r="J6" s="308"/>
      <c r="K6" s="154"/>
      <c r="L6" s="327" t="s">
        <v>32</v>
      </c>
      <c r="M6" s="328"/>
      <c r="N6" s="329"/>
      <c r="O6" s="149"/>
      <c r="P6" s="577">
        <f>T61</f>
        <v>10639.199999999999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671"/>
      <c r="G7" s="535"/>
      <c r="H7" s="307" t="s">
        <v>36</v>
      </c>
      <c r="I7" s="309"/>
      <c r="J7" s="308"/>
      <c r="K7" s="154"/>
      <c r="L7" s="324" t="s">
        <v>37</v>
      </c>
      <c r="M7" s="325"/>
      <c r="N7" s="32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307" t="s">
        <v>40</v>
      </c>
      <c r="I8" s="309"/>
      <c r="J8" s="308"/>
      <c r="K8" s="154"/>
      <c r="L8" s="324" t="s">
        <v>41</v>
      </c>
      <c r="M8" s="325"/>
      <c r="N8" s="32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366</v>
      </c>
      <c r="G9" s="535"/>
      <c r="H9" s="171"/>
      <c r="I9" s="172"/>
      <c r="J9" s="172"/>
      <c r="K9" s="173"/>
      <c r="L9" s="324" t="s">
        <v>47</v>
      </c>
      <c r="M9" s="325"/>
      <c r="N9" s="32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10639.199999999999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313" t="s">
        <v>48</v>
      </c>
      <c r="M10" s="330"/>
      <c r="N10" s="314"/>
      <c r="O10" s="149"/>
      <c r="P10" s="580">
        <f>E61</f>
        <v>12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347" t="s">
        <v>50</v>
      </c>
      <c r="K11" s="348"/>
      <c r="L11" s="348"/>
      <c r="M11" s="348"/>
      <c r="N11" s="349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350"/>
      <c r="K12" s="351"/>
      <c r="L12" s="351"/>
      <c r="M12" s="351"/>
      <c r="N12" s="352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353"/>
      <c r="K13" s="354"/>
      <c r="L13" s="354"/>
      <c r="M13" s="354"/>
      <c r="N13" s="355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331" t="s">
        <v>59</v>
      </c>
      <c r="K14" s="332"/>
      <c r="L14" s="335" t="s">
        <v>60</v>
      </c>
      <c r="M14" s="336"/>
      <c r="N14" s="33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333"/>
      <c r="K15" s="334"/>
      <c r="L15" s="338"/>
      <c r="M15" s="339"/>
      <c r="N15" s="34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343" t="s">
        <v>69</v>
      </c>
      <c r="K16" s="201" t="s">
        <v>72</v>
      </c>
      <c r="L16" s="202" t="s">
        <v>73</v>
      </c>
      <c r="M16" s="345" t="s">
        <v>74</v>
      </c>
      <c r="N16" s="345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8"/>
      <c r="C17" s="678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344"/>
      <c r="K17" s="341" t="s">
        <v>52</v>
      </c>
      <c r="L17" s="342"/>
      <c r="M17" s="346"/>
      <c r="N17" s="346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 s="292">
        <v>5000155678</v>
      </c>
      <c r="C18" s="366" t="s">
        <v>342</v>
      </c>
      <c r="D18" s="367"/>
      <c r="E18" s="219">
        <v>1</v>
      </c>
      <c r="F18" s="220">
        <v>88.22</v>
      </c>
      <c r="G18" s="221">
        <f t="shared" ref="G18:G26" si="0">ROUND(IF($F$17="USD $", F18*$E$15,F18*$D$15),2)</f>
        <v>62.13</v>
      </c>
      <c r="H18" s="222">
        <f t="shared" ref="H18:H60" si="1">ROUND(IF($H$17=$G$17,E18*G18,E18*F18),2)</f>
        <v>88.22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88.22</v>
      </c>
      <c r="L18" s="221">
        <f t="shared" ref="L18:L60" si="4">ROUND((J18*K18),2)</f>
        <v>88.22</v>
      </c>
      <c r="M18" s="220" t="s">
        <v>84</v>
      </c>
      <c r="N18" s="225"/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88.22</v>
      </c>
      <c r="T18" s="229">
        <f t="shared" ref="T18:T60" si="7">ROUND(L18-R18,2)</f>
        <v>88.22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294">
        <v>5200015526</v>
      </c>
      <c r="C19" s="294" t="s">
        <v>343</v>
      </c>
      <c r="D19" s="368"/>
      <c r="E19" s="238">
        <v>1</v>
      </c>
      <c r="F19" s="239">
        <v>37.520000000000003</v>
      </c>
      <c r="G19" s="240">
        <f t="shared" si="0"/>
        <v>26.42</v>
      </c>
      <c r="H19" s="241">
        <f t="shared" si="1"/>
        <v>37.520000000000003</v>
      </c>
      <c r="I19" s="242"/>
      <c r="J19" s="243">
        <f t="shared" si="2"/>
        <v>1</v>
      </c>
      <c r="K19" s="240">
        <f t="shared" si="3"/>
        <v>37.520000000000003</v>
      </c>
      <c r="L19" s="240">
        <f t="shared" si="4"/>
        <v>37.520000000000003</v>
      </c>
      <c r="M19" s="244" t="s">
        <v>84</v>
      </c>
      <c r="N19" s="245"/>
      <c r="O19" s="226"/>
      <c r="P19" s="246"/>
      <c r="Q19" s="239"/>
      <c r="R19" s="247">
        <f t="shared" si="5"/>
        <v>0</v>
      </c>
      <c r="S19" s="248">
        <f t="shared" si="6"/>
        <v>37.520000000000003</v>
      </c>
      <c r="T19" s="248">
        <f t="shared" si="7"/>
        <v>37.520000000000003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292">
        <v>5200009520</v>
      </c>
      <c r="C20" s="292" t="s">
        <v>344</v>
      </c>
      <c r="D20" s="369"/>
      <c r="E20" s="219">
        <v>1</v>
      </c>
      <c r="F20" s="220">
        <v>208.39</v>
      </c>
      <c r="G20" s="221">
        <f t="shared" si="0"/>
        <v>146.75</v>
      </c>
      <c r="H20" s="222">
        <f t="shared" si="1"/>
        <v>208.39</v>
      </c>
      <c r="I20" s="242"/>
      <c r="J20" s="224">
        <f t="shared" si="2"/>
        <v>1</v>
      </c>
      <c r="K20" s="221">
        <f t="shared" si="3"/>
        <v>208.39</v>
      </c>
      <c r="L20" s="221">
        <f t="shared" si="4"/>
        <v>208.39</v>
      </c>
      <c r="M20" s="220" t="s">
        <v>84</v>
      </c>
      <c r="N20" s="254"/>
      <c r="O20" s="226"/>
      <c r="P20" s="255"/>
      <c r="Q20" s="228"/>
      <c r="R20" s="229">
        <f t="shared" si="5"/>
        <v>0</v>
      </c>
      <c r="S20" s="229">
        <f t="shared" si="6"/>
        <v>208.39</v>
      </c>
      <c r="T20" s="229">
        <f t="shared" si="7"/>
        <v>208.39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294">
        <v>5000082116</v>
      </c>
      <c r="C21" s="294" t="s">
        <v>345</v>
      </c>
      <c r="D21" s="368"/>
      <c r="E21" s="238">
        <v>1</v>
      </c>
      <c r="F21" s="239">
        <v>35.44</v>
      </c>
      <c r="G21" s="240">
        <f t="shared" si="0"/>
        <v>24.96</v>
      </c>
      <c r="H21" s="241">
        <f t="shared" si="1"/>
        <v>35.44</v>
      </c>
      <c r="I21" s="242"/>
      <c r="J21" s="243">
        <f t="shared" si="2"/>
        <v>1</v>
      </c>
      <c r="K21" s="240">
        <f t="shared" si="3"/>
        <v>35.44</v>
      </c>
      <c r="L21" s="240">
        <f t="shared" si="4"/>
        <v>35.44</v>
      </c>
      <c r="M21" s="244" t="s">
        <v>84</v>
      </c>
      <c r="N21" s="245"/>
      <c r="O21" s="226"/>
      <c r="P21" s="246"/>
      <c r="Q21" s="239"/>
      <c r="R21" s="247">
        <f t="shared" si="5"/>
        <v>0</v>
      </c>
      <c r="S21" s="248">
        <f t="shared" si="6"/>
        <v>35.44</v>
      </c>
      <c r="T21" s="248">
        <f t="shared" si="7"/>
        <v>35.44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292"/>
      <c r="C22" s="292"/>
      <c r="D22" s="369"/>
      <c r="E22" s="219"/>
      <c r="F22" s="220"/>
      <c r="G22" s="221">
        <f t="shared" si="0"/>
        <v>0</v>
      </c>
      <c r="H22" s="222">
        <f t="shared" si="1"/>
        <v>0</v>
      </c>
      <c r="I22" s="242"/>
      <c r="J22" s="224">
        <f t="shared" si="2"/>
        <v>0</v>
      </c>
      <c r="K22" s="221">
        <f t="shared" si="3"/>
        <v>0</v>
      </c>
      <c r="L22" s="221">
        <f t="shared" si="4"/>
        <v>0</v>
      </c>
      <c r="M22" s="220" t="s">
        <v>84</v>
      </c>
      <c r="N22" s="254"/>
      <c r="O22" s="226"/>
      <c r="P22" s="255"/>
      <c r="Q22" s="228"/>
      <c r="R22" s="229">
        <f t="shared" si="5"/>
        <v>0</v>
      </c>
      <c r="S22" s="229">
        <f t="shared" si="6"/>
        <v>0</v>
      </c>
      <c r="T22" s="229">
        <f t="shared" si="7"/>
        <v>0</v>
      </c>
      <c r="U22" s="230">
        <f t="shared" si="8"/>
        <v>0</v>
      </c>
      <c r="V22" s="230">
        <f t="shared" si="9"/>
        <v>0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294"/>
      <c r="C23" s="294"/>
      <c r="D23" s="368"/>
      <c r="E23" s="238"/>
      <c r="F23" s="239"/>
      <c r="G23" s="240">
        <f t="shared" si="0"/>
        <v>0</v>
      </c>
      <c r="H23" s="241">
        <f t="shared" si="1"/>
        <v>0</v>
      </c>
      <c r="I23" s="242"/>
      <c r="J23" s="243">
        <f t="shared" si="2"/>
        <v>0</v>
      </c>
      <c r="K23" s="240">
        <f t="shared" si="3"/>
        <v>0</v>
      </c>
      <c r="L23" s="240">
        <f t="shared" si="4"/>
        <v>0</v>
      </c>
      <c r="M23" s="244" t="s">
        <v>84</v>
      </c>
      <c r="N23" s="245"/>
      <c r="O23" s="226"/>
      <c r="P23" s="246"/>
      <c r="Q23" s="239"/>
      <c r="R23" s="247">
        <f t="shared" si="5"/>
        <v>0</v>
      </c>
      <c r="S23" s="248">
        <f t="shared" si="6"/>
        <v>0</v>
      </c>
      <c r="T23" s="248">
        <f t="shared" si="7"/>
        <v>0</v>
      </c>
      <c r="U23" s="249">
        <f t="shared" si="8"/>
        <v>0</v>
      </c>
      <c r="V23" s="249">
        <f t="shared" si="9"/>
        <v>0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292">
        <v>5200009453</v>
      </c>
      <c r="C24" s="292" t="s">
        <v>346</v>
      </c>
      <c r="D24" s="369"/>
      <c r="E24" s="219">
        <v>1</v>
      </c>
      <c r="F24" s="220">
        <v>3367.35</v>
      </c>
      <c r="G24" s="221">
        <f t="shared" si="0"/>
        <v>2371.37</v>
      </c>
      <c r="H24" s="222">
        <f t="shared" si="1"/>
        <v>3367.35</v>
      </c>
      <c r="I24" s="242"/>
      <c r="J24" s="224">
        <f t="shared" si="2"/>
        <v>1</v>
      </c>
      <c r="K24" s="221">
        <f t="shared" si="3"/>
        <v>3367.35</v>
      </c>
      <c r="L24" s="221">
        <f t="shared" si="4"/>
        <v>3367.35</v>
      </c>
      <c r="M24" s="220" t="s">
        <v>84</v>
      </c>
      <c r="N24" s="254"/>
      <c r="O24" s="226"/>
      <c r="P24" s="255"/>
      <c r="Q24" s="228"/>
      <c r="R24" s="229">
        <f t="shared" si="5"/>
        <v>0</v>
      </c>
      <c r="S24" s="229">
        <f t="shared" si="6"/>
        <v>3367.35</v>
      </c>
      <c r="T24" s="229">
        <f t="shared" si="7"/>
        <v>3367.35</v>
      </c>
      <c r="U24" s="230">
        <f t="shared" si="8"/>
        <v>0</v>
      </c>
      <c r="V24" s="230">
        <f t="shared" si="9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>
        <v>5000153758</v>
      </c>
      <c r="C25" s="294" t="s">
        <v>347</v>
      </c>
      <c r="D25" s="368"/>
      <c r="E25" s="238">
        <v>1</v>
      </c>
      <c r="F25" s="239">
        <v>287.2</v>
      </c>
      <c r="G25" s="240">
        <f t="shared" si="0"/>
        <v>202.25</v>
      </c>
      <c r="H25" s="241">
        <f t="shared" si="1"/>
        <v>287.2</v>
      </c>
      <c r="I25" s="242"/>
      <c r="J25" s="243">
        <f t="shared" si="2"/>
        <v>1</v>
      </c>
      <c r="K25" s="240">
        <f t="shared" si="3"/>
        <v>287.2</v>
      </c>
      <c r="L25" s="240">
        <f t="shared" si="4"/>
        <v>287.2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287.2</v>
      </c>
      <c r="T25" s="248">
        <f t="shared" si="7"/>
        <v>287.2</v>
      </c>
      <c r="U25" s="249">
        <f t="shared" si="8"/>
        <v>0</v>
      </c>
      <c r="V25" s="249">
        <f t="shared" si="9"/>
        <v>1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>
        <v>5000160388</v>
      </c>
      <c r="C26" s="357" t="s">
        <v>348</v>
      </c>
      <c r="D26" s="369"/>
      <c r="E26" s="219">
        <v>1</v>
      </c>
      <c r="F26" s="220">
        <v>2605.06</v>
      </c>
      <c r="G26" s="221">
        <f t="shared" si="0"/>
        <v>1834.55</v>
      </c>
      <c r="H26" s="222">
        <f t="shared" si="1"/>
        <v>2605.06</v>
      </c>
      <c r="I26" s="242"/>
      <c r="J26" s="224">
        <f t="shared" si="2"/>
        <v>1</v>
      </c>
      <c r="K26" s="221">
        <f t="shared" si="3"/>
        <v>2605.06</v>
      </c>
      <c r="L26" s="221">
        <f t="shared" si="4"/>
        <v>2605.06</v>
      </c>
      <c r="M26" s="220" t="s">
        <v>84</v>
      </c>
      <c r="N26" s="254"/>
      <c r="O26" s="226"/>
      <c r="P26" s="255"/>
      <c r="Q26" s="228"/>
      <c r="R26" s="229">
        <f t="shared" si="5"/>
        <v>0</v>
      </c>
      <c r="S26" s="229">
        <f t="shared" si="6"/>
        <v>2605.06</v>
      </c>
      <c r="T26" s="229">
        <f t="shared" si="7"/>
        <v>2605.06</v>
      </c>
      <c r="U26" s="230">
        <f t="shared" si="8"/>
        <v>0</v>
      </c>
      <c r="V26" s="230">
        <f t="shared" si="9"/>
        <v>1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294">
        <v>5100061991</v>
      </c>
      <c r="C27" s="294" t="s">
        <v>349</v>
      </c>
      <c r="D27" s="370"/>
      <c r="E27" s="382">
        <v>3</v>
      </c>
      <c r="F27" s="239">
        <v>1265.32</v>
      </c>
      <c r="G27" s="240"/>
      <c r="H27" s="241">
        <f t="shared" si="1"/>
        <v>3795.96</v>
      </c>
      <c r="I27" s="242"/>
      <c r="J27" s="243">
        <f t="shared" si="2"/>
        <v>3</v>
      </c>
      <c r="K27" s="240">
        <f t="shared" si="3"/>
        <v>1265.32</v>
      </c>
      <c r="L27" s="240">
        <f t="shared" si="4"/>
        <v>3795.96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1265.32</v>
      </c>
      <c r="T27" s="248">
        <f t="shared" si="7"/>
        <v>3795.96</v>
      </c>
      <c r="U27" s="249">
        <f t="shared" si="8"/>
        <v>0</v>
      </c>
      <c r="V27" s="249">
        <f t="shared" si="9"/>
        <v>1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379">
        <v>5100066530</v>
      </c>
      <c r="C28" s="379" t="s">
        <v>350</v>
      </c>
      <c r="D28" s="367"/>
      <c r="E28" s="219">
        <v>2</v>
      </c>
      <c r="F28" s="220">
        <v>107.03</v>
      </c>
      <c r="G28" s="221">
        <f t="shared" ref="G28:G60" si="10">ROUND(IF($F$17="USD $", F28*$E$15,F28*$D$15),2)</f>
        <v>75.37</v>
      </c>
      <c r="H28" s="222">
        <f t="shared" si="1"/>
        <v>214.06</v>
      </c>
      <c r="I28" s="242"/>
      <c r="J28" s="224">
        <f t="shared" si="2"/>
        <v>2</v>
      </c>
      <c r="K28" s="221">
        <f t="shared" si="3"/>
        <v>107.03</v>
      </c>
      <c r="L28" s="221">
        <f t="shared" si="4"/>
        <v>214.06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107.03</v>
      </c>
      <c r="T28" s="229">
        <f t="shared" si="7"/>
        <v>214.06</v>
      </c>
      <c r="U28" s="230">
        <f t="shared" si="8"/>
        <v>0</v>
      </c>
      <c r="V28" s="230">
        <f t="shared" si="9"/>
        <v>1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374"/>
      <c r="C29" s="374"/>
      <c r="D29" s="368"/>
      <c r="E29" s="238"/>
      <c r="F29" s="239"/>
      <c r="G29" s="240">
        <f t="shared" si="10"/>
        <v>0</v>
      </c>
      <c r="H29" s="241">
        <f t="shared" si="1"/>
        <v>0</v>
      </c>
      <c r="I29" s="242"/>
      <c r="J29" s="243">
        <f t="shared" si="2"/>
        <v>0</v>
      </c>
      <c r="K29" s="240">
        <f t="shared" si="3"/>
        <v>0</v>
      </c>
      <c r="L29" s="240">
        <f t="shared" si="4"/>
        <v>0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0</v>
      </c>
      <c r="T29" s="248">
        <f t="shared" si="7"/>
        <v>0</v>
      </c>
      <c r="U29" s="249">
        <f t="shared" si="8"/>
        <v>0</v>
      </c>
      <c r="V29" s="249">
        <f t="shared" si="9"/>
        <v>0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358"/>
      <c r="C30" s="359"/>
      <c r="D30" s="369"/>
      <c r="E30" s="219"/>
      <c r="F30" s="220"/>
      <c r="G30" s="221">
        <f t="shared" si="10"/>
        <v>0</v>
      </c>
      <c r="H30" s="222">
        <f t="shared" si="1"/>
        <v>0</v>
      </c>
      <c r="I30" s="242"/>
      <c r="J30" s="224">
        <f t="shared" si="2"/>
        <v>0</v>
      </c>
      <c r="K30" s="221">
        <f t="shared" si="3"/>
        <v>0</v>
      </c>
      <c r="L30" s="221">
        <f t="shared" si="4"/>
        <v>0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0</v>
      </c>
      <c r="T30" s="229">
        <f t="shared" si="7"/>
        <v>0</v>
      </c>
      <c r="U30" s="230">
        <f t="shared" si="8"/>
        <v>0</v>
      </c>
      <c r="V30" s="230">
        <f t="shared" si="9"/>
        <v>0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362"/>
      <c r="C31" s="363"/>
      <c r="D31" s="368"/>
      <c r="E31" s="238"/>
      <c r="F31" s="239"/>
      <c r="G31" s="240">
        <f t="shared" si="10"/>
        <v>0</v>
      </c>
      <c r="H31" s="241">
        <f t="shared" si="1"/>
        <v>0</v>
      </c>
      <c r="I31" s="242"/>
      <c r="J31" s="243">
        <f t="shared" si="2"/>
        <v>0</v>
      </c>
      <c r="K31" s="240">
        <f t="shared" si="3"/>
        <v>0</v>
      </c>
      <c r="L31" s="240">
        <f t="shared" si="4"/>
        <v>0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0</v>
      </c>
      <c r="T31" s="248">
        <f t="shared" si="7"/>
        <v>0</v>
      </c>
      <c r="U31" s="249">
        <f t="shared" si="8"/>
        <v>0</v>
      </c>
      <c r="V31" s="249">
        <f t="shared" si="9"/>
        <v>0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358"/>
      <c r="C32" s="365"/>
      <c r="D32" s="369"/>
      <c r="E32" s="219"/>
      <c r="F32" s="220"/>
      <c r="G32" s="221">
        <f t="shared" si="10"/>
        <v>0</v>
      </c>
      <c r="H32" s="222">
        <f t="shared" si="1"/>
        <v>0</v>
      </c>
      <c r="I32" s="242"/>
      <c r="J32" s="224">
        <f t="shared" si="2"/>
        <v>0</v>
      </c>
      <c r="K32" s="221">
        <f t="shared" si="3"/>
        <v>0</v>
      </c>
      <c r="L32" s="221">
        <f t="shared" si="4"/>
        <v>0</v>
      </c>
      <c r="M32" s="220" t="s">
        <v>84</v>
      </c>
      <c r="N32" s="254"/>
      <c r="O32" s="226"/>
      <c r="P32" s="255"/>
      <c r="Q32" s="228"/>
      <c r="R32" s="229">
        <f t="shared" si="5"/>
        <v>0</v>
      </c>
      <c r="S32" s="229">
        <f t="shared" si="6"/>
        <v>0</v>
      </c>
      <c r="T32" s="229">
        <f t="shared" si="7"/>
        <v>0</v>
      </c>
      <c r="U32" s="230">
        <f t="shared" si="8"/>
        <v>0</v>
      </c>
      <c r="V32" s="230">
        <f t="shared" si="9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362"/>
      <c r="C33" s="363"/>
      <c r="D33" s="368"/>
      <c r="E33" s="238"/>
      <c r="F33" s="239"/>
      <c r="G33" s="240">
        <f t="shared" si="10"/>
        <v>0</v>
      </c>
      <c r="H33" s="241">
        <f t="shared" si="1"/>
        <v>0</v>
      </c>
      <c r="I33" s="242"/>
      <c r="J33" s="243">
        <f t="shared" si="2"/>
        <v>0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358"/>
      <c r="C34" s="365"/>
      <c r="D34" s="369"/>
      <c r="E34" s="219"/>
      <c r="F34" s="220"/>
      <c r="G34" s="221">
        <f t="shared" si="1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/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362"/>
      <c r="C35" s="363"/>
      <c r="D35" s="368"/>
      <c r="E35" s="238"/>
      <c r="F35" s="239"/>
      <c r="G35" s="240">
        <f t="shared" si="1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/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358"/>
      <c r="C36" s="365"/>
      <c r="D36" s="369"/>
      <c r="E36" s="219"/>
      <c r="F36" s="220"/>
      <c r="G36" s="221">
        <f t="shared" si="1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362"/>
      <c r="C37" s="363"/>
      <c r="D37" s="286"/>
      <c r="E37" s="364"/>
      <c r="F37" s="239"/>
      <c r="G37" s="240">
        <f t="shared" si="1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358"/>
      <c r="C38" s="365"/>
      <c r="D38" s="287"/>
      <c r="E38" s="361"/>
      <c r="F38" s="220"/>
      <c r="G38" s="221">
        <f t="shared" si="1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362"/>
      <c r="C39" s="363"/>
      <c r="D39" s="286"/>
      <c r="E39" s="364"/>
      <c r="F39" s="239"/>
      <c r="G39" s="240">
        <f t="shared" si="1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358"/>
      <c r="C40" s="365"/>
      <c r="D40" s="287"/>
      <c r="E40" s="361"/>
      <c r="F40" s="220"/>
      <c r="G40" s="221">
        <f t="shared" si="1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362"/>
      <c r="C41" s="363"/>
      <c r="D41" s="286"/>
      <c r="E41" s="364"/>
      <c r="F41" s="239"/>
      <c r="G41" s="240">
        <f t="shared" si="1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358"/>
      <c r="C42" s="365"/>
      <c r="D42" s="287"/>
      <c r="E42" s="361"/>
      <c r="F42" s="220"/>
      <c r="G42" s="221">
        <f t="shared" si="1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362"/>
      <c r="C43" s="363"/>
      <c r="D43" s="286"/>
      <c r="E43" s="364"/>
      <c r="F43" s="239"/>
      <c r="G43" s="240">
        <f t="shared" si="1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358"/>
      <c r="C44" s="365"/>
      <c r="D44" s="287"/>
      <c r="E44" s="361"/>
      <c r="F44" s="220"/>
      <c r="G44" s="221">
        <f t="shared" si="1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362"/>
      <c r="C45" s="363"/>
      <c r="D45" s="286"/>
      <c r="E45" s="364"/>
      <c r="F45" s="239"/>
      <c r="G45" s="240">
        <f t="shared" si="1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358"/>
      <c r="C46" s="365"/>
      <c r="D46" s="287"/>
      <c r="E46" s="361"/>
      <c r="F46" s="220"/>
      <c r="G46" s="221">
        <f t="shared" si="1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362"/>
      <c r="C47" s="363"/>
      <c r="D47" s="286"/>
      <c r="E47" s="364"/>
      <c r="F47" s="239"/>
      <c r="G47" s="240">
        <f t="shared" si="10"/>
        <v>0</v>
      </c>
      <c r="H47" s="241">
        <f t="shared" si="1"/>
        <v>0</v>
      </c>
      <c r="I47" s="242"/>
      <c r="J47" s="243">
        <f t="shared" si="2"/>
        <v>0</v>
      </c>
      <c r="K47" s="240">
        <f t="shared" si="3"/>
        <v>0</v>
      </c>
      <c r="L47" s="240">
        <f t="shared" si="4"/>
        <v>0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0</v>
      </c>
      <c r="T47" s="248">
        <f t="shared" si="7"/>
        <v>0</v>
      </c>
      <c r="U47" s="249">
        <f t="shared" si="8"/>
        <v>0</v>
      </c>
      <c r="V47" s="249">
        <f t="shared" si="9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358"/>
      <c r="C48" s="365"/>
      <c r="D48" s="287"/>
      <c r="E48" s="361"/>
      <c r="F48" s="220"/>
      <c r="G48" s="221">
        <f t="shared" si="10"/>
        <v>0</v>
      </c>
      <c r="H48" s="222">
        <f t="shared" si="1"/>
        <v>0</v>
      </c>
      <c r="I48" s="242"/>
      <c r="J48" s="224">
        <f t="shared" si="2"/>
        <v>0</v>
      </c>
      <c r="K48" s="221">
        <f t="shared" si="3"/>
        <v>0</v>
      </c>
      <c r="L48" s="221">
        <f t="shared" si="4"/>
        <v>0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0</v>
      </c>
      <c r="T48" s="229">
        <f t="shared" si="7"/>
        <v>0</v>
      </c>
      <c r="U48" s="230">
        <f t="shared" si="8"/>
        <v>0</v>
      </c>
      <c r="V48" s="230">
        <f t="shared" si="9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362"/>
      <c r="C49" s="363"/>
      <c r="D49" s="286"/>
      <c r="E49" s="364"/>
      <c r="F49" s="239"/>
      <c r="G49" s="240">
        <f t="shared" si="10"/>
        <v>0</v>
      </c>
      <c r="H49" s="241">
        <f t="shared" si="1"/>
        <v>0</v>
      </c>
      <c r="I49" s="242"/>
      <c r="J49" s="243">
        <f t="shared" si="2"/>
        <v>0</v>
      </c>
      <c r="K49" s="240">
        <f t="shared" si="3"/>
        <v>0</v>
      </c>
      <c r="L49" s="240">
        <f t="shared" si="4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0</v>
      </c>
      <c r="T49" s="248">
        <f t="shared" si="7"/>
        <v>0</v>
      </c>
      <c r="U49" s="249">
        <f t="shared" si="8"/>
        <v>0</v>
      </c>
      <c r="V49" s="249">
        <f t="shared" si="9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358"/>
      <c r="C50" s="365"/>
      <c r="D50" s="287"/>
      <c r="E50" s="361"/>
      <c r="F50" s="220"/>
      <c r="G50" s="221">
        <f t="shared" si="10"/>
        <v>0</v>
      </c>
      <c r="H50" s="222">
        <f t="shared" si="1"/>
        <v>0</v>
      </c>
      <c r="I50" s="242"/>
      <c r="J50" s="224">
        <f t="shared" si="2"/>
        <v>0</v>
      </c>
      <c r="K50" s="221">
        <f t="shared" si="3"/>
        <v>0</v>
      </c>
      <c r="L50" s="221">
        <f t="shared" si="4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0</v>
      </c>
      <c r="T50" s="229">
        <f t="shared" si="7"/>
        <v>0</v>
      </c>
      <c r="U50" s="230">
        <f t="shared" si="8"/>
        <v>0</v>
      </c>
      <c r="V50" s="230">
        <f t="shared" si="9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362"/>
      <c r="C51" s="363"/>
      <c r="D51" s="286"/>
      <c r="E51" s="364"/>
      <c r="F51" s="239"/>
      <c r="G51" s="240">
        <f t="shared" si="1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1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1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1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1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1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1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1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1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1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12</v>
      </c>
      <c r="F61" s="265">
        <f>SUM(F18:F60)</f>
        <v>8001.53</v>
      </c>
      <c r="G61" s="266">
        <f>SUM(G18:G60)</f>
        <v>4743.8</v>
      </c>
      <c r="H61" s="267">
        <f>SUM(H18:H60)</f>
        <v>10639.199999999999</v>
      </c>
      <c r="I61" s="268"/>
      <c r="J61" s="269">
        <f>SUM(J18:J60)</f>
        <v>12</v>
      </c>
      <c r="K61" s="266">
        <f>SUM(K18:K60)</f>
        <v>8001.53</v>
      </c>
      <c r="L61" s="267">
        <f>SUM(L18:L60)</f>
        <v>10639.199999999999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8001.53</v>
      </c>
      <c r="T61" s="267">
        <f>SUM(T18:T60)</f>
        <v>10639.199999999999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61">
    <mergeCell ref="P16:P17"/>
    <mergeCell ref="R17:V17"/>
    <mergeCell ref="B16:B17"/>
    <mergeCell ref="C16:C17"/>
    <mergeCell ref="D16:D17"/>
    <mergeCell ref="E16:E17"/>
    <mergeCell ref="F16:G16"/>
    <mergeCell ref="D9:E9"/>
    <mergeCell ref="F9:G9"/>
    <mergeCell ref="P9:R9"/>
    <mergeCell ref="S9:S10"/>
    <mergeCell ref="T9:T10"/>
    <mergeCell ref="B11:C15"/>
    <mergeCell ref="D11:E13"/>
    <mergeCell ref="F11:H12"/>
    <mergeCell ref="P11:V13"/>
    <mergeCell ref="F13:G13"/>
    <mergeCell ref="F14:H14"/>
    <mergeCell ref="F15:H15"/>
    <mergeCell ref="P15:V15"/>
    <mergeCell ref="S7:T7"/>
    <mergeCell ref="U7:V7"/>
    <mergeCell ref="V9:V10"/>
    <mergeCell ref="W9:W10"/>
    <mergeCell ref="P10:R10"/>
    <mergeCell ref="U9:U10"/>
    <mergeCell ref="D8:E8"/>
    <mergeCell ref="F8:G8"/>
    <mergeCell ref="P8:R8"/>
    <mergeCell ref="D5:E5"/>
    <mergeCell ref="F5:G5"/>
    <mergeCell ref="P5:R5"/>
    <mergeCell ref="D7:E7"/>
    <mergeCell ref="F7:G7"/>
    <mergeCell ref="P7:R7"/>
    <mergeCell ref="S5:T5"/>
    <mergeCell ref="U5:V5"/>
    <mergeCell ref="D6:E6"/>
    <mergeCell ref="F6:G6"/>
    <mergeCell ref="P6:R6"/>
    <mergeCell ref="S6:T6"/>
    <mergeCell ref="U6:V6"/>
    <mergeCell ref="D3:E3"/>
    <mergeCell ref="F3:G3"/>
    <mergeCell ref="P3:R3"/>
    <mergeCell ref="S3:T3"/>
    <mergeCell ref="U3:V3"/>
    <mergeCell ref="D4:E4"/>
    <mergeCell ref="F4:G4"/>
    <mergeCell ref="P4:R4"/>
    <mergeCell ref="S4:T4"/>
    <mergeCell ref="U4:V4"/>
    <mergeCell ref="B1:C1"/>
    <mergeCell ref="D1:G1"/>
    <mergeCell ref="P1:R1"/>
    <mergeCell ref="S1:W1"/>
    <mergeCell ref="D2:E2"/>
    <mergeCell ref="F2:G2"/>
    <mergeCell ref="P2:R2"/>
    <mergeCell ref="S2:T2"/>
    <mergeCell ref="U2:V2"/>
  </mergeCells>
  <conditionalFormatting sqref="U9:U10">
    <cfRule type="expression" dxfId="43" priority="3" stopIfTrue="1">
      <formula>$U$9&gt;100%</formula>
    </cfRule>
    <cfRule type="expression" dxfId="42" priority="4">
      <formula>$U$9&lt;50%</formula>
    </cfRule>
  </conditionalFormatting>
  <conditionalFormatting sqref="V9:V10">
    <cfRule type="expression" dxfId="41" priority="1">
      <formula>$V$9&lt;50%</formula>
    </cfRule>
    <cfRule type="expression" dxfId="40" priority="2">
      <formula>$V$9&gt;50%</formula>
    </cfRule>
  </conditionalFormatting>
  <dataValidations count="5">
    <dataValidation type="list" allowBlank="1" showInputMessage="1" showErrorMessage="1" sqref="M18:M60" xr:uid="{FC51AA30-E5B4-48BA-A510-6BB02129AB87}">
      <formula1>$Y$31:$Y$32</formula1>
    </dataValidation>
    <dataValidation type="list" allowBlank="1" showInputMessage="1" showErrorMessage="1" sqref="I13" xr:uid="{5FAE1F78-E06F-4E4D-9CCF-5F156C5390DB}">
      <formula1>$K$9:$K$9</formula1>
    </dataValidation>
    <dataValidation type="list" allowBlank="1" showInputMessage="1" showErrorMessage="1" sqref="Q14 K17 Q17 F17" xr:uid="{4D6B70E2-E1E4-43B8-A4B1-E75541F73C04}">
      <formula1>$Y$11:$Y$12</formula1>
    </dataValidation>
    <dataValidation type="list" showInputMessage="1" showErrorMessage="1" sqref="D52:D60 D28:D36 D18:D26" xr:uid="{411B37CE-01A7-4106-BDD4-EAD23708AC73}">
      <formula1>$Z$18:$Z$29</formula1>
    </dataValidation>
    <dataValidation type="list" allowBlank="1" showInputMessage="1" showErrorMessage="1" sqref="H13" xr:uid="{23F9FEF6-C6A3-45ED-A8FC-9A6E4DE1C985}">
      <formula1>$Y$13:$Y$14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73065-88CE-4DA0-9C0D-EE4B060068AB}">
  <sheetPr>
    <pageSetUpPr fitToPage="1"/>
  </sheetPr>
  <dimension ref="A1:AB63"/>
  <sheetViews>
    <sheetView zoomScale="85" zoomScaleNormal="85" workbookViewId="0">
      <selection activeCell="F4" sqref="F4:G5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302" t="s">
        <v>2</v>
      </c>
      <c r="I1" s="303"/>
      <c r="J1" s="303"/>
      <c r="K1" s="304"/>
      <c r="L1" s="305" t="s">
        <v>3</v>
      </c>
      <c r="M1" s="306"/>
      <c r="N1" s="306"/>
      <c r="O1" s="306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77" t="s">
        <v>374</v>
      </c>
      <c r="G2" s="549"/>
      <c r="H2" s="315" t="s">
        <v>7</v>
      </c>
      <c r="I2" s="317"/>
      <c r="J2" s="316"/>
      <c r="K2" s="148"/>
      <c r="L2" s="318" t="s">
        <v>8</v>
      </c>
      <c r="M2" s="319"/>
      <c r="N2" s="320"/>
      <c r="O2" s="149"/>
      <c r="P2" s="554">
        <f>H61</f>
        <v>10639.199999999999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307" t="s">
        <v>13</v>
      </c>
      <c r="I3" s="309"/>
      <c r="J3" s="308"/>
      <c r="K3" s="154"/>
      <c r="L3" s="310" t="s">
        <v>14</v>
      </c>
      <c r="M3" s="311"/>
      <c r="N3" s="312"/>
      <c r="O3" s="149"/>
      <c r="P3" s="540">
        <f>L61</f>
        <v>10639.199999999999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681" t="s">
        <v>337</v>
      </c>
      <c r="G4" s="673"/>
      <c r="H4" s="307" t="s">
        <v>19</v>
      </c>
      <c r="I4" s="309"/>
      <c r="J4" s="308"/>
      <c r="K4" s="154"/>
      <c r="L4" s="310" t="s">
        <v>20</v>
      </c>
      <c r="M4" s="311"/>
      <c r="N4" s="312"/>
      <c r="O4" s="149"/>
      <c r="P4" s="540">
        <f>P2-P3</f>
        <v>0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688" t="s">
        <v>340</v>
      </c>
      <c r="G5" s="685"/>
      <c r="H5" s="307" t="s">
        <v>25</v>
      </c>
      <c r="I5" s="309"/>
      <c r="J5" s="308"/>
      <c r="K5" s="154"/>
      <c r="L5" s="321" t="s">
        <v>26</v>
      </c>
      <c r="M5" s="322"/>
      <c r="N5" s="323"/>
      <c r="O5" s="149"/>
      <c r="P5" s="561">
        <f>IFERROR((P2-P3)/P2,"")</f>
        <v>0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81" t="s">
        <v>352</v>
      </c>
      <c r="G6" s="673"/>
      <c r="H6" s="307" t="s">
        <v>31</v>
      </c>
      <c r="I6" s="309"/>
      <c r="J6" s="308"/>
      <c r="K6" s="154"/>
      <c r="L6" s="327" t="s">
        <v>32</v>
      </c>
      <c r="M6" s="328"/>
      <c r="N6" s="329"/>
      <c r="O6" s="149"/>
      <c r="P6" s="577">
        <f>T61</f>
        <v>10639.199999999999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671"/>
      <c r="G7" s="535"/>
      <c r="H7" s="307" t="s">
        <v>36</v>
      </c>
      <c r="I7" s="309"/>
      <c r="J7" s="308"/>
      <c r="K7" s="154"/>
      <c r="L7" s="324" t="s">
        <v>37</v>
      </c>
      <c r="M7" s="325"/>
      <c r="N7" s="32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307" t="s">
        <v>40</v>
      </c>
      <c r="I8" s="309"/>
      <c r="J8" s="308"/>
      <c r="K8" s="154"/>
      <c r="L8" s="324" t="s">
        <v>41</v>
      </c>
      <c r="M8" s="325"/>
      <c r="N8" s="32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366</v>
      </c>
      <c r="G9" s="535"/>
      <c r="H9" s="171"/>
      <c r="I9" s="172"/>
      <c r="J9" s="172"/>
      <c r="K9" s="173"/>
      <c r="L9" s="324" t="s">
        <v>47</v>
      </c>
      <c r="M9" s="325"/>
      <c r="N9" s="32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10639.199999999999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313" t="s">
        <v>48</v>
      </c>
      <c r="M10" s="330"/>
      <c r="N10" s="314"/>
      <c r="O10" s="149"/>
      <c r="P10" s="580">
        <f>E61</f>
        <v>12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347" t="s">
        <v>50</v>
      </c>
      <c r="K11" s="348"/>
      <c r="L11" s="348"/>
      <c r="M11" s="348"/>
      <c r="N11" s="349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350"/>
      <c r="K12" s="351"/>
      <c r="L12" s="351"/>
      <c r="M12" s="351"/>
      <c r="N12" s="352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353"/>
      <c r="K13" s="354"/>
      <c r="L13" s="354"/>
      <c r="M13" s="354"/>
      <c r="N13" s="355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331" t="s">
        <v>59</v>
      </c>
      <c r="K14" s="332"/>
      <c r="L14" s="335" t="s">
        <v>60</v>
      </c>
      <c r="M14" s="336"/>
      <c r="N14" s="33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333"/>
      <c r="K15" s="334"/>
      <c r="L15" s="338"/>
      <c r="M15" s="339"/>
      <c r="N15" s="34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343" t="s">
        <v>69</v>
      </c>
      <c r="K16" s="201" t="s">
        <v>72</v>
      </c>
      <c r="L16" s="202" t="s">
        <v>73</v>
      </c>
      <c r="M16" s="345" t="s">
        <v>74</v>
      </c>
      <c r="N16" s="345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8"/>
      <c r="C17" s="678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344"/>
      <c r="K17" s="341" t="s">
        <v>52</v>
      </c>
      <c r="L17" s="342"/>
      <c r="M17" s="346"/>
      <c r="N17" s="346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 s="292">
        <v>5000155678</v>
      </c>
      <c r="C18" s="366" t="s">
        <v>342</v>
      </c>
      <c r="D18" s="367"/>
      <c r="E18" s="219">
        <v>1</v>
      </c>
      <c r="F18" s="220">
        <v>88.22</v>
      </c>
      <c r="G18" s="221">
        <f t="shared" ref="G18:G26" si="0">ROUND(IF($F$17="USD $", F18*$E$15,F18*$D$15),2)</f>
        <v>62.13</v>
      </c>
      <c r="H18" s="222">
        <f t="shared" ref="H18:H60" si="1">ROUND(IF($H$17=$G$17,E18*G18,E18*F18),2)</f>
        <v>88.22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88.22</v>
      </c>
      <c r="L18" s="221">
        <f t="shared" ref="L18:L60" si="4">ROUND((J18*K18),2)</f>
        <v>88.22</v>
      </c>
      <c r="M18" s="220" t="s">
        <v>84</v>
      </c>
      <c r="N18" s="225"/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88.22</v>
      </c>
      <c r="T18" s="229">
        <f t="shared" ref="T18:T60" si="7">ROUND(L18-R18,2)</f>
        <v>88.22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294">
        <v>5200015526</v>
      </c>
      <c r="C19" s="294" t="s">
        <v>343</v>
      </c>
      <c r="D19" s="368"/>
      <c r="E19" s="238">
        <v>1</v>
      </c>
      <c r="F19" s="239">
        <v>37.520000000000003</v>
      </c>
      <c r="G19" s="240">
        <f t="shared" si="0"/>
        <v>26.42</v>
      </c>
      <c r="H19" s="241">
        <f t="shared" si="1"/>
        <v>37.520000000000003</v>
      </c>
      <c r="I19" s="242"/>
      <c r="J19" s="243">
        <f t="shared" si="2"/>
        <v>1</v>
      </c>
      <c r="K19" s="240">
        <f t="shared" si="3"/>
        <v>37.520000000000003</v>
      </c>
      <c r="L19" s="240">
        <f t="shared" si="4"/>
        <v>37.520000000000003</v>
      </c>
      <c r="M19" s="244" t="s">
        <v>84</v>
      </c>
      <c r="N19" s="245"/>
      <c r="O19" s="226"/>
      <c r="P19" s="246"/>
      <c r="Q19" s="239"/>
      <c r="R19" s="247">
        <f t="shared" si="5"/>
        <v>0</v>
      </c>
      <c r="S19" s="248">
        <f t="shared" si="6"/>
        <v>37.520000000000003</v>
      </c>
      <c r="T19" s="248">
        <f t="shared" si="7"/>
        <v>37.520000000000003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292">
        <v>5200009520</v>
      </c>
      <c r="C20" s="292" t="s">
        <v>344</v>
      </c>
      <c r="D20" s="369"/>
      <c r="E20" s="219">
        <v>1</v>
      </c>
      <c r="F20" s="220">
        <v>208.39</v>
      </c>
      <c r="G20" s="221">
        <f t="shared" si="0"/>
        <v>146.75</v>
      </c>
      <c r="H20" s="222">
        <f t="shared" si="1"/>
        <v>208.39</v>
      </c>
      <c r="I20" s="242"/>
      <c r="J20" s="224">
        <f t="shared" si="2"/>
        <v>1</v>
      </c>
      <c r="K20" s="221">
        <f t="shared" si="3"/>
        <v>208.39</v>
      </c>
      <c r="L20" s="221">
        <f t="shared" si="4"/>
        <v>208.39</v>
      </c>
      <c r="M20" s="220" t="s">
        <v>84</v>
      </c>
      <c r="N20" s="254"/>
      <c r="O20" s="226"/>
      <c r="P20" s="255"/>
      <c r="Q20" s="228"/>
      <c r="R20" s="229">
        <f t="shared" si="5"/>
        <v>0</v>
      </c>
      <c r="S20" s="229">
        <f t="shared" si="6"/>
        <v>208.39</v>
      </c>
      <c r="T20" s="229">
        <f t="shared" si="7"/>
        <v>208.39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294">
        <v>5000082116</v>
      </c>
      <c r="C21" s="294" t="s">
        <v>345</v>
      </c>
      <c r="D21" s="368"/>
      <c r="E21" s="238">
        <v>1</v>
      </c>
      <c r="F21" s="239">
        <v>35.44</v>
      </c>
      <c r="G21" s="240">
        <f t="shared" si="0"/>
        <v>24.96</v>
      </c>
      <c r="H21" s="241">
        <f t="shared" si="1"/>
        <v>35.44</v>
      </c>
      <c r="I21" s="242"/>
      <c r="J21" s="243">
        <f t="shared" si="2"/>
        <v>1</v>
      </c>
      <c r="K21" s="240">
        <f t="shared" si="3"/>
        <v>35.44</v>
      </c>
      <c r="L21" s="240">
        <f t="shared" si="4"/>
        <v>35.44</v>
      </c>
      <c r="M21" s="244" t="s">
        <v>84</v>
      </c>
      <c r="N21" s="245"/>
      <c r="O21" s="226"/>
      <c r="P21" s="246"/>
      <c r="Q21" s="239"/>
      <c r="R21" s="247">
        <f t="shared" si="5"/>
        <v>0</v>
      </c>
      <c r="S21" s="248">
        <f t="shared" si="6"/>
        <v>35.44</v>
      </c>
      <c r="T21" s="248">
        <f t="shared" si="7"/>
        <v>35.44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292"/>
      <c r="C22" s="292"/>
      <c r="D22" s="369"/>
      <c r="E22" s="219"/>
      <c r="F22" s="220"/>
      <c r="G22" s="221">
        <f t="shared" si="0"/>
        <v>0</v>
      </c>
      <c r="H22" s="222">
        <f t="shared" si="1"/>
        <v>0</v>
      </c>
      <c r="I22" s="242"/>
      <c r="J22" s="224">
        <f t="shared" si="2"/>
        <v>0</v>
      </c>
      <c r="K22" s="221">
        <f t="shared" si="3"/>
        <v>0</v>
      </c>
      <c r="L22" s="221">
        <f t="shared" si="4"/>
        <v>0</v>
      </c>
      <c r="M22" s="220" t="s">
        <v>84</v>
      </c>
      <c r="N22" s="254"/>
      <c r="O22" s="226"/>
      <c r="P22" s="255"/>
      <c r="Q22" s="228"/>
      <c r="R22" s="229">
        <f t="shared" si="5"/>
        <v>0</v>
      </c>
      <c r="S22" s="229">
        <f t="shared" si="6"/>
        <v>0</v>
      </c>
      <c r="T22" s="229">
        <f t="shared" si="7"/>
        <v>0</v>
      </c>
      <c r="U22" s="230">
        <f t="shared" si="8"/>
        <v>0</v>
      </c>
      <c r="V22" s="230">
        <f t="shared" si="9"/>
        <v>0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294"/>
      <c r="C23" s="294"/>
      <c r="D23" s="368"/>
      <c r="E23" s="238"/>
      <c r="F23" s="239"/>
      <c r="G23" s="240">
        <f t="shared" si="0"/>
        <v>0</v>
      </c>
      <c r="H23" s="241">
        <f t="shared" si="1"/>
        <v>0</v>
      </c>
      <c r="I23" s="242"/>
      <c r="J23" s="243">
        <f t="shared" si="2"/>
        <v>0</v>
      </c>
      <c r="K23" s="240">
        <f t="shared" si="3"/>
        <v>0</v>
      </c>
      <c r="L23" s="240">
        <f t="shared" si="4"/>
        <v>0</v>
      </c>
      <c r="M23" s="244" t="s">
        <v>84</v>
      </c>
      <c r="N23" s="245"/>
      <c r="O23" s="226"/>
      <c r="P23" s="246"/>
      <c r="Q23" s="239"/>
      <c r="R23" s="247">
        <f t="shared" si="5"/>
        <v>0</v>
      </c>
      <c r="S23" s="248">
        <f t="shared" si="6"/>
        <v>0</v>
      </c>
      <c r="T23" s="248">
        <f t="shared" si="7"/>
        <v>0</v>
      </c>
      <c r="U23" s="249">
        <f t="shared" si="8"/>
        <v>0</v>
      </c>
      <c r="V23" s="249">
        <f t="shared" si="9"/>
        <v>0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292">
        <v>5200009453</v>
      </c>
      <c r="C24" s="292" t="s">
        <v>346</v>
      </c>
      <c r="D24" s="369"/>
      <c r="E24" s="219">
        <v>1</v>
      </c>
      <c r="F24" s="220">
        <v>3367.35</v>
      </c>
      <c r="G24" s="221">
        <f t="shared" si="0"/>
        <v>2371.37</v>
      </c>
      <c r="H24" s="222">
        <f t="shared" si="1"/>
        <v>3367.35</v>
      </c>
      <c r="I24" s="242"/>
      <c r="J24" s="224">
        <f t="shared" si="2"/>
        <v>1</v>
      </c>
      <c r="K24" s="221">
        <f t="shared" si="3"/>
        <v>3367.35</v>
      </c>
      <c r="L24" s="221">
        <f t="shared" si="4"/>
        <v>3367.35</v>
      </c>
      <c r="M24" s="220" t="s">
        <v>84</v>
      </c>
      <c r="N24" s="254"/>
      <c r="O24" s="226"/>
      <c r="P24" s="255"/>
      <c r="Q24" s="228"/>
      <c r="R24" s="229">
        <f t="shared" si="5"/>
        <v>0</v>
      </c>
      <c r="S24" s="229">
        <f t="shared" si="6"/>
        <v>3367.35</v>
      </c>
      <c r="T24" s="229">
        <f t="shared" si="7"/>
        <v>3367.35</v>
      </c>
      <c r="U24" s="230">
        <f t="shared" si="8"/>
        <v>0</v>
      </c>
      <c r="V24" s="230">
        <f t="shared" si="9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>
        <v>5000153758</v>
      </c>
      <c r="C25" s="294" t="s">
        <v>347</v>
      </c>
      <c r="D25" s="368"/>
      <c r="E25" s="238">
        <v>1</v>
      </c>
      <c r="F25" s="239">
        <v>287.2</v>
      </c>
      <c r="G25" s="240">
        <f t="shared" si="0"/>
        <v>202.25</v>
      </c>
      <c r="H25" s="241">
        <f t="shared" si="1"/>
        <v>287.2</v>
      </c>
      <c r="I25" s="242"/>
      <c r="J25" s="243">
        <f t="shared" si="2"/>
        <v>1</v>
      </c>
      <c r="K25" s="240">
        <f t="shared" si="3"/>
        <v>287.2</v>
      </c>
      <c r="L25" s="240">
        <f t="shared" si="4"/>
        <v>287.2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287.2</v>
      </c>
      <c r="T25" s="248">
        <f t="shared" si="7"/>
        <v>287.2</v>
      </c>
      <c r="U25" s="249">
        <f t="shared" si="8"/>
        <v>0</v>
      </c>
      <c r="V25" s="249">
        <f t="shared" si="9"/>
        <v>1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>
        <v>5000160388</v>
      </c>
      <c r="C26" s="357" t="s">
        <v>348</v>
      </c>
      <c r="D26" s="369"/>
      <c r="E26" s="219">
        <v>1</v>
      </c>
      <c r="F26" s="220">
        <v>2605.06</v>
      </c>
      <c r="G26" s="221">
        <f t="shared" si="0"/>
        <v>1834.55</v>
      </c>
      <c r="H26" s="222">
        <f t="shared" si="1"/>
        <v>2605.06</v>
      </c>
      <c r="I26" s="242"/>
      <c r="J26" s="224">
        <f t="shared" si="2"/>
        <v>1</v>
      </c>
      <c r="K26" s="221">
        <f t="shared" si="3"/>
        <v>2605.06</v>
      </c>
      <c r="L26" s="221">
        <f t="shared" si="4"/>
        <v>2605.06</v>
      </c>
      <c r="M26" s="220" t="s">
        <v>84</v>
      </c>
      <c r="N26" s="254"/>
      <c r="O26" s="226"/>
      <c r="P26" s="255"/>
      <c r="Q26" s="228"/>
      <c r="R26" s="229">
        <f t="shared" si="5"/>
        <v>0</v>
      </c>
      <c r="S26" s="229">
        <f t="shared" si="6"/>
        <v>2605.06</v>
      </c>
      <c r="T26" s="229">
        <f t="shared" si="7"/>
        <v>2605.06</v>
      </c>
      <c r="U26" s="230">
        <f t="shared" si="8"/>
        <v>0</v>
      </c>
      <c r="V26" s="230">
        <f t="shared" si="9"/>
        <v>1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294">
        <v>5100061991</v>
      </c>
      <c r="C27" s="294" t="s">
        <v>349</v>
      </c>
      <c r="D27" s="370"/>
      <c r="E27" s="382">
        <v>3</v>
      </c>
      <c r="F27" s="239">
        <v>1265.32</v>
      </c>
      <c r="G27" s="240"/>
      <c r="H27" s="241">
        <f t="shared" si="1"/>
        <v>3795.96</v>
      </c>
      <c r="I27" s="242"/>
      <c r="J27" s="243">
        <f t="shared" si="2"/>
        <v>3</v>
      </c>
      <c r="K27" s="240">
        <f t="shared" si="3"/>
        <v>1265.32</v>
      </c>
      <c r="L27" s="240">
        <f t="shared" si="4"/>
        <v>3795.96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1265.32</v>
      </c>
      <c r="T27" s="248">
        <f t="shared" si="7"/>
        <v>3795.96</v>
      </c>
      <c r="U27" s="249">
        <f t="shared" si="8"/>
        <v>0</v>
      </c>
      <c r="V27" s="249">
        <f t="shared" si="9"/>
        <v>1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379">
        <v>5100066530</v>
      </c>
      <c r="C28" s="379" t="s">
        <v>350</v>
      </c>
      <c r="D28" s="367"/>
      <c r="E28" s="219">
        <v>2</v>
      </c>
      <c r="F28" s="220">
        <v>107.03</v>
      </c>
      <c r="G28" s="221">
        <f t="shared" ref="G28:G60" si="10">ROUND(IF($F$17="USD $", F28*$E$15,F28*$D$15),2)</f>
        <v>75.37</v>
      </c>
      <c r="H28" s="222">
        <f t="shared" si="1"/>
        <v>214.06</v>
      </c>
      <c r="I28" s="242"/>
      <c r="J28" s="224">
        <f t="shared" si="2"/>
        <v>2</v>
      </c>
      <c r="K28" s="221">
        <f t="shared" si="3"/>
        <v>107.03</v>
      </c>
      <c r="L28" s="221">
        <f t="shared" si="4"/>
        <v>214.06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107.03</v>
      </c>
      <c r="T28" s="229">
        <f t="shared" si="7"/>
        <v>214.06</v>
      </c>
      <c r="U28" s="230">
        <f t="shared" si="8"/>
        <v>0</v>
      </c>
      <c r="V28" s="230">
        <f t="shared" si="9"/>
        <v>1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374"/>
      <c r="C29" s="374"/>
      <c r="D29" s="368"/>
      <c r="E29" s="238"/>
      <c r="F29" s="239"/>
      <c r="G29" s="240">
        <f t="shared" si="10"/>
        <v>0</v>
      </c>
      <c r="H29" s="241">
        <f t="shared" si="1"/>
        <v>0</v>
      </c>
      <c r="I29" s="242"/>
      <c r="J29" s="243">
        <f t="shared" si="2"/>
        <v>0</v>
      </c>
      <c r="K29" s="240">
        <f t="shared" si="3"/>
        <v>0</v>
      </c>
      <c r="L29" s="240">
        <f t="shared" si="4"/>
        <v>0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0</v>
      </c>
      <c r="T29" s="248">
        <f t="shared" si="7"/>
        <v>0</v>
      </c>
      <c r="U29" s="249">
        <f t="shared" si="8"/>
        <v>0</v>
      </c>
      <c r="V29" s="249">
        <f t="shared" si="9"/>
        <v>0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358"/>
      <c r="C30" s="359"/>
      <c r="D30" s="369"/>
      <c r="E30" s="219"/>
      <c r="F30" s="220"/>
      <c r="G30" s="221">
        <f t="shared" si="10"/>
        <v>0</v>
      </c>
      <c r="H30" s="222">
        <f t="shared" si="1"/>
        <v>0</v>
      </c>
      <c r="I30" s="242"/>
      <c r="J30" s="224">
        <f t="shared" si="2"/>
        <v>0</v>
      </c>
      <c r="K30" s="221">
        <f t="shared" si="3"/>
        <v>0</v>
      </c>
      <c r="L30" s="221">
        <f t="shared" si="4"/>
        <v>0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0</v>
      </c>
      <c r="T30" s="229">
        <f t="shared" si="7"/>
        <v>0</v>
      </c>
      <c r="U30" s="230">
        <f t="shared" si="8"/>
        <v>0</v>
      </c>
      <c r="V30" s="230">
        <f t="shared" si="9"/>
        <v>0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362"/>
      <c r="C31" s="363"/>
      <c r="D31" s="368"/>
      <c r="E31" s="238"/>
      <c r="F31" s="239"/>
      <c r="G31" s="240">
        <f t="shared" si="10"/>
        <v>0</v>
      </c>
      <c r="H31" s="241">
        <f t="shared" si="1"/>
        <v>0</v>
      </c>
      <c r="I31" s="242"/>
      <c r="J31" s="243">
        <f t="shared" si="2"/>
        <v>0</v>
      </c>
      <c r="K31" s="240">
        <f t="shared" si="3"/>
        <v>0</v>
      </c>
      <c r="L31" s="240">
        <f t="shared" si="4"/>
        <v>0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0</v>
      </c>
      <c r="T31" s="248">
        <f t="shared" si="7"/>
        <v>0</v>
      </c>
      <c r="U31" s="249">
        <f t="shared" si="8"/>
        <v>0</v>
      </c>
      <c r="V31" s="249">
        <f t="shared" si="9"/>
        <v>0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358"/>
      <c r="C32" s="365"/>
      <c r="D32" s="369"/>
      <c r="E32" s="219"/>
      <c r="F32" s="220"/>
      <c r="G32" s="221">
        <f t="shared" si="10"/>
        <v>0</v>
      </c>
      <c r="H32" s="222">
        <f t="shared" si="1"/>
        <v>0</v>
      </c>
      <c r="I32" s="242"/>
      <c r="J32" s="224">
        <f t="shared" si="2"/>
        <v>0</v>
      </c>
      <c r="K32" s="221">
        <f t="shared" si="3"/>
        <v>0</v>
      </c>
      <c r="L32" s="221">
        <f t="shared" si="4"/>
        <v>0</v>
      </c>
      <c r="M32" s="220" t="s">
        <v>84</v>
      </c>
      <c r="N32" s="254"/>
      <c r="O32" s="226"/>
      <c r="P32" s="255"/>
      <c r="Q32" s="228"/>
      <c r="R32" s="229">
        <f t="shared" si="5"/>
        <v>0</v>
      </c>
      <c r="S32" s="229">
        <f t="shared" si="6"/>
        <v>0</v>
      </c>
      <c r="T32" s="229">
        <f t="shared" si="7"/>
        <v>0</v>
      </c>
      <c r="U32" s="230">
        <f t="shared" si="8"/>
        <v>0</v>
      </c>
      <c r="V32" s="230">
        <f t="shared" si="9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362"/>
      <c r="C33" s="363"/>
      <c r="D33" s="368"/>
      <c r="E33" s="238"/>
      <c r="F33" s="239"/>
      <c r="G33" s="240">
        <f t="shared" si="10"/>
        <v>0</v>
      </c>
      <c r="H33" s="241">
        <f t="shared" si="1"/>
        <v>0</v>
      </c>
      <c r="I33" s="242"/>
      <c r="J33" s="243">
        <f t="shared" si="2"/>
        <v>0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358"/>
      <c r="C34" s="365"/>
      <c r="D34" s="369"/>
      <c r="E34" s="219"/>
      <c r="F34" s="220"/>
      <c r="G34" s="221">
        <f t="shared" si="1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/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362"/>
      <c r="C35" s="363"/>
      <c r="D35" s="368"/>
      <c r="E35" s="238"/>
      <c r="F35" s="239"/>
      <c r="G35" s="240">
        <f t="shared" si="1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/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358"/>
      <c r="C36" s="365"/>
      <c r="D36" s="369"/>
      <c r="E36" s="219"/>
      <c r="F36" s="220"/>
      <c r="G36" s="221">
        <f t="shared" si="1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362"/>
      <c r="C37" s="363"/>
      <c r="D37" s="286"/>
      <c r="E37" s="364"/>
      <c r="F37" s="239"/>
      <c r="G37" s="240">
        <f t="shared" si="1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358"/>
      <c r="C38" s="365"/>
      <c r="D38" s="287"/>
      <c r="E38" s="361"/>
      <c r="F38" s="220"/>
      <c r="G38" s="221">
        <f t="shared" si="1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362"/>
      <c r="C39" s="363"/>
      <c r="D39" s="286"/>
      <c r="E39" s="364"/>
      <c r="F39" s="239"/>
      <c r="G39" s="240">
        <f t="shared" si="1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358"/>
      <c r="C40" s="365"/>
      <c r="D40" s="287"/>
      <c r="E40" s="361"/>
      <c r="F40" s="220"/>
      <c r="G40" s="221">
        <f t="shared" si="1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362"/>
      <c r="C41" s="363"/>
      <c r="D41" s="286"/>
      <c r="E41" s="364"/>
      <c r="F41" s="239"/>
      <c r="G41" s="240">
        <f t="shared" si="1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358"/>
      <c r="C42" s="365"/>
      <c r="D42" s="287"/>
      <c r="E42" s="361"/>
      <c r="F42" s="220"/>
      <c r="G42" s="221">
        <f t="shared" si="1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362"/>
      <c r="C43" s="363"/>
      <c r="D43" s="286"/>
      <c r="E43" s="364"/>
      <c r="F43" s="239"/>
      <c r="G43" s="240">
        <f t="shared" si="1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358"/>
      <c r="C44" s="365"/>
      <c r="D44" s="287"/>
      <c r="E44" s="361"/>
      <c r="F44" s="220"/>
      <c r="G44" s="221">
        <f t="shared" si="1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362"/>
      <c r="C45" s="363"/>
      <c r="D45" s="286"/>
      <c r="E45" s="364"/>
      <c r="F45" s="239"/>
      <c r="G45" s="240">
        <f t="shared" si="1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358"/>
      <c r="C46" s="365"/>
      <c r="D46" s="287"/>
      <c r="E46" s="361"/>
      <c r="F46" s="220"/>
      <c r="G46" s="221">
        <f t="shared" si="1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362"/>
      <c r="C47" s="363"/>
      <c r="D47" s="286"/>
      <c r="E47" s="364"/>
      <c r="F47" s="239"/>
      <c r="G47" s="240">
        <f t="shared" si="10"/>
        <v>0</v>
      </c>
      <c r="H47" s="241">
        <f t="shared" si="1"/>
        <v>0</v>
      </c>
      <c r="I47" s="242"/>
      <c r="J47" s="243">
        <f t="shared" si="2"/>
        <v>0</v>
      </c>
      <c r="K47" s="240">
        <f t="shared" si="3"/>
        <v>0</v>
      </c>
      <c r="L47" s="240">
        <f t="shared" si="4"/>
        <v>0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0</v>
      </c>
      <c r="T47" s="248">
        <f t="shared" si="7"/>
        <v>0</v>
      </c>
      <c r="U47" s="249">
        <f t="shared" si="8"/>
        <v>0</v>
      </c>
      <c r="V47" s="249">
        <f t="shared" si="9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358"/>
      <c r="C48" s="365"/>
      <c r="D48" s="287"/>
      <c r="E48" s="361"/>
      <c r="F48" s="220"/>
      <c r="G48" s="221">
        <f t="shared" si="10"/>
        <v>0</v>
      </c>
      <c r="H48" s="222">
        <f t="shared" si="1"/>
        <v>0</v>
      </c>
      <c r="I48" s="242"/>
      <c r="J48" s="224">
        <f t="shared" si="2"/>
        <v>0</v>
      </c>
      <c r="K48" s="221">
        <f t="shared" si="3"/>
        <v>0</v>
      </c>
      <c r="L48" s="221">
        <f t="shared" si="4"/>
        <v>0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0</v>
      </c>
      <c r="T48" s="229">
        <f t="shared" si="7"/>
        <v>0</v>
      </c>
      <c r="U48" s="230">
        <f t="shared" si="8"/>
        <v>0</v>
      </c>
      <c r="V48" s="230">
        <f t="shared" si="9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362"/>
      <c r="C49" s="363"/>
      <c r="D49" s="286"/>
      <c r="E49" s="364"/>
      <c r="F49" s="239"/>
      <c r="G49" s="240">
        <f t="shared" si="10"/>
        <v>0</v>
      </c>
      <c r="H49" s="241">
        <f t="shared" si="1"/>
        <v>0</v>
      </c>
      <c r="I49" s="242"/>
      <c r="J49" s="243">
        <f t="shared" si="2"/>
        <v>0</v>
      </c>
      <c r="K49" s="240">
        <f t="shared" si="3"/>
        <v>0</v>
      </c>
      <c r="L49" s="240">
        <f t="shared" si="4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0</v>
      </c>
      <c r="T49" s="248">
        <f t="shared" si="7"/>
        <v>0</v>
      </c>
      <c r="U49" s="249">
        <f t="shared" si="8"/>
        <v>0</v>
      </c>
      <c r="V49" s="249">
        <f t="shared" si="9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358"/>
      <c r="C50" s="365"/>
      <c r="D50" s="287"/>
      <c r="E50" s="361"/>
      <c r="F50" s="220"/>
      <c r="G50" s="221">
        <f t="shared" si="10"/>
        <v>0</v>
      </c>
      <c r="H50" s="222">
        <f t="shared" si="1"/>
        <v>0</v>
      </c>
      <c r="I50" s="242"/>
      <c r="J50" s="224">
        <f t="shared" si="2"/>
        <v>0</v>
      </c>
      <c r="K50" s="221">
        <f t="shared" si="3"/>
        <v>0</v>
      </c>
      <c r="L50" s="221">
        <f t="shared" si="4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0</v>
      </c>
      <c r="T50" s="229">
        <f t="shared" si="7"/>
        <v>0</v>
      </c>
      <c r="U50" s="230">
        <f t="shared" si="8"/>
        <v>0</v>
      </c>
      <c r="V50" s="230">
        <f t="shared" si="9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362"/>
      <c r="C51" s="363"/>
      <c r="D51" s="286"/>
      <c r="E51" s="364"/>
      <c r="F51" s="239"/>
      <c r="G51" s="240">
        <f t="shared" si="1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1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1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1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1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1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1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1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1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1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12</v>
      </c>
      <c r="F61" s="265">
        <f>SUM(F18:F60)</f>
        <v>8001.53</v>
      </c>
      <c r="G61" s="266">
        <f>SUM(G18:G60)</f>
        <v>4743.8</v>
      </c>
      <c r="H61" s="267">
        <f>SUM(H18:H60)</f>
        <v>10639.199999999999</v>
      </c>
      <c r="I61" s="268"/>
      <c r="J61" s="269">
        <f>SUM(J18:J60)</f>
        <v>12</v>
      </c>
      <c r="K61" s="266">
        <f>SUM(K18:K60)</f>
        <v>8001.53</v>
      </c>
      <c r="L61" s="267">
        <f>SUM(L18:L60)</f>
        <v>10639.199999999999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8001.53</v>
      </c>
      <c r="T61" s="267">
        <f>SUM(T18:T60)</f>
        <v>10639.199999999999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61">
    <mergeCell ref="P16:P17"/>
    <mergeCell ref="R17:V17"/>
    <mergeCell ref="B16:B17"/>
    <mergeCell ref="C16:C17"/>
    <mergeCell ref="D16:D17"/>
    <mergeCell ref="E16:E17"/>
    <mergeCell ref="F16:G16"/>
    <mergeCell ref="D9:E9"/>
    <mergeCell ref="F9:G9"/>
    <mergeCell ref="P9:R9"/>
    <mergeCell ref="S9:S10"/>
    <mergeCell ref="T9:T10"/>
    <mergeCell ref="B11:C15"/>
    <mergeCell ref="D11:E13"/>
    <mergeCell ref="F11:H12"/>
    <mergeCell ref="P11:V13"/>
    <mergeCell ref="F13:G13"/>
    <mergeCell ref="F14:H14"/>
    <mergeCell ref="F15:H15"/>
    <mergeCell ref="P15:V15"/>
    <mergeCell ref="S7:T7"/>
    <mergeCell ref="U7:V7"/>
    <mergeCell ref="V9:V10"/>
    <mergeCell ref="W9:W10"/>
    <mergeCell ref="P10:R10"/>
    <mergeCell ref="U9:U10"/>
    <mergeCell ref="D8:E8"/>
    <mergeCell ref="F8:G8"/>
    <mergeCell ref="P8:R8"/>
    <mergeCell ref="D5:E5"/>
    <mergeCell ref="F5:G5"/>
    <mergeCell ref="P5:R5"/>
    <mergeCell ref="D7:E7"/>
    <mergeCell ref="F7:G7"/>
    <mergeCell ref="P7:R7"/>
    <mergeCell ref="S5:T5"/>
    <mergeCell ref="U5:V5"/>
    <mergeCell ref="D6:E6"/>
    <mergeCell ref="F6:G6"/>
    <mergeCell ref="P6:R6"/>
    <mergeCell ref="S6:T6"/>
    <mergeCell ref="U6:V6"/>
    <mergeCell ref="D3:E3"/>
    <mergeCell ref="F3:G3"/>
    <mergeCell ref="P3:R3"/>
    <mergeCell ref="S3:T3"/>
    <mergeCell ref="U3:V3"/>
    <mergeCell ref="D4:E4"/>
    <mergeCell ref="F4:G4"/>
    <mergeCell ref="P4:R4"/>
    <mergeCell ref="S4:T4"/>
    <mergeCell ref="U4:V4"/>
    <mergeCell ref="B1:C1"/>
    <mergeCell ref="D1:G1"/>
    <mergeCell ref="P1:R1"/>
    <mergeCell ref="S1:W1"/>
    <mergeCell ref="D2:E2"/>
    <mergeCell ref="F2:G2"/>
    <mergeCell ref="P2:R2"/>
    <mergeCell ref="S2:T2"/>
    <mergeCell ref="U2:V2"/>
  </mergeCells>
  <conditionalFormatting sqref="U9:U10">
    <cfRule type="expression" dxfId="39" priority="3" stopIfTrue="1">
      <formula>$U$9&gt;100%</formula>
    </cfRule>
    <cfRule type="expression" dxfId="38" priority="4">
      <formula>$U$9&lt;50%</formula>
    </cfRule>
  </conditionalFormatting>
  <conditionalFormatting sqref="V9:V10">
    <cfRule type="expression" dxfId="37" priority="1">
      <formula>$V$9&lt;50%</formula>
    </cfRule>
    <cfRule type="expression" dxfId="36" priority="2">
      <formula>$V$9&gt;50%</formula>
    </cfRule>
  </conditionalFormatting>
  <dataValidations count="5">
    <dataValidation type="list" allowBlank="1" showInputMessage="1" showErrorMessage="1" sqref="H13" xr:uid="{26C47D21-5D3D-464C-A8CE-C99E918D3F7D}">
      <formula1>$Y$13:$Y$14</formula1>
    </dataValidation>
    <dataValidation type="list" showInputMessage="1" showErrorMessage="1" sqref="D52:D60 D28:D36 D18:D26" xr:uid="{1AA0798D-8FAC-4A04-8D6F-8CD707117240}">
      <formula1>$Z$18:$Z$29</formula1>
    </dataValidation>
    <dataValidation type="list" allowBlank="1" showInputMessage="1" showErrorMessage="1" sqref="Q14 K17 Q17 F17" xr:uid="{E7E67CBE-83D7-40CC-B746-65A06C04EAD2}">
      <formula1>$Y$11:$Y$12</formula1>
    </dataValidation>
    <dataValidation type="list" allowBlank="1" showInputMessage="1" showErrorMessage="1" sqref="I13" xr:uid="{855E27DD-21CE-47A2-BB45-2079B3250EEA}">
      <formula1>$K$9:$K$9</formula1>
    </dataValidation>
    <dataValidation type="list" allowBlank="1" showInputMessage="1" showErrorMessage="1" sqref="M18:M60" xr:uid="{8C1B0B9F-A5EE-40FB-907A-414CA9999EDA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75664-FEDB-4C65-9B11-1116F26C8B34}">
  <sheetPr>
    <pageSetUpPr fitToPage="1"/>
  </sheetPr>
  <dimension ref="A1:AB63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302" t="s">
        <v>2</v>
      </c>
      <c r="I1" s="303"/>
      <c r="J1" s="303"/>
      <c r="K1" s="304"/>
      <c r="L1" s="305" t="s">
        <v>3</v>
      </c>
      <c r="M1" s="306"/>
      <c r="N1" s="306"/>
      <c r="O1" s="306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77" t="s">
        <v>373</v>
      </c>
      <c r="G2" s="549"/>
      <c r="H2" s="315" t="s">
        <v>7</v>
      </c>
      <c r="I2" s="317"/>
      <c r="J2" s="316"/>
      <c r="K2" s="148"/>
      <c r="L2" s="318" t="s">
        <v>8</v>
      </c>
      <c r="M2" s="319"/>
      <c r="N2" s="320"/>
      <c r="O2" s="149"/>
      <c r="P2" s="554">
        <f>H61</f>
        <v>10639.199999999999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307" t="s">
        <v>13</v>
      </c>
      <c r="I3" s="309"/>
      <c r="J3" s="308"/>
      <c r="K3" s="154"/>
      <c r="L3" s="310" t="s">
        <v>14</v>
      </c>
      <c r="M3" s="311"/>
      <c r="N3" s="312"/>
      <c r="O3" s="149"/>
      <c r="P3" s="540">
        <f>L61</f>
        <v>10639.199999999999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681" t="s">
        <v>337</v>
      </c>
      <c r="G4" s="673"/>
      <c r="H4" s="307" t="s">
        <v>19</v>
      </c>
      <c r="I4" s="309"/>
      <c r="J4" s="308"/>
      <c r="K4" s="154"/>
      <c r="L4" s="310" t="s">
        <v>20</v>
      </c>
      <c r="M4" s="311"/>
      <c r="N4" s="312"/>
      <c r="O4" s="149"/>
      <c r="P4" s="540">
        <f>P2-P3</f>
        <v>0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688" t="s">
        <v>340</v>
      </c>
      <c r="G5" s="685"/>
      <c r="H5" s="307" t="s">
        <v>25</v>
      </c>
      <c r="I5" s="309"/>
      <c r="J5" s="308"/>
      <c r="K5" s="154"/>
      <c r="L5" s="321" t="s">
        <v>26</v>
      </c>
      <c r="M5" s="322"/>
      <c r="N5" s="323"/>
      <c r="O5" s="149"/>
      <c r="P5" s="561">
        <f>IFERROR((P2-P3)/P2,"")</f>
        <v>0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81" t="s">
        <v>353</v>
      </c>
      <c r="G6" s="673"/>
      <c r="H6" s="307" t="s">
        <v>31</v>
      </c>
      <c r="I6" s="309"/>
      <c r="J6" s="308"/>
      <c r="K6" s="154"/>
      <c r="L6" s="327" t="s">
        <v>32</v>
      </c>
      <c r="M6" s="328"/>
      <c r="N6" s="329"/>
      <c r="O6" s="149"/>
      <c r="P6" s="577">
        <f>T61</f>
        <v>10639.199999999999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671"/>
      <c r="G7" s="535"/>
      <c r="H7" s="307" t="s">
        <v>36</v>
      </c>
      <c r="I7" s="309"/>
      <c r="J7" s="308"/>
      <c r="K7" s="154"/>
      <c r="L7" s="324" t="s">
        <v>37</v>
      </c>
      <c r="M7" s="325"/>
      <c r="N7" s="32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307" t="s">
        <v>40</v>
      </c>
      <c r="I8" s="309"/>
      <c r="J8" s="308"/>
      <c r="K8" s="154"/>
      <c r="L8" s="324" t="s">
        <v>41</v>
      </c>
      <c r="M8" s="325"/>
      <c r="N8" s="32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366</v>
      </c>
      <c r="G9" s="535"/>
      <c r="H9" s="171"/>
      <c r="I9" s="172"/>
      <c r="J9" s="172"/>
      <c r="K9" s="173"/>
      <c r="L9" s="324" t="s">
        <v>47</v>
      </c>
      <c r="M9" s="325"/>
      <c r="N9" s="32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10639.199999999999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313" t="s">
        <v>48</v>
      </c>
      <c r="M10" s="330"/>
      <c r="N10" s="314"/>
      <c r="O10" s="149"/>
      <c r="P10" s="580">
        <f>E61</f>
        <v>12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347" t="s">
        <v>50</v>
      </c>
      <c r="K11" s="348"/>
      <c r="L11" s="348"/>
      <c r="M11" s="348"/>
      <c r="N11" s="349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350"/>
      <c r="K12" s="351"/>
      <c r="L12" s="351"/>
      <c r="M12" s="351"/>
      <c r="N12" s="352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353"/>
      <c r="K13" s="354"/>
      <c r="L13" s="354"/>
      <c r="M13" s="354"/>
      <c r="N13" s="355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331" t="s">
        <v>59</v>
      </c>
      <c r="K14" s="332"/>
      <c r="L14" s="335" t="s">
        <v>60</v>
      </c>
      <c r="M14" s="336"/>
      <c r="N14" s="33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333"/>
      <c r="K15" s="334"/>
      <c r="L15" s="338"/>
      <c r="M15" s="339"/>
      <c r="N15" s="34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343" t="s">
        <v>69</v>
      </c>
      <c r="K16" s="201" t="s">
        <v>72</v>
      </c>
      <c r="L16" s="202" t="s">
        <v>73</v>
      </c>
      <c r="M16" s="345" t="s">
        <v>74</v>
      </c>
      <c r="N16" s="345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8"/>
      <c r="C17" s="678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344"/>
      <c r="K17" s="341" t="s">
        <v>52</v>
      </c>
      <c r="L17" s="342"/>
      <c r="M17" s="346"/>
      <c r="N17" s="346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 s="292">
        <v>5000155678</v>
      </c>
      <c r="C18" s="366" t="s">
        <v>342</v>
      </c>
      <c r="D18" s="367"/>
      <c r="E18" s="219">
        <v>1</v>
      </c>
      <c r="F18" s="220">
        <v>88.22</v>
      </c>
      <c r="G18" s="221">
        <f t="shared" ref="G18:G26" si="0">ROUND(IF($F$17="USD $", F18*$E$15,F18*$D$15),2)</f>
        <v>62.13</v>
      </c>
      <c r="H18" s="222">
        <f t="shared" ref="H18:H60" si="1">ROUND(IF($H$17=$G$17,E18*G18,E18*F18),2)</f>
        <v>88.22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88.22</v>
      </c>
      <c r="L18" s="221">
        <f t="shared" ref="L18:L60" si="4">ROUND((J18*K18),2)</f>
        <v>88.22</v>
      </c>
      <c r="M18" s="220" t="s">
        <v>84</v>
      </c>
      <c r="N18" s="225"/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88.22</v>
      </c>
      <c r="T18" s="229">
        <f t="shared" ref="T18:T60" si="7">ROUND(L18-R18,2)</f>
        <v>88.22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294">
        <v>5200015526</v>
      </c>
      <c r="C19" s="294" t="s">
        <v>343</v>
      </c>
      <c r="D19" s="368"/>
      <c r="E19" s="238">
        <v>1</v>
      </c>
      <c r="F19" s="239">
        <v>37.520000000000003</v>
      </c>
      <c r="G19" s="240">
        <f t="shared" si="0"/>
        <v>26.42</v>
      </c>
      <c r="H19" s="241">
        <f t="shared" si="1"/>
        <v>37.520000000000003</v>
      </c>
      <c r="I19" s="242"/>
      <c r="J19" s="243">
        <f t="shared" si="2"/>
        <v>1</v>
      </c>
      <c r="K19" s="240">
        <f t="shared" si="3"/>
        <v>37.520000000000003</v>
      </c>
      <c r="L19" s="240">
        <f t="shared" si="4"/>
        <v>37.520000000000003</v>
      </c>
      <c r="M19" s="244" t="s">
        <v>84</v>
      </c>
      <c r="N19" s="245"/>
      <c r="O19" s="226"/>
      <c r="P19" s="246"/>
      <c r="Q19" s="239"/>
      <c r="R19" s="247">
        <f t="shared" si="5"/>
        <v>0</v>
      </c>
      <c r="S19" s="248">
        <f t="shared" si="6"/>
        <v>37.520000000000003</v>
      </c>
      <c r="T19" s="248">
        <f t="shared" si="7"/>
        <v>37.520000000000003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292">
        <v>5200009520</v>
      </c>
      <c r="C20" s="292" t="s">
        <v>344</v>
      </c>
      <c r="D20" s="369"/>
      <c r="E20" s="219">
        <v>1</v>
      </c>
      <c r="F20" s="220">
        <v>208.39</v>
      </c>
      <c r="G20" s="221">
        <f t="shared" si="0"/>
        <v>146.75</v>
      </c>
      <c r="H20" s="222">
        <f t="shared" si="1"/>
        <v>208.39</v>
      </c>
      <c r="I20" s="242"/>
      <c r="J20" s="224">
        <f t="shared" si="2"/>
        <v>1</v>
      </c>
      <c r="K20" s="221">
        <f t="shared" si="3"/>
        <v>208.39</v>
      </c>
      <c r="L20" s="221">
        <f t="shared" si="4"/>
        <v>208.39</v>
      </c>
      <c r="M20" s="220" t="s">
        <v>84</v>
      </c>
      <c r="N20" s="254"/>
      <c r="O20" s="226"/>
      <c r="P20" s="255"/>
      <c r="Q20" s="228"/>
      <c r="R20" s="229">
        <f t="shared" si="5"/>
        <v>0</v>
      </c>
      <c r="S20" s="229">
        <f t="shared" si="6"/>
        <v>208.39</v>
      </c>
      <c r="T20" s="229">
        <f t="shared" si="7"/>
        <v>208.39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294">
        <v>5000082116</v>
      </c>
      <c r="C21" s="294" t="s">
        <v>345</v>
      </c>
      <c r="D21" s="368"/>
      <c r="E21" s="238">
        <v>1</v>
      </c>
      <c r="F21" s="239">
        <v>35.44</v>
      </c>
      <c r="G21" s="240">
        <f t="shared" si="0"/>
        <v>24.96</v>
      </c>
      <c r="H21" s="241">
        <f t="shared" si="1"/>
        <v>35.44</v>
      </c>
      <c r="I21" s="242"/>
      <c r="J21" s="243">
        <f t="shared" si="2"/>
        <v>1</v>
      </c>
      <c r="K21" s="240">
        <f t="shared" si="3"/>
        <v>35.44</v>
      </c>
      <c r="L21" s="240">
        <f t="shared" si="4"/>
        <v>35.44</v>
      </c>
      <c r="M21" s="244" t="s">
        <v>84</v>
      </c>
      <c r="N21" s="245"/>
      <c r="O21" s="226"/>
      <c r="P21" s="246"/>
      <c r="Q21" s="239"/>
      <c r="R21" s="247">
        <f t="shared" si="5"/>
        <v>0</v>
      </c>
      <c r="S21" s="248">
        <f t="shared" si="6"/>
        <v>35.44</v>
      </c>
      <c r="T21" s="248">
        <f t="shared" si="7"/>
        <v>35.44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292"/>
      <c r="C22" s="292"/>
      <c r="D22" s="369"/>
      <c r="E22" s="219"/>
      <c r="F22" s="220"/>
      <c r="G22" s="221">
        <f t="shared" si="0"/>
        <v>0</v>
      </c>
      <c r="H22" s="222">
        <f t="shared" si="1"/>
        <v>0</v>
      </c>
      <c r="I22" s="242"/>
      <c r="J22" s="224">
        <f t="shared" si="2"/>
        <v>0</v>
      </c>
      <c r="K22" s="221">
        <f t="shared" si="3"/>
        <v>0</v>
      </c>
      <c r="L22" s="221">
        <f t="shared" si="4"/>
        <v>0</v>
      </c>
      <c r="M22" s="220" t="s">
        <v>84</v>
      </c>
      <c r="N22" s="254"/>
      <c r="O22" s="226"/>
      <c r="P22" s="255"/>
      <c r="Q22" s="228"/>
      <c r="R22" s="229">
        <f t="shared" si="5"/>
        <v>0</v>
      </c>
      <c r="S22" s="229">
        <f t="shared" si="6"/>
        <v>0</v>
      </c>
      <c r="T22" s="229">
        <f t="shared" si="7"/>
        <v>0</v>
      </c>
      <c r="U22" s="230">
        <f t="shared" si="8"/>
        <v>0</v>
      </c>
      <c r="V22" s="230">
        <f t="shared" si="9"/>
        <v>0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294"/>
      <c r="C23" s="294"/>
      <c r="D23" s="368"/>
      <c r="E23" s="238"/>
      <c r="F23" s="239"/>
      <c r="G23" s="240">
        <f t="shared" si="0"/>
        <v>0</v>
      </c>
      <c r="H23" s="241">
        <f t="shared" si="1"/>
        <v>0</v>
      </c>
      <c r="I23" s="242"/>
      <c r="J23" s="243">
        <f t="shared" si="2"/>
        <v>0</v>
      </c>
      <c r="K23" s="240">
        <f t="shared" si="3"/>
        <v>0</v>
      </c>
      <c r="L23" s="240">
        <f t="shared" si="4"/>
        <v>0</v>
      </c>
      <c r="M23" s="244" t="s">
        <v>84</v>
      </c>
      <c r="N23" s="245"/>
      <c r="O23" s="226"/>
      <c r="P23" s="246"/>
      <c r="Q23" s="239"/>
      <c r="R23" s="247">
        <f t="shared" si="5"/>
        <v>0</v>
      </c>
      <c r="S23" s="248">
        <f t="shared" si="6"/>
        <v>0</v>
      </c>
      <c r="T23" s="248">
        <f t="shared" si="7"/>
        <v>0</v>
      </c>
      <c r="U23" s="249">
        <f t="shared" si="8"/>
        <v>0</v>
      </c>
      <c r="V23" s="249">
        <f t="shared" si="9"/>
        <v>0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292">
        <v>5200009453</v>
      </c>
      <c r="C24" s="292" t="s">
        <v>346</v>
      </c>
      <c r="D24" s="369"/>
      <c r="E24" s="219">
        <v>1</v>
      </c>
      <c r="F24" s="220">
        <v>3367.35</v>
      </c>
      <c r="G24" s="221">
        <f t="shared" si="0"/>
        <v>2371.37</v>
      </c>
      <c r="H24" s="222">
        <f t="shared" si="1"/>
        <v>3367.35</v>
      </c>
      <c r="I24" s="242"/>
      <c r="J24" s="224">
        <f t="shared" si="2"/>
        <v>1</v>
      </c>
      <c r="K24" s="221">
        <f t="shared" si="3"/>
        <v>3367.35</v>
      </c>
      <c r="L24" s="221">
        <f t="shared" si="4"/>
        <v>3367.35</v>
      </c>
      <c r="M24" s="220" t="s">
        <v>84</v>
      </c>
      <c r="N24" s="254"/>
      <c r="O24" s="226"/>
      <c r="P24" s="255"/>
      <c r="Q24" s="228"/>
      <c r="R24" s="229">
        <f t="shared" si="5"/>
        <v>0</v>
      </c>
      <c r="S24" s="229">
        <f t="shared" si="6"/>
        <v>3367.35</v>
      </c>
      <c r="T24" s="229">
        <f t="shared" si="7"/>
        <v>3367.35</v>
      </c>
      <c r="U24" s="230">
        <f t="shared" si="8"/>
        <v>0</v>
      </c>
      <c r="V24" s="230">
        <f t="shared" si="9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>
        <v>5000153758</v>
      </c>
      <c r="C25" s="294" t="s">
        <v>347</v>
      </c>
      <c r="D25" s="368"/>
      <c r="E25" s="238">
        <v>1</v>
      </c>
      <c r="F25" s="239">
        <v>287.2</v>
      </c>
      <c r="G25" s="240">
        <f t="shared" si="0"/>
        <v>202.25</v>
      </c>
      <c r="H25" s="241">
        <f t="shared" si="1"/>
        <v>287.2</v>
      </c>
      <c r="I25" s="242"/>
      <c r="J25" s="243">
        <f t="shared" si="2"/>
        <v>1</v>
      </c>
      <c r="K25" s="240">
        <f t="shared" si="3"/>
        <v>287.2</v>
      </c>
      <c r="L25" s="240">
        <f t="shared" si="4"/>
        <v>287.2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287.2</v>
      </c>
      <c r="T25" s="248">
        <f t="shared" si="7"/>
        <v>287.2</v>
      </c>
      <c r="U25" s="249">
        <f t="shared" si="8"/>
        <v>0</v>
      </c>
      <c r="V25" s="249">
        <f t="shared" si="9"/>
        <v>1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>
        <v>5000160388</v>
      </c>
      <c r="C26" s="357" t="s">
        <v>348</v>
      </c>
      <c r="D26" s="369"/>
      <c r="E26" s="219">
        <v>1</v>
      </c>
      <c r="F26" s="220">
        <v>2605.06</v>
      </c>
      <c r="G26" s="221">
        <f t="shared" si="0"/>
        <v>1834.55</v>
      </c>
      <c r="H26" s="222">
        <f t="shared" si="1"/>
        <v>2605.06</v>
      </c>
      <c r="I26" s="242"/>
      <c r="J26" s="224">
        <f t="shared" si="2"/>
        <v>1</v>
      </c>
      <c r="K26" s="221">
        <f t="shared" si="3"/>
        <v>2605.06</v>
      </c>
      <c r="L26" s="221">
        <f t="shared" si="4"/>
        <v>2605.06</v>
      </c>
      <c r="M26" s="220" t="s">
        <v>84</v>
      </c>
      <c r="N26" s="254"/>
      <c r="O26" s="226"/>
      <c r="P26" s="255"/>
      <c r="Q26" s="228"/>
      <c r="R26" s="229">
        <f t="shared" si="5"/>
        <v>0</v>
      </c>
      <c r="S26" s="229">
        <f t="shared" si="6"/>
        <v>2605.06</v>
      </c>
      <c r="T26" s="229">
        <f t="shared" si="7"/>
        <v>2605.06</v>
      </c>
      <c r="U26" s="230">
        <f t="shared" si="8"/>
        <v>0</v>
      </c>
      <c r="V26" s="230">
        <f t="shared" si="9"/>
        <v>1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294">
        <v>5100061991</v>
      </c>
      <c r="C27" s="294" t="s">
        <v>349</v>
      </c>
      <c r="D27" s="370"/>
      <c r="E27" s="382">
        <v>3</v>
      </c>
      <c r="F27" s="239">
        <v>1265.32</v>
      </c>
      <c r="G27" s="240"/>
      <c r="H27" s="241">
        <f t="shared" si="1"/>
        <v>3795.96</v>
      </c>
      <c r="I27" s="242"/>
      <c r="J27" s="243">
        <f t="shared" si="2"/>
        <v>3</v>
      </c>
      <c r="K27" s="240">
        <f t="shared" si="3"/>
        <v>1265.32</v>
      </c>
      <c r="L27" s="240">
        <f t="shared" si="4"/>
        <v>3795.96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1265.32</v>
      </c>
      <c r="T27" s="248">
        <f t="shared" si="7"/>
        <v>3795.96</v>
      </c>
      <c r="U27" s="249">
        <f t="shared" si="8"/>
        <v>0</v>
      </c>
      <c r="V27" s="249">
        <f t="shared" si="9"/>
        <v>1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379">
        <v>5100066530</v>
      </c>
      <c r="C28" s="379" t="s">
        <v>350</v>
      </c>
      <c r="D28" s="367"/>
      <c r="E28" s="219">
        <v>2</v>
      </c>
      <c r="F28" s="220">
        <v>107.03</v>
      </c>
      <c r="G28" s="221">
        <f t="shared" ref="G28:G60" si="10">ROUND(IF($F$17="USD $", F28*$E$15,F28*$D$15),2)</f>
        <v>75.37</v>
      </c>
      <c r="H28" s="222">
        <f t="shared" si="1"/>
        <v>214.06</v>
      </c>
      <c r="I28" s="242"/>
      <c r="J28" s="224">
        <f t="shared" si="2"/>
        <v>2</v>
      </c>
      <c r="K28" s="221">
        <f t="shared" si="3"/>
        <v>107.03</v>
      </c>
      <c r="L28" s="221">
        <f t="shared" si="4"/>
        <v>214.06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107.03</v>
      </c>
      <c r="T28" s="229">
        <f t="shared" si="7"/>
        <v>214.06</v>
      </c>
      <c r="U28" s="230">
        <f t="shared" si="8"/>
        <v>0</v>
      </c>
      <c r="V28" s="230">
        <f t="shared" si="9"/>
        <v>1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374"/>
      <c r="C29" s="374"/>
      <c r="D29" s="368"/>
      <c r="E29" s="238"/>
      <c r="F29" s="239"/>
      <c r="G29" s="240">
        <f t="shared" si="10"/>
        <v>0</v>
      </c>
      <c r="H29" s="241">
        <f t="shared" si="1"/>
        <v>0</v>
      </c>
      <c r="I29" s="242"/>
      <c r="J29" s="243">
        <f t="shared" si="2"/>
        <v>0</v>
      </c>
      <c r="K29" s="240">
        <f t="shared" si="3"/>
        <v>0</v>
      </c>
      <c r="L29" s="240">
        <f t="shared" si="4"/>
        <v>0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0</v>
      </c>
      <c r="T29" s="248">
        <f t="shared" si="7"/>
        <v>0</v>
      </c>
      <c r="U29" s="249">
        <f t="shared" si="8"/>
        <v>0</v>
      </c>
      <c r="V29" s="249">
        <f t="shared" si="9"/>
        <v>0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358"/>
      <c r="C30" s="359"/>
      <c r="D30" s="369"/>
      <c r="E30" s="219"/>
      <c r="F30" s="220"/>
      <c r="G30" s="221">
        <f t="shared" si="10"/>
        <v>0</v>
      </c>
      <c r="H30" s="222">
        <f t="shared" si="1"/>
        <v>0</v>
      </c>
      <c r="I30" s="242"/>
      <c r="J30" s="224">
        <f t="shared" si="2"/>
        <v>0</v>
      </c>
      <c r="K30" s="221">
        <f t="shared" si="3"/>
        <v>0</v>
      </c>
      <c r="L30" s="221">
        <f t="shared" si="4"/>
        <v>0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0</v>
      </c>
      <c r="T30" s="229">
        <f t="shared" si="7"/>
        <v>0</v>
      </c>
      <c r="U30" s="230">
        <f t="shared" si="8"/>
        <v>0</v>
      </c>
      <c r="V30" s="230">
        <f t="shared" si="9"/>
        <v>0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362"/>
      <c r="C31" s="363"/>
      <c r="D31" s="368"/>
      <c r="E31" s="238"/>
      <c r="F31" s="239"/>
      <c r="G31" s="240">
        <f t="shared" si="10"/>
        <v>0</v>
      </c>
      <c r="H31" s="241">
        <f t="shared" si="1"/>
        <v>0</v>
      </c>
      <c r="I31" s="242"/>
      <c r="J31" s="243">
        <f t="shared" si="2"/>
        <v>0</v>
      </c>
      <c r="K31" s="240">
        <f t="shared" si="3"/>
        <v>0</v>
      </c>
      <c r="L31" s="240">
        <f t="shared" si="4"/>
        <v>0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0</v>
      </c>
      <c r="T31" s="248">
        <f t="shared" si="7"/>
        <v>0</v>
      </c>
      <c r="U31" s="249">
        <f t="shared" si="8"/>
        <v>0</v>
      </c>
      <c r="V31" s="249">
        <f t="shared" si="9"/>
        <v>0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358"/>
      <c r="C32" s="365"/>
      <c r="D32" s="369"/>
      <c r="E32" s="219"/>
      <c r="F32" s="220"/>
      <c r="G32" s="221">
        <f t="shared" si="10"/>
        <v>0</v>
      </c>
      <c r="H32" s="222">
        <f t="shared" si="1"/>
        <v>0</v>
      </c>
      <c r="I32" s="242"/>
      <c r="J32" s="224">
        <f t="shared" si="2"/>
        <v>0</v>
      </c>
      <c r="K32" s="221">
        <f t="shared" si="3"/>
        <v>0</v>
      </c>
      <c r="L32" s="221">
        <f t="shared" si="4"/>
        <v>0</v>
      </c>
      <c r="M32" s="220" t="s">
        <v>84</v>
      </c>
      <c r="N32" s="254"/>
      <c r="O32" s="226"/>
      <c r="P32" s="255"/>
      <c r="Q32" s="228"/>
      <c r="R32" s="229">
        <f t="shared" si="5"/>
        <v>0</v>
      </c>
      <c r="S32" s="229">
        <f t="shared" si="6"/>
        <v>0</v>
      </c>
      <c r="T32" s="229">
        <f t="shared" si="7"/>
        <v>0</v>
      </c>
      <c r="U32" s="230">
        <f t="shared" si="8"/>
        <v>0</v>
      </c>
      <c r="V32" s="230">
        <f t="shared" si="9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362"/>
      <c r="C33" s="363"/>
      <c r="D33" s="368"/>
      <c r="E33" s="238"/>
      <c r="F33" s="239"/>
      <c r="G33" s="240">
        <f t="shared" si="10"/>
        <v>0</v>
      </c>
      <c r="H33" s="241">
        <f t="shared" si="1"/>
        <v>0</v>
      </c>
      <c r="I33" s="242"/>
      <c r="J33" s="243">
        <f t="shared" si="2"/>
        <v>0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358"/>
      <c r="C34" s="365"/>
      <c r="D34" s="369"/>
      <c r="E34" s="219"/>
      <c r="F34" s="220"/>
      <c r="G34" s="221">
        <f t="shared" si="1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/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362"/>
      <c r="C35" s="363"/>
      <c r="D35" s="368"/>
      <c r="E35" s="238"/>
      <c r="F35" s="239"/>
      <c r="G35" s="240">
        <f t="shared" si="1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/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358"/>
      <c r="C36" s="365"/>
      <c r="D36" s="369"/>
      <c r="E36" s="219"/>
      <c r="F36" s="220"/>
      <c r="G36" s="221">
        <f t="shared" si="1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362"/>
      <c r="C37" s="363"/>
      <c r="D37" s="286"/>
      <c r="E37" s="364"/>
      <c r="F37" s="239"/>
      <c r="G37" s="240">
        <f t="shared" si="1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358"/>
      <c r="C38" s="365"/>
      <c r="D38" s="287"/>
      <c r="E38" s="361"/>
      <c r="F38" s="220"/>
      <c r="G38" s="221">
        <f t="shared" si="1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362"/>
      <c r="C39" s="363"/>
      <c r="D39" s="286"/>
      <c r="E39" s="364"/>
      <c r="F39" s="239"/>
      <c r="G39" s="240">
        <f t="shared" si="1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358"/>
      <c r="C40" s="365"/>
      <c r="D40" s="287"/>
      <c r="E40" s="361"/>
      <c r="F40" s="220"/>
      <c r="G40" s="221">
        <f t="shared" si="1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362"/>
      <c r="C41" s="363"/>
      <c r="D41" s="286"/>
      <c r="E41" s="364"/>
      <c r="F41" s="239"/>
      <c r="G41" s="240">
        <f t="shared" si="1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358"/>
      <c r="C42" s="365"/>
      <c r="D42" s="287"/>
      <c r="E42" s="361"/>
      <c r="F42" s="220"/>
      <c r="G42" s="221">
        <f t="shared" si="1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362"/>
      <c r="C43" s="363"/>
      <c r="D43" s="286"/>
      <c r="E43" s="364"/>
      <c r="F43" s="239"/>
      <c r="G43" s="240">
        <f t="shared" si="1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358"/>
      <c r="C44" s="365"/>
      <c r="D44" s="287"/>
      <c r="E44" s="361"/>
      <c r="F44" s="220"/>
      <c r="G44" s="221">
        <f t="shared" si="1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362"/>
      <c r="C45" s="363"/>
      <c r="D45" s="286"/>
      <c r="E45" s="364"/>
      <c r="F45" s="239"/>
      <c r="G45" s="240">
        <f t="shared" si="1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358"/>
      <c r="C46" s="365"/>
      <c r="D46" s="287"/>
      <c r="E46" s="361"/>
      <c r="F46" s="220"/>
      <c r="G46" s="221">
        <f t="shared" si="1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362"/>
      <c r="C47" s="363"/>
      <c r="D47" s="286"/>
      <c r="E47" s="364"/>
      <c r="F47" s="239"/>
      <c r="G47" s="240">
        <f t="shared" si="10"/>
        <v>0</v>
      </c>
      <c r="H47" s="241">
        <f t="shared" si="1"/>
        <v>0</v>
      </c>
      <c r="I47" s="242"/>
      <c r="J47" s="243">
        <f t="shared" si="2"/>
        <v>0</v>
      </c>
      <c r="K47" s="240">
        <f t="shared" si="3"/>
        <v>0</v>
      </c>
      <c r="L47" s="240">
        <f t="shared" si="4"/>
        <v>0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0</v>
      </c>
      <c r="T47" s="248">
        <f t="shared" si="7"/>
        <v>0</v>
      </c>
      <c r="U47" s="249">
        <f t="shared" si="8"/>
        <v>0</v>
      </c>
      <c r="V47" s="249">
        <f t="shared" si="9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358"/>
      <c r="C48" s="365"/>
      <c r="D48" s="287"/>
      <c r="E48" s="361"/>
      <c r="F48" s="220"/>
      <c r="G48" s="221">
        <f t="shared" si="10"/>
        <v>0</v>
      </c>
      <c r="H48" s="222">
        <f t="shared" si="1"/>
        <v>0</v>
      </c>
      <c r="I48" s="242"/>
      <c r="J48" s="224">
        <f t="shared" si="2"/>
        <v>0</v>
      </c>
      <c r="K48" s="221">
        <f t="shared" si="3"/>
        <v>0</v>
      </c>
      <c r="L48" s="221">
        <f t="shared" si="4"/>
        <v>0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0</v>
      </c>
      <c r="T48" s="229">
        <f t="shared" si="7"/>
        <v>0</v>
      </c>
      <c r="U48" s="230">
        <f t="shared" si="8"/>
        <v>0</v>
      </c>
      <c r="V48" s="230">
        <f t="shared" si="9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362"/>
      <c r="C49" s="363"/>
      <c r="D49" s="286"/>
      <c r="E49" s="364"/>
      <c r="F49" s="239"/>
      <c r="G49" s="240">
        <f t="shared" si="10"/>
        <v>0</v>
      </c>
      <c r="H49" s="241">
        <f t="shared" si="1"/>
        <v>0</v>
      </c>
      <c r="I49" s="242"/>
      <c r="J49" s="243">
        <f t="shared" si="2"/>
        <v>0</v>
      </c>
      <c r="K49" s="240">
        <f t="shared" si="3"/>
        <v>0</v>
      </c>
      <c r="L49" s="240">
        <f t="shared" si="4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0</v>
      </c>
      <c r="T49" s="248">
        <f t="shared" si="7"/>
        <v>0</v>
      </c>
      <c r="U49" s="249">
        <f t="shared" si="8"/>
        <v>0</v>
      </c>
      <c r="V49" s="249">
        <f t="shared" si="9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358"/>
      <c r="C50" s="365"/>
      <c r="D50" s="287"/>
      <c r="E50" s="361"/>
      <c r="F50" s="220"/>
      <c r="G50" s="221">
        <f t="shared" si="10"/>
        <v>0</v>
      </c>
      <c r="H50" s="222">
        <f t="shared" si="1"/>
        <v>0</v>
      </c>
      <c r="I50" s="242"/>
      <c r="J50" s="224">
        <f t="shared" si="2"/>
        <v>0</v>
      </c>
      <c r="K50" s="221">
        <f t="shared" si="3"/>
        <v>0</v>
      </c>
      <c r="L50" s="221">
        <f t="shared" si="4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0</v>
      </c>
      <c r="T50" s="229">
        <f t="shared" si="7"/>
        <v>0</v>
      </c>
      <c r="U50" s="230">
        <f t="shared" si="8"/>
        <v>0</v>
      </c>
      <c r="V50" s="230">
        <f t="shared" si="9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362"/>
      <c r="C51" s="363"/>
      <c r="D51" s="286"/>
      <c r="E51" s="364"/>
      <c r="F51" s="239"/>
      <c r="G51" s="240">
        <f t="shared" si="1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1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1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1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1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1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1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1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1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1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12</v>
      </c>
      <c r="F61" s="265">
        <f>SUM(F18:F60)</f>
        <v>8001.53</v>
      </c>
      <c r="G61" s="266">
        <f>SUM(G18:G60)</f>
        <v>4743.8</v>
      </c>
      <c r="H61" s="267">
        <f>SUM(H18:H60)</f>
        <v>10639.199999999999</v>
      </c>
      <c r="I61" s="268"/>
      <c r="J61" s="269">
        <f>SUM(J18:J60)</f>
        <v>12</v>
      </c>
      <c r="K61" s="266">
        <f>SUM(K18:K60)</f>
        <v>8001.53</v>
      </c>
      <c r="L61" s="267">
        <f>SUM(L18:L60)</f>
        <v>10639.199999999999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8001.53</v>
      </c>
      <c r="T61" s="267">
        <f>SUM(T18:T60)</f>
        <v>10639.199999999999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61">
    <mergeCell ref="P16:P17"/>
    <mergeCell ref="R17:V17"/>
    <mergeCell ref="B16:B17"/>
    <mergeCell ref="C16:C17"/>
    <mergeCell ref="D16:D17"/>
    <mergeCell ref="E16:E17"/>
    <mergeCell ref="F16:G16"/>
    <mergeCell ref="D9:E9"/>
    <mergeCell ref="F9:G9"/>
    <mergeCell ref="P9:R9"/>
    <mergeCell ref="S9:S10"/>
    <mergeCell ref="T9:T10"/>
    <mergeCell ref="B11:C15"/>
    <mergeCell ref="D11:E13"/>
    <mergeCell ref="F11:H12"/>
    <mergeCell ref="P11:V13"/>
    <mergeCell ref="F13:G13"/>
    <mergeCell ref="F14:H14"/>
    <mergeCell ref="F15:H15"/>
    <mergeCell ref="P15:V15"/>
    <mergeCell ref="S7:T7"/>
    <mergeCell ref="U7:V7"/>
    <mergeCell ref="V9:V10"/>
    <mergeCell ref="W9:W10"/>
    <mergeCell ref="P10:R10"/>
    <mergeCell ref="U9:U10"/>
    <mergeCell ref="D8:E8"/>
    <mergeCell ref="F8:G8"/>
    <mergeCell ref="P8:R8"/>
    <mergeCell ref="D5:E5"/>
    <mergeCell ref="F5:G5"/>
    <mergeCell ref="P5:R5"/>
    <mergeCell ref="D7:E7"/>
    <mergeCell ref="F7:G7"/>
    <mergeCell ref="P7:R7"/>
    <mergeCell ref="S5:T5"/>
    <mergeCell ref="U5:V5"/>
    <mergeCell ref="D6:E6"/>
    <mergeCell ref="F6:G6"/>
    <mergeCell ref="P6:R6"/>
    <mergeCell ref="S6:T6"/>
    <mergeCell ref="U6:V6"/>
    <mergeCell ref="D3:E3"/>
    <mergeCell ref="F3:G3"/>
    <mergeCell ref="P3:R3"/>
    <mergeCell ref="S3:T3"/>
    <mergeCell ref="U3:V3"/>
    <mergeCell ref="D4:E4"/>
    <mergeCell ref="F4:G4"/>
    <mergeCell ref="P4:R4"/>
    <mergeCell ref="S4:T4"/>
    <mergeCell ref="U4:V4"/>
    <mergeCell ref="B1:C1"/>
    <mergeCell ref="D1:G1"/>
    <mergeCell ref="P1:R1"/>
    <mergeCell ref="S1:W1"/>
    <mergeCell ref="D2:E2"/>
    <mergeCell ref="F2:G2"/>
    <mergeCell ref="P2:R2"/>
    <mergeCell ref="S2:T2"/>
    <mergeCell ref="U2:V2"/>
  </mergeCells>
  <conditionalFormatting sqref="U9:U10">
    <cfRule type="expression" dxfId="35" priority="3" stopIfTrue="1">
      <formula>$U$9&gt;100%</formula>
    </cfRule>
    <cfRule type="expression" dxfId="34" priority="4">
      <formula>$U$9&lt;50%</formula>
    </cfRule>
  </conditionalFormatting>
  <conditionalFormatting sqref="V9:V10">
    <cfRule type="expression" dxfId="33" priority="1">
      <formula>$V$9&lt;50%</formula>
    </cfRule>
    <cfRule type="expression" dxfId="32" priority="2">
      <formula>$V$9&gt;50%</formula>
    </cfRule>
  </conditionalFormatting>
  <dataValidations count="5">
    <dataValidation type="list" allowBlank="1" showInputMessage="1" showErrorMessage="1" sqref="M18:M60" xr:uid="{E9F0C2DA-AB71-4B5B-BD88-A48DDBC29720}">
      <formula1>$Y$31:$Y$32</formula1>
    </dataValidation>
    <dataValidation type="list" allowBlank="1" showInputMessage="1" showErrorMessage="1" sqref="I13" xr:uid="{9FABA955-D9D7-43A5-8589-9CD2FCA3A6D2}">
      <formula1>$K$9:$K$9</formula1>
    </dataValidation>
    <dataValidation type="list" allowBlank="1" showInputMessage="1" showErrorMessage="1" sqref="Q14 K17 Q17 F17" xr:uid="{03448BEF-17DA-4CDC-B3DB-83F46DAC5D4F}">
      <formula1>$Y$11:$Y$12</formula1>
    </dataValidation>
    <dataValidation type="list" showInputMessage="1" showErrorMessage="1" sqref="D52:D60 D28:D36 D18:D26" xr:uid="{26469E5E-3541-4190-AB55-77A061B3A1FD}">
      <formula1>$Z$18:$Z$29</formula1>
    </dataValidation>
    <dataValidation type="list" allowBlank="1" showInputMessage="1" showErrorMessage="1" sqref="H13" xr:uid="{DE6ED464-11A5-46A6-B58D-B3C8198AB3F2}">
      <formula1>$Y$13:$Y$14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F6F7D-671E-4AB7-886C-047E0337F814}">
  <sheetPr>
    <pageSetUpPr fitToPage="1"/>
  </sheetPr>
  <dimension ref="A1:AB63"/>
  <sheetViews>
    <sheetView zoomScale="85" zoomScaleNormal="85" workbookViewId="0">
      <selection activeCell="F4" sqref="F4:G5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302" t="s">
        <v>2</v>
      </c>
      <c r="I1" s="303"/>
      <c r="J1" s="303"/>
      <c r="K1" s="304"/>
      <c r="L1" s="305" t="s">
        <v>3</v>
      </c>
      <c r="M1" s="306"/>
      <c r="N1" s="306"/>
      <c r="O1" s="306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77" t="s">
        <v>372</v>
      </c>
      <c r="G2" s="549"/>
      <c r="H2" s="315" t="s">
        <v>7</v>
      </c>
      <c r="I2" s="317"/>
      <c r="J2" s="316"/>
      <c r="K2" s="148"/>
      <c r="L2" s="318" t="s">
        <v>8</v>
      </c>
      <c r="M2" s="319"/>
      <c r="N2" s="320"/>
      <c r="O2" s="149"/>
      <c r="P2" s="554">
        <f>H61</f>
        <v>10639.199999999999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307" t="s">
        <v>13</v>
      </c>
      <c r="I3" s="309"/>
      <c r="J3" s="308"/>
      <c r="K3" s="154"/>
      <c r="L3" s="310" t="s">
        <v>14</v>
      </c>
      <c r="M3" s="311"/>
      <c r="N3" s="312"/>
      <c r="O3" s="149"/>
      <c r="P3" s="540">
        <f>L61</f>
        <v>10639.199999999999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681" t="s">
        <v>337</v>
      </c>
      <c r="G4" s="673"/>
      <c r="H4" s="307" t="s">
        <v>19</v>
      </c>
      <c r="I4" s="309"/>
      <c r="J4" s="308"/>
      <c r="K4" s="154"/>
      <c r="L4" s="310" t="s">
        <v>20</v>
      </c>
      <c r="M4" s="311"/>
      <c r="N4" s="312"/>
      <c r="O4" s="149"/>
      <c r="P4" s="540">
        <f>P2-P3</f>
        <v>0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688" t="s">
        <v>340</v>
      </c>
      <c r="G5" s="685"/>
      <c r="H5" s="307" t="s">
        <v>25</v>
      </c>
      <c r="I5" s="309"/>
      <c r="J5" s="308"/>
      <c r="K5" s="154"/>
      <c r="L5" s="321" t="s">
        <v>26</v>
      </c>
      <c r="M5" s="322"/>
      <c r="N5" s="323"/>
      <c r="O5" s="149"/>
      <c r="P5" s="561">
        <f>IFERROR((P2-P3)/P2,"")</f>
        <v>0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81" t="s">
        <v>354</v>
      </c>
      <c r="G6" s="673"/>
      <c r="H6" s="307" t="s">
        <v>31</v>
      </c>
      <c r="I6" s="309"/>
      <c r="J6" s="308"/>
      <c r="K6" s="154"/>
      <c r="L6" s="327" t="s">
        <v>32</v>
      </c>
      <c r="M6" s="328"/>
      <c r="N6" s="329"/>
      <c r="O6" s="149"/>
      <c r="P6" s="577">
        <f>T61</f>
        <v>10639.199999999999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671"/>
      <c r="G7" s="535"/>
      <c r="H7" s="307" t="s">
        <v>36</v>
      </c>
      <c r="I7" s="309"/>
      <c r="J7" s="308"/>
      <c r="K7" s="154"/>
      <c r="L7" s="324" t="s">
        <v>37</v>
      </c>
      <c r="M7" s="325"/>
      <c r="N7" s="32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307" t="s">
        <v>40</v>
      </c>
      <c r="I8" s="309"/>
      <c r="J8" s="308"/>
      <c r="K8" s="154"/>
      <c r="L8" s="324" t="s">
        <v>41</v>
      </c>
      <c r="M8" s="325"/>
      <c r="N8" s="32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366</v>
      </c>
      <c r="G9" s="535"/>
      <c r="H9" s="171"/>
      <c r="I9" s="172"/>
      <c r="J9" s="172"/>
      <c r="K9" s="173"/>
      <c r="L9" s="324" t="s">
        <v>47</v>
      </c>
      <c r="M9" s="325"/>
      <c r="N9" s="32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10639.199999999999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313" t="s">
        <v>48</v>
      </c>
      <c r="M10" s="330"/>
      <c r="N10" s="314"/>
      <c r="O10" s="149"/>
      <c r="P10" s="580">
        <f>E61</f>
        <v>12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347" t="s">
        <v>50</v>
      </c>
      <c r="K11" s="348"/>
      <c r="L11" s="348"/>
      <c r="M11" s="348"/>
      <c r="N11" s="349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350"/>
      <c r="K12" s="351"/>
      <c r="L12" s="351"/>
      <c r="M12" s="351"/>
      <c r="N12" s="352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353"/>
      <c r="K13" s="354"/>
      <c r="L13" s="354"/>
      <c r="M13" s="354"/>
      <c r="N13" s="355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331" t="s">
        <v>59</v>
      </c>
      <c r="K14" s="332"/>
      <c r="L14" s="335" t="s">
        <v>60</v>
      </c>
      <c r="M14" s="336"/>
      <c r="N14" s="33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333"/>
      <c r="K15" s="334"/>
      <c r="L15" s="338"/>
      <c r="M15" s="339"/>
      <c r="N15" s="34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343" t="s">
        <v>69</v>
      </c>
      <c r="K16" s="201" t="s">
        <v>72</v>
      </c>
      <c r="L16" s="202" t="s">
        <v>73</v>
      </c>
      <c r="M16" s="345" t="s">
        <v>74</v>
      </c>
      <c r="N16" s="345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8"/>
      <c r="C17" s="678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344"/>
      <c r="K17" s="341" t="s">
        <v>52</v>
      </c>
      <c r="L17" s="342"/>
      <c r="M17" s="346"/>
      <c r="N17" s="346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 s="292">
        <v>5000155678</v>
      </c>
      <c r="C18" s="366" t="s">
        <v>342</v>
      </c>
      <c r="D18" s="367"/>
      <c r="E18" s="219">
        <v>1</v>
      </c>
      <c r="F18" s="220">
        <v>88.22</v>
      </c>
      <c r="G18" s="221">
        <f t="shared" ref="G18:G26" si="0">ROUND(IF($F$17="USD $", F18*$E$15,F18*$D$15),2)</f>
        <v>62.13</v>
      </c>
      <c r="H18" s="222">
        <f t="shared" ref="H18:H60" si="1">ROUND(IF($H$17=$G$17,E18*G18,E18*F18),2)</f>
        <v>88.22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88.22</v>
      </c>
      <c r="L18" s="221">
        <f t="shared" ref="L18:L60" si="4">ROUND((J18*K18),2)</f>
        <v>88.22</v>
      </c>
      <c r="M18" s="220" t="s">
        <v>84</v>
      </c>
      <c r="N18" s="225"/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88.22</v>
      </c>
      <c r="T18" s="229">
        <f t="shared" ref="T18:T60" si="7">ROUND(L18-R18,2)</f>
        <v>88.22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294">
        <v>5200015526</v>
      </c>
      <c r="C19" s="294" t="s">
        <v>343</v>
      </c>
      <c r="D19" s="368"/>
      <c r="E19" s="238">
        <v>1</v>
      </c>
      <c r="F19" s="239">
        <v>37.520000000000003</v>
      </c>
      <c r="G19" s="240">
        <f t="shared" si="0"/>
        <v>26.42</v>
      </c>
      <c r="H19" s="241">
        <f t="shared" si="1"/>
        <v>37.520000000000003</v>
      </c>
      <c r="I19" s="242"/>
      <c r="J19" s="243">
        <f t="shared" si="2"/>
        <v>1</v>
      </c>
      <c r="K19" s="240">
        <f t="shared" si="3"/>
        <v>37.520000000000003</v>
      </c>
      <c r="L19" s="240">
        <f t="shared" si="4"/>
        <v>37.520000000000003</v>
      </c>
      <c r="M19" s="244" t="s">
        <v>84</v>
      </c>
      <c r="N19" s="245"/>
      <c r="O19" s="226"/>
      <c r="P19" s="246"/>
      <c r="Q19" s="239"/>
      <c r="R19" s="247">
        <f t="shared" si="5"/>
        <v>0</v>
      </c>
      <c r="S19" s="248">
        <f t="shared" si="6"/>
        <v>37.520000000000003</v>
      </c>
      <c r="T19" s="248">
        <f t="shared" si="7"/>
        <v>37.520000000000003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292">
        <v>5200009520</v>
      </c>
      <c r="C20" s="292" t="s">
        <v>344</v>
      </c>
      <c r="D20" s="369"/>
      <c r="E20" s="219">
        <v>1</v>
      </c>
      <c r="F20" s="220">
        <v>208.39</v>
      </c>
      <c r="G20" s="221">
        <f t="shared" si="0"/>
        <v>146.75</v>
      </c>
      <c r="H20" s="222">
        <f t="shared" si="1"/>
        <v>208.39</v>
      </c>
      <c r="I20" s="242"/>
      <c r="J20" s="224">
        <f t="shared" si="2"/>
        <v>1</v>
      </c>
      <c r="K20" s="221">
        <f t="shared" si="3"/>
        <v>208.39</v>
      </c>
      <c r="L20" s="221">
        <f t="shared" si="4"/>
        <v>208.39</v>
      </c>
      <c r="M20" s="220" t="s">
        <v>84</v>
      </c>
      <c r="N20" s="254"/>
      <c r="O20" s="226"/>
      <c r="P20" s="255"/>
      <c r="Q20" s="228"/>
      <c r="R20" s="229">
        <f t="shared" si="5"/>
        <v>0</v>
      </c>
      <c r="S20" s="229">
        <f t="shared" si="6"/>
        <v>208.39</v>
      </c>
      <c r="T20" s="229">
        <f t="shared" si="7"/>
        <v>208.39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294">
        <v>5000082116</v>
      </c>
      <c r="C21" s="294" t="s">
        <v>345</v>
      </c>
      <c r="D21" s="368"/>
      <c r="E21" s="238">
        <v>1</v>
      </c>
      <c r="F21" s="239">
        <v>35.44</v>
      </c>
      <c r="G21" s="240">
        <f t="shared" si="0"/>
        <v>24.96</v>
      </c>
      <c r="H21" s="241">
        <f t="shared" si="1"/>
        <v>35.44</v>
      </c>
      <c r="I21" s="242"/>
      <c r="J21" s="243">
        <f t="shared" si="2"/>
        <v>1</v>
      </c>
      <c r="K21" s="240">
        <f t="shared" si="3"/>
        <v>35.44</v>
      </c>
      <c r="L21" s="240">
        <f t="shared" si="4"/>
        <v>35.44</v>
      </c>
      <c r="M21" s="244" t="s">
        <v>84</v>
      </c>
      <c r="N21" s="245"/>
      <c r="O21" s="226"/>
      <c r="P21" s="246"/>
      <c r="Q21" s="239"/>
      <c r="R21" s="247">
        <f t="shared" si="5"/>
        <v>0</v>
      </c>
      <c r="S21" s="248">
        <f t="shared" si="6"/>
        <v>35.44</v>
      </c>
      <c r="T21" s="248">
        <f t="shared" si="7"/>
        <v>35.44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292"/>
      <c r="C22" s="292"/>
      <c r="D22" s="369"/>
      <c r="E22" s="219"/>
      <c r="F22" s="220"/>
      <c r="G22" s="221">
        <f t="shared" si="0"/>
        <v>0</v>
      </c>
      <c r="H22" s="222">
        <f t="shared" si="1"/>
        <v>0</v>
      </c>
      <c r="I22" s="242"/>
      <c r="J22" s="224">
        <f t="shared" si="2"/>
        <v>0</v>
      </c>
      <c r="K22" s="221">
        <f t="shared" si="3"/>
        <v>0</v>
      </c>
      <c r="L22" s="221">
        <f t="shared" si="4"/>
        <v>0</v>
      </c>
      <c r="M22" s="220" t="s">
        <v>84</v>
      </c>
      <c r="N22" s="254"/>
      <c r="O22" s="226"/>
      <c r="P22" s="255"/>
      <c r="Q22" s="228"/>
      <c r="R22" s="229">
        <f t="shared" si="5"/>
        <v>0</v>
      </c>
      <c r="S22" s="229">
        <f t="shared" si="6"/>
        <v>0</v>
      </c>
      <c r="T22" s="229">
        <f t="shared" si="7"/>
        <v>0</v>
      </c>
      <c r="U22" s="230">
        <f t="shared" si="8"/>
        <v>0</v>
      </c>
      <c r="V22" s="230">
        <f t="shared" si="9"/>
        <v>0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294"/>
      <c r="C23" s="294"/>
      <c r="D23" s="368"/>
      <c r="E23" s="238"/>
      <c r="F23" s="239"/>
      <c r="G23" s="240">
        <f t="shared" si="0"/>
        <v>0</v>
      </c>
      <c r="H23" s="241">
        <f t="shared" si="1"/>
        <v>0</v>
      </c>
      <c r="I23" s="242"/>
      <c r="J23" s="243">
        <f t="shared" si="2"/>
        <v>0</v>
      </c>
      <c r="K23" s="240">
        <f t="shared" si="3"/>
        <v>0</v>
      </c>
      <c r="L23" s="240">
        <f t="shared" si="4"/>
        <v>0</v>
      </c>
      <c r="M23" s="244" t="s">
        <v>84</v>
      </c>
      <c r="N23" s="245"/>
      <c r="O23" s="226"/>
      <c r="P23" s="246"/>
      <c r="Q23" s="239"/>
      <c r="R23" s="247">
        <f t="shared" si="5"/>
        <v>0</v>
      </c>
      <c r="S23" s="248">
        <f t="shared" si="6"/>
        <v>0</v>
      </c>
      <c r="T23" s="248">
        <f t="shared" si="7"/>
        <v>0</v>
      </c>
      <c r="U23" s="249">
        <f t="shared" si="8"/>
        <v>0</v>
      </c>
      <c r="V23" s="249">
        <f t="shared" si="9"/>
        <v>0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292">
        <v>5200009453</v>
      </c>
      <c r="C24" s="292" t="s">
        <v>346</v>
      </c>
      <c r="D24" s="369"/>
      <c r="E24" s="219">
        <v>1</v>
      </c>
      <c r="F24" s="220">
        <v>3367.35</v>
      </c>
      <c r="G24" s="221">
        <f t="shared" si="0"/>
        <v>2371.37</v>
      </c>
      <c r="H24" s="222">
        <f t="shared" si="1"/>
        <v>3367.35</v>
      </c>
      <c r="I24" s="242"/>
      <c r="J24" s="224">
        <f t="shared" si="2"/>
        <v>1</v>
      </c>
      <c r="K24" s="221">
        <f t="shared" si="3"/>
        <v>3367.35</v>
      </c>
      <c r="L24" s="221">
        <f t="shared" si="4"/>
        <v>3367.35</v>
      </c>
      <c r="M24" s="220" t="s">
        <v>84</v>
      </c>
      <c r="N24" s="254"/>
      <c r="O24" s="226"/>
      <c r="P24" s="255"/>
      <c r="Q24" s="228"/>
      <c r="R24" s="229">
        <f t="shared" si="5"/>
        <v>0</v>
      </c>
      <c r="S24" s="229">
        <f t="shared" si="6"/>
        <v>3367.35</v>
      </c>
      <c r="T24" s="229">
        <f t="shared" si="7"/>
        <v>3367.35</v>
      </c>
      <c r="U24" s="230">
        <f t="shared" si="8"/>
        <v>0</v>
      </c>
      <c r="V24" s="230">
        <f t="shared" si="9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>
        <v>5000153758</v>
      </c>
      <c r="C25" s="294" t="s">
        <v>347</v>
      </c>
      <c r="D25" s="368"/>
      <c r="E25" s="238">
        <v>1</v>
      </c>
      <c r="F25" s="239">
        <v>287.2</v>
      </c>
      <c r="G25" s="240">
        <f t="shared" si="0"/>
        <v>202.25</v>
      </c>
      <c r="H25" s="241">
        <f t="shared" si="1"/>
        <v>287.2</v>
      </c>
      <c r="I25" s="242"/>
      <c r="J25" s="243">
        <f t="shared" si="2"/>
        <v>1</v>
      </c>
      <c r="K25" s="240">
        <f t="shared" si="3"/>
        <v>287.2</v>
      </c>
      <c r="L25" s="240">
        <f t="shared" si="4"/>
        <v>287.2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287.2</v>
      </c>
      <c r="T25" s="248">
        <f t="shared" si="7"/>
        <v>287.2</v>
      </c>
      <c r="U25" s="249">
        <f t="shared" si="8"/>
        <v>0</v>
      </c>
      <c r="V25" s="249">
        <f t="shared" si="9"/>
        <v>1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>
        <v>5000160388</v>
      </c>
      <c r="C26" s="357" t="s">
        <v>348</v>
      </c>
      <c r="D26" s="369"/>
      <c r="E26" s="219">
        <v>1</v>
      </c>
      <c r="F26" s="220">
        <v>2605.06</v>
      </c>
      <c r="G26" s="221">
        <f t="shared" si="0"/>
        <v>1834.55</v>
      </c>
      <c r="H26" s="222">
        <f t="shared" si="1"/>
        <v>2605.06</v>
      </c>
      <c r="I26" s="242"/>
      <c r="J26" s="224">
        <f t="shared" si="2"/>
        <v>1</v>
      </c>
      <c r="K26" s="221">
        <f t="shared" si="3"/>
        <v>2605.06</v>
      </c>
      <c r="L26" s="221">
        <f t="shared" si="4"/>
        <v>2605.06</v>
      </c>
      <c r="M26" s="220" t="s">
        <v>84</v>
      </c>
      <c r="N26" s="254"/>
      <c r="O26" s="226"/>
      <c r="P26" s="255"/>
      <c r="Q26" s="228"/>
      <c r="R26" s="229">
        <f t="shared" si="5"/>
        <v>0</v>
      </c>
      <c r="S26" s="229">
        <f t="shared" si="6"/>
        <v>2605.06</v>
      </c>
      <c r="T26" s="229">
        <f t="shared" si="7"/>
        <v>2605.06</v>
      </c>
      <c r="U26" s="230">
        <f t="shared" si="8"/>
        <v>0</v>
      </c>
      <c r="V26" s="230">
        <f t="shared" si="9"/>
        <v>1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294">
        <v>5100061991</v>
      </c>
      <c r="C27" s="294" t="s">
        <v>349</v>
      </c>
      <c r="D27" s="370"/>
      <c r="E27" s="382">
        <v>3</v>
      </c>
      <c r="F27" s="239">
        <v>1265.32</v>
      </c>
      <c r="G27" s="240"/>
      <c r="H27" s="241">
        <f t="shared" si="1"/>
        <v>3795.96</v>
      </c>
      <c r="I27" s="242"/>
      <c r="J27" s="243">
        <f t="shared" si="2"/>
        <v>3</v>
      </c>
      <c r="K27" s="240">
        <f t="shared" si="3"/>
        <v>1265.32</v>
      </c>
      <c r="L27" s="240">
        <f t="shared" si="4"/>
        <v>3795.96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1265.32</v>
      </c>
      <c r="T27" s="248">
        <f t="shared" si="7"/>
        <v>3795.96</v>
      </c>
      <c r="U27" s="249">
        <f t="shared" si="8"/>
        <v>0</v>
      </c>
      <c r="V27" s="249">
        <f t="shared" si="9"/>
        <v>1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379">
        <v>5100066530</v>
      </c>
      <c r="C28" s="379" t="s">
        <v>350</v>
      </c>
      <c r="D28" s="367"/>
      <c r="E28" s="219">
        <v>2</v>
      </c>
      <c r="F28" s="220">
        <v>107.03</v>
      </c>
      <c r="G28" s="221">
        <f t="shared" ref="G28:G60" si="10">ROUND(IF($F$17="USD $", F28*$E$15,F28*$D$15),2)</f>
        <v>75.37</v>
      </c>
      <c r="H28" s="222">
        <f t="shared" si="1"/>
        <v>214.06</v>
      </c>
      <c r="I28" s="242"/>
      <c r="J28" s="224">
        <f t="shared" si="2"/>
        <v>2</v>
      </c>
      <c r="K28" s="221">
        <f t="shared" si="3"/>
        <v>107.03</v>
      </c>
      <c r="L28" s="221">
        <f t="shared" si="4"/>
        <v>214.06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107.03</v>
      </c>
      <c r="T28" s="229">
        <f t="shared" si="7"/>
        <v>214.06</v>
      </c>
      <c r="U28" s="230">
        <f t="shared" si="8"/>
        <v>0</v>
      </c>
      <c r="V28" s="230">
        <f t="shared" si="9"/>
        <v>1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374"/>
      <c r="C29" s="374"/>
      <c r="D29" s="368"/>
      <c r="E29" s="238"/>
      <c r="F29" s="239"/>
      <c r="G29" s="240">
        <f t="shared" si="10"/>
        <v>0</v>
      </c>
      <c r="H29" s="241">
        <f t="shared" si="1"/>
        <v>0</v>
      </c>
      <c r="I29" s="242"/>
      <c r="J29" s="243">
        <f t="shared" si="2"/>
        <v>0</v>
      </c>
      <c r="K29" s="240">
        <f t="shared" si="3"/>
        <v>0</v>
      </c>
      <c r="L29" s="240">
        <f t="shared" si="4"/>
        <v>0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0</v>
      </c>
      <c r="T29" s="248">
        <f t="shared" si="7"/>
        <v>0</v>
      </c>
      <c r="U29" s="249">
        <f t="shared" si="8"/>
        <v>0</v>
      </c>
      <c r="V29" s="249">
        <f t="shared" si="9"/>
        <v>0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358"/>
      <c r="C30" s="359"/>
      <c r="D30" s="369"/>
      <c r="E30" s="219"/>
      <c r="F30" s="220"/>
      <c r="G30" s="221">
        <f t="shared" si="10"/>
        <v>0</v>
      </c>
      <c r="H30" s="222">
        <f t="shared" si="1"/>
        <v>0</v>
      </c>
      <c r="I30" s="242"/>
      <c r="J30" s="224">
        <f t="shared" si="2"/>
        <v>0</v>
      </c>
      <c r="K30" s="221">
        <f t="shared" si="3"/>
        <v>0</v>
      </c>
      <c r="L30" s="221">
        <f t="shared" si="4"/>
        <v>0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0</v>
      </c>
      <c r="T30" s="229">
        <f t="shared" si="7"/>
        <v>0</v>
      </c>
      <c r="U30" s="230">
        <f t="shared" si="8"/>
        <v>0</v>
      </c>
      <c r="V30" s="230">
        <f t="shared" si="9"/>
        <v>0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362"/>
      <c r="C31" s="363"/>
      <c r="D31" s="368"/>
      <c r="E31" s="238"/>
      <c r="F31" s="239"/>
      <c r="G31" s="240">
        <f t="shared" si="10"/>
        <v>0</v>
      </c>
      <c r="H31" s="241">
        <f t="shared" si="1"/>
        <v>0</v>
      </c>
      <c r="I31" s="242"/>
      <c r="J31" s="243">
        <f t="shared" si="2"/>
        <v>0</v>
      </c>
      <c r="K31" s="240">
        <f t="shared" si="3"/>
        <v>0</v>
      </c>
      <c r="L31" s="240">
        <f t="shared" si="4"/>
        <v>0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0</v>
      </c>
      <c r="T31" s="248">
        <f t="shared" si="7"/>
        <v>0</v>
      </c>
      <c r="U31" s="249">
        <f t="shared" si="8"/>
        <v>0</v>
      </c>
      <c r="V31" s="249">
        <f t="shared" si="9"/>
        <v>0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358"/>
      <c r="C32" s="365"/>
      <c r="D32" s="369"/>
      <c r="E32" s="219"/>
      <c r="F32" s="220"/>
      <c r="G32" s="221">
        <f t="shared" si="10"/>
        <v>0</v>
      </c>
      <c r="H32" s="222">
        <f t="shared" si="1"/>
        <v>0</v>
      </c>
      <c r="I32" s="242"/>
      <c r="J32" s="224">
        <f t="shared" si="2"/>
        <v>0</v>
      </c>
      <c r="K32" s="221">
        <f t="shared" si="3"/>
        <v>0</v>
      </c>
      <c r="L32" s="221">
        <f t="shared" si="4"/>
        <v>0</v>
      </c>
      <c r="M32" s="220" t="s">
        <v>84</v>
      </c>
      <c r="N32" s="254"/>
      <c r="O32" s="226"/>
      <c r="P32" s="255"/>
      <c r="Q32" s="228"/>
      <c r="R32" s="229">
        <f t="shared" si="5"/>
        <v>0</v>
      </c>
      <c r="S32" s="229">
        <f t="shared" si="6"/>
        <v>0</v>
      </c>
      <c r="T32" s="229">
        <f t="shared" si="7"/>
        <v>0</v>
      </c>
      <c r="U32" s="230">
        <f t="shared" si="8"/>
        <v>0</v>
      </c>
      <c r="V32" s="230">
        <f t="shared" si="9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362"/>
      <c r="C33" s="363"/>
      <c r="D33" s="368"/>
      <c r="E33" s="238"/>
      <c r="F33" s="239"/>
      <c r="G33" s="240">
        <f t="shared" si="10"/>
        <v>0</v>
      </c>
      <c r="H33" s="241">
        <f t="shared" si="1"/>
        <v>0</v>
      </c>
      <c r="I33" s="242"/>
      <c r="J33" s="243">
        <f t="shared" si="2"/>
        <v>0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358"/>
      <c r="C34" s="365"/>
      <c r="D34" s="369"/>
      <c r="E34" s="219"/>
      <c r="F34" s="220"/>
      <c r="G34" s="221">
        <f t="shared" si="1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/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362"/>
      <c r="C35" s="363"/>
      <c r="D35" s="368"/>
      <c r="E35" s="238"/>
      <c r="F35" s="239"/>
      <c r="G35" s="240">
        <f t="shared" si="1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/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358"/>
      <c r="C36" s="365"/>
      <c r="D36" s="369"/>
      <c r="E36" s="219"/>
      <c r="F36" s="220"/>
      <c r="G36" s="221">
        <f t="shared" si="1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362"/>
      <c r="C37" s="363"/>
      <c r="D37" s="286"/>
      <c r="E37" s="364"/>
      <c r="F37" s="239"/>
      <c r="G37" s="240">
        <f t="shared" si="1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358"/>
      <c r="C38" s="365"/>
      <c r="D38" s="287"/>
      <c r="E38" s="361"/>
      <c r="F38" s="220"/>
      <c r="G38" s="221">
        <f t="shared" si="1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362"/>
      <c r="C39" s="363"/>
      <c r="D39" s="286"/>
      <c r="E39" s="364"/>
      <c r="F39" s="239"/>
      <c r="G39" s="240">
        <f t="shared" si="1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358"/>
      <c r="C40" s="365"/>
      <c r="D40" s="287"/>
      <c r="E40" s="361"/>
      <c r="F40" s="220"/>
      <c r="G40" s="221">
        <f t="shared" si="1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362"/>
      <c r="C41" s="363"/>
      <c r="D41" s="286"/>
      <c r="E41" s="364"/>
      <c r="F41" s="239"/>
      <c r="G41" s="240">
        <f t="shared" si="1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358"/>
      <c r="C42" s="365"/>
      <c r="D42" s="287"/>
      <c r="E42" s="361"/>
      <c r="F42" s="220"/>
      <c r="G42" s="221">
        <f t="shared" si="1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362"/>
      <c r="C43" s="363"/>
      <c r="D43" s="286"/>
      <c r="E43" s="364"/>
      <c r="F43" s="239"/>
      <c r="G43" s="240">
        <f t="shared" si="1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358"/>
      <c r="C44" s="365"/>
      <c r="D44" s="287"/>
      <c r="E44" s="361"/>
      <c r="F44" s="220"/>
      <c r="G44" s="221">
        <f t="shared" si="1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362"/>
      <c r="C45" s="363"/>
      <c r="D45" s="286"/>
      <c r="E45" s="364"/>
      <c r="F45" s="239"/>
      <c r="G45" s="240">
        <f t="shared" si="1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358"/>
      <c r="C46" s="365"/>
      <c r="D46" s="287"/>
      <c r="E46" s="361"/>
      <c r="F46" s="220"/>
      <c r="G46" s="221">
        <f t="shared" si="1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362"/>
      <c r="C47" s="363"/>
      <c r="D47" s="286"/>
      <c r="E47" s="364"/>
      <c r="F47" s="239"/>
      <c r="G47" s="240">
        <f t="shared" si="10"/>
        <v>0</v>
      </c>
      <c r="H47" s="241">
        <f t="shared" si="1"/>
        <v>0</v>
      </c>
      <c r="I47" s="242"/>
      <c r="J47" s="243">
        <f t="shared" si="2"/>
        <v>0</v>
      </c>
      <c r="K47" s="240">
        <f t="shared" si="3"/>
        <v>0</v>
      </c>
      <c r="L47" s="240">
        <f t="shared" si="4"/>
        <v>0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0</v>
      </c>
      <c r="T47" s="248">
        <f t="shared" si="7"/>
        <v>0</v>
      </c>
      <c r="U47" s="249">
        <f t="shared" si="8"/>
        <v>0</v>
      </c>
      <c r="V47" s="249">
        <f t="shared" si="9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358"/>
      <c r="C48" s="365"/>
      <c r="D48" s="287"/>
      <c r="E48" s="361"/>
      <c r="F48" s="220"/>
      <c r="G48" s="221">
        <f t="shared" si="10"/>
        <v>0</v>
      </c>
      <c r="H48" s="222">
        <f t="shared" si="1"/>
        <v>0</v>
      </c>
      <c r="I48" s="242"/>
      <c r="J48" s="224">
        <f t="shared" si="2"/>
        <v>0</v>
      </c>
      <c r="K48" s="221">
        <f t="shared" si="3"/>
        <v>0</v>
      </c>
      <c r="L48" s="221">
        <f t="shared" si="4"/>
        <v>0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0</v>
      </c>
      <c r="T48" s="229">
        <f t="shared" si="7"/>
        <v>0</v>
      </c>
      <c r="U48" s="230">
        <f t="shared" si="8"/>
        <v>0</v>
      </c>
      <c r="V48" s="230">
        <f t="shared" si="9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362"/>
      <c r="C49" s="363"/>
      <c r="D49" s="286"/>
      <c r="E49" s="364"/>
      <c r="F49" s="239"/>
      <c r="G49" s="240">
        <f t="shared" si="10"/>
        <v>0</v>
      </c>
      <c r="H49" s="241">
        <f t="shared" si="1"/>
        <v>0</v>
      </c>
      <c r="I49" s="242"/>
      <c r="J49" s="243">
        <f t="shared" si="2"/>
        <v>0</v>
      </c>
      <c r="K49" s="240">
        <f t="shared" si="3"/>
        <v>0</v>
      </c>
      <c r="L49" s="240">
        <f t="shared" si="4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0</v>
      </c>
      <c r="T49" s="248">
        <f t="shared" si="7"/>
        <v>0</v>
      </c>
      <c r="U49" s="249">
        <f t="shared" si="8"/>
        <v>0</v>
      </c>
      <c r="V49" s="249">
        <f t="shared" si="9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358"/>
      <c r="C50" s="365"/>
      <c r="D50" s="287"/>
      <c r="E50" s="361"/>
      <c r="F50" s="220"/>
      <c r="G50" s="221">
        <f t="shared" si="10"/>
        <v>0</v>
      </c>
      <c r="H50" s="222">
        <f t="shared" si="1"/>
        <v>0</v>
      </c>
      <c r="I50" s="242"/>
      <c r="J50" s="224">
        <f t="shared" si="2"/>
        <v>0</v>
      </c>
      <c r="K50" s="221">
        <f t="shared" si="3"/>
        <v>0</v>
      </c>
      <c r="L50" s="221">
        <f t="shared" si="4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0</v>
      </c>
      <c r="T50" s="229">
        <f t="shared" si="7"/>
        <v>0</v>
      </c>
      <c r="U50" s="230">
        <f t="shared" si="8"/>
        <v>0</v>
      </c>
      <c r="V50" s="230">
        <f t="shared" si="9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362"/>
      <c r="C51" s="363"/>
      <c r="D51" s="286"/>
      <c r="E51" s="364"/>
      <c r="F51" s="239"/>
      <c r="G51" s="240">
        <f t="shared" si="1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1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1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1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1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1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1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1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1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1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12</v>
      </c>
      <c r="F61" s="265">
        <f>SUM(F18:F60)</f>
        <v>8001.53</v>
      </c>
      <c r="G61" s="266">
        <f>SUM(G18:G60)</f>
        <v>4743.8</v>
      </c>
      <c r="H61" s="267">
        <f>SUM(H18:H60)</f>
        <v>10639.199999999999</v>
      </c>
      <c r="I61" s="268"/>
      <c r="J61" s="269">
        <f>SUM(J18:J60)</f>
        <v>12</v>
      </c>
      <c r="K61" s="266">
        <f>SUM(K18:K60)</f>
        <v>8001.53</v>
      </c>
      <c r="L61" s="267">
        <f>SUM(L18:L60)</f>
        <v>10639.199999999999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8001.53</v>
      </c>
      <c r="T61" s="267">
        <f>SUM(T18:T60)</f>
        <v>10639.199999999999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61">
    <mergeCell ref="P16:P17"/>
    <mergeCell ref="R17:V17"/>
    <mergeCell ref="B16:B17"/>
    <mergeCell ref="C16:C17"/>
    <mergeCell ref="D16:D17"/>
    <mergeCell ref="E16:E17"/>
    <mergeCell ref="F16:G16"/>
    <mergeCell ref="D9:E9"/>
    <mergeCell ref="F9:G9"/>
    <mergeCell ref="P9:R9"/>
    <mergeCell ref="S9:S10"/>
    <mergeCell ref="T9:T10"/>
    <mergeCell ref="B11:C15"/>
    <mergeCell ref="D11:E13"/>
    <mergeCell ref="F11:H12"/>
    <mergeCell ref="P11:V13"/>
    <mergeCell ref="F13:G13"/>
    <mergeCell ref="F14:H14"/>
    <mergeCell ref="F15:H15"/>
    <mergeCell ref="P15:V15"/>
    <mergeCell ref="S7:T7"/>
    <mergeCell ref="U7:V7"/>
    <mergeCell ref="V9:V10"/>
    <mergeCell ref="W9:W10"/>
    <mergeCell ref="P10:R10"/>
    <mergeCell ref="U9:U10"/>
    <mergeCell ref="D8:E8"/>
    <mergeCell ref="F8:G8"/>
    <mergeCell ref="P8:R8"/>
    <mergeCell ref="D5:E5"/>
    <mergeCell ref="F5:G5"/>
    <mergeCell ref="P5:R5"/>
    <mergeCell ref="D7:E7"/>
    <mergeCell ref="F7:G7"/>
    <mergeCell ref="P7:R7"/>
    <mergeCell ref="S5:T5"/>
    <mergeCell ref="U5:V5"/>
    <mergeCell ref="D6:E6"/>
    <mergeCell ref="F6:G6"/>
    <mergeCell ref="P6:R6"/>
    <mergeCell ref="S6:T6"/>
    <mergeCell ref="U6:V6"/>
    <mergeCell ref="D3:E3"/>
    <mergeCell ref="F3:G3"/>
    <mergeCell ref="P3:R3"/>
    <mergeCell ref="S3:T3"/>
    <mergeCell ref="U3:V3"/>
    <mergeCell ref="D4:E4"/>
    <mergeCell ref="F4:G4"/>
    <mergeCell ref="P4:R4"/>
    <mergeCell ref="S4:T4"/>
    <mergeCell ref="U4:V4"/>
    <mergeCell ref="B1:C1"/>
    <mergeCell ref="D1:G1"/>
    <mergeCell ref="P1:R1"/>
    <mergeCell ref="S1:W1"/>
    <mergeCell ref="D2:E2"/>
    <mergeCell ref="F2:G2"/>
    <mergeCell ref="P2:R2"/>
    <mergeCell ref="S2:T2"/>
    <mergeCell ref="U2:V2"/>
  </mergeCells>
  <conditionalFormatting sqref="U9:U10">
    <cfRule type="expression" dxfId="31" priority="3" stopIfTrue="1">
      <formula>$U$9&gt;100%</formula>
    </cfRule>
    <cfRule type="expression" dxfId="30" priority="4">
      <formula>$U$9&lt;50%</formula>
    </cfRule>
  </conditionalFormatting>
  <conditionalFormatting sqref="V9:V10">
    <cfRule type="expression" dxfId="29" priority="1">
      <formula>$V$9&lt;50%</formula>
    </cfRule>
    <cfRule type="expression" dxfId="28" priority="2">
      <formula>$V$9&gt;50%</formula>
    </cfRule>
  </conditionalFormatting>
  <dataValidations count="5">
    <dataValidation type="list" allowBlank="1" showInputMessage="1" showErrorMessage="1" sqref="H13" xr:uid="{E7ABD07F-1FCB-4439-BF8A-41E75F449999}">
      <formula1>$Y$13:$Y$14</formula1>
    </dataValidation>
    <dataValidation type="list" showInputMessage="1" showErrorMessage="1" sqref="D52:D60 D28:D36 D18:D26" xr:uid="{EF05A00A-B1B8-4D50-8A7F-8ABD7B6D1B29}">
      <formula1>$Z$18:$Z$29</formula1>
    </dataValidation>
    <dataValidation type="list" allowBlank="1" showInputMessage="1" showErrorMessage="1" sqref="Q14 K17 Q17 F17" xr:uid="{5D90A247-06B0-4E60-A76C-B9138DCB8FD7}">
      <formula1>$Y$11:$Y$12</formula1>
    </dataValidation>
    <dataValidation type="list" allowBlank="1" showInputMessage="1" showErrorMessage="1" sqref="I13" xr:uid="{F0B68A6D-5A95-47E0-A211-67A57F8982F6}">
      <formula1>$K$9:$K$9</formula1>
    </dataValidation>
    <dataValidation type="list" allowBlank="1" showInputMessage="1" showErrorMessage="1" sqref="M18:M60" xr:uid="{F6CB88AE-C8E3-4FC7-B960-51804948CBC4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FD232-A5EA-43A6-9636-C598FBB09F3E}">
  <sheetPr>
    <pageSetUpPr fitToPage="1"/>
  </sheetPr>
  <dimension ref="A1:AB63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302" t="s">
        <v>2</v>
      </c>
      <c r="I1" s="303"/>
      <c r="J1" s="303"/>
      <c r="K1" s="304"/>
      <c r="L1" s="305" t="s">
        <v>3</v>
      </c>
      <c r="M1" s="306"/>
      <c r="N1" s="306"/>
      <c r="O1" s="306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77" t="s">
        <v>371</v>
      </c>
      <c r="G2" s="549"/>
      <c r="H2" s="315" t="s">
        <v>7</v>
      </c>
      <c r="I2" s="317"/>
      <c r="J2" s="316"/>
      <c r="K2" s="148"/>
      <c r="L2" s="318" t="s">
        <v>8</v>
      </c>
      <c r="M2" s="319"/>
      <c r="N2" s="320"/>
      <c r="O2" s="149"/>
      <c r="P2" s="554">
        <f>H61</f>
        <v>10639.199999999999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307" t="s">
        <v>13</v>
      </c>
      <c r="I3" s="309"/>
      <c r="J3" s="308"/>
      <c r="K3" s="154"/>
      <c r="L3" s="310" t="s">
        <v>14</v>
      </c>
      <c r="M3" s="311"/>
      <c r="N3" s="312"/>
      <c r="O3" s="149"/>
      <c r="P3" s="540">
        <f>L61</f>
        <v>10639.199999999999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681" t="s">
        <v>337</v>
      </c>
      <c r="G4" s="673"/>
      <c r="H4" s="307" t="s">
        <v>19</v>
      </c>
      <c r="I4" s="309"/>
      <c r="J4" s="308"/>
      <c r="K4" s="154"/>
      <c r="L4" s="310" t="s">
        <v>20</v>
      </c>
      <c r="M4" s="311"/>
      <c r="N4" s="312"/>
      <c r="O4" s="149"/>
      <c r="P4" s="540">
        <f>P2-P3</f>
        <v>0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688" t="s">
        <v>340</v>
      </c>
      <c r="G5" s="685"/>
      <c r="H5" s="307" t="s">
        <v>25</v>
      </c>
      <c r="I5" s="309"/>
      <c r="J5" s="308"/>
      <c r="K5" s="154"/>
      <c r="L5" s="321" t="s">
        <v>26</v>
      </c>
      <c r="M5" s="322"/>
      <c r="N5" s="323"/>
      <c r="O5" s="149"/>
      <c r="P5" s="561">
        <f>IFERROR((P2-P3)/P2,"")</f>
        <v>0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81" t="s">
        <v>355</v>
      </c>
      <c r="G6" s="673"/>
      <c r="H6" s="307" t="s">
        <v>31</v>
      </c>
      <c r="I6" s="309"/>
      <c r="J6" s="308"/>
      <c r="K6" s="154"/>
      <c r="L6" s="327" t="s">
        <v>32</v>
      </c>
      <c r="M6" s="328"/>
      <c r="N6" s="329"/>
      <c r="O6" s="149"/>
      <c r="P6" s="577">
        <f>T61</f>
        <v>10639.199999999999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671"/>
      <c r="G7" s="535"/>
      <c r="H7" s="307" t="s">
        <v>36</v>
      </c>
      <c r="I7" s="309"/>
      <c r="J7" s="308"/>
      <c r="K7" s="154"/>
      <c r="L7" s="324" t="s">
        <v>37</v>
      </c>
      <c r="M7" s="325"/>
      <c r="N7" s="32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307" t="s">
        <v>40</v>
      </c>
      <c r="I8" s="309"/>
      <c r="J8" s="308"/>
      <c r="K8" s="154"/>
      <c r="L8" s="324" t="s">
        <v>41</v>
      </c>
      <c r="M8" s="325"/>
      <c r="N8" s="32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366</v>
      </c>
      <c r="G9" s="535"/>
      <c r="H9" s="171"/>
      <c r="I9" s="172"/>
      <c r="J9" s="172"/>
      <c r="K9" s="173"/>
      <c r="L9" s="324" t="s">
        <v>47</v>
      </c>
      <c r="M9" s="325"/>
      <c r="N9" s="32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10639.199999999999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313" t="s">
        <v>48</v>
      </c>
      <c r="M10" s="330"/>
      <c r="N10" s="314"/>
      <c r="O10" s="149"/>
      <c r="P10" s="580">
        <f>E61</f>
        <v>12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347" t="s">
        <v>50</v>
      </c>
      <c r="K11" s="348"/>
      <c r="L11" s="348"/>
      <c r="M11" s="348"/>
      <c r="N11" s="349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350"/>
      <c r="K12" s="351"/>
      <c r="L12" s="351"/>
      <c r="M12" s="351"/>
      <c r="N12" s="352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353"/>
      <c r="K13" s="354"/>
      <c r="L13" s="354"/>
      <c r="M13" s="354"/>
      <c r="N13" s="355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331" t="s">
        <v>59</v>
      </c>
      <c r="K14" s="332"/>
      <c r="L14" s="335" t="s">
        <v>60</v>
      </c>
      <c r="M14" s="336"/>
      <c r="N14" s="33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333"/>
      <c r="K15" s="334"/>
      <c r="L15" s="338"/>
      <c r="M15" s="339"/>
      <c r="N15" s="34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343" t="s">
        <v>69</v>
      </c>
      <c r="K16" s="201" t="s">
        <v>72</v>
      </c>
      <c r="L16" s="202" t="s">
        <v>73</v>
      </c>
      <c r="M16" s="345" t="s">
        <v>74</v>
      </c>
      <c r="N16" s="345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8"/>
      <c r="C17" s="678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344"/>
      <c r="K17" s="341" t="s">
        <v>52</v>
      </c>
      <c r="L17" s="342"/>
      <c r="M17" s="346"/>
      <c r="N17" s="346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 s="292">
        <v>5000155678</v>
      </c>
      <c r="C18" s="366" t="s">
        <v>342</v>
      </c>
      <c r="D18" s="367"/>
      <c r="E18" s="219">
        <v>1</v>
      </c>
      <c r="F18" s="220">
        <v>88.22</v>
      </c>
      <c r="G18" s="221">
        <f t="shared" ref="G18:G26" si="0">ROUND(IF($F$17="USD $", F18*$E$15,F18*$D$15),2)</f>
        <v>62.13</v>
      </c>
      <c r="H18" s="222">
        <f t="shared" ref="H18:H60" si="1">ROUND(IF($H$17=$G$17,E18*G18,E18*F18),2)</f>
        <v>88.22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88.22</v>
      </c>
      <c r="L18" s="221">
        <f t="shared" ref="L18:L60" si="4">ROUND((J18*K18),2)</f>
        <v>88.22</v>
      </c>
      <c r="M18" s="220" t="s">
        <v>84</v>
      </c>
      <c r="N18" s="225"/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88.22</v>
      </c>
      <c r="T18" s="229">
        <f t="shared" ref="T18:T60" si="7">ROUND(L18-R18,2)</f>
        <v>88.22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294">
        <v>5200015526</v>
      </c>
      <c r="C19" s="294" t="s">
        <v>343</v>
      </c>
      <c r="D19" s="368"/>
      <c r="E19" s="238">
        <v>1</v>
      </c>
      <c r="F19" s="239">
        <v>37.520000000000003</v>
      </c>
      <c r="G19" s="240">
        <f t="shared" si="0"/>
        <v>26.42</v>
      </c>
      <c r="H19" s="241">
        <f t="shared" si="1"/>
        <v>37.520000000000003</v>
      </c>
      <c r="I19" s="242"/>
      <c r="J19" s="243">
        <f t="shared" si="2"/>
        <v>1</v>
      </c>
      <c r="K19" s="240">
        <f t="shared" si="3"/>
        <v>37.520000000000003</v>
      </c>
      <c r="L19" s="240">
        <f t="shared" si="4"/>
        <v>37.520000000000003</v>
      </c>
      <c r="M19" s="244" t="s">
        <v>84</v>
      </c>
      <c r="N19" s="245"/>
      <c r="O19" s="226"/>
      <c r="P19" s="246"/>
      <c r="Q19" s="239"/>
      <c r="R19" s="247">
        <f t="shared" si="5"/>
        <v>0</v>
      </c>
      <c r="S19" s="248">
        <f t="shared" si="6"/>
        <v>37.520000000000003</v>
      </c>
      <c r="T19" s="248">
        <f t="shared" si="7"/>
        <v>37.520000000000003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292">
        <v>5200009520</v>
      </c>
      <c r="C20" s="292" t="s">
        <v>344</v>
      </c>
      <c r="D20" s="369"/>
      <c r="E20" s="219">
        <v>1</v>
      </c>
      <c r="F20" s="220">
        <v>208.39</v>
      </c>
      <c r="G20" s="221">
        <f t="shared" si="0"/>
        <v>146.75</v>
      </c>
      <c r="H20" s="222">
        <f t="shared" si="1"/>
        <v>208.39</v>
      </c>
      <c r="I20" s="242"/>
      <c r="J20" s="224">
        <f t="shared" si="2"/>
        <v>1</v>
      </c>
      <c r="K20" s="221">
        <f t="shared" si="3"/>
        <v>208.39</v>
      </c>
      <c r="L20" s="221">
        <f t="shared" si="4"/>
        <v>208.39</v>
      </c>
      <c r="M20" s="220" t="s">
        <v>84</v>
      </c>
      <c r="N20" s="254"/>
      <c r="O20" s="226"/>
      <c r="P20" s="255"/>
      <c r="Q20" s="228"/>
      <c r="R20" s="229">
        <f t="shared" si="5"/>
        <v>0</v>
      </c>
      <c r="S20" s="229">
        <f t="shared" si="6"/>
        <v>208.39</v>
      </c>
      <c r="T20" s="229">
        <f t="shared" si="7"/>
        <v>208.39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294">
        <v>5000082116</v>
      </c>
      <c r="C21" s="294" t="s">
        <v>345</v>
      </c>
      <c r="D21" s="368"/>
      <c r="E21" s="238">
        <v>1</v>
      </c>
      <c r="F21" s="239">
        <v>35.44</v>
      </c>
      <c r="G21" s="240">
        <f t="shared" si="0"/>
        <v>24.96</v>
      </c>
      <c r="H21" s="241">
        <f t="shared" si="1"/>
        <v>35.44</v>
      </c>
      <c r="I21" s="242"/>
      <c r="J21" s="243">
        <f t="shared" si="2"/>
        <v>1</v>
      </c>
      <c r="K21" s="240">
        <f t="shared" si="3"/>
        <v>35.44</v>
      </c>
      <c r="L21" s="240">
        <f t="shared" si="4"/>
        <v>35.44</v>
      </c>
      <c r="M21" s="244" t="s">
        <v>84</v>
      </c>
      <c r="N21" s="245"/>
      <c r="O21" s="226"/>
      <c r="P21" s="246"/>
      <c r="Q21" s="239"/>
      <c r="R21" s="247">
        <f t="shared" si="5"/>
        <v>0</v>
      </c>
      <c r="S21" s="248">
        <f t="shared" si="6"/>
        <v>35.44</v>
      </c>
      <c r="T21" s="248">
        <f t="shared" si="7"/>
        <v>35.44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292"/>
      <c r="C22" s="292"/>
      <c r="D22" s="369"/>
      <c r="E22" s="219"/>
      <c r="F22" s="220"/>
      <c r="G22" s="221">
        <f t="shared" si="0"/>
        <v>0</v>
      </c>
      <c r="H22" s="222">
        <f t="shared" si="1"/>
        <v>0</v>
      </c>
      <c r="I22" s="242"/>
      <c r="J22" s="224">
        <f t="shared" si="2"/>
        <v>0</v>
      </c>
      <c r="K22" s="221">
        <f t="shared" si="3"/>
        <v>0</v>
      </c>
      <c r="L22" s="221">
        <f t="shared" si="4"/>
        <v>0</v>
      </c>
      <c r="M22" s="220" t="s">
        <v>84</v>
      </c>
      <c r="N22" s="254"/>
      <c r="O22" s="226"/>
      <c r="P22" s="255"/>
      <c r="Q22" s="228"/>
      <c r="R22" s="229">
        <f t="shared" si="5"/>
        <v>0</v>
      </c>
      <c r="S22" s="229">
        <f t="shared" si="6"/>
        <v>0</v>
      </c>
      <c r="T22" s="229">
        <f t="shared" si="7"/>
        <v>0</v>
      </c>
      <c r="U22" s="230">
        <f t="shared" si="8"/>
        <v>0</v>
      </c>
      <c r="V22" s="230">
        <f t="shared" si="9"/>
        <v>0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294"/>
      <c r="C23" s="294"/>
      <c r="D23" s="368"/>
      <c r="E23" s="238"/>
      <c r="F23" s="239"/>
      <c r="G23" s="240">
        <f t="shared" si="0"/>
        <v>0</v>
      </c>
      <c r="H23" s="241">
        <f t="shared" si="1"/>
        <v>0</v>
      </c>
      <c r="I23" s="242"/>
      <c r="J23" s="243">
        <f t="shared" si="2"/>
        <v>0</v>
      </c>
      <c r="K23" s="240">
        <f t="shared" si="3"/>
        <v>0</v>
      </c>
      <c r="L23" s="240">
        <f t="shared" si="4"/>
        <v>0</v>
      </c>
      <c r="M23" s="244" t="s">
        <v>84</v>
      </c>
      <c r="N23" s="245"/>
      <c r="O23" s="226"/>
      <c r="P23" s="246"/>
      <c r="Q23" s="239"/>
      <c r="R23" s="247">
        <f t="shared" si="5"/>
        <v>0</v>
      </c>
      <c r="S23" s="248">
        <f t="shared" si="6"/>
        <v>0</v>
      </c>
      <c r="T23" s="248">
        <f t="shared" si="7"/>
        <v>0</v>
      </c>
      <c r="U23" s="249">
        <f t="shared" si="8"/>
        <v>0</v>
      </c>
      <c r="V23" s="249">
        <f t="shared" si="9"/>
        <v>0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292">
        <v>5200009453</v>
      </c>
      <c r="C24" s="292" t="s">
        <v>346</v>
      </c>
      <c r="D24" s="369"/>
      <c r="E24" s="219">
        <v>1</v>
      </c>
      <c r="F24" s="220">
        <v>3367.35</v>
      </c>
      <c r="G24" s="221">
        <f t="shared" si="0"/>
        <v>2371.37</v>
      </c>
      <c r="H24" s="222">
        <f t="shared" si="1"/>
        <v>3367.35</v>
      </c>
      <c r="I24" s="242"/>
      <c r="J24" s="224">
        <f t="shared" si="2"/>
        <v>1</v>
      </c>
      <c r="K24" s="221">
        <f t="shared" si="3"/>
        <v>3367.35</v>
      </c>
      <c r="L24" s="221">
        <f t="shared" si="4"/>
        <v>3367.35</v>
      </c>
      <c r="M24" s="220" t="s">
        <v>84</v>
      </c>
      <c r="N24" s="254"/>
      <c r="O24" s="226"/>
      <c r="P24" s="255"/>
      <c r="Q24" s="228"/>
      <c r="R24" s="229">
        <f t="shared" si="5"/>
        <v>0</v>
      </c>
      <c r="S24" s="229">
        <f t="shared" si="6"/>
        <v>3367.35</v>
      </c>
      <c r="T24" s="229">
        <f t="shared" si="7"/>
        <v>3367.35</v>
      </c>
      <c r="U24" s="230">
        <f t="shared" si="8"/>
        <v>0</v>
      </c>
      <c r="V24" s="230">
        <f t="shared" si="9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>
        <v>5000153758</v>
      </c>
      <c r="C25" s="294" t="s">
        <v>347</v>
      </c>
      <c r="D25" s="368"/>
      <c r="E25" s="238">
        <v>1</v>
      </c>
      <c r="F25" s="239">
        <v>287.2</v>
      </c>
      <c r="G25" s="240">
        <f t="shared" si="0"/>
        <v>202.25</v>
      </c>
      <c r="H25" s="241">
        <f t="shared" si="1"/>
        <v>287.2</v>
      </c>
      <c r="I25" s="242"/>
      <c r="J25" s="243">
        <f t="shared" si="2"/>
        <v>1</v>
      </c>
      <c r="K25" s="240">
        <f t="shared" si="3"/>
        <v>287.2</v>
      </c>
      <c r="L25" s="240">
        <f t="shared" si="4"/>
        <v>287.2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287.2</v>
      </c>
      <c r="T25" s="248">
        <f t="shared" si="7"/>
        <v>287.2</v>
      </c>
      <c r="U25" s="249">
        <f t="shared" si="8"/>
        <v>0</v>
      </c>
      <c r="V25" s="249">
        <f t="shared" si="9"/>
        <v>1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>
        <v>5000160388</v>
      </c>
      <c r="C26" s="357" t="s">
        <v>348</v>
      </c>
      <c r="D26" s="369"/>
      <c r="E26" s="219">
        <v>1</v>
      </c>
      <c r="F26" s="220">
        <v>2605.06</v>
      </c>
      <c r="G26" s="221">
        <f t="shared" si="0"/>
        <v>1834.55</v>
      </c>
      <c r="H26" s="222">
        <f t="shared" si="1"/>
        <v>2605.06</v>
      </c>
      <c r="I26" s="242"/>
      <c r="J26" s="224">
        <f t="shared" si="2"/>
        <v>1</v>
      </c>
      <c r="K26" s="221">
        <f t="shared" si="3"/>
        <v>2605.06</v>
      </c>
      <c r="L26" s="221">
        <f t="shared" si="4"/>
        <v>2605.06</v>
      </c>
      <c r="M26" s="220" t="s">
        <v>84</v>
      </c>
      <c r="N26" s="254"/>
      <c r="O26" s="226"/>
      <c r="P26" s="255"/>
      <c r="Q26" s="228"/>
      <c r="R26" s="229">
        <f t="shared" si="5"/>
        <v>0</v>
      </c>
      <c r="S26" s="229">
        <f t="shared" si="6"/>
        <v>2605.06</v>
      </c>
      <c r="T26" s="229">
        <f t="shared" si="7"/>
        <v>2605.06</v>
      </c>
      <c r="U26" s="230">
        <f t="shared" si="8"/>
        <v>0</v>
      </c>
      <c r="V26" s="230">
        <f t="shared" si="9"/>
        <v>1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294">
        <v>5100061991</v>
      </c>
      <c r="C27" s="294" t="s">
        <v>349</v>
      </c>
      <c r="D27" s="370"/>
      <c r="E27" s="382">
        <v>3</v>
      </c>
      <c r="F27" s="239">
        <v>1265.32</v>
      </c>
      <c r="G27" s="240"/>
      <c r="H27" s="241">
        <f t="shared" si="1"/>
        <v>3795.96</v>
      </c>
      <c r="I27" s="242"/>
      <c r="J27" s="243">
        <f t="shared" si="2"/>
        <v>3</v>
      </c>
      <c r="K27" s="240">
        <f t="shared" si="3"/>
        <v>1265.32</v>
      </c>
      <c r="L27" s="240">
        <f t="shared" si="4"/>
        <v>3795.96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1265.32</v>
      </c>
      <c r="T27" s="248">
        <f t="shared" si="7"/>
        <v>3795.96</v>
      </c>
      <c r="U27" s="249">
        <f t="shared" si="8"/>
        <v>0</v>
      </c>
      <c r="V27" s="249">
        <f t="shared" si="9"/>
        <v>1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379">
        <v>5100066530</v>
      </c>
      <c r="C28" s="379" t="s">
        <v>350</v>
      </c>
      <c r="D28" s="367"/>
      <c r="E28" s="219">
        <v>2</v>
      </c>
      <c r="F28" s="220">
        <v>107.03</v>
      </c>
      <c r="G28" s="221">
        <f t="shared" ref="G28:G60" si="10">ROUND(IF($F$17="USD $", F28*$E$15,F28*$D$15),2)</f>
        <v>75.37</v>
      </c>
      <c r="H28" s="222">
        <f t="shared" si="1"/>
        <v>214.06</v>
      </c>
      <c r="I28" s="242"/>
      <c r="J28" s="224">
        <f t="shared" si="2"/>
        <v>2</v>
      </c>
      <c r="K28" s="221">
        <f t="shared" si="3"/>
        <v>107.03</v>
      </c>
      <c r="L28" s="221">
        <f t="shared" si="4"/>
        <v>214.06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107.03</v>
      </c>
      <c r="T28" s="229">
        <f t="shared" si="7"/>
        <v>214.06</v>
      </c>
      <c r="U28" s="230">
        <f t="shared" si="8"/>
        <v>0</v>
      </c>
      <c r="V28" s="230">
        <f t="shared" si="9"/>
        <v>1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374"/>
      <c r="C29" s="374"/>
      <c r="D29" s="368"/>
      <c r="E29" s="238"/>
      <c r="F29" s="239"/>
      <c r="G29" s="240">
        <f t="shared" si="10"/>
        <v>0</v>
      </c>
      <c r="H29" s="241">
        <f t="shared" si="1"/>
        <v>0</v>
      </c>
      <c r="I29" s="242"/>
      <c r="J29" s="243">
        <f t="shared" si="2"/>
        <v>0</v>
      </c>
      <c r="K29" s="240">
        <f t="shared" si="3"/>
        <v>0</v>
      </c>
      <c r="L29" s="240">
        <f t="shared" si="4"/>
        <v>0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0</v>
      </c>
      <c r="T29" s="248">
        <f t="shared" si="7"/>
        <v>0</v>
      </c>
      <c r="U29" s="249">
        <f t="shared" si="8"/>
        <v>0</v>
      </c>
      <c r="V29" s="249">
        <f t="shared" si="9"/>
        <v>0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358"/>
      <c r="C30" s="359"/>
      <c r="D30" s="369"/>
      <c r="E30" s="219"/>
      <c r="F30" s="220"/>
      <c r="G30" s="221">
        <f t="shared" si="10"/>
        <v>0</v>
      </c>
      <c r="H30" s="222">
        <f t="shared" si="1"/>
        <v>0</v>
      </c>
      <c r="I30" s="242"/>
      <c r="J30" s="224">
        <f t="shared" si="2"/>
        <v>0</v>
      </c>
      <c r="K30" s="221">
        <f t="shared" si="3"/>
        <v>0</v>
      </c>
      <c r="L30" s="221">
        <f t="shared" si="4"/>
        <v>0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0</v>
      </c>
      <c r="T30" s="229">
        <f t="shared" si="7"/>
        <v>0</v>
      </c>
      <c r="U30" s="230">
        <f t="shared" si="8"/>
        <v>0</v>
      </c>
      <c r="V30" s="230">
        <f t="shared" si="9"/>
        <v>0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362"/>
      <c r="C31" s="363"/>
      <c r="D31" s="368"/>
      <c r="E31" s="238"/>
      <c r="F31" s="239"/>
      <c r="G31" s="240">
        <f t="shared" si="10"/>
        <v>0</v>
      </c>
      <c r="H31" s="241">
        <f t="shared" si="1"/>
        <v>0</v>
      </c>
      <c r="I31" s="242"/>
      <c r="J31" s="243">
        <f t="shared" si="2"/>
        <v>0</v>
      </c>
      <c r="K31" s="240">
        <f t="shared" si="3"/>
        <v>0</v>
      </c>
      <c r="L31" s="240">
        <f t="shared" si="4"/>
        <v>0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0</v>
      </c>
      <c r="T31" s="248">
        <f t="shared" si="7"/>
        <v>0</v>
      </c>
      <c r="U31" s="249">
        <f t="shared" si="8"/>
        <v>0</v>
      </c>
      <c r="V31" s="249">
        <f t="shared" si="9"/>
        <v>0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358"/>
      <c r="C32" s="365"/>
      <c r="D32" s="369"/>
      <c r="E32" s="219"/>
      <c r="F32" s="220"/>
      <c r="G32" s="221">
        <f t="shared" si="10"/>
        <v>0</v>
      </c>
      <c r="H32" s="222">
        <f t="shared" si="1"/>
        <v>0</v>
      </c>
      <c r="I32" s="242"/>
      <c r="J32" s="224">
        <f t="shared" si="2"/>
        <v>0</v>
      </c>
      <c r="K32" s="221">
        <f t="shared" si="3"/>
        <v>0</v>
      </c>
      <c r="L32" s="221">
        <f t="shared" si="4"/>
        <v>0</v>
      </c>
      <c r="M32" s="220" t="s">
        <v>84</v>
      </c>
      <c r="N32" s="254"/>
      <c r="O32" s="226"/>
      <c r="P32" s="255"/>
      <c r="Q32" s="228"/>
      <c r="R32" s="229">
        <f t="shared" si="5"/>
        <v>0</v>
      </c>
      <c r="S32" s="229">
        <f t="shared" si="6"/>
        <v>0</v>
      </c>
      <c r="T32" s="229">
        <f t="shared" si="7"/>
        <v>0</v>
      </c>
      <c r="U32" s="230">
        <f t="shared" si="8"/>
        <v>0</v>
      </c>
      <c r="V32" s="230">
        <f t="shared" si="9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362"/>
      <c r="C33" s="363"/>
      <c r="D33" s="368"/>
      <c r="E33" s="238"/>
      <c r="F33" s="239"/>
      <c r="G33" s="240">
        <f t="shared" si="10"/>
        <v>0</v>
      </c>
      <c r="H33" s="241">
        <f t="shared" si="1"/>
        <v>0</v>
      </c>
      <c r="I33" s="242"/>
      <c r="J33" s="243">
        <f t="shared" si="2"/>
        <v>0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358"/>
      <c r="C34" s="365"/>
      <c r="D34" s="369"/>
      <c r="E34" s="219"/>
      <c r="F34" s="220"/>
      <c r="G34" s="221">
        <f t="shared" si="1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/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362"/>
      <c r="C35" s="363"/>
      <c r="D35" s="368"/>
      <c r="E35" s="238"/>
      <c r="F35" s="239"/>
      <c r="G35" s="240">
        <f t="shared" si="1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/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358"/>
      <c r="C36" s="365"/>
      <c r="D36" s="369"/>
      <c r="E36" s="219"/>
      <c r="F36" s="220"/>
      <c r="G36" s="221">
        <f t="shared" si="1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362"/>
      <c r="C37" s="363"/>
      <c r="D37" s="286"/>
      <c r="E37" s="364"/>
      <c r="F37" s="239"/>
      <c r="G37" s="240">
        <f t="shared" si="1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358"/>
      <c r="C38" s="365"/>
      <c r="D38" s="287"/>
      <c r="E38" s="361"/>
      <c r="F38" s="220"/>
      <c r="G38" s="221">
        <f t="shared" si="1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362"/>
      <c r="C39" s="363"/>
      <c r="D39" s="286"/>
      <c r="E39" s="364"/>
      <c r="F39" s="239"/>
      <c r="G39" s="240">
        <f t="shared" si="1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358"/>
      <c r="C40" s="365"/>
      <c r="D40" s="287"/>
      <c r="E40" s="361"/>
      <c r="F40" s="220"/>
      <c r="G40" s="221">
        <f t="shared" si="1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362"/>
      <c r="C41" s="363"/>
      <c r="D41" s="286"/>
      <c r="E41" s="364"/>
      <c r="F41" s="239"/>
      <c r="G41" s="240">
        <f t="shared" si="1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358"/>
      <c r="C42" s="365"/>
      <c r="D42" s="287"/>
      <c r="E42" s="361"/>
      <c r="F42" s="220"/>
      <c r="G42" s="221">
        <f t="shared" si="1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362"/>
      <c r="C43" s="363"/>
      <c r="D43" s="286"/>
      <c r="E43" s="364"/>
      <c r="F43" s="239"/>
      <c r="G43" s="240">
        <f t="shared" si="1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358"/>
      <c r="C44" s="365"/>
      <c r="D44" s="287"/>
      <c r="E44" s="361"/>
      <c r="F44" s="220"/>
      <c r="G44" s="221">
        <f t="shared" si="1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362"/>
      <c r="C45" s="363"/>
      <c r="D45" s="286"/>
      <c r="E45" s="364"/>
      <c r="F45" s="239"/>
      <c r="G45" s="240">
        <f t="shared" si="1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358"/>
      <c r="C46" s="365"/>
      <c r="D46" s="287"/>
      <c r="E46" s="361"/>
      <c r="F46" s="220"/>
      <c r="G46" s="221">
        <f t="shared" si="1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362"/>
      <c r="C47" s="363"/>
      <c r="D47" s="286"/>
      <c r="E47" s="364"/>
      <c r="F47" s="239"/>
      <c r="G47" s="240">
        <f t="shared" si="10"/>
        <v>0</v>
      </c>
      <c r="H47" s="241">
        <f t="shared" si="1"/>
        <v>0</v>
      </c>
      <c r="I47" s="242"/>
      <c r="J47" s="243">
        <f t="shared" si="2"/>
        <v>0</v>
      </c>
      <c r="K47" s="240">
        <f t="shared" si="3"/>
        <v>0</v>
      </c>
      <c r="L47" s="240">
        <f t="shared" si="4"/>
        <v>0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0</v>
      </c>
      <c r="T47" s="248">
        <f t="shared" si="7"/>
        <v>0</v>
      </c>
      <c r="U47" s="249">
        <f t="shared" si="8"/>
        <v>0</v>
      </c>
      <c r="V47" s="249">
        <f t="shared" si="9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358"/>
      <c r="C48" s="365"/>
      <c r="D48" s="287"/>
      <c r="E48" s="361"/>
      <c r="F48" s="220"/>
      <c r="G48" s="221">
        <f t="shared" si="10"/>
        <v>0</v>
      </c>
      <c r="H48" s="222">
        <f t="shared" si="1"/>
        <v>0</v>
      </c>
      <c r="I48" s="242"/>
      <c r="J48" s="224">
        <f t="shared" si="2"/>
        <v>0</v>
      </c>
      <c r="K48" s="221">
        <f t="shared" si="3"/>
        <v>0</v>
      </c>
      <c r="L48" s="221">
        <f t="shared" si="4"/>
        <v>0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0</v>
      </c>
      <c r="T48" s="229">
        <f t="shared" si="7"/>
        <v>0</v>
      </c>
      <c r="U48" s="230">
        <f t="shared" si="8"/>
        <v>0</v>
      </c>
      <c r="V48" s="230">
        <f t="shared" si="9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362"/>
      <c r="C49" s="363"/>
      <c r="D49" s="286"/>
      <c r="E49" s="364"/>
      <c r="F49" s="239"/>
      <c r="G49" s="240">
        <f t="shared" si="10"/>
        <v>0</v>
      </c>
      <c r="H49" s="241">
        <f t="shared" si="1"/>
        <v>0</v>
      </c>
      <c r="I49" s="242"/>
      <c r="J49" s="243">
        <f t="shared" si="2"/>
        <v>0</v>
      </c>
      <c r="K49" s="240">
        <f t="shared" si="3"/>
        <v>0</v>
      </c>
      <c r="L49" s="240">
        <f t="shared" si="4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0</v>
      </c>
      <c r="T49" s="248">
        <f t="shared" si="7"/>
        <v>0</v>
      </c>
      <c r="U49" s="249">
        <f t="shared" si="8"/>
        <v>0</v>
      </c>
      <c r="V49" s="249">
        <f t="shared" si="9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358"/>
      <c r="C50" s="365"/>
      <c r="D50" s="287"/>
      <c r="E50" s="361"/>
      <c r="F50" s="220"/>
      <c r="G50" s="221">
        <f t="shared" si="10"/>
        <v>0</v>
      </c>
      <c r="H50" s="222">
        <f t="shared" si="1"/>
        <v>0</v>
      </c>
      <c r="I50" s="242"/>
      <c r="J50" s="224">
        <f t="shared" si="2"/>
        <v>0</v>
      </c>
      <c r="K50" s="221">
        <f t="shared" si="3"/>
        <v>0</v>
      </c>
      <c r="L50" s="221">
        <f t="shared" si="4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0</v>
      </c>
      <c r="T50" s="229">
        <f t="shared" si="7"/>
        <v>0</v>
      </c>
      <c r="U50" s="230">
        <f t="shared" si="8"/>
        <v>0</v>
      </c>
      <c r="V50" s="230">
        <f t="shared" si="9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362"/>
      <c r="C51" s="363"/>
      <c r="D51" s="286"/>
      <c r="E51" s="364"/>
      <c r="F51" s="239"/>
      <c r="G51" s="240">
        <f t="shared" si="1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1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1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1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1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1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1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1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1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1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12</v>
      </c>
      <c r="F61" s="265">
        <f>SUM(F18:F60)</f>
        <v>8001.53</v>
      </c>
      <c r="G61" s="266">
        <f>SUM(G18:G60)</f>
        <v>4743.8</v>
      </c>
      <c r="H61" s="267">
        <f>SUM(H18:H60)</f>
        <v>10639.199999999999</v>
      </c>
      <c r="I61" s="268"/>
      <c r="J61" s="269">
        <f>SUM(J18:J60)</f>
        <v>12</v>
      </c>
      <c r="K61" s="266">
        <f>SUM(K18:K60)</f>
        <v>8001.53</v>
      </c>
      <c r="L61" s="267">
        <f>SUM(L18:L60)</f>
        <v>10639.199999999999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8001.53</v>
      </c>
      <c r="T61" s="267">
        <f>SUM(T18:T60)</f>
        <v>10639.199999999999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61">
    <mergeCell ref="P16:P17"/>
    <mergeCell ref="R17:V17"/>
    <mergeCell ref="B16:B17"/>
    <mergeCell ref="C16:C17"/>
    <mergeCell ref="D16:D17"/>
    <mergeCell ref="E16:E17"/>
    <mergeCell ref="F16:G16"/>
    <mergeCell ref="D9:E9"/>
    <mergeCell ref="F9:G9"/>
    <mergeCell ref="P9:R9"/>
    <mergeCell ref="S9:S10"/>
    <mergeCell ref="T9:T10"/>
    <mergeCell ref="B11:C15"/>
    <mergeCell ref="D11:E13"/>
    <mergeCell ref="F11:H12"/>
    <mergeCell ref="P11:V13"/>
    <mergeCell ref="F13:G13"/>
    <mergeCell ref="F14:H14"/>
    <mergeCell ref="F15:H15"/>
    <mergeCell ref="P15:V15"/>
    <mergeCell ref="S7:T7"/>
    <mergeCell ref="U7:V7"/>
    <mergeCell ref="V9:V10"/>
    <mergeCell ref="W9:W10"/>
    <mergeCell ref="P10:R10"/>
    <mergeCell ref="U9:U10"/>
    <mergeCell ref="D8:E8"/>
    <mergeCell ref="F8:G8"/>
    <mergeCell ref="P8:R8"/>
    <mergeCell ref="D5:E5"/>
    <mergeCell ref="F5:G5"/>
    <mergeCell ref="P5:R5"/>
    <mergeCell ref="D7:E7"/>
    <mergeCell ref="F7:G7"/>
    <mergeCell ref="P7:R7"/>
    <mergeCell ref="S5:T5"/>
    <mergeCell ref="U5:V5"/>
    <mergeCell ref="D6:E6"/>
    <mergeCell ref="F6:G6"/>
    <mergeCell ref="P6:R6"/>
    <mergeCell ref="S6:T6"/>
    <mergeCell ref="U6:V6"/>
    <mergeCell ref="D3:E3"/>
    <mergeCell ref="F3:G3"/>
    <mergeCell ref="P3:R3"/>
    <mergeCell ref="S3:T3"/>
    <mergeCell ref="U3:V3"/>
    <mergeCell ref="D4:E4"/>
    <mergeCell ref="F4:G4"/>
    <mergeCell ref="P4:R4"/>
    <mergeCell ref="S4:T4"/>
    <mergeCell ref="U4:V4"/>
    <mergeCell ref="B1:C1"/>
    <mergeCell ref="D1:G1"/>
    <mergeCell ref="P1:R1"/>
    <mergeCell ref="S1:W1"/>
    <mergeCell ref="D2:E2"/>
    <mergeCell ref="F2:G2"/>
    <mergeCell ref="P2:R2"/>
    <mergeCell ref="S2:T2"/>
    <mergeCell ref="U2:V2"/>
  </mergeCells>
  <conditionalFormatting sqref="U9:U10">
    <cfRule type="expression" dxfId="27" priority="3" stopIfTrue="1">
      <formula>$U$9&gt;100%</formula>
    </cfRule>
    <cfRule type="expression" dxfId="26" priority="4">
      <formula>$U$9&lt;50%</formula>
    </cfRule>
  </conditionalFormatting>
  <conditionalFormatting sqref="V9:V10">
    <cfRule type="expression" dxfId="25" priority="1">
      <formula>$V$9&lt;50%</formula>
    </cfRule>
    <cfRule type="expression" dxfId="24" priority="2">
      <formula>$V$9&gt;50%</formula>
    </cfRule>
  </conditionalFormatting>
  <dataValidations count="5">
    <dataValidation type="list" allowBlank="1" showInputMessage="1" showErrorMessage="1" sqref="M18:M60" xr:uid="{7435D4A4-E09C-4B2D-BB2B-4A0CFA6FC9F1}">
      <formula1>$Y$31:$Y$32</formula1>
    </dataValidation>
    <dataValidation type="list" allowBlank="1" showInputMessage="1" showErrorMessage="1" sqref="I13" xr:uid="{614F5643-12CB-43D6-9131-036A8C029BB8}">
      <formula1>$K$9:$K$9</formula1>
    </dataValidation>
    <dataValidation type="list" allowBlank="1" showInputMessage="1" showErrorMessage="1" sqref="Q14 K17 Q17 F17" xr:uid="{31E056C6-5C67-4E30-9C7E-1044F783D03A}">
      <formula1>$Y$11:$Y$12</formula1>
    </dataValidation>
    <dataValidation type="list" showInputMessage="1" showErrorMessage="1" sqref="D52:D60 D28:D36 D18:D26" xr:uid="{2D7CD69D-DC52-47DB-8106-6A77224034DC}">
      <formula1>$Z$18:$Z$29</formula1>
    </dataValidation>
    <dataValidation type="list" allowBlank="1" showInputMessage="1" showErrorMessage="1" sqref="H13" xr:uid="{781E2F62-333E-46FF-9C6D-4CCF234C4DAB}">
      <formula1>$Y$13:$Y$14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4F1D5-F362-4993-B071-7D821E379FA8}">
  <sheetPr>
    <pageSetUpPr fitToPage="1"/>
  </sheetPr>
  <dimension ref="A1:AB63"/>
  <sheetViews>
    <sheetView zoomScale="85" zoomScaleNormal="85" workbookViewId="0">
      <selection activeCell="F4" sqref="F4:G5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302" t="s">
        <v>2</v>
      </c>
      <c r="I1" s="303"/>
      <c r="J1" s="303"/>
      <c r="K1" s="304"/>
      <c r="L1" s="305" t="s">
        <v>3</v>
      </c>
      <c r="M1" s="306"/>
      <c r="N1" s="306"/>
      <c r="O1" s="306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77" t="s">
        <v>370</v>
      </c>
      <c r="G2" s="549"/>
      <c r="H2" s="315" t="s">
        <v>7</v>
      </c>
      <c r="I2" s="317"/>
      <c r="J2" s="316"/>
      <c r="K2" s="148"/>
      <c r="L2" s="318" t="s">
        <v>8</v>
      </c>
      <c r="M2" s="319"/>
      <c r="N2" s="320"/>
      <c r="O2" s="149"/>
      <c r="P2" s="554">
        <f>H61</f>
        <v>10639.199999999999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307" t="s">
        <v>13</v>
      </c>
      <c r="I3" s="309"/>
      <c r="J3" s="308"/>
      <c r="K3" s="154"/>
      <c r="L3" s="310" t="s">
        <v>14</v>
      </c>
      <c r="M3" s="311"/>
      <c r="N3" s="312"/>
      <c r="O3" s="149"/>
      <c r="P3" s="540">
        <f>L61</f>
        <v>10639.199999999999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681" t="s">
        <v>337</v>
      </c>
      <c r="G4" s="673"/>
      <c r="H4" s="307" t="s">
        <v>19</v>
      </c>
      <c r="I4" s="309"/>
      <c r="J4" s="308"/>
      <c r="K4" s="154"/>
      <c r="L4" s="310" t="s">
        <v>20</v>
      </c>
      <c r="M4" s="311"/>
      <c r="N4" s="312"/>
      <c r="O4" s="149"/>
      <c r="P4" s="540">
        <f>P2-P3</f>
        <v>0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688" t="s">
        <v>340</v>
      </c>
      <c r="G5" s="685"/>
      <c r="H5" s="307" t="s">
        <v>25</v>
      </c>
      <c r="I5" s="309"/>
      <c r="J5" s="308"/>
      <c r="K5" s="154"/>
      <c r="L5" s="321" t="s">
        <v>26</v>
      </c>
      <c r="M5" s="322"/>
      <c r="N5" s="323"/>
      <c r="O5" s="149"/>
      <c r="P5" s="561">
        <f>IFERROR((P2-P3)/P2,"")</f>
        <v>0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81" t="s">
        <v>356</v>
      </c>
      <c r="G6" s="673"/>
      <c r="H6" s="307" t="s">
        <v>31</v>
      </c>
      <c r="I6" s="309"/>
      <c r="J6" s="308"/>
      <c r="K6" s="154"/>
      <c r="L6" s="327" t="s">
        <v>32</v>
      </c>
      <c r="M6" s="328"/>
      <c r="N6" s="329"/>
      <c r="O6" s="149"/>
      <c r="P6" s="577">
        <f>T61</f>
        <v>10639.199999999999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671"/>
      <c r="G7" s="535"/>
      <c r="H7" s="307" t="s">
        <v>36</v>
      </c>
      <c r="I7" s="309"/>
      <c r="J7" s="308"/>
      <c r="K7" s="154"/>
      <c r="L7" s="324" t="s">
        <v>37</v>
      </c>
      <c r="M7" s="325"/>
      <c r="N7" s="32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307" t="s">
        <v>40</v>
      </c>
      <c r="I8" s="309"/>
      <c r="J8" s="308"/>
      <c r="K8" s="154"/>
      <c r="L8" s="324" t="s">
        <v>41</v>
      </c>
      <c r="M8" s="325"/>
      <c r="N8" s="32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366</v>
      </c>
      <c r="G9" s="535"/>
      <c r="H9" s="171"/>
      <c r="I9" s="172"/>
      <c r="J9" s="172"/>
      <c r="K9" s="173"/>
      <c r="L9" s="324" t="s">
        <v>47</v>
      </c>
      <c r="M9" s="325"/>
      <c r="N9" s="32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10639.199999999999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313" t="s">
        <v>48</v>
      </c>
      <c r="M10" s="330"/>
      <c r="N10" s="314"/>
      <c r="O10" s="149"/>
      <c r="P10" s="580">
        <f>E61</f>
        <v>12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347" t="s">
        <v>50</v>
      </c>
      <c r="K11" s="348"/>
      <c r="L11" s="348"/>
      <c r="M11" s="348"/>
      <c r="N11" s="349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350"/>
      <c r="K12" s="351"/>
      <c r="L12" s="351"/>
      <c r="M12" s="351"/>
      <c r="N12" s="352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353"/>
      <c r="K13" s="354"/>
      <c r="L13" s="354"/>
      <c r="M13" s="354"/>
      <c r="N13" s="355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331" t="s">
        <v>59</v>
      </c>
      <c r="K14" s="332"/>
      <c r="L14" s="335" t="s">
        <v>60</v>
      </c>
      <c r="M14" s="336"/>
      <c r="N14" s="33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333"/>
      <c r="K15" s="334"/>
      <c r="L15" s="338"/>
      <c r="M15" s="339"/>
      <c r="N15" s="34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343" t="s">
        <v>69</v>
      </c>
      <c r="K16" s="201" t="s">
        <v>72</v>
      </c>
      <c r="L16" s="202" t="s">
        <v>73</v>
      </c>
      <c r="M16" s="345" t="s">
        <v>74</v>
      </c>
      <c r="N16" s="345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8"/>
      <c r="C17" s="678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344"/>
      <c r="K17" s="341" t="s">
        <v>52</v>
      </c>
      <c r="L17" s="342"/>
      <c r="M17" s="346"/>
      <c r="N17" s="346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 s="292">
        <v>5000155678</v>
      </c>
      <c r="C18" s="366" t="s">
        <v>342</v>
      </c>
      <c r="D18" s="367"/>
      <c r="E18" s="219">
        <v>1</v>
      </c>
      <c r="F18" s="220">
        <v>88.22</v>
      </c>
      <c r="G18" s="221">
        <f t="shared" ref="G18:G26" si="0">ROUND(IF($F$17="USD $", F18*$E$15,F18*$D$15),2)</f>
        <v>62.13</v>
      </c>
      <c r="H18" s="222">
        <f t="shared" ref="H18:H60" si="1">ROUND(IF($H$17=$G$17,E18*G18,E18*F18),2)</f>
        <v>88.22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88.22</v>
      </c>
      <c r="L18" s="221">
        <f t="shared" ref="L18:L60" si="4">ROUND((J18*K18),2)</f>
        <v>88.22</v>
      </c>
      <c r="M18" s="220" t="s">
        <v>84</v>
      </c>
      <c r="N18" s="225"/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88.22</v>
      </c>
      <c r="T18" s="229">
        <f t="shared" ref="T18:T60" si="7">ROUND(L18-R18,2)</f>
        <v>88.22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294">
        <v>5200015526</v>
      </c>
      <c r="C19" s="294" t="s">
        <v>343</v>
      </c>
      <c r="D19" s="368"/>
      <c r="E19" s="238">
        <v>1</v>
      </c>
      <c r="F19" s="239">
        <v>37.520000000000003</v>
      </c>
      <c r="G19" s="240">
        <f t="shared" si="0"/>
        <v>26.42</v>
      </c>
      <c r="H19" s="241">
        <f t="shared" si="1"/>
        <v>37.520000000000003</v>
      </c>
      <c r="I19" s="242"/>
      <c r="J19" s="243">
        <f t="shared" si="2"/>
        <v>1</v>
      </c>
      <c r="K19" s="240">
        <f t="shared" si="3"/>
        <v>37.520000000000003</v>
      </c>
      <c r="L19" s="240">
        <f t="shared" si="4"/>
        <v>37.520000000000003</v>
      </c>
      <c r="M19" s="244" t="s">
        <v>84</v>
      </c>
      <c r="N19" s="245"/>
      <c r="O19" s="226"/>
      <c r="P19" s="246"/>
      <c r="Q19" s="239"/>
      <c r="R19" s="247">
        <f t="shared" si="5"/>
        <v>0</v>
      </c>
      <c r="S19" s="248">
        <f t="shared" si="6"/>
        <v>37.520000000000003</v>
      </c>
      <c r="T19" s="248">
        <f t="shared" si="7"/>
        <v>37.520000000000003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292">
        <v>5200009520</v>
      </c>
      <c r="C20" s="292" t="s">
        <v>344</v>
      </c>
      <c r="D20" s="369"/>
      <c r="E20" s="219">
        <v>1</v>
      </c>
      <c r="F20" s="220">
        <v>208.39</v>
      </c>
      <c r="G20" s="221">
        <f t="shared" si="0"/>
        <v>146.75</v>
      </c>
      <c r="H20" s="222">
        <f t="shared" si="1"/>
        <v>208.39</v>
      </c>
      <c r="I20" s="242"/>
      <c r="J20" s="224">
        <f t="shared" si="2"/>
        <v>1</v>
      </c>
      <c r="K20" s="221">
        <f t="shared" si="3"/>
        <v>208.39</v>
      </c>
      <c r="L20" s="221">
        <f t="shared" si="4"/>
        <v>208.39</v>
      </c>
      <c r="M20" s="220" t="s">
        <v>84</v>
      </c>
      <c r="N20" s="254"/>
      <c r="O20" s="226"/>
      <c r="P20" s="255"/>
      <c r="Q20" s="228"/>
      <c r="R20" s="229">
        <f t="shared" si="5"/>
        <v>0</v>
      </c>
      <c r="S20" s="229">
        <f t="shared" si="6"/>
        <v>208.39</v>
      </c>
      <c r="T20" s="229">
        <f t="shared" si="7"/>
        <v>208.39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294">
        <v>5000082116</v>
      </c>
      <c r="C21" s="294" t="s">
        <v>345</v>
      </c>
      <c r="D21" s="368"/>
      <c r="E21" s="238">
        <v>1</v>
      </c>
      <c r="F21" s="239">
        <v>35.44</v>
      </c>
      <c r="G21" s="240">
        <f t="shared" si="0"/>
        <v>24.96</v>
      </c>
      <c r="H21" s="241">
        <f t="shared" si="1"/>
        <v>35.44</v>
      </c>
      <c r="I21" s="242"/>
      <c r="J21" s="243">
        <f t="shared" si="2"/>
        <v>1</v>
      </c>
      <c r="K21" s="240">
        <f t="shared" si="3"/>
        <v>35.44</v>
      </c>
      <c r="L21" s="240">
        <f t="shared" si="4"/>
        <v>35.44</v>
      </c>
      <c r="M21" s="244" t="s">
        <v>84</v>
      </c>
      <c r="N21" s="245"/>
      <c r="O21" s="226"/>
      <c r="P21" s="246"/>
      <c r="Q21" s="239"/>
      <c r="R21" s="247">
        <f t="shared" si="5"/>
        <v>0</v>
      </c>
      <c r="S21" s="248">
        <f t="shared" si="6"/>
        <v>35.44</v>
      </c>
      <c r="T21" s="248">
        <f t="shared" si="7"/>
        <v>35.44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292"/>
      <c r="C22" s="292"/>
      <c r="D22" s="369"/>
      <c r="E22" s="219"/>
      <c r="F22" s="220"/>
      <c r="G22" s="221">
        <f t="shared" si="0"/>
        <v>0</v>
      </c>
      <c r="H22" s="222">
        <f t="shared" si="1"/>
        <v>0</v>
      </c>
      <c r="I22" s="242"/>
      <c r="J22" s="224">
        <f t="shared" si="2"/>
        <v>0</v>
      </c>
      <c r="K22" s="221">
        <f t="shared" si="3"/>
        <v>0</v>
      </c>
      <c r="L22" s="221">
        <f t="shared" si="4"/>
        <v>0</v>
      </c>
      <c r="M22" s="220" t="s">
        <v>84</v>
      </c>
      <c r="N22" s="254"/>
      <c r="O22" s="226"/>
      <c r="P22" s="255"/>
      <c r="Q22" s="228"/>
      <c r="R22" s="229">
        <f t="shared" si="5"/>
        <v>0</v>
      </c>
      <c r="S22" s="229">
        <f t="shared" si="6"/>
        <v>0</v>
      </c>
      <c r="T22" s="229">
        <f t="shared" si="7"/>
        <v>0</v>
      </c>
      <c r="U22" s="230">
        <f t="shared" si="8"/>
        <v>0</v>
      </c>
      <c r="V22" s="230">
        <f t="shared" si="9"/>
        <v>0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294"/>
      <c r="C23" s="294"/>
      <c r="D23" s="368"/>
      <c r="E23" s="238"/>
      <c r="F23" s="239"/>
      <c r="G23" s="240">
        <f t="shared" si="0"/>
        <v>0</v>
      </c>
      <c r="H23" s="241">
        <f t="shared" si="1"/>
        <v>0</v>
      </c>
      <c r="I23" s="242"/>
      <c r="J23" s="243">
        <f t="shared" si="2"/>
        <v>0</v>
      </c>
      <c r="K23" s="240">
        <f t="shared" si="3"/>
        <v>0</v>
      </c>
      <c r="L23" s="240">
        <f t="shared" si="4"/>
        <v>0</v>
      </c>
      <c r="M23" s="244" t="s">
        <v>84</v>
      </c>
      <c r="N23" s="245"/>
      <c r="O23" s="226"/>
      <c r="P23" s="246"/>
      <c r="Q23" s="239"/>
      <c r="R23" s="247">
        <f t="shared" si="5"/>
        <v>0</v>
      </c>
      <c r="S23" s="248">
        <f t="shared" si="6"/>
        <v>0</v>
      </c>
      <c r="T23" s="248">
        <f t="shared" si="7"/>
        <v>0</v>
      </c>
      <c r="U23" s="249">
        <f t="shared" si="8"/>
        <v>0</v>
      </c>
      <c r="V23" s="249">
        <f t="shared" si="9"/>
        <v>0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292">
        <v>5200009453</v>
      </c>
      <c r="C24" s="292" t="s">
        <v>346</v>
      </c>
      <c r="D24" s="369"/>
      <c r="E24" s="219">
        <v>1</v>
      </c>
      <c r="F24" s="220">
        <v>3367.35</v>
      </c>
      <c r="G24" s="221">
        <f t="shared" si="0"/>
        <v>2371.37</v>
      </c>
      <c r="H24" s="222">
        <f t="shared" si="1"/>
        <v>3367.35</v>
      </c>
      <c r="I24" s="242"/>
      <c r="J24" s="224">
        <f t="shared" si="2"/>
        <v>1</v>
      </c>
      <c r="K24" s="221">
        <f t="shared" si="3"/>
        <v>3367.35</v>
      </c>
      <c r="L24" s="221">
        <f t="shared" si="4"/>
        <v>3367.35</v>
      </c>
      <c r="M24" s="220" t="s">
        <v>84</v>
      </c>
      <c r="N24" s="254"/>
      <c r="O24" s="226"/>
      <c r="P24" s="255"/>
      <c r="Q24" s="228"/>
      <c r="R24" s="229">
        <f t="shared" si="5"/>
        <v>0</v>
      </c>
      <c r="S24" s="229">
        <f t="shared" si="6"/>
        <v>3367.35</v>
      </c>
      <c r="T24" s="229">
        <f t="shared" si="7"/>
        <v>3367.35</v>
      </c>
      <c r="U24" s="230">
        <f t="shared" si="8"/>
        <v>0</v>
      </c>
      <c r="V24" s="230">
        <f t="shared" si="9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>
        <v>5000153758</v>
      </c>
      <c r="C25" s="294" t="s">
        <v>347</v>
      </c>
      <c r="D25" s="368"/>
      <c r="E25" s="238">
        <v>1</v>
      </c>
      <c r="F25" s="239">
        <v>287.2</v>
      </c>
      <c r="G25" s="240">
        <f t="shared" si="0"/>
        <v>202.25</v>
      </c>
      <c r="H25" s="241">
        <f t="shared" si="1"/>
        <v>287.2</v>
      </c>
      <c r="I25" s="242"/>
      <c r="J25" s="243">
        <f t="shared" si="2"/>
        <v>1</v>
      </c>
      <c r="K25" s="240">
        <f t="shared" si="3"/>
        <v>287.2</v>
      </c>
      <c r="L25" s="240">
        <f t="shared" si="4"/>
        <v>287.2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287.2</v>
      </c>
      <c r="T25" s="248">
        <f t="shared" si="7"/>
        <v>287.2</v>
      </c>
      <c r="U25" s="249">
        <f t="shared" si="8"/>
        <v>0</v>
      </c>
      <c r="V25" s="249">
        <f t="shared" si="9"/>
        <v>1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>
        <v>5000160388</v>
      </c>
      <c r="C26" s="357" t="s">
        <v>348</v>
      </c>
      <c r="D26" s="369"/>
      <c r="E26" s="219">
        <v>1</v>
      </c>
      <c r="F26" s="220">
        <v>2605.06</v>
      </c>
      <c r="G26" s="221">
        <f t="shared" si="0"/>
        <v>1834.55</v>
      </c>
      <c r="H26" s="222">
        <f t="shared" si="1"/>
        <v>2605.06</v>
      </c>
      <c r="I26" s="242"/>
      <c r="J26" s="224">
        <f t="shared" si="2"/>
        <v>1</v>
      </c>
      <c r="K26" s="221">
        <f t="shared" si="3"/>
        <v>2605.06</v>
      </c>
      <c r="L26" s="221">
        <f t="shared" si="4"/>
        <v>2605.06</v>
      </c>
      <c r="M26" s="220" t="s">
        <v>84</v>
      </c>
      <c r="N26" s="254"/>
      <c r="O26" s="226"/>
      <c r="P26" s="255"/>
      <c r="Q26" s="228"/>
      <c r="R26" s="229">
        <f t="shared" si="5"/>
        <v>0</v>
      </c>
      <c r="S26" s="229">
        <f t="shared" si="6"/>
        <v>2605.06</v>
      </c>
      <c r="T26" s="229">
        <f t="shared" si="7"/>
        <v>2605.06</v>
      </c>
      <c r="U26" s="230">
        <f t="shared" si="8"/>
        <v>0</v>
      </c>
      <c r="V26" s="230">
        <f t="shared" si="9"/>
        <v>1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294">
        <v>5100061991</v>
      </c>
      <c r="C27" s="294" t="s">
        <v>349</v>
      </c>
      <c r="D27" s="370"/>
      <c r="E27" s="382">
        <v>3</v>
      </c>
      <c r="F27" s="239">
        <v>1265.32</v>
      </c>
      <c r="G27" s="240"/>
      <c r="H27" s="241">
        <f t="shared" si="1"/>
        <v>3795.96</v>
      </c>
      <c r="I27" s="242"/>
      <c r="J27" s="243">
        <f t="shared" si="2"/>
        <v>3</v>
      </c>
      <c r="K27" s="240">
        <f t="shared" si="3"/>
        <v>1265.32</v>
      </c>
      <c r="L27" s="240">
        <f t="shared" si="4"/>
        <v>3795.96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1265.32</v>
      </c>
      <c r="T27" s="248">
        <f t="shared" si="7"/>
        <v>3795.96</v>
      </c>
      <c r="U27" s="249">
        <f t="shared" si="8"/>
        <v>0</v>
      </c>
      <c r="V27" s="249">
        <f t="shared" si="9"/>
        <v>1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379">
        <v>5100066530</v>
      </c>
      <c r="C28" s="379" t="s">
        <v>350</v>
      </c>
      <c r="D28" s="367"/>
      <c r="E28" s="219">
        <v>2</v>
      </c>
      <c r="F28" s="220">
        <v>107.03</v>
      </c>
      <c r="G28" s="221">
        <f t="shared" ref="G28:G60" si="10">ROUND(IF($F$17="USD $", F28*$E$15,F28*$D$15),2)</f>
        <v>75.37</v>
      </c>
      <c r="H28" s="222">
        <f t="shared" si="1"/>
        <v>214.06</v>
      </c>
      <c r="I28" s="242"/>
      <c r="J28" s="224">
        <f t="shared" si="2"/>
        <v>2</v>
      </c>
      <c r="K28" s="221">
        <f t="shared" si="3"/>
        <v>107.03</v>
      </c>
      <c r="L28" s="221">
        <f t="shared" si="4"/>
        <v>214.06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107.03</v>
      </c>
      <c r="T28" s="229">
        <f t="shared" si="7"/>
        <v>214.06</v>
      </c>
      <c r="U28" s="230">
        <f t="shared" si="8"/>
        <v>0</v>
      </c>
      <c r="V28" s="230">
        <f t="shared" si="9"/>
        <v>1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374"/>
      <c r="C29" s="374"/>
      <c r="D29" s="368"/>
      <c r="E29" s="238"/>
      <c r="F29" s="239"/>
      <c r="G29" s="240">
        <f t="shared" si="10"/>
        <v>0</v>
      </c>
      <c r="H29" s="241">
        <f t="shared" si="1"/>
        <v>0</v>
      </c>
      <c r="I29" s="242"/>
      <c r="J29" s="243">
        <f t="shared" si="2"/>
        <v>0</v>
      </c>
      <c r="K29" s="240">
        <f t="shared" si="3"/>
        <v>0</v>
      </c>
      <c r="L29" s="240">
        <f t="shared" si="4"/>
        <v>0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0</v>
      </c>
      <c r="T29" s="248">
        <f t="shared" si="7"/>
        <v>0</v>
      </c>
      <c r="U29" s="249">
        <f t="shared" si="8"/>
        <v>0</v>
      </c>
      <c r="V29" s="249">
        <f t="shared" si="9"/>
        <v>0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358"/>
      <c r="C30" s="359"/>
      <c r="D30" s="369"/>
      <c r="E30" s="219"/>
      <c r="F30" s="220"/>
      <c r="G30" s="221">
        <f t="shared" si="10"/>
        <v>0</v>
      </c>
      <c r="H30" s="222">
        <f t="shared" si="1"/>
        <v>0</v>
      </c>
      <c r="I30" s="242"/>
      <c r="J30" s="224">
        <f t="shared" si="2"/>
        <v>0</v>
      </c>
      <c r="K30" s="221">
        <f t="shared" si="3"/>
        <v>0</v>
      </c>
      <c r="L30" s="221">
        <f t="shared" si="4"/>
        <v>0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0</v>
      </c>
      <c r="T30" s="229">
        <f t="shared" si="7"/>
        <v>0</v>
      </c>
      <c r="U30" s="230">
        <f t="shared" si="8"/>
        <v>0</v>
      </c>
      <c r="V30" s="230">
        <f t="shared" si="9"/>
        <v>0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362"/>
      <c r="C31" s="363"/>
      <c r="D31" s="368"/>
      <c r="E31" s="238"/>
      <c r="F31" s="239"/>
      <c r="G31" s="240">
        <f t="shared" si="10"/>
        <v>0</v>
      </c>
      <c r="H31" s="241">
        <f t="shared" si="1"/>
        <v>0</v>
      </c>
      <c r="I31" s="242"/>
      <c r="J31" s="243">
        <f t="shared" si="2"/>
        <v>0</v>
      </c>
      <c r="K31" s="240">
        <f t="shared" si="3"/>
        <v>0</v>
      </c>
      <c r="L31" s="240">
        <f t="shared" si="4"/>
        <v>0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0</v>
      </c>
      <c r="T31" s="248">
        <f t="shared" si="7"/>
        <v>0</v>
      </c>
      <c r="U31" s="249">
        <f t="shared" si="8"/>
        <v>0</v>
      </c>
      <c r="V31" s="249">
        <f t="shared" si="9"/>
        <v>0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358"/>
      <c r="C32" s="365"/>
      <c r="D32" s="369"/>
      <c r="E32" s="219"/>
      <c r="F32" s="220"/>
      <c r="G32" s="221">
        <f t="shared" si="10"/>
        <v>0</v>
      </c>
      <c r="H32" s="222">
        <f t="shared" si="1"/>
        <v>0</v>
      </c>
      <c r="I32" s="242"/>
      <c r="J32" s="224">
        <f t="shared" si="2"/>
        <v>0</v>
      </c>
      <c r="K32" s="221">
        <f t="shared" si="3"/>
        <v>0</v>
      </c>
      <c r="L32" s="221">
        <f t="shared" si="4"/>
        <v>0</v>
      </c>
      <c r="M32" s="220" t="s">
        <v>84</v>
      </c>
      <c r="N32" s="254"/>
      <c r="O32" s="226"/>
      <c r="P32" s="255"/>
      <c r="Q32" s="228"/>
      <c r="R32" s="229">
        <f t="shared" si="5"/>
        <v>0</v>
      </c>
      <c r="S32" s="229">
        <f t="shared" si="6"/>
        <v>0</v>
      </c>
      <c r="T32" s="229">
        <f t="shared" si="7"/>
        <v>0</v>
      </c>
      <c r="U32" s="230">
        <f t="shared" si="8"/>
        <v>0</v>
      </c>
      <c r="V32" s="230">
        <f t="shared" si="9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362"/>
      <c r="C33" s="363"/>
      <c r="D33" s="368"/>
      <c r="E33" s="238"/>
      <c r="F33" s="239"/>
      <c r="G33" s="240">
        <f t="shared" si="10"/>
        <v>0</v>
      </c>
      <c r="H33" s="241">
        <f t="shared" si="1"/>
        <v>0</v>
      </c>
      <c r="I33" s="242"/>
      <c r="J33" s="243">
        <f t="shared" si="2"/>
        <v>0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358"/>
      <c r="C34" s="365"/>
      <c r="D34" s="369"/>
      <c r="E34" s="219"/>
      <c r="F34" s="220"/>
      <c r="G34" s="221">
        <f t="shared" si="1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/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362"/>
      <c r="C35" s="363"/>
      <c r="D35" s="368"/>
      <c r="E35" s="238"/>
      <c r="F35" s="239"/>
      <c r="G35" s="240">
        <f t="shared" si="1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/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358"/>
      <c r="C36" s="365"/>
      <c r="D36" s="369"/>
      <c r="E36" s="219"/>
      <c r="F36" s="220"/>
      <c r="G36" s="221">
        <f t="shared" si="1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362"/>
      <c r="C37" s="363"/>
      <c r="D37" s="286"/>
      <c r="E37" s="364"/>
      <c r="F37" s="239"/>
      <c r="G37" s="240">
        <f t="shared" si="1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358"/>
      <c r="C38" s="365"/>
      <c r="D38" s="287"/>
      <c r="E38" s="361"/>
      <c r="F38" s="220"/>
      <c r="G38" s="221">
        <f t="shared" si="1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362"/>
      <c r="C39" s="363"/>
      <c r="D39" s="286"/>
      <c r="E39" s="364"/>
      <c r="F39" s="239"/>
      <c r="G39" s="240">
        <f t="shared" si="1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358"/>
      <c r="C40" s="365"/>
      <c r="D40" s="287"/>
      <c r="E40" s="361"/>
      <c r="F40" s="220"/>
      <c r="G40" s="221">
        <f t="shared" si="1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362"/>
      <c r="C41" s="363"/>
      <c r="D41" s="286"/>
      <c r="E41" s="364"/>
      <c r="F41" s="239"/>
      <c r="G41" s="240">
        <f t="shared" si="1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358"/>
      <c r="C42" s="365"/>
      <c r="D42" s="287"/>
      <c r="E42" s="361"/>
      <c r="F42" s="220"/>
      <c r="G42" s="221">
        <f t="shared" si="1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362"/>
      <c r="C43" s="363"/>
      <c r="D43" s="286"/>
      <c r="E43" s="364"/>
      <c r="F43" s="239"/>
      <c r="G43" s="240">
        <f t="shared" si="1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358"/>
      <c r="C44" s="365"/>
      <c r="D44" s="287"/>
      <c r="E44" s="361"/>
      <c r="F44" s="220"/>
      <c r="G44" s="221">
        <f t="shared" si="1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362"/>
      <c r="C45" s="363"/>
      <c r="D45" s="286"/>
      <c r="E45" s="364"/>
      <c r="F45" s="239"/>
      <c r="G45" s="240">
        <f t="shared" si="1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358"/>
      <c r="C46" s="365"/>
      <c r="D46" s="287"/>
      <c r="E46" s="361"/>
      <c r="F46" s="220"/>
      <c r="G46" s="221">
        <f t="shared" si="1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362"/>
      <c r="C47" s="363"/>
      <c r="D47" s="286"/>
      <c r="E47" s="364"/>
      <c r="F47" s="239"/>
      <c r="G47" s="240">
        <f t="shared" si="10"/>
        <v>0</v>
      </c>
      <c r="H47" s="241">
        <f t="shared" si="1"/>
        <v>0</v>
      </c>
      <c r="I47" s="242"/>
      <c r="J47" s="243">
        <f t="shared" si="2"/>
        <v>0</v>
      </c>
      <c r="K47" s="240">
        <f t="shared" si="3"/>
        <v>0</v>
      </c>
      <c r="L47" s="240">
        <f t="shared" si="4"/>
        <v>0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0</v>
      </c>
      <c r="T47" s="248">
        <f t="shared" si="7"/>
        <v>0</v>
      </c>
      <c r="U47" s="249">
        <f t="shared" si="8"/>
        <v>0</v>
      </c>
      <c r="V47" s="249">
        <f t="shared" si="9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358"/>
      <c r="C48" s="365"/>
      <c r="D48" s="287"/>
      <c r="E48" s="361"/>
      <c r="F48" s="220"/>
      <c r="G48" s="221">
        <f t="shared" si="10"/>
        <v>0</v>
      </c>
      <c r="H48" s="222">
        <f t="shared" si="1"/>
        <v>0</v>
      </c>
      <c r="I48" s="242"/>
      <c r="J48" s="224">
        <f t="shared" si="2"/>
        <v>0</v>
      </c>
      <c r="K48" s="221">
        <f t="shared" si="3"/>
        <v>0</v>
      </c>
      <c r="L48" s="221">
        <f t="shared" si="4"/>
        <v>0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0</v>
      </c>
      <c r="T48" s="229">
        <f t="shared" si="7"/>
        <v>0</v>
      </c>
      <c r="U48" s="230">
        <f t="shared" si="8"/>
        <v>0</v>
      </c>
      <c r="V48" s="230">
        <f t="shared" si="9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362"/>
      <c r="C49" s="363"/>
      <c r="D49" s="286"/>
      <c r="E49" s="364"/>
      <c r="F49" s="239"/>
      <c r="G49" s="240">
        <f t="shared" si="10"/>
        <v>0</v>
      </c>
      <c r="H49" s="241">
        <f t="shared" si="1"/>
        <v>0</v>
      </c>
      <c r="I49" s="242"/>
      <c r="J49" s="243">
        <f t="shared" si="2"/>
        <v>0</v>
      </c>
      <c r="K49" s="240">
        <f t="shared" si="3"/>
        <v>0</v>
      </c>
      <c r="L49" s="240">
        <f t="shared" si="4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0</v>
      </c>
      <c r="T49" s="248">
        <f t="shared" si="7"/>
        <v>0</v>
      </c>
      <c r="U49" s="249">
        <f t="shared" si="8"/>
        <v>0</v>
      </c>
      <c r="V49" s="249">
        <f t="shared" si="9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358"/>
      <c r="C50" s="365"/>
      <c r="D50" s="287"/>
      <c r="E50" s="361"/>
      <c r="F50" s="220"/>
      <c r="G50" s="221">
        <f t="shared" si="10"/>
        <v>0</v>
      </c>
      <c r="H50" s="222">
        <f t="shared" si="1"/>
        <v>0</v>
      </c>
      <c r="I50" s="242"/>
      <c r="J50" s="224">
        <f t="shared" si="2"/>
        <v>0</v>
      </c>
      <c r="K50" s="221">
        <f t="shared" si="3"/>
        <v>0</v>
      </c>
      <c r="L50" s="221">
        <f t="shared" si="4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0</v>
      </c>
      <c r="T50" s="229">
        <f t="shared" si="7"/>
        <v>0</v>
      </c>
      <c r="U50" s="230">
        <f t="shared" si="8"/>
        <v>0</v>
      </c>
      <c r="V50" s="230">
        <f t="shared" si="9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362"/>
      <c r="C51" s="363"/>
      <c r="D51" s="286"/>
      <c r="E51" s="364"/>
      <c r="F51" s="239"/>
      <c r="G51" s="240">
        <f t="shared" si="1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1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1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1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1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1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1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1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1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1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12</v>
      </c>
      <c r="F61" s="265">
        <f>SUM(F18:F60)</f>
        <v>8001.53</v>
      </c>
      <c r="G61" s="266">
        <f>SUM(G18:G60)</f>
        <v>4743.8</v>
      </c>
      <c r="H61" s="267">
        <f>SUM(H18:H60)</f>
        <v>10639.199999999999</v>
      </c>
      <c r="I61" s="268"/>
      <c r="J61" s="269">
        <f>SUM(J18:J60)</f>
        <v>12</v>
      </c>
      <c r="K61" s="266">
        <f>SUM(K18:K60)</f>
        <v>8001.53</v>
      </c>
      <c r="L61" s="267">
        <f>SUM(L18:L60)</f>
        <v>10639.199999999999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8001.53</v>
      </c>
      <c r="T61" s="267">
        <f>SUM(T18:T60)</f>
        <v>10639.199999999999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61">
    <mergeCell ref="P16:P17"/>
    <mergeCell ref="R17:V17"/>
    <mergeCell ref="B16:B17"/>
    <mergeCell ref="C16:C17"/>
    <mergeCell ref="D16:D17"/>
    <mergeCell ref="E16:E17"/>
    <mergeCell ref="F16:G16"/>
    <mergeCell ref="D9:E9"/>
    <mergeCell ref="F9:G9"/>
    <mergeCell ref="P9:R9"/>
    <mergeCell ref="S9:S10"/>
    <mergeCell ref="T9:T10"/>
    <mergeCell ref="B11:C15"/>
    <mergeCell ref="D11:E13"/>
    <mergeCell ref="F11:H12"/>
    <mergeCell ref="P11:V13"/>
    <mergeCell ref="F13:G13"/>
    <mergeCell ref="F14:H14"/>
    <mergeCell ref="F15:H15"/>
    <mergeCell ref="P15:V15"/>
    <mergeCell ref="S7:T7"/>
    <mergeCell ref="U7:V7"/>
    <mergeCell ref="V9:V10"/>
    <mergeCell ref="W9:W10"/>
    <mergeCell ref="P10:R10"/>
    <mergeCell ref="U9:U10"/>
    <mergeCell ref="D8:E8"/>
    <mergeCell ref="F8:G8"/>
    <mergeCell ref="P8:R8"/>
    <mergeCell ref="D5:E5"/>
    <mergeCell ref="F5:G5"/>
    <mergeCell ref="P5:R5"/>
    <mergeCell ref="D7:E7"/>
    <mergeCell ref="F7:G7"/>
    <mergeCell ref="P7:R7"/>
    <mergeCell ref="S5:T5"/>
    <mergeCell ref="U5:V5"/>
    <mergeCell ref="D6:E6"/>
    <mergeCell ref="F6:G6"/>
    <mergeCell ref="P6:R6"/>
    <mergeCell ref="S6:T6"/>
    <mergeCell ref="U6:V6"/>
    <mergeCell ref="D3:E3"/>
    <mergeCell ref="F3:G3"/>
    <mergeCell ref="P3:R3"/>
    <mergeCell ref="S3:T3"/>
    <mergeCell ref="U3:V3"/>
    <mergeCell ref="D4:E4"/>
    <mergeCell ref="F4:G4"/>
    <mergeCell ref="P4:R4"/>
    <mergeCell ref="S4:T4"/>
    <mergeCell ref="U4:V4"/>
    <mergeCell ref="B1:C1"/>
    <mergeCell ref="D1:G1"/>
    <mergeCell ref="P1:R1"/>
    <mergeCell ref="S1:W1"/>
    <mergeCell ref="D2:E2"/>
    <mergeCell ref="F2:G2"/>
    <mergeCell ref="P2:R2"/>
    <mergeCell ref="S2:T2"/>
    <mergeCell ref="U2:V2"/>
  </mergeCells>
  <conditionalFormatting sqref="U9:U10">
    <cfRule type="expression" dxfId="23" priority="3" stopIfTrue="1">
      <formula>$U$9&gt;100%</formula>
    </cfRule>
    <cfRule type="expression" dxfId="22" priority="4">
      <formula>$U$9&lt;50%</formula>
    </cfRule>
  </conditionalFormatting>
  <conditionalFormatting sqref="V9:V10">
    <cfRule type="expression" dxfId="21" priority="1">
      <formula>$V$9&lt;50%</formula>
    </cfRule>
    <cfRule type="expression" dxfId="20" priority="2">
      <formula>$V$9&gt;50%</formula>
    </cfRule>
  </conditionalFormatting>
  <dataValidations count="5">
    <dataValidation type="list" allowBlank="1" showInputMessage="1" showErrorMessage="1" sqref="H13" xr:uid="{CCA6D241-8197-4BBA-8867-3A09A84F9FEF}">
      <formula1>$Y$13:$Y$14</formula1>
    </dataValidation>
    <dataValidation type="list" showInputMessage="1" showErrorMessage="1" sqref="D52:D60 D28:D36 D18:D26" xr:uid="{A398DA44-4492-45F8-8873-B525CF6BC257}">
      <formula1>$Z$18:$Z$29</formula1>
    </dataValidation>
    <dataValidation type="list" allowBlank="1" showInputMessage="1" showErrorMessage="1" sqref="Q14 K17 Q17 F17" xr:uid="{0D4DAF87-FA0A-4AE9-8F77-E9C169C72A66}">
      <formula1>$Y$11:$Y$12</formula1>
    </dataValidation>
    <dataValidation type="list" allowBlank="1" showInputMessage="1" showErrorMessage="1" sqref="I13" xr:uid="{7D886AEC-D3AA-4005-B4F4-2EB3DA1E8742}">
      <formula1>$K$9:$K$9</formula1>
    </dataValidation>
    <dataValidation type="list" allowBlank="1" showInputMessage="1" showErrorMessage="1" sqref="M18:M60" xr:uid="{406539BB-E8BF-4711-A3A7-BA163B3B6B53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61AD0-B8CD-4533-8A59-0A323946B16A}">
  <sheetPr>
    <pageSetUpPr fitToPage="1"/>
  </sheetPr>
  <dimension ref="A1:AB63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302" t="s">
        <v>2</v>
      </c>
      <c r="I1" s="303"/>
      <c r="J1" s="303"/>
      <c r="K1" s="304"/>
      <c r="L1" s="305" t="s">
        <v>3</v>
      </c>
      <c r="M1" s="306"/>
      <c r="N1" s="306"/>
      <c r="O1" s="306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77" t="s">
        <v>369</v>
      </c>
      <c r="G2" s="549"/>
      <c r="H2" s="315" t="s">
        <v>7</v>
      </c>
      <c r="I2" s="317"/>
      <c r="J2" s="316"/>
      <c r="K2" s="148"/>
      <c r="L2" s="318" t="s">
        <v>8</v>
      </c>
      <c r="M2" s="319"/>
      <c r="N2" s="320"/>
      <c r="O2" s="149"/>
      <c r="P2" s="554">
        <f>H61</f>
        <v>10639.199999999999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307" t="s">
        <v>13</v>
      </c>
      <c r="I3" s="309"/>
      <c r="J3" s="308"/>
      <c r="K3" s="154"/>
      <c r="L3" s="310" t="s">
        <v>14</v>
      </c>
      <c r="M3" s="311"/>
      <c r="N3" s="312"/>
      <c r="O3" s="149"/>
      <c r="P3" s="540">
        <f>L61</f>
        <v>10639.199999999999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681" t="s">
        <v>337</v>
      </c>
      <c r="G4" s="673"/>
      <c r="H4" s="307" t="s">
        <v>19</v>
      </c>
      <c r="I4" s="309"/>
      <c r="J4" s="308"/>
      <c r="K4" s="154"/>
      <c r="L4" s="310" t="s">
        <v>20</v>
      </c>
      <c r="M4" s="311"/>
      <c r="N4" s="312"/>
      <c r="O4" s="149"/>
      <c r="P4" s="540">
        <f>P2-P3</f>
        <v>0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688" t="s">
        <v>340</v>
      </c>
      <c r="G5" s="685"/>
      <c r="H5" s="307" t="s">
        <v>25</v>
      </c>
      <c r="I5" s="309"/>
      <c r="J5" s="308"/>
      <c r="K5" s="154"/>
      <c r="L5" s="321" t="s">
        <v>26</v>
      </c>
      <c r="M5" s="322"/>
      <c r="N5" s="323"/>
      <c r="O5" s="149"/>
      <c r="P5" s="561">
        <f>IFERROR((P2-P3)/P2,"")</f>
        <v>0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81" t="s">
        <v>357</v>
      </c>
      <c r="G6" s="673"/>
      <c r="H6" s="307" t="s">
        <v>31</v>
      </c>
      <c r="I6" s="309"/>
      <c r="J6" s="308"/>
      <c r="K6" s="154"/>
      <c r="L6" s="327" t="s">
        <v>32</v>
      </c>
      <c r="M6" s="328"/>
      <c r="N6" s="329"/>
      <c r="O6" s="149"/>
      <c r="P6" s="577">
        <f>T61</f>
        <v>10639.199999999999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671"/>
      <c r="G7" s="535"/>
      <c r="H7" s="307" t="s">
        <v>36</v>
      </c>
      <c r="I7" s="309"/>
      <c r="J7" s="308"/>
      <c r="K7" s="154"/>
      <c r="L7" s="324" t="s">
        <v>37</v>
      </c>
      <c r="M7" s="325"/>
      <c r="N7" s="32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307" t="s">
        <v>40</v>
      </c>
      <c r="I8" s="309"/>
      <c r="J8" s="308"/>
      <c r="K8" s="154"/>
      <c r="L8" s="324" t="s">
        <v>41</v>
      </c>
      <c r="M8" s="325"/>
      <c r="N8" s="32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366</v>
      </c>
      <c r="G9" s="535"/>
      <c r="H9" s="171"/>
      <c r="I9" s="172"/>
      <c r="J9" s="172"/>
      <c r="K9" s="173"/>
      <c r="L9" s="324" t="s">
        <v>47</v>
      </c>
      <c r="M9" s="325"/>
      <c r="N9" s="32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10639.199999999999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313" t="s">
        <v>48</v>
      </c>
      <c r="M10" s="330"/>
      <c r="N10" s="314"/>
      <c r="O10" s="149"/>
      <c r="P10" s="580">
        <f>E61</f>
        <v>12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347" t="s">
        <v>50</v>
      </c>
      <c r="K11" s="348"/>
      <c r="L11" s="348"/>
      <c r="M11" s="348"/>
      <c r="N11" s="349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350"/>
      <c r="K12" s="351"/>
      <c r="L12" s="351"/>
      <c r="M12" s="351"/>
      <c r="N12" s="352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353"/>
      <c r="K13" s="354"/>
      <c r="L13" s="354"/>
      <c r="M13" s="354"/>
      <c r="N13" s="355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331" t="s">
        <v>59</v>
      </c>
      <c r="K14" s="332"/>
      <c r="L14" s="335" t="s">
        <v>60</v>
      </c>
      <c r="M14" s="336"/>
      <c r="N14" s="33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333"/>
      <c r="K15" s="334"/>
      <c r="L15" s="338"/>
      <c r="M15" s="339"/>
      <c r="N15" s="34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343" t="s">
        <v>69</v>
      </c>
      <c r="K16" s="201" t="s">
        <v>72</v>
      </c>
      <c r="L16" s="202" t="s">
        <v>73</v>
      </c>
      <c r="M16" s="345" t="s">
        <v>74</v>
      </c>
      <c r="N16" s="345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8"/>
      <c r="C17" s="678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344"/>
      <c r="K17" s="341" t="s">
        <v>52</v>
      </c>
      <c r="L17" s="342"/>
      <c r="M17" s="346"/>
      <c r="N17" s="346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 s="292">
        <v>5000155678</v>
      </c>
      <c r="C18" s="366" t="s">
        <v>342</v>
      </c>
      <c r="D18" s="367"/>
      <c r="E18" s="219">
        <v>1</v>
      </c>
      <c r="F18" s="220">
        <v>88.22</v>
      </c>
      <c r="G18" s="221">
        <f t="shared" ref="G18:G26" si="0">ROUND(IF($F$17="USD $", F18*$E$15,F18*$D$15),2)</f>
        <v>62.13</v>
      </c>
      <c r="H18" s="222">
        <f t="shared" ref="H18:H60" si="1">ROUND(IF($H$17=$G$17,E18*G18,E18*F18),2)</f>
        <v>88.22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88.22</v>
      </c>
      <c r="L18" s="221">
        <f t="shared" ref="L18:L60" si="4">ROUND((J18*K18),2)</f>
        <v>88.22</v>
      </c>
      <c r="M18" s="220" t="s">
        <v>84</v>
      </c>
      <c r="N18" s="225"/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88.22</v>
      </c>
      <c r="T18" s="229">
        <f t="shared" ref="T18:T60" si="7">ROUND(L18-R18,2)</f>
        <v>88.22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294">
        <v>5200015526</v>
      </c>
      <c r="C19" s="294" t="s">
        <v>343</v>
      </c>
      <c r="D19" s="368"/>
      <c r="E19" s="238">
        <v>1</v>
      </c>
      <c r="F19" s="239">
        <v>37.520000000000003</v>
      </c>
      <c r="G19" s="240">
        <f t="shared" si="0"/>
        <v>26.42</v>
      </c>
      <c r="H19" s="241">
        <f t="shared" si="1"/>
        <v>37.520000000000003</v>
      </c>
      <c r="I19" s="242"/>
      <c r="J19" s="243">
        <f t="shared" si="2"/>
        <v>1</v>
      </c>
      <c r="K19" s="240">
        <f t="shared" si="3"/>
        <v>37.520000000000003</v>
      </c>
      <c r="L19" s="240">
        <f t="shared" si="4"/>
        <v>37.520000000000003</v>
      </c>
      <c r="M19" s="244" t="s">
        <v>84</v>
      </c>
      <c r="N19" s="245"/>
      <c r="O19" s="226"/>
      <c r="P19" s="246"/>
      <c r="Q19" s="239"/>
      <c r="R19" s="247">
        <f t="shared" si="5"/>
        <v>0</v>
      </c>
      <c r="S19" s="248">
        <f t="shared" si="6"/>
        <v>37.520000000000003</v>
      </c>
      <c r="T19" s="248">
        <f t="shared" si="7"/>
        <v>37.520000000000003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292">
        <v>5200009520</v>
      </c>
      <c r="C20" s="292" t="s">
        <v>344</v>
      </c>
      <c r="D20" s="369"/>
      <c r="E20" s="219">
        <v>1</v>
      </c>
      <c r="F20" s="220">
        <v>208.39</v>
      </c>
      <c r="G20" s="221">
        <f t="shared" si="0"/>
        <v>146.75</v>
      </c>
      <c r="H20" s="222">
        <f t="shared" si="1"/>
        <v>208.39</v>
      </c>
      <c r="I20" s="242"/>
      <c r="J20" s="224">
        <f t="shared" si="2"/>
        <v>1</v>
      </c>
      <c r="K20" s="221">
        <f t="shared" si="3"/>
        <v>208.39</v>
      </c>
      <c r="L20" s="221">
        <f t="shared" si="4"/>
        <v>208.39</v>
      </c>
      <c r="M20" s="220" t="s">
        <v>84</v>
      </c>
      <c r="N20" s="254"/>
      <c r="O20" s="226"/>
      <c r="P20" s="255"/>
      <c r="Q20" s="228"/>
      <c r="R20" s="229">
        <f t="shared" si="5"/>
        <v>0</v>
      </c>
      <c r="S20" s="229">
        <f t="shared" si="6"/>
        <v>208.39</v>
      </c>
      <c r="T20" s="229">
        <f t="shared" si="7"/>
        <v>208.39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294">
        <v>5000082116</v>
      </c>
      <c r="C21" s="294" t="s">
        <v>345</v>
      </c>
      <c r="D21" s="368"/>
      <c r="E21" s="238">
        <v>1</v>
      </c>
      <c r="F21" s="239">
        <v>35.44</v>
      </c>
      <c r="G21" s="240">
        <f t="shared" si="0"/>
        <v>24.96</v>
      </c>
      <c r="H21" s="241">
        <f t="shared" si="1"/>
        <v>35.44</v>
      </c>
      <c r="I21" s="242"/>
      <c r="J21" s="243">
        <f t="shared" si="2"/>
        <v>1</v>
      </c>
      <c r="K21" s="240">
        <f t="shared" si="3"/>
        <v>35.44</v>
      </c>
      <c r="L21" s="240">
        <f t="shared" si="4"/>
        <v>35.44</v>
      </c>
      <c r="M21" s="244" t="s">
        <v>84</v>
      </c>
      <c r="N21" s="245"/>
      <c r="O21" s="226"/>
      <c r="P21" s="246"/>
      <c r="Q21" s="239"/>
      <c r="R21" s="247">
        <f t="shared" si="5"/>
        <v>0</v>
      </c>
      <c r="S21" s="248">
        <f t="shared" si="6"/>
        <v>35.44</v>
      </c>
      <c r="T21" s="248">
        <f t="shared" si="7"/>
        <v>35.44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292"/>
      <c r="C22" s="292"/>
      <c r="D22" s="369"/>
      <c r="E22" s="219"/>
      <c r="F22" s="220"/>
      <c r="G22" s="221">
        <f t="shared" si="0"/>
        <v>0</v>
      </c>
      <c r="H22" s="222">
        <f t="shared" si="1"/>
        <v>0</v>
      </c>
      <c r="I22" s="242"/>
      <c r="J22" s="224">
        <f t="shared" si="2"/>
        <v>0</v>
      </c>
      <c r="K22" s="221">
        <f t="shared" si="3"/>
        <v>0</v>
      </c>
      <c r="L22" s="221">
        <f t="shared" si="4"/>
        <v>0</v>
      </c>
      <c r="M22" s="220" t="s">
        <v>84</v>
      </c>
      <c r="N22" s="254"/>
      <c r="O22" s="226"/>
      <c r="P22" s="255"/>
      <c r="Q22" s="228"/>
      <c r="R22" s="229">
        <f t="shared" si="5"/>
        <v>0</v>
      </c>
      <c r="S22" s="229">
        <f t="shared" si="6"/>
        <v>0</v>
      </c>
      <c r="T22" s="229">
        <f t="shared" si="7"/>
        <v>0</v>
      </c>
      <c r="U22" s="230">
        <f t="shared" si="8"/>
        <v>0</v>
      </c>
      <c r="V22" s="230">
        <f t="shared" si="9"/>
        <v>0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294"/>
      <c r="C23" s="294"/>
      <c r="D23" s="368"/>
      <c r="E23" s="238"/>
      <c r="F23" s="239"/>
      <c r="G23" s="240">
        <f t="shared" si="0"/>
        <v>0</v>
      </c>
      <c r="H23" s="241">
        <f t="shared" si="1"/>
        <v>0</v>
      </c>
      <c r="I23" s="242"/>
      <c r="J23" s="243">
        <f t="shared" si="2"/>
        <v>0</v>
      </c>
      <c r="K23" s="240">
        <f t="shared" si="3"/>
        <v>0</v>
      </c>
      <c r="L23" s="240">
        <f t="shared" si="4"/>
        <v>0</v>
      </c>
      <c r="M23" s="244" t="s">
        <v>84</v>
      </c>
      <c r="N23" s="245"/>
      <c r="O23" s="226"/>
      <c r="P23" s="246"/>
      <c r="Q23" s="239"/>
      <c r="R23" s="247">
        <f t="shared" si="5"/>
        <v>0</v>
      </c>
      <c r="S23" s="248">
        <f t="shared" si="6"/>
        <v>0</v>
      </c>
      <c r="T23" s="248">
        <f t="shared" si="7"/>
        <v>0</v>
      </c>
      <c r="U23" s="249">
        <f t="shared" si="8"/>
        <v>0</v>
      </c>
      <c r="V23" s="249">
        <f t="shared" si="9"/>
        <v>0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292">
        <v>5200009453</v>
      </c>
      <c r="C24" s="292" t="s">
        <v>346</v>
      </c>
      <c r="D24" s="369"/>
      <c r="E24" s="219">
        <v>1</v>
      </c>
      <c r="F24" s="220">
        <v>3367.35</v>
      </c>
      <c r="G24" s="221">
        <f t="shared" si="0"/>
        <v>2371.37</v>
      </c>
      <c r="H24" s="222">
        <f t="shared" si="1"/>
        <v>3367.35</v>
      </c>
      <c r="I24" s="242"/>
      <c r="J24" s="224">
        <f t="shared" si="2"/>
        <v>1</v>
      </c>
      <c r="K24" s="221">
        <f t="shared" si="3"/>
        <v>3367.35</v>
      </c>
      <c r="L24" s="221">
        <f t="shared" si="4"/>
        <v>3367.35</v>
      </c>
      <c r="M24" s="220" t="s">
        <v>84</v>
      </c>
      <c r="N24" s="254"/>
      <c r="O24" s="226"/>
      <c r="P24" s="255"/>
      <c r="Q24" s="228"/>
      <c r="R24" s="229">
        <f t="shared" si="5"/>
        <v>0</v>
      </c>
      <c r="S24" s="229">
        <f t="shared" si="6"/>
        <v>3367.35</v>
      </c>
      <c r="T24" s="229">
        <f t="shared" si="7"/>
        <v>3367.35</v>
      </c>
      <c r="U24" s="230">
        <f t="shared" si="8"/>
        <v>0</v>
      </c>
      <c r="V24" s="230">
        <f t="shared" si="9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>
        <v>5000153758</v>
      </c>
      <c r="C25" s="294" t="s">
        <v>347</v>
      </c>
      <c r="D25" s="368"/>
      <c r="E25" s="238">
        <v>1</v>
      </c>
      <c r="F25" s="239">
        <v>287.2</v>
      </c>
      <c r="G25" s="240">
        <f t="shared" si="0"/>
        <v>202.25</v>
      </c>
      <c r="H25" s="241">
        <f t="shared" si="1"/>
        <v>287.2</v>
      </c>
      <c r="I25" s="242"/>
      <c r="J25" s="243">
        <f t="shared" si="2"/>
        <v>1</v>
      </c>
      <c r="K25" s="240">
        <f t="shared" si="3"/>
        <v>287.2</v>
      </c>
      <c r="L25" s="240">
        <f t="shared" si="4"/>
        <v>287.2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287.2</v>
      </c>
      <c r="T25" s="248">
        <f t="shared" si="7"/>
        <v>287.2</v>
      </c>
      <c r="U25" s="249">
        <f t="shared" si="8"/>
        <v>0</v>
      </c>
      <c r="V25" s="249">
        <f t="shared" si="9"/>
        <v>1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>
        <v>5000160388</v>
      </c>
      <c r="C26" s="357" t="s">
        <v>348</v>
      </c>
      <c r="D26" s="369"/>
      <c r="E26" s="219">
        <v>1</v>
      </c>
      <c r="F26" s="220">
        <v>2605.06</v>
      </c>
      <c r="G26" s="221">
        <f t="shared" si="0"/>
        <v>1834.55</v>
      </c>
      <c r="H26" s="222">
        <f t="shared" si="1"/>
        <v>2605.06</v>
      </c>
      <c r="I26" s="242"/>
      <c r="J26" s="224">
        <f t="shared" si="2"/>
        <v>1</v>
      </c>
      <c r="K26" s="221">
        <f t="shared" si="3"/>
        <v>2605.06</v>
      </c>
      <c r="L26" s="221">
        <f t="shared" si="4"/>
        <v>2605.06</v>
      </c>
      <c r="M26" s="220" t="s">
        <v>84</v>
      </c>
      <c r="N26" s="254"/>
      <c r="O26" s="226"/>
      <c r="P26" s="255"/>
      <c r="Q26" s="228"/>
      <c r="R26" s="229">
        <f t="shared" si="5"/>
        <v>0</v>
      </c>
      <c r="S26" s="229">
        <f t="shared" si="6"/>
        <v>2605.06</v>
      </c>
      <c r="T26" s="229">
        <f t="shared" si="7"/>
        <v>2605.06</v>
      </c>
      <c r="U26" s="230">
        <f t="shared" si="8"/>
        <v>0</v>
      </c>
      <c r="V26" s="230">
        <f t="shared" si="9"/>
        <v>1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294">
        <v>5100061991</v>
      </c>
      <c r="C27" s="294" t="s">
        <v>349</v>
      </c>
      <c r="D27" s="370"/>
      <c r="E27" s="382">
        <v>3</v>
      </c>
      <c r="F27" s="239">
        <v>1265.32</v>
      </c>
      <c r="G27" s="240"/>
      <c r="H27" s="241">
        <f t="shared" si="1"/>
        <v>3795.96</v>
      </c>
      <c r="I27" s="242"/>
      <c r="J27" s="243">
        <f t="shared" si="2"/>
        <v>3</v>
      </c>
      <c r="K27" s="240">
        <f t="shared" si="3"/>
        <v>1265.32</v>
      </c>
      <c r="L27" s="240">
        <f t="shared" si="4"/>
        <v>3795.96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1265.32</v>
      </c>
      <c r="T27" s="248">
        <f t="shared" si="7"/>
        <v>3795.96</v>
      </c>
      <c r="U27" s="249">
        <f t="shared" si="8"/>
        <v>0</v>
      </c>
      <c r="V27" s="249">
        <f t="shared" si="9"/>
        <v>1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379">
        <v>5100066530</v>
      </c>
      <c r="C28" s="379" t="s">
        <v>350</v>
      </c>
      <c r="D28" s="367"/>
      <c r="E28" s="219">
        <v>2</v>
      </c>
      <c r="F28" s="220">
        <v>107.03</v>
      </c>
      <c r="G28" s="221">
        <f t="shared" ref="G28:G60" si="10">ROUND(IF($F$17="USD $", F28*$E$15,F28*$D$15),2)</f>
        <v>75.37</v>
      </c>
      <c r="H28" s="222">
        <f t="shared" si="1"/>
        <v>214.06</v>
      </c>
      <c r="I28" s="242"/>
      <c r="J28" s="224">
        <f t="shared" si="2"/>
        <v>2</v>
      </c>
      <c r="K28" s="221">
        <f t="shared" si="3"/>
        <v>107.03</v>
      </c>
      <c r="L28" s="221">
        <f t="shared" si="4"/>
        <v>214.06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107.03</v>
      </c>
      <c r="T28" s="229">
        <f t="shared" si="7"/>
        <v>214.06</v>
      </c>
      <c r="U28" s="230">
        <f t="shared" si="8"/>
        <v>0</v>
      </c>
      <c r="V28" s="230">
        <f t="shared" si="9"/>
        <v>1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374"/>
      <c r="C29" s="374"/>
      <c r="D29" s="368"/>
      <c r="E29" s="238"/>
      <c r="F29" s="239"/>
      <c r="G29" s="240">
        <f t="shared" si="10"/>
        <v>0</v>
      </c>
      <c r="H29" s="241">
        <f t="shared" si="1"/>
        <v>0</v>
      </c>
      <c r="I29" s="242"/>
      <c r="J29" s="243">
        <f t="shared" si="2"/>
        <v>0</v>
      </c>
      <c r="K29" s="240">
        <f t="shared" si="3"/>
        <v>0</v>
      </c>
      <c r="L29" s="240">
        <f t="shared" si="4"/>
        <v>0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0</v>
      </c>
      <c r="T29" s="248">
        <f t="shared" si="7"/>
        <v>0</v>
      </c>
      <c r="U29" s="249">
        <f t="shared" si="8"/>
        <v>0</v>
      </c>
      <c r="V29" s="249">
        <f t="shared" si="9"/>
        <v>0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358"/>
      <c r="C30" s="359"/>
      <c r="D30" s="369"/>
      <c r="E30" s="219"/>
      <c r="F30" s="220"/>
      <c r="G30" s="221">
        <f t="shared" si="10"/>
        <v>0</v>
      </c>
      <c r="H30" s="222">
        <f t="shared" si="1"/>
        <v>0</v>
      </c>
      <c r="I30" s="242"/>
      <c r="J30" s="224">
        <f t="shared" si="2"/>
        <v>0</v>
      </c>
      <c r="K30" s="221">
        <f t="shared" si="3"/>
        <v>0</v>
      </c>
      <c r="L30" s="221">
        <f t="shared" si="4"/>
        <v>0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0</v>
      </c>
      <c r="T30" s="229">
        <f t="shared" si="7"/>
        <v>0</v>
      </c>
      <c r="U30" s="230">
        <f t="shared" si="8"/>
        <v>0</v>
      </c>
      <c r="V30" s="230">
        <f t="shared" si="9"/>
        <v>0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362"/>
      <c r="C31" s="363"/>
      <c r="D31" s="368"/>
      <c r="E31" s="238"/>
      <c r="F31" s="239"/>
      <c r="G31" s="240">
        <f t="shared" si="10"/>
        <v>0</v>
      </c>
      <c r="H31" s="241">
        <f t="shared" si="1"/>
        <v>0</v>
      </c>
      <c r="I31" s="242"/>
      <c r="J31" s="243">
        <f t="shared" si="2"/>
        <v>0</v>
      </c>
      <c r="K31" s="240">
        <f t="shared" si="3"/>
        <v>0</v>
      </c>
      <c r="L31" s="240">
        <f t="shared" si="4"/>
        <v>0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0</v>
      </c>
      <c r="T31" s="248">
        <f t="shared" si="7"/>
        <v>0</v>
      </c>
      <c r="U31" s="249">
        <f t="shared" si="8"/>
        <v>0</v>
      </c>
      <c r="V31" s="249">
        <f t="shared" si="9"/>
        <v>0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358"/>
      <c r="C32" s="365"/>
      <c r="D32" s="369"/>
      <c r="E32" s="219"/>
      <c r="F32" s="220"/>
      <c r="G32" s="221">
        <f t="shared" si="10"/>
        <v>0</v>
      </c>
      <c r="H32" s="222">
        <f t="shared" si="1"/>
        <v>0</v>
      </c>
      <c r="I32" s="242"/>
      <c r="J32" s="224">
        <f t="shared" si="2"/>
        <v>0</v>
      </c>
      <c r="K32" s="221">
        <f t="shared" si="3"/>
        <v>0</v>
      </c>
      <c r="L32" s="221">
        <f t="shared" si="4"/>
        <v>0</v>
      </c>
      <c r="M32" s="220" t="s">
        <v>84</v>
      </c>
      <c r="N32" s="254"/>
      <c r="O32" s="226"/>
      <c r="P32" s="255"/>
      <c r="Q32" s="228"/>
      <c r="R32" s="229">
        <f t="shared" si="5"/>
        <v>0</v>
      </c>
      <c r="S32" s="229">
        <f t="shared" si="6"/>
        <v>0</v>
      </c>
      <c r="T32" s="229">
        <f t="shared" si="7"/>
        <v>0</v>
      </c>
      <c r="U32" s="230">
        <f t="shared" si="8"/>
        <v>0</v>
      </c>
      <c r="V32" s="230">
        <f t="shared" si="9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362"/>
      <c r="C33" s="363"/>
      <c r="D33" s="368"/>
      <c r="E33" s="238"/>
      <c r="F33" s="239"/>
      <c r="G33" s="240">
        <f t="shared" si="10"/>
        <v>0</v>
      </c>
      <c r="H33" s="241">
        <f t="shared" si="1"/>
        <v>0</v>
      </c>
      <c r="I33" s="242"/>
      <c r="J33" s="243">
        <f t="shared" si="2"/>
        <v>0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358"/>
      <c r="C34" s="365"/>
      <c r="D34" s="369"/>
      <c r="E34" s="219"/>
      <c r="F34" s="220"/>
      <c r="G34" s="221">
        <f t="shared" si="1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/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362"/>
      <c r="C35" s="363"/>
      <c r="D35" s="368"/>
      <c r="E35" s="238"/>
      <c r="F35" s="239"/>
      <c r="G35" s="240">
        <f t="shared" si="1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/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358"/>
      <c r="C36" s="365"/>
      <c r="D36" s="369"/>
      <c r="E36" s="219"/>
      <c r="F36" s="220"/>
      <c r="G36" s="221">
        <f t="shared" si="1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362"/>
      <c r="C37" s="363"/>
      <c r="D37" s="286"/>
      <c r="E37" s="364"/>
      <c r="F37" s="239"/>
      <c r="G37" s="240">
        <f t="shared" si="1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358"/>
      <c r="C38" s="365"/>
      <c r="D38" s="287"/>
      <c r="E38" s="361"/>
      <c r="F38" s="220"/>
      <c r="G38" s="221">
        <f t="shared" si="1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362"/>
      <c r="C39" s="363"/>
      <c r="D39" s="286"/>
      <c r="E39" s="364"/>
      <c r="F39" s="239"/>
      <c r="G39" s="240">
        <f t="shared" si="1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358"/>
      <c r="C40" s="365"/>
      <c r="D40" s="287"/>
      <c r="E40" s="361"/>
      <c r="F40" s="220"/>
      <c r="G40" s="221">
        <f t="shared" si="1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362"/>
      <c r="C41" s="363"/>
      <c r="D41" s="286"/>
      <c r="E41" s="364"/>
      <c r="F41" s="239"/>
      <c r="G41" s="240">
        <f t="shared" si="1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358"/>
      <c r="C42" s="365"/>
      <c r="D42" s="287"/>
      <c r="E42" s="361"/>
      <c r="F42" s="220"/>
      <c r="G42" s="221">
        <f t="shared" si="1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362"/>
      <c r="C43" s="363"/>
      <c r="D43" s="286"/>
      <c r="E43" s="364"/>
      <c r="F43" s="239"/>
      <c r="G43" s="240">
        <f t="shared" si="1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358"/>
      <c r="C44" s="365"/>
      <c r="D44" s="287"/>
      <c r="E44" s="361"/>
      <c r="F44" s="220"/>
      <c r="G44" s="221">
        <f t="shared" si="1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362"/>
      <c r="C45" s="363"/>
      <c r="D45" s="286"/>
      <c r="E45" s="364"/>
      <c r="F45" s="239"/>
      <c r="G45" s="240">
        <f t="shared" si="1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358"/>
      <c r="C46" s="365"/>
      <c r="D46" s="287"/>
      <c r="E46" s="361"/>
      <c r="F46" s="220"/>
      <c r="G46" s="221">
        <f t="shared" si="1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362"/>
      <c r="C47" s="363"/>
      <c r="D47" s="286"/>
      <c r="E47" s="364"/>
      <c r="F47" s="239"/>
      <c r="G47" s="240">
        <f t="shared" si="10"/>
        <v>0</v>
      </c>
      <c r="H47" s="241">
        <f t="shared" si="1"/>
        <v>0</v>
      </c>
      <c r="I47" s="242"/>
      <c r="J47" s="243">
        <f t="shared" si="2"/>
        <v>0</v>
      </c>
      <c r="K47" s="240">
        <f t="shared" si="3"/>
        <v>0</v>
      </c>
      <c r="L47" s="240">
        <f t="shared" si="4"/>
        <v>0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0</v>
      </c>
      <c r="T47" s="248">
        <f t="shared" si="7"/>
        <v>0</v>
      </c>
      <c r="U47" s="249">
        <f t="shared" si="8"/>
        <v>0</v>
      </c>
      <c r="V47" s="249">
        <f t="shared" si="9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358"/>
      <c r="C48" s="365"/>
      <c r="D48" s="287"/>
      <c r="E48" s="361"/>
      <c r="F48" s="220"/>
      <c r="G48" s="221">
        <f t="shared" si="10"/>
        <v>0</v>
      </c>
      <c r="H48" s="222">
        <f t="shared" si="1"/>
        <v>0</v>
      </c>
      <c r="I48" s="242"/>
      <c r="J48" s="224">
        <f t="shared" si="2"/>
        <v>0</v>
      </c>
      <c r="K48" s="221">
        <f t="shared" si="3"/>
        <v>0</v>
      </c>
      <c r="L48" s="221">
        <f t="shared" si="4"/>
        <v>0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0</v>
      </c>
      <c r="T48" s="229">
        <f t="shared" si="7"/>
        <v>0</v>
      </c>
      <c r="U48" s="230">
        <f t="shared" si="8"/>
        <v>0</v>
      </c>
      <c r="V48" s="230">
        <f t="shared" si="9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362"/>
      <c r="C49" s="363"/>
      <c r="D49" s="286"/>
      <c r="E49" s="364"/>
      <c r="F49" s="239"/>
      <c r="G49" s="240">
        <f t="shared" si="10"/>
        <v>0</v>
      </c>
      <c r="H49" s="241">
        <f t="shared" si="1"/>
        <v>0</v>
      </c>
      <c r="I49" s="242"/>
      <c r="J49" s="243">
        <f t="shared" si="2"/>
        <v>0</v>
      </c>
      <c r="K49" s="240">
        <f t="shared" si="3"/>
        <v>0</v>
      </c>
      <c r="L49" s="240">
        <f t="shared" si="4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0</v>
      </c>
      <c r="T49" s="248">
        <f t="shared" si="7"/>
        <v>0</v>
      </c>
      <c r="U49" s="249">
        <f t="shared" si="8"/>
        <v>0</v>
      </c>
      <c r="V49" s="249">
        <f t="shared" si="9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358"/>
      <c r="C50" s="365"/>
      <c r="D50" s="287"/>
      <c r="E50" s="361"/>
      <c r="F50" s="220"/>
      <c r="G50" s="221">
        <f t="shared" si="10"/>
        <v>0</v>
      </c>
      <c r="H50" s="222">
        <f t="shared" si="1"/>
        <v>0</v>
      </c>
      <c r="I50" s="242"/>
      <c r="J50" s="224">
        <f t="shared" si="2"/>
        <v>0</v>
      </c>
      <c r="K50" s="221">
        <f t="shared" si="3"/>
        <v>0</v>
      </c>
      <c r="L50" s="221">
        <f t="shared" si="4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0</v>
      </c>
      <c r="T50" s="229">
        <f t="shared" si="7"/>
        <v>0</v>
      </c>
      <c r="U50" s="230">
        <f t="shared" si="8"/>
        <v>0</v>
      </c>
      <c r="V50" s="230">
        <f t="shared" si="9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362"/>
      <c r="C51" s="363"/>
      <c r="D51" s="286"/>
      <c r="E51" s="364"/>
      <c r="F51" s="239"/>
      <c r="G51" s="240">
        <f t="shared" si="1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1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1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1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1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1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1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1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1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1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12</v>
      </c>
      <c r="F61" s="265">
        <f>SUM(F18:F60)</f>
        <v>8001.53</v>
      </c>
      <c r="G61" s="266">
        <f>SUM(G18:G60)</f>
        <v>4743.8</v>
      </c>
      <c r="H61" s="267">
        <f>SUM(H18:H60)</f>
        <v>10639.199999999999</v>
      </c>
      <c r="I61" s="268"/>
      <c r="J61" s="269">
        <f>SUM(J18:J60)</f>
        <v>12</v>
      </c>
      <c r="K61" s="266">
        <f>SUM(K18:K60)</f>
        <v>8001.53</v>
      </c>
      <c r="L61" s="267">
        <f>SUM(L18:L60)</f>
        <v>10639.199999999999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8001.53</v>
      </c>
      <c r="T61" s="267">
        <f>SUM(T18:T60)</f>
        <v>10639.199999999999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61">
    <mergeCell ref="P16:P17"/>
    <mergeCell ref="R17:V17"/>
    <mergeCell ref="B16:B17"/>
    <mergeCell ref="C16:C17"/>
    <mergeCell ref="D16:D17"/>
    <mergeCell ref="E16:E17"/>
    <mergeCell ref="F16:G16"/>
    <mergeCell ref="D9:E9"/>
    <mergeCell ref="F9:G9"/>
    <mergeCell ref="P9:R9"/>
    <mergeCell ref="S9:S10"/>
    <mergeCell ref="T9:T10"/>
    <mergeCell ref="B11:C15"/>
    <mergeCell ref="D11:E13"/>
    <mergeCell ref="F11:H12"/>
    <mergeCell ref="P11:V13"/>
    <mergeCell ref="F13:G13"/>
    <mergeCell ref="F14:H14"/>
    <mergeCell ref="F15:H15"/>
    <mergeCell ref="P15:V15"/>
    <mergeCell ref="S7:T7"/>
    <mergeCell ref="U7:V7"/>
    <mergeCell ref="V9:V10"/>
    <mergeCell ref="W9:W10"/>
    <mergeCell ref="P10:R10"/>
    <mergeCell ref="U9:U10"/>
    <mergeCell ref="D8:E8"/>
    <mergeCell ref="F8:G8"/>
    <mergeCell ref="P8:R8"/>
    <mergeCell ref="D5:E5"/>
    <mergeCell ref="F5:G5"/>
    <mergeCell ref="P5:R5"/>
    <mergeCell ref="D7:E7"/>
    <mergeCell ref="F7:G7"/>
    <mergeCell ref="P7:R7"/>
    <mergeCell ref="S5:T5"/>
    <mergeCell ref="U5:V5"/>
    <mergeCell ref="D6:E6"/>
    <mergeCell ref="F6:G6"/>
    <mergeCell ref="P6:R6"/>
    <mergeCell ref="S6:T6"/>
    <mergeCell ref="U6:V6"/>
    <mergeCell ref="D3:E3"/>
    <mergeCell ref="F3:G3"/>
    <mergeCell ref="P3:R3"/>
    <mergeCell ref="S3:T3"/>
    <mergeCell ref="U3:V3"/>
    <mergeCell ref="D4:E4"/>
    <mergeCell ref="F4:G4"/>
    <mergeCell ref="P4:R4"/>
    <mergeCell ref="S4:T4"/>
    <mergeCell ref="U4:V4"/>
    <mergeCell ref="B1:C1"/>
    <mergeCell ref="D1:G1"/>
    <mergeCell ref="P1:R1"/>
    <mergeCell ref="S1:W1"/>
    <mergeCell ref="D2:E2"/>
    <mergeCell ref="F2:G2"/>
    <mergeCell ref="P2:R2"/>
    <mergeCell ref="S2:T2"/>
    <mergeCell ref="U2:V2"/>
  </mergeCells>
  <conditionalFormatting sqref="U9:U10">
    <cfRule type="expression" dxfId="19" priority="3" stopIfTrue="1">
      <formula>$U$9&gt;100%</formula>
    </cfRule>
    <cfRule type="expression" dxfId="18" priority="4">
      <formula>$U$9&lt;50%</formula>
    </cfRule>
  </conditionalFormatting>
  <conditionalFormatting sqref="V9:V10">
    <cfRule type="expression" dxfId="17" priority="1">
      <formula>$V$9&lt;50%</formula>
    </cfRule>
    <cfRule type="expression" dxfId="16" priority="2">
      <formula>$V$9&gt;50%</formula>
    </cfRule>
  </conditionalFormatting>
  <dataValidations count="5">
    <dataValidation type="list" allowBlank="1" showInputMessage="1" showErrorMessage="1" sqref="M18:M60" xr:uid="{1C1B36F6-780F-4497-A683-19510562D8A6}">
      <formula1>$Y$31:$Y$32</formula1>
    </dataValidation>
    <dataValidation type="list" allowBlank="1" showInputMessage="1" showErrorMessage="1" sqref="I13" xr:uid="{605E3CEE-EE0B-461C-A0E2-CC087AD0425C}">
      <formula1>$K$9:$K$9</formula1>
    </dataValidation>
    <dataValidation type="list" allowBlank="1" showInputMessage="1" showErrorMessage="1" sqref="Q14 K17 Q17 F17" xr:uid="{11718C0F-87C8-4078-B881-68E3C9BC78AC}">
      <formula1>$Y$11:$Y$12</formula1>
    </dataValidation>
    <dataValidation type="list" showInputMessage="1" showErrorMessage="1" sqref="D52:D60 D28:D36 D18:D26" xr:uid="{A4327551-1772-4914-9118-28DA48716ABD}">
      <formula1>$Z$18:$Z$29</formula1>
    </dataValidation>
    <dataValidation type="list" allowBlank="1" showInputMessage="1" showErrorMessage="1" sqref="H13" xr:uid="{DA50EF53-1CA9-4605-83BB-2DD3886EE5DF}">
      <formula1>$Y$13:$Y$14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86D26-25A0-4C08-89C0-61BB3C519E72}">
  <sheetPr>
    <pageSetUpPr fitToPage="1"/>
  </sheetPr>
  <dimension ref="A1:AB63"/>
  <sheetViews>
    <sheetView zoomScale="85" zoomScaleNormal="85" workbookViewId="0">
      <selection activeCell="F2" sqref="F2:G2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302" t="s">
        <v>2</v>
      </c>
      <c r="I1" s="303"/>
      <c r="J1" s="303"/>
      <c r="K1" s="304"/>
      <c r="L1" s="305" t="s">
        <v>3</v>
      </c>
      <c r="M1" s="306"/>
      <c r="N1" s="306"/>
      <c r="O1" s="306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77" t="s">
        <v>368</v>
      </c>
      <c r="G2" s="549"/>
      <c r="H2" s="315" t="s">
        <v>7</v>
      </c>
      <c r="I2" s="317"/>
      <c r="J2" s="316"/>
      <c r="K2" s="148"/>
      <c r="L2" s="318" t="s">
        <v>8</v>
      </c>
      <c r="M2" s="319"/>
      <c r="N2" s="320"/>
      <c r="O2" s="149"/>
      <c r="P2" s="554">
        <f>H61</f>
        <v>10639.199999999999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307" t="s">
        <v>13</v>
      </c>
      <c r="I3" s="309"/>
      <c r="J3" s="308"/>
      <c r="K3" s="154"/>
      <c r="L3" s="310" t="s">
        <v>14</v>
      </c>
      <c r="M3" s="311"/>
      <c r="N3" s="312"/>
      <c r="O3" s="149"/>
      <c r="P3" s="540">
        <f>L61</f>
        <v>10639.199999999999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681" t="s">
        <v>337</v>
      </c>
      <c r="G4" s="673"/>
      <c r="H4" s="307" t="s">
        <v>19</v>
      </c>
      <c r="I4" s="309"/>
      <c r="J4" s="308"/>
      <c r="K4" s="154"/>
      <c r="L4" s="310" t="s">
        <v>20</v>
      </c>
      <c r="M4" s="311"/>
      <c r="N4" s="312"/>
      <c r="O4" s="149"/>
      <c r="P4" s="540">
        <f>P2-P3</f>
        <v>0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688" t="s">
        <v>340</v>
      </c>
      <c r="G5" s="685"/>
      <c r="H5" s="307" t="s">
        <v>25</v>
      </c>
      <c r="I5" s="309"/>
      <c r="J5" s="308"/>
      <c r="K5" s="154"/>
      <c r="L5" s="321" t="s">
        <v>26</v>
      </c>
      <c r="M5" s="322"/>
      <c r="N5" s="323"/>
      <c r="O5" s="149"/>
      <c r="P5" s="561">
        <f>IFERROR((P2-P3)/P2,"")</f>
        <v>0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81" t="s">
        <v>358</v>
      </c>
      <c r="G6" s="673"/>
      <c r="H6" s="307" t="s">
        <v>31</v>
      </c>
      <c r="I6" s="309"/>
      <c r="J6" s="308"/>
      <c r="K6" s="154"/>
      <c r="L6" s="327" t="s">
        <v>32</v>
      </c>
      <c r="M6" s="328"/>
      <c r="N6" s="329"/>
      <c r="O6" s="149"/>
      <c r="P6" s="577">
        <f>T61</f>
        <v>10639.199999999999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671"/>
      <c r="G7" s="535"/>
      <c r="H7" s="307" t="s">
        <v>36</v>
      </c>
      <c r="I7" s="309"/>
      <c r="J7" s="308"/>
      <c r="K7" s="154"/>
      <c r="L7" s="324" t="s">
        <v>37</v>
      </c>
      <c r="M7" s="325"/>
      <c r="N7" s="32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307" t="s">
        <v>40</v>
      </c>
      <c r="I8" s="309"/>
      <c r="J8" s="308"/>
      <c r="K8" s="154"/>
      <c r="L8" s="324" t="s">
        <v>41</v>
      </c>
      <c r="M8" s="325"/>
      <c r="N8" s="32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366</v>
      </c>
      <c r="G9" s="535"/>
      <c r="H9" s="171"/>
      <c r="I9" s="172"/>
      <c r="J9" s="172"/>
      <c r="K9" s="173"/>
      <c r="L9" s="324" t="s">
        <v>47</v>
      </c>
      <c r="M9" s="325"/>
      <c r="N9" s="32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10639.199999999999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313" t="s">
        <v>48</v>
      </c>
      <c r="M10" s="330"/>
      <c r="N10" s="314"/>
      <c r="O10" s="149"/>
      <c r="P10" s="580">
        <f>E61</f>
        <v>12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347" t="s">
        <v>50</v>
      </c>
      <c r="K11" s="348"/>
      <c r="L11" s="348"/>
      <c r="M11" s="348"/>
      <c r="N11" s="349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350"/>
      <c r="K12" s="351"/>
      <c r="L12" s="351"/>
      <c r="M12" s="351"/>
      <c r="N12" s="352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353"/>
      <c r="K13" s="354"/>
      <c r="L13" s="354"/>
      <c r="M13" s="354"/>
      <c r="N13" s="355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331" t="s">
        <v>59</v>
      </c>
      <c r="K14" s="332"/>
      <c r="L14" s="335" t="s">
        <v>60</v>
      </c>
      <c r="M14" s="336"/>
      <c r="N14" s="33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333"/>
      <c r="K15" s="334"/>
      <c r="L15" s="338"/>
      <c r="M15" s="339"/>
      <c r="N15" s="34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343" t="s">
        <v>69</v>
      </c>
      <c r="K16" s="201" t="s">
        <v>72</v>
      </c>
      <c r="L16" s="202" t="s">
        <v>73</v>
      </c>
      <c r="M16" s="345" t="s">
        <v>74</v>
      </c>
      <c r="N16" s="345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8"/>
      <c r="C17" s="678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344"/>
      <c r="K17" s="341" t="s">
        <v>52</v>
      </c>
      <c r="L17" s="342"/>
      <c r="M17" s="346"/>
      <c r="N17" s="346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 s="292">
        <v>5000155678</v>
      </c>
      <c r="C18" s="366" t="s">
        <v>342</v>
      </c>
      <c r="D18" s="367"/>
      <c r="E18" s="219">
        <v>1</v>
      </c>
      <c r="F18" s="220">
        <v>88.22</v>
      </c>
      <c r="G18" s="221">
        <f t="shared" ref="G18:G26" si="0">ROUND(IF($F$17="USD $", F18*$E$15,F18*$D$15),2)</f>
        <v>62.13</v>
      </c>
      <c r="H18" s="222">
        <f t="shared" ref="H18:H60" si="1">ROUND(IF($H$17=$G$17,E18*G18,E18*F18),2)</f>
        <v>88.22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88.22</v>
      </c>
      <c r="L18" s="221">
        <f t="shared" ref="L18:L60" si="4">ROUND((J18*K18),2)</f>
        <v>88.22</v>
      </c>
      <c r="M18" s="220" t="s">
        <v>84</v>
      </c>
      <c r="N18" s="225"/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88.22</v>
      </c>
      <c r="T18" s="229">
        <f t="shared" ref="T18:T60" si="7">ROUND(L18-R18,2)</f>
        <v>88.22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294">
        <v>5200015526</v>
      </c>
      <c r="C19" s="294" t="s">
        <v>343</v>
      </c>
      <c r="D19" s="368"/>
      <c r="E19" s="238">
        <v>1</v>
      </c>
      <c r="F19" s="239">
        <v>37.520000000000003</v>
      </c>
      <c r="G19" s="240">
        <f t="shared" si="0"/>
        <v>26.42</v>
      </c>
      <c r="H19" s="241">
        <f t="shared" si="1"/>
        <v>37.520000000000003</v>
      </c>
      <c r="I19" s="242"/>
      <c r="J19" s="243">
        <f t="shared" si="2"/>
        <v>1</v>
      </c>
      <c r="K19" s="240">
        <f t="shared" si="3"/>
        <v>37.520000000000003</v>
      </c>
      <c r="L19" s="240">
        <f t="shared" si="4"/>
        <v>37.520000000000003</v>
      </c>
      <c r="M19" s="244" t="s">
        <v>84</v>
      </c>
      <c r="N19" s="245"/>
      <c r="O19" s="226"/>
      <c r="P19" s="246"/>
      <c r="Q19" s="239"/>
      <c r="R19" s="247">
        <f t="shared" si="5"/>
        <v>0</v>
      </c>
      <c r="S19" s="248">
        <f t="shared" si="6"/>
        <v>37.520000000000003</v>
      </c>
      <c r="T19" s="248">
        <f t="shared" si="7"/>
        <v>37.520000000000003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292">
        <v>5200009520</v>
      </c>
      <c r="C20" s="292" t="s">
        <v>344</v>
      </c>
      <c r="D20" s="369"/>
      <c r="E20" s="219">
        <v>1</v>
      </c>
      <c r="F20" s="220">
        <v>208.39</v>
      </c>
      <c r="G20" s="221">
        <f t="shared" si="0"/>
        <v>146.75</v>
      </c>
      <c r="H20" s="222">
        <f t="shared" si="1"/>
        <v>208.39</v>
      </c>
      <c r="I20" s="242"/>
      <c r="J20" s="224">
        <f t="shared" si="2"/>
        <v>1</v>
      </c>
      <c r="K20" s="221">
        <f t="shared" si="3"/>
        <v>208.39</v>
      </c>
      <c r="L20" s="221">
        <f t="shared" si="4"/>
        <v>208.39</v>
      </c>
      <c r="M20" s="220" t="s">
        <v>84</v>
      </c>
      <c r="N20" s="254"/>
      <c r="O20" s="226"/>
      <c r="P20" s="255"/>
      <c r="Q20" s="228"/>
      <c r="R20" s="229">
        <f t="shared" si="5"/>
        <v>0</v>
      </c>
      <c r="S20" s="229">
        <f t="shared" si="6"/>
        <v>208.39</v>
      </c>
      <c r="T20" s="229">
        <f t="shared" si="7"/>
        <v>208.39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294">
        <v>5000082116</v>
      </c>
      <c r="C21" s="294" t="s">
        <v>345</v>
      </c>
      <c r="D21" s="368"/>
      <c r="E21" s="238">
        <v>1</v>
      </c>
      <c r="F21" s="239">
        <v>35.44</v>
      </c>
      <c r="G21" s="240">
        <f t="shared" si="0"/>
        <v>24.96</v>
      </c>
      <c r="H21" s="241">
        <f t="shared" si="1"/>
        <v>35.44</v>
      </c>
      <c r="I21" s="242"/>
      <c r="J21" s="243">
        <f t="shared" si="2"/>
        <v>1</v>
      </c>
      <c r="K21" s="240">
        <f t="shared" si="3"/>
        <v>35.44</v>
      </c>
      <c r="L21" s="240">
        <f t="shared" si="4"/>
        <v>35.44</v>
      </c>
      <c r="M21" s="244" t="s">
        <v>84</v>
      </c>
      <c r="N21" s="245"/>
      <c r="O21" s="226"/>
      <c r="P21" s="246"/>
      <c r="Q21" s="239"/>
      <c r="R21" s="247">
        <f t="shared" si="5"/>
        <v>0</v>
      </c>
      <c r="S21" s="248">
        <f t="shared" si="6"/>
        <v>35.44</v>
      </c>
      <c r="T21" s="248">
        <f t="shared" si="7"/>
        <v>35.44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292"/>
      <c r="C22" s="292"/>
      <c r="D22" s="369"/>
      <c r="E22" s="219"/>
      <c r="F22" s="220"/>
      <c r="G22" s="221">
        <f t="shared" si="0"/>
        <v>0</v>
      </c>
      <c r="H22" s="222">
        <f t="shared" si="1"/>
        <v>0</v>
      </c>
      <c r="I22" s="242"/>
      <c r="J22" s="224">
        <f t="shared" si="2"/>
        <v>0</v>
      </c>
      <c r="K22" s="221">
        <f t="shared" si="3"/>
        <v>0</v>
      </c>
      <c r="L22" s="221">
        <f t="shared" si="4"/>
        <v>0</v>
      </c>
      <c r="M22" s="220" t="s">
        <v>84</v>
      </c>
      <c r="N22" s="254"/>
      <c r="O22" s="226"/>
      <c r="P22" s="255"/>
      <c r="Q22" s="228"/>
      <c r="R22" s="229">
        <f t="shared" si="5"/>
        <v>0</v>
      </c>
      <c r="S22" s="229">
        <f t="shared" si="6"/>
        <v>0</v>
      </c>
      <c r="T22" s="229">
        <f t="shared" si="7"/>
        <v>0</v>
      </c>
      <c r="U22" s="230">
        <f t="shared" si="8"/>
        <v>0</v>
      </c>
      <c r="V22" s="230">
        <f t="shared" si="9"/>
        <v>0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294"/>
      <c r="C23" s="294"/>
      <c r="D23" s="368"/>
      <c r="E23" s="238"/>
      <c r="F23" s="239"/>
      <c r="G23" s="240">
        <f t="shared" si="0"/>
        <v>0</v>
      </c>
      <c r="H23" s="241">
        <f t="shared" si="1"/>
        <v>0</v>
      </c>
      <c r="I23" s="242"/>
      <c r="J23" s="243">
        <f t="shared" si="2"/>
        <v>0</v>
      </c>
      <c r="K23" s="240">
        <f t="shared" si="3"/>
        <v>0</v>
      </c>
      <c r="L23" s="240">
        <f t="shared" si="4"/>
        <v>0</v>
      </c>
      <c r="M23" s="244" t="s">
        <v>84</v>
      </c>
      <c r="N23" s="245"/>
      <c r="O23" s="226"/>
      <c r="P23" s="246"/>
      <c r="Q23" s="239"/>
      <c r="R23" s="247">
        <f t="shared" si="5"/>
        <v>0</v>
      </c>
      <c r="S23" s="248">
        <f t="shared" si="6"/>
        <v>0</v>
      </c>
      <c r="T23" s="248">
        <f t="shared" si="7"/>
        <v>0</v>
      </c>
      <c r="U23" s="249">
        <f t="shared" si="8"/>
        <v>0</v>
      </c>
      <c r="V23" s="249">
        <f t="shared" si="9"/>
        <v>0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292">
        <v>5200009453</v>
      </c>
      <c r="C24" s="292" t="s">
        <v>346</v>
      </c>
      <c r="D24" s="369"/>
      <c r="E24" s="219">
        <v>1</v>
      </c>
      <c r="F24" s="220">
        <v>3367.35</v>
      </c>
      <c r="G24" s="221">
        <f t="shared" si="0"/>
        <v>2371.37</v>
      </c>
      <c r="H24" s="222">
        <f t="shared" si="1"/>
        <v>3367.35</v>
      </c>
      <c r="I24" s="242"/>
      <c r="J24" s="224">
        <f t="shared" si="2"/>
        <v>1</v>
      </c>
      <c r="K24" s="221">
        <f t="shared" si="3"/>
        <v>3367.35</v>
      </c>
      <c r="L24" s="221">
        <f t="shared" si="4"/>
        <v>3367.35</v>
      </c>
      <c r="M24" s="220" t="s">
        <v>84</v>
      </c>
      <c r="N24" s="254"/>
      <c r="O24" s="226"/>
      <c r="P24" s="255"/>
      <c r="Q24" s="228"/>
      <c r="R24" s="229">
        <f t="shared" si="5"/>
        <v>0</v>
      </c>
      <c r="S24" s="229">
        <f t="shared" si="6"/>
        <v>3367.35</v>
      </c>
      <c r="T24" s="229">
        <f t="shared" si="7"/>
        <v>3367.35</v>
      </c>
      <c r="U24" s="230">
        <f t="shared" si="8"/>
        <v>0</v>
      </c>
      <c r="V24" s="230">
        <f t="shared" si="9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>
        <v>5000153758</v>
      </c>
      <c r="C25" s="294" t="s">
        <v>347</v>
      </c>
      <c r="D25" s="368"/>
      <c r="E25" s="238">
        <v>1</v>
      </c>
      <c r="F25" s="239">
        <v>287.2</v>
      </c>
      <c r="G25" s="240">
        <f t="shared" si="0"/>
        <v>202.25</v>
      </c>
      <c r="H25" s="241">
        <f t="shared" si="1"/>
        <v>287.2</v>
      </c>
      <c r="I25" s="242"/>
      <c r="J25" s="243">
        <f t="shared" si="2"/>
        <v>1</v>
      </c>
      <c r="K25" s="240">
        <f t="shared" si="3"/>
        <v>287.2</v>
      </c>
      <c r="L25" s="240">
        <f t="shared" si="4"/>
        <v>287.2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287.2</v>
      </c>
      <c r="T25" s="248">
        <f t="shared" si="7"/>
        <v>287.2</v>
      </c>
      <c r="U25" s="249">
        <f t="shared" si="8"/>
        <v>0</v>
      </c>
      <c r="V25" s="249">
        <f t="shared" si="9"/>
        <v>1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>
        <v>5000160388</v>
      </c>
      <c r="C26" s="357" t="s">
        <v>348</v>
      </c>
      <c r="D26" s="369"/>
      <c r="E26" s="219">
        <v>1</v>
      </c>
      <c r="F26" s="220">
        <v>2605.06</v>
      </c>
      <c r="G26" s="221">
        <f t="shared" si="0"/>
        <v>1834.55</v>
      </c>
      <c r="H26" s="222">
        <f t="shared" si="1"/>
        <v>2605.06</v>
      </c>
      <c r="I26" s="242"/>
      <c r="J26" s="224">
        <f t="shared" si="2"/>
        <v>1</v>
      </c>
      <c r="K26" s="221">
        <f t="shared" si="3"/>
        <v>2605.06</v>
      </c>
      <c r="L26" s="221">
        <f t="shared" si="4"/>
        <v>2605.06</v>
      </c>
      <c r="M26" s="220" t="s">
        <v>84</v>
      </c>
      <c r="N26" s="254"/>
      <c r="O26" s="226"/>
      <c r="P26" s="255"/>
      <c r="Q26" s="228"/>
      <c r="R26" s="229">
        <f t="shared" si="5"/>
        <v>0</v>
      </c>
      <c r="S26" s="229">
        <f t="shared" si="6"/>
        <v>2605.06</v>
      </c>
      <c r="T26" s="229">
        <f t="shared" si="7"/>
        <v>2605.06</v>
      </c>
      <c r="U26" s="230">
        <f t="shared" si="8"/>
        <v>0</v>
      </c>
      <c r="V26" s="230">
        <f t="shared" si="9"/>
        <v>1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294">
        <v>5100061991</v>
      </c>
      <c r="C27" s="294" t="s">
        <v>349</v>
      </c>
      <c r="D27" s="370"/>
      <c r="E27" s="382">
        <v>3</v>
      </c>
      <c r="F27" s="239">
        <v>1265.32</v>
      </c>
      <c r="G27" s="240"/>
      <c r="H27" s="241">
        <f t="shared" si="1"/>
        <v>3795.96</v>
      </c>
      <c r="I27" s="242"/>
      <c r="J27" s="243">
        <f t="shared" si="2"/>
        <v>3</v>
      </c>
      <c r="K27" s="240">
        <f t="shared" si="3"/>
        <v>1265.32</v>
      </c>
      <c r="L27" s="240">
        <f t="shared" si="4"/>
        <v>3795.96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1265.32</v>
      </c>
      <c r="T27" s="248">
        <f t="shared" si="7"/>
        <v>3795.96</v>
      </c>
      <c r="U27" s="249">
        <f t="shared" si="8"/>
        <v>0</v>
      </c>
      <c r="V27" s="249">
        <f t="shared" si="9"/>
        <v>1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379">
        <v>5100066530</v>
      </c>
      <c r="C28" s="379" t="s">
        <v>350</v>
      </c>
      <c r="D28" s="367"/>
      <c r="E28" s="219">
        <v>2</v>
      </c>
      <c r="F28" s="220">
        <v>107.03</v>
      </c>
      <c r="G28" s="221">
        <f t="shared" ref="G28:G60" si="10">ROUND(IF($F$17="USD $", F28*$E$15,F28*$D$15),2)</f>
        <v>75.37</v>
      </c>
      <c r="H28" s="222">
        <f t="shared" si="1"/>
        <v>214.06</v>
      </c>
      <c r="I28" s="242"/>
      <c r="J28" s="224">
        <f t="shared" si="2"/>
        <v>2</v>
      </c>
      <c r="K28" s="221">
        <f t="shared" si="3"/>
        <v>107.03</v>
      </c>
      <c r="L28" s="221">
        <f t="shared" si="4"/>
        <v>214.06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107.03</v>
      </c>
      <c r="T28" s="229">
        <f t="shared" si="7"/>
        <v>214.06</v>
      </c>
      <c r="U28" s="230">
        <f t="shared" si="8"/>
        <v>0</v>
      </c>
      <c r="V28" s="230">
        <f t="shared" si="9"/>
        <v>1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374"/>
      <c r="C29" s="374"/>
      <c r="D29" s="368"/>
      <c r="E29" s="238"/>
      <c r="F29" s="239"/>
      <c r="G29" s="240">
        <f t="shared" si="10"/>
        <v>0</v>
      </c>
      <c r="H29" s="241">
        <f t="shared" si="1"/>
        <v>0</v>
      </c>
      <c r="I29" s="242"/>
      <c r="J29" s="243">
        <f t="shared" si="2"/>
        <v>0</v>
      </c>
      <c r="K29" s="240">
        <f t="shared" si="3"/>
        <v>0</v>
      </c>
      <c r="L29" s="240">
        <f t="shared" si="4"/>
        <v>0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0</v>
      </c>
      <c r="T29" s="248">
        <f t="shared" si="7"/>
        <v>0</v>
      </c>
      <c r="U29" s="249">
        <f t="shared" si="8"/>
        <v>0</v>
      </c>
      <c r="V29" s="249">
        <f t="shared" si="9"/>
        <v>0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358"/>
      <c r="C30" s="359"/>
      <c r="D30" s="369"/>
      <c r="E30" s="219"/>
      <c r="F30" s="220"/>
      <c r="G30" s="221">
        <f t="shared" si="10"/>
        <v>0</v>
      </c>
      <c r="H30" s="222">
        <f t="shared" si="1"/>
        <v>0</v>
      </c>
      <c r="I30" s="242"/>
      <c r="J30" s="224">
        <f t="shared" si="2"/>
        <v>0</v>
      </c>
      <c r="K30" s="221">
        <f t="shared" si="3"/>
        <v>0</v>
      </c>
      <c r="L30" s="221">
        <f t="shared" si="4"/>
        <v>0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0</v>
      </c>
      <c r="T30" s="229">
        <f t="shared" si="7"/>
        <v>0</v>
      </c>
      <c r="U30" s="230">
        <f t="shared" si="8"/>
        <v>0</v>
      </c>
      <c r="V30" s="230">
        <f t="shared" si="9"/>
        <v>0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362"/>
      <c r="C31" s="363"/>
      <c r="D31" s="368"/>
      <c r="E31" s="238"/>
      <c r="F31" s="239"/>
      <c r="G31" s="240">
        <f t="shared" si="10"/>
        <v>0</v>
      </c>
      <c r="H31" s="241">
        <f t="shared" si="1"/>
        <v>0</v>
      </c>
      <c r="I31" s="242"/>
      <c r="J31" s="243">
        <f t="shared" si="2"/>
        <v>0</v>
      </c>
      <c r="K31" s="240">
        <f t="shared" si="3"/>
        <v>0</v>
      </c>
      <c r="L31" s="240">
        <f t="shared" si="4"/>
        <v>0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0</v>
      </c>
      <c r="T31" s="248">
        <f t="shared" si="7"/>
        <v>0</v>
      </c>
      <c r="U31" s="249">
        <f t="shared" si="8"/>
        <v>0</v>
      </c>
      <c r="V31" s="249">
        <f t="shared" si="9"/>
        <v>0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358"/>
      <c r="C32" s="365"/>
      <c r="D32" s="369"/>
      <c r="E32" s="219"/>
      <c r="F32" s="220"/>
      <c r="G32" s="221">
        <f t="shared" si="10"/>
        <v>0</v>
      </c>
      <c r="H32" s="222">
        <f t="shared" si="1"/>
        <v>0</v>
      </c>
      <c r="I32" s="242"/>
      <c r="J32" s="224">
        <f t="shared" si="2"/>
        <v>0</v>
      </c>
      <c r="K32" s="221">
        <f t="shared" si="3"/>
        <v>0</v>
      </c>
      <c r="L32" s="221">
        <f t="shared" si="4"/>
        <v>0</v>
      </c>
      <c r="M32" s="220" t="s">
        <v>84</v>
      </c>
      <c r="N32" s="254"/>
      <c r="O32" s="226"/>
      <c r="P32" s="255"/>
      <c r="Q32" s="228"/>
      <c r="R32" s="229">
        <f t="shared" si="5"/>
        <v>0</v>
      </c>
      <c r="S32" s="229">
        <f t="shared" si="6"/>
        <v>0</v>
      </c>
      <c r="T32" s="229">
        <f t="shared" si="7"/>
        <v>0</v>
      </c>
      <c r="U32" s="230">
        <f t="shared" si="8"/>
        <v>0</v>
      </c>
      <c r="V32" s="230">
        <f t="shared" si="9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362"/>
      <c r="C33" s="363"/>
      <c r="D33" s="368"/>
      <c r="E33" s="238"/>
      <c r="F33" s="239"/>
      <c r="G33" s="240">
        <f t="shared" si="10"/>
        <v>0</v>
      </c>
      <c r="H33" s="241">
        <f t="shared" si="1"/>
        <v>0</v>
      </c>
      <c r="I33" s="242"/>
      <c r="J33" s="243">
        <f t="shared" si="2"/>
        <v>0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358"/>
      <c r="C34" s="365"/>
      <c r="D34" s="369"/>
      <c r="E34" s="219"/>
      <c r="F34" s="220"/>
      <c r="G34" s="221">
        <f t="shared" si="1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/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362"/>
      <c r="C35" s="363"/>
      <c r="D35" s="368"/>
      <c r="E35" s="238"/>
      <c r="F35" s="239"/>
      <c r="G35" s="240">
        <f t="shared" si="1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/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358"/>
      <c r="C36" s="365"/>
      <c r="D36" s="369"/>
      <c r="E36" s="219"/>
      <c r="F36" s="220"/>
      <c r="G36" s="221">
        <f t="shared" si="1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362"/>
      <c r="C37" s="363"/>
      <c r="D37" s="286"/>
      <c r="E37" s="364"/>
      <c r="F37" s="239"/>
      <c r="G37" s="240">
        <f t="shared" si="1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358"/>
      <c r="C38" s="365"/>
      <c r="D38" s="287"/>
      <c r="E38" s="361"/>
      <c r="F38" s="220"/>
      <c r="G38" s="221">
        <f t="shared" si="1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362"/>
      <c r="C39" s="363"/>
      <c r="D39" s="286"/>
      <c r="E39" s="364"/>
      <c r="F39" s="239"/>
      <c r="G39" s="240">
        <f t="shared" si="1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358"/>
      <c r="C40" s="365"/>
      <c r="D40" s="287"/>
      <c r="E40" s="361"/>
      <c r="F40" s="220"/>
      <c r="G40" s="221">
        <f t="shared" si="1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362"/>
      <c r="C41" s="363"/>
      <c r="D41" s="286"/>
      <c r="E41" s="364"/>
      <c r="F41" s="239"/>
      <c r="G41" s="240">
        <f t="shared" si="1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358"/>
      <c r="C42" s="365"/>
      <c r="D42" s="287"/>
      <c r="E42" s="361"/>
      <c r="F42" s="220"/>
      <c r="G42" s="221">
        <f t="shared" si="1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362"/>
      <c r="C43" s="363"/>
      <c r="D43" s="286"/>
      <c r="E43" s="364"/>
      <c r="F43" s="239"/>
      <c r="G43" s="240">
        <f t="shared" si="1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358"/>
      <c r="C44" s="365"/>
      <c r="D44" s="287"/>
      <c r="E44" s="361"/>
      <c r="F44" s="220"/>
      <c r="G44" s="221">
        <f t="shared" si="1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362"/>
      <c r="C45" s="363"/>
      <c r="D45" s="286"/>
      <c r="E45" s="364"/>
      <c r="F45" s="239"/>
      <c r="G45" s="240">
        <f t="shared" si="1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358"/>
      <c r="C46" s="365"/>
      <c r="D46" s="287"/>
      <c r="E46" s="361"/>
      <c r="F46" s="220"/>
      <c r="G46" s="221">
        <f t="shared" si="1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362"/>
      <c r="C47" s="363"/>
      <c r="D47" s="286"/>
      <c r="E47" s="364"/>
      <c r="F47" s="239"/>
      <c r="G47" s="240">
        <f t="shared" si="10"/>
        <v>0</v>
      </c>
      <c r="H47" s="241">
        <f t="shared" si="1"/>
        <v>0</v>
      </c>
      <c r="I47" s="242"/>
      <c r="J47" s="243">
        <f t="shared" si="2"/>
        <v>0</v>
      </c>
      <c r="K47" s="240">
        <f t="shared" si="3"/>
        <v>0</v>
      </c>
      <c r="L47" s="240">
        <f t="shared" si="4"/>
        <v>0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0</v>
      </c>
      <c r="T47" s="248">
        <f t="shared" si="7"/>
        <v>0</v>
      </c>
      <c r="U47" s="249">
        <f t="shared" si="8"/>
        <v>0</v>
      </c>
      <c r="V47" s="249">
        <f t="shared" si="9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358"/>
      <c r="C48" s="365"/>
      <c r="D48" s="287"/>
      <c r="E48" s="361"/>
      <c r="F48" s="220"/>
      <c r="G48" s="221">
        <f t="shared" si="10"/>
        <v>0</v>
      </c>
      <c r="H48" s="222">
        <f t="shared" si="1"/>
        <v>0</v>
      </c>
      <c r="I48" s="242"/>
      <c r="J48" s="224">
        <f t="shared" si="2"/>
        <v>0</v>
      </c>
      <c r="K48" s="221">
        <f t="shared" si="3"/>
        <v>0</v>
      </c>
      <c r="L48" s="221">
        <f t="shared" si="4"/>
        <v>0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0</v>
      </c>
      <c r="T48" s="229">
        <f t="shared" si="7"/>
        <v>0</v>
      </c>
      <c r="U48" s="230">
        <f t="shared" si="8"/>
        <v>0</v>
      </c>
      <c r="V48" s="230">
        <f t="shared" si="9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362"/>
      <c r="C49" s="363"/>
      <c r="D49" s="286"/>
      <c r="E49" s="364"/>
      <c r="F49" s="239"/>
      <c r="G49" s="240">
        <f t="shared" si="10"/>
        <v>0</v>
      </c>
      <c r="H49" s="241">
        <f t="shared" si="1"/>
        <v>0</v>
      </c>
      <c r="I49" s="242"/>
      <c r="J49" s="243">
        <f t="shared" si="2"/>
        <v>0</v>
      </c>
      <c r="K49" s="240">
        <f t="shared" si="3"/>
        <v>0</v>
      </c>
      <c r="L49" s="240">
        <f t="shared" si="4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0</v>
      </c>
      <c r="T49" s="248">
        <f t="shared" si="7"/>
        <v>0</v>
      </c>
      <c r="U49" s="249">
        <f t="shared" si="8"/>
        <v>0</v>
      </c>
      <c r="V49" s="249">
        <f t="shared" si="9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358"/>
      <c r="C50" s="365"/>
      <c r="D50" s="287"/>
      <c r="E50" s="361"/>
      <c r="F50" s="220"/>
      <c r="G50" s="221">
        <f t="shared" si="10"/>
        <v>0</v>
      </c>
      <c r="H50" s="222">
        <f t="shared" si="1"/>
        <v>0</v>
      </c>
      <c r="I50" s="242"/>
      <c r="J50" s="224">
        <f t="shared" si="2"/>
        <v>0</v>
      </c>
      <c r="K50" s="221">
        <f t="shared" si="3"/>
        <v>0</v>
      </c>
      <c r="L50" s="221">
        <f t="shared" si="4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0</v>
      </c>
      <c r="T50" s="229">
        <f t="shared" si="7"/>
        <v>0</v>
      </c>
      <c r="U50" s="230">
        <f t="shared" si="8"/>
        <v>0</v>
      </c>
      <c r="V50" s="230">
        <f t="shared" si="9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362"/>
      <c r="C51" s="363"/>
      <c r="D51" s="286"/>
      <c r="E51" s="364"/>
      <c r="F51" s="239"/>
      <c r="G51" s="240">
        <f t="shared" si="1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1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1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1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1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1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1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1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1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1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12</v>
      </c>
      <c r="F61" s="265">
        <f>SUM(F18:F60)</f>
        <v>8001.53</v>
      </c>
      <c r="G61" s="266">
        <f>SUM(G18:G60)</f>
        <v>4743.8</v>
      </c>
      <c r="H61" s="267">
        <f>SUM(H18:H60)</f>
        <v>10639.199999999999</v>
      </c>
      <c r="I61" s="268"/>
      <c r="J61" s="269">
        <f>SUM(J18:J60)</f>
        <v>12</v>
      </c>
      <c r="K61" s="266">
        <f>SUM(K18:K60)</f>
        <v>8001.53</v>
      </c>
      <c r="L61" s="267">
        <f>SUM(L18:L60)</f>
        <v>10639.199999999999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8001.53</v>
      </c>
      <c r="T61" s="267">
        <f>SUM(T18:T60)</f>
        <v>10639.199999999999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61">
    <mergeCell ref="P16:P17"/>
    <mergeCell ref="R17:V17"/>
    <mergeCell ref="B16:B17"/>
    <mergeCell ref="C16:C17"/>
    <mergeCell ref="D16:D17"/>
    <mergeCell ref="E16:E17"/>
    <mergeCell ref="F16:G16"/>
    <mergeCell ref="D9:E9"/>
    <mergeCell ref="F9:G9"/>
    <mergeCell ref="P9:R9"/>
    <mergeCell ref="S9:S10"/>
    <mergeCell ref="T9:T10"/>
    <mergeCell ref="B11:C15"/>
    <mergeCell ref="D11:E13"/>
    <mergeCell ref="F11:H12"/>
    <mergeCell ref="P11:V13"/>
    <mergeCell ref="F13:G13"/>
    <mergeCell ref="F14:H14"/>
    <mergeCell ref="F15:H15"/>
    <mergeCell ref="P15:V15"/>
    <mergeCell ref="S7:T7"/>
    <mergeCell ref="U7:V7"/>
    <mergeCell ref="V9:V10"/>
    <mergeCell ref="W9:W10"/>
    <mergeCell ref="P10:R10"/>
    <mergeCell ref="U9:U10"/>
    <mergeCell ref="D8:E8"/>
    <mergeCell ref="F8:G8"/>
    <mergeCell ref="P8:R8"/>
    <mergeCell ref="D5:E5"/>
    <mergeCell ref="F5:G5"/>
    <mergeCell ref="P5:R5"/>
    <mergeCell ref="D7:E7"/>
    <mergeCell ref="F7:G7"/>
    <mergeCell ref="P7:R7"/>
    <mergeCell ref="S5:T5"/>
    <mergeCell ref="U5:V5"/>
    <mergeCell ref="D6:E6"/>
    <mergeCell ref="F6:G6"/>
    <mergeCell ref="P6:R6"/>
    <mergeCell ref="S6:T6"/>
    <mergeCell ref="U6:V6"/>
    <mergeCell ref="D3:E3"/>
    <mergeCell ref="F3:G3"/>
    <mergeCell ref="P3:R3"/>
    <mergeCell ref="S3:T3"/>
    <mergeCell ref="U3:V3"/>
    <mergeCell ref="D4:E4"/>
    <mergeCell ref="F4:G4"/>
    <mergeCell ref="P4:R4"/>
    <mergeCell ref="S4:T4"/>
    <mergeCell ref="U4:V4"/>
    <mergeCell ref="B1:C1"/>
    <mergeCell ref="D1:G1"/>
    <mergeCell ref="P1:R1"/>
    <mergeCell ref="S1:W1"/>
    <mergeCell ref="D2:E2"/>
    <mergeCell ref="F2:G2"/>
    <mergeCell ref="P2:R2"/>
    <mergeCell ref="S2:T2"/>
    <mergeCell ref="U2:V2"/>
  </mergeCells>
  <conditionalFormatting sqref="U9:U10">
    <cfRule type="expression" dxfId="15" priority="3" stopIfTrue="1">
      <formula>$U$9&gt;100%</formula>
    </cfRule>
    <cfRule type="expression" dxfId="14" priority="4">
      <formula>$U$9&lt;50%</formula>
    </cfRule>
  </conditionalFormatting>
  <conditionalFormatting sqref="V9:V10">
    <cfRule type="expression" dxfId="13" priority="1">
      <formula>$V$9&lt;50%</formula>
    </cfRule>
    <cfRule type="expression" dxfId="12" priority="2">
      <formula>$V$9&gt;50%</formula>
    </cfRule>
  </conditionalFormatting>
  <dataValidations count="5">
    <dataValidation type="list" allowBlank="1" showInputMessage="1" showErrorMessage="1" sqref="H13" xr:uid="{40424C12-80A5-4130-84D6-6BA16615E840}">
      <formula1>$Y$13:$Y$14</formula1>
    </dataValidation>
    <dataValidation type="list" showInputMessage="1" showErrorMessage="1" sqref="D52:D60 D28:D36 D18:D26" xr:uid="{79312404-413F-4F50-84F7-CAAFC62FDDA1}">
      <formula1>$Z$18:$Z$29</formula1>
    </dataValidation>
    <dataValidation type="list" allowBlank="1" showInputMessage="1" showErrorMessage="1" sqref="Q14 K17 Q17 F17" xr:uid="{20995117-848A-4C4E-9E67-DD1F10494B7A}">
      <formula1>$Y$11:$Y$12</formula1>
    </dataValidation>
    <dataValidation type="list" allowBlank="1" showInputMessage="1" showErrorMessage="1" sqref="I13" xr:uid="{11A691BD-C1FC-49EF-A5A0-D0E2B86DA4DE}">
      <formula1>$K$9:$K$9</formula1>
    </dataValidation>
    <dataValidation type="list" allowBlank="1" showInputMessage="1" showErrorMessage="1" sqref="M18:M60" xr:uid="{5551EBA9-7A4C-42AA-A8AF-AD9EA81E13CC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BCC66-A40E-4A5A-8AAB-32E1B2AF368E}">
  <sheetPr>
    <pageSetUpPr fitToPage="1"/>
  </sheetPr>
  <dimension ref="A1:AB63"/>
  <sheetViews>
    <sheetView zoomScale="85" zoomScaleNormal="85" workbookViewId="0">
      <selection activeCell="F2" sqref="F2:G2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302" t="s">
        <v>2</v>
      </c>
      <c r="I1" s="303"/>
      <c r="J1" s="303"/>
      <c r="K1" s="304"/>
      <c r="L1" s="305" t="s">
        <v>3</v>
      </c>
      <c r="M1" s="306"/>
      <c r="N1" s="306"/>
      <c r="O1" s="306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77" t="s">
        <v>367</v>
      </c>
      <c r="G2" s="549"/>
      <c r="H2" s="315" t="s">
        <v>7</v>
      </c>
      <c r="I2" s="317"/>
      <c r="J2" s="316"/>
      <c r="K2" s="148"/>
      <c r="L2" s="318" t="s">
        <v>8</v>
      </c>
      <c r="M2" s="319"/>
      <c r="N2" s="320"/>
      <c r="O2" s="149"/>
      <c r="P2" s="554">
        <f>H61</f>
        <v>10639.199999999999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307" t="s">
        <v>13</v>
      </c>
      <c r="I3" s="309"/>
      <c r="J3" s="308"/>
      <c r="K3" s="154"/>
      <c r="L3" s="310" t="s">
        <v>14</v>
      </c>
      <c r="M3" s="311"/>
      <c r="N3" s="312"/>
      <c r="O3" s="149"/>
      <c r="P3" s="540">
        <f>L61</f>
        <v>10639.199999999999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681" t="s">
        <v>337</v>
      </c>
      <c r="G4" s="673"/>
      <c r="H4" s="307" t="s">
        <v>19</v>
      </c>
      <c r="I4" s="309"/>
      <c r="J4" s="308"/>
      <c r="K4" s="154"/>
      <c r="L4" s="310" t="s">
        <v>20</v>
      </c>
      <c r="M4" s="311"/>
      <c r="N4" s="312"/>
      <c r="O4" s="149"/>
      <c r="P4" s="540">
        <f>P2-P3</f>
        <v>0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688" t="s">
        <v>340</v>
      </c>
      <c r="G5" s="685"/>
      <c r="H5" s="307" t="s">
        <v>25</v>
      </c>
      <c r="I5" s="309"/>
      <c r="J5" s="308"/>
      <c r="K5" s="154"/>
      <c r="L5" s="321" t="s">
        <v>26</v>
      </c>
      <c r="M5" s="322"/>
      <c r="N5" s="323"/>
      <c r="O5" s="149"/>
      <c r="P5" s="561">
        <f>IFERROR((P2-P3)/P2,"")</f>
        <v>0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81" t="s">
        <v>359</v>
      </c>
      <c r="G6" s="673"/>
      <c r="H6" s="307" t="s">
        <v>31</v>
      </c>
      <c r="I6" s="309"/>
      <c r="J6" s="308"/>
      <c r="K6" s="154"/>
      <c r="L6" s="327" t="s">
        <v>32</v>
      </c>
      <c r="M6" s="328"/>
      <c r="N6" s="329"/>
      <c r="O6" s="149"/>
      <c r="P6" s="577">
        <f>T61</f>
        <v>10639.199999999999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671"/>
      <c r="G7" s="535"/>
      <c r="H7" s="307" t="s">
        <v>36</v>
      </c>
      <c r="I7" s="309"/>
      <c r="J7" s="308"/>
      <c r="K7" s="154"/>
      <c r="L7" s="324" t="s">
        <v>37</v>
      </c>
      <c r="M7" s="325"/>
      <c r="N7" s="326"/>
      <c r="O7" s="149"/>
      <c r="P7" s="567">
        <f>R61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307" t="s">
        <v>40</v>
      </c>
      <c r="I8" s="309"/>
      <c r="J8" s="308"/>
      <c r="K8" s="154"/>
      <c r="L8" s="324" t="s">
        <v>41</v>
      </c>
      <c r="M8" s="325"/>
      <c r="N8" s="32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366</v>
      </c>
      <c r="G9" s="535"/>
      <c r="H9" s="171"/>
      <c r="I9" s="172"/>
      <c r="J9" s="172"/>
      <c r="K9" s="173"/>
      <c r="L9" s="324" t="s">
        <v>47</v>
      </c>
      <c r="M9" s="325"/>
      <c r="N9" s="32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10639.199999999999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313" t="s">
        <v>48</v>
      </c>
      <c r="M10" s="330"/>
      <c r="N10" s="314"/>
      <c r="O10" s="149"/>
      <c r="P10" s="580">
        <f>E61</f>
        <v>12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347" t="s">
        <v>50</v>
      </c>
      <c r="K11" s="348"/>
      <c r="L11" s="348"/>
      <c r="M11" s="348"/>
      <c r="N11" s="349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350"/>
      <c r="K12" s="351"/>
      <c r="L12" s="351"/>
      <c r="M12" s="351"/>
      <c r="N12" s="352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353"/>
      <c r="K13" s="354"/>
      <c r="L13" s="354"/>
      <c r="M13" s="354"/>
      <c r="N13" s="355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331" t="s">
        <v>59</v>
      </c>
      <c r="K14" s="332"/>
      <c r="L14" s="335" t="s">
        <v>60</v>
      </c>
      <c r="M14" s="336"/>
      <c r="N14" s="33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ROUND(R61*T14,2)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333"/>
      <c r="K15" s="334"/>
      <c r="L15" s="338"/>
      <c r="M15" s="339"/>
      <c r="N15" s="34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343" t="s">
        <v>69</v>
      </c>
      <c r="K16" s="201" t="s">
        <v>72</v>
      </c>
      <c r="L16" s="202" t="s">
        <v>73</v>
      </c>
      <c r="M16" s="345" t="s">
        <v>74</v>
      </c>
      <c r="N16" s="345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8"/>
      <c r="C17" s="678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344"/>
      <c r="K17" s="341" t="s">
        <v>52</v>
      </c>
      <c r="L17" s="342"/>
      <c r="M17" s="346"/>
      <c r="N17" s="346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 s="292">
        <v>5000155678</v>
      </c>
      <c r="C18" s="366" t="s">
        <v>342</v>
      </c>
      <c r="D18" s="367"/>
      <c r="E18" s="219">
        <v>1</v>
      </c>
      <c r="F18" s="220">
        <v>88.22</v>
      </c>
      <c r="G18" s="221">
        <f t="shared" ref="G18:G26" si="0">ROUND(IF($F$17="USD $", F18*$E$15,F18*$D$15),2)</f>
        <v>62.13</v>
      </c>
      <c r="H18" s="222">
        <f t="shared" ref="H18:H60" si="1">ROUND(IF($H$17=$G$17,E18*G18,E18*F18),2)</f>
        <v>88.22</v>
      </c>
      <c r="I18" s="223"/>
      <c r="J18" s="224">
        <f t="shared" ref="J18:J60" si="2">E18</f>
        <v>1</v>
      </c>
      <c r="K18" s="221">
        <f t="shared" ref="K18:K60" si="3">IFERROR(IF(M18="OEM DISC %",ROUND(IF($K$17=$F$17,F18*(1-N18),G18*(1-N18)),2),IF(M18="MARKUP %",ROUND(R18/J18*(1+N18),2))),0)</f>
        <v>88.22</v>
      </c>
      <c r="L18" s="221">
        <f t="shared" ref="L18:L60" si="4">ROUND((J18*K18),2)</f>
        <v>88.22</v>
      </c>
      <c r="M18" s="220" t="s">
        <v>84</v>
      </c>
      <c r="N18" s="225"/>
      <c r="O18" s="226"/>
      <c r="P18" s="227"/>
      <c r="Q18" s="228"/>
      <c r="R18" s="229">
        <f t="shared" ref="R18:R60" si="5">ROUND(IF($R$17=$Q$17,Q18,IF($R$17="USD $",Q18*$D$15,Q18*$E$15))*E18,2)</f>
        <v>0</v>
      </c>
      <c r="S18" s="229">
        <f t="shared" ref="S18:S60" si="6">IFERROR(ROUND(T18/E18,2),0)</f>
        <v>88.22</v>
      </c>
      <c r="T18" s="229">
        <f t="shared" ref="T18:T60" si="7">ROUND(L18-R18,2)</f>
        <v>88.22</v>
      </c>
      <c r="U18" s="230">
        <f t="shared" ref="U18:U60" si="8">IFERROR(((K18-(R18/J18))/(R18/J18)),0)</f>
        <v>0</v>
      </c>
      <c r="V18" s="230">
        <f t="shared" ref="V18:V60" si="9">IFERROR(((K18-(R18/J18))/K18),0)</f>
        <v>1</v>
      </c>
      <c r="W18" s="231"/>
      <c r="X18" s="232"/>
      <c r="Y18" s="145"/>
      <c r="Z18" s="145">
        <v>250</v>
      </c>
      <c r="AA18" s="233"/>
      <c r="AB18" s="234"/>
    </row>
    <row r="19" spans="1:28" x14ac:dyDescent="0.25">
      <c r="A19" s="142"/>
      <c r="B19" s="294">
        <v>5200015526</v>
      </c>
      <c r="C19" s="294" t="s">
        <v>343</v>
      </c>
      <c r="D19" s="368"/>
      <c r="E19" s="238">
        <v>1</v>
      </c>
      <c r="F19" s="239">
        <v>37.520000000000003</v>
      </c>
      <c r="G19" s="240">
        <f t="shared" si="0"/>
        <v>26.42</v>
      </c>
      <c r="H19" s="241">
        <f t="shared" si="1"/>
        <v>37.520000000000003</v>
      </c>
      <c r="I19" s="242"/>
      <c r="J19" s="243">
        <f t="shared" si="2"/>
        <v>1</v>
      </c>
      <c r="K19" s="240">
        <f t="shared" si="3"/>
        <v>37.520000000000003</v>
      </c>
      <c r="L19" s="240">
        <f t="shared" si="4"/>
        <v>37.520000000000003</v>
      </c>
      <c r="M19" s="244" t="s">
        <v>84</v>
      </c>
      <c r="N19" s="245"/>
      <c r="O19" s="226"/>
      <c r="P19" s="246"/>
      <c r="Q19" s="239"/>
      <c r="R19" s="247">
        <f t="shared" si="5"/>
        <v>0</v>
      </c>
      <c r="S19" s="248">
        <f t="shared" si="6"/>
        <v>37.520000000000003</v>
      </c>
      <c r="T19" s="248">
        <f t="shared" si="7"/>
        <v>37.520000000000003</v>
      </c>
      <c r="U19" s="249">
        <f t="shared" si="8"/>
        <v>0</v>
      </c>
      <c r="V19" s="249">
        <f t="shared" si="9"/>
        <v>1</v>
      </c>
      <c r="W19" s="250"/>
      <c r="X19" s="232"/>
      <c r="Y19" s="145" t="s">
        <v>86</v>
      </c>
      <c r="Z19" s="145">
        <v>500</v>
      </c>
      <c r="AA19" s="145"/>
      <c r="AB19" s="145"/>
    </row>
    <row r="20" spans="1:28" x14ac:dyDescent="0.25">
      <c r="A20" s="142"/>
      <c r="B20" s="292">
        <v>5200009520</v>
      </c>
      <c r="C20" s="292" t="s">
        <v>344</v>
      </c>
      <c r="D20" s="369"/>
      <c r="E20" s="219">
        <v>1</v>
      </c>
      <c r="F20" s="220">
        <v>208.39</v>
      </c>
      <c r="G20" s="221">
        <f t="shared" si="0"/>
        <v>146.75</v>
      </c>
      <c r="H20" s="222">
        <f t="shared" si="1"/>
        <v>208.39</v>
      </c>
      <c r="I20" s="242"/>
      <c r="J20" s="224">
        <f t="shared" si="2"/>
        <v>1</v>
      </c>
      <c r="K20" s="221">
        <f t="shared" si="3"/>
        <v>208.39</v>
      </c>
      <c r="L20" s="221">
        <f t="shared" si="4"/>
        <v>208.39</v>
      </c>
      <c r="M20" s="220" t="s">
        <v>84</v>
      </c>
      <c r="N20" s="254"/>
      <c r="O20" s="226"/>
      <c r="P20" s="255"/>
      <c r="Q20" s="228"/>
      <c r="R20" s="229">
        <f t="shared" si="5"/>
        <v>0</v>
      </c>
      <c r="S20" s="229">
        <f t="shared" si="6"/>
        <v>208.39</v>
      </c>
      <c r="T20" s="229">
        <f t="shared" si="7"/>
        <v>208.39</v>
      </c>
      <c r="U20" s="230">
        <f t="shared" si="8"/>
        <v>0</v>
      </c>
      <c r="V20" s="230">
        <f t="shared" si="9"/>
        <v>1</v>
      </c>
      <c r="W20" s="231"/>
      <c r="X20" s="232"/>
      <c r="Y20" s="145" t="s">
        <v>87</v>
      </c>
      <c r="Z20" s="145">
        <v>750</v>
      </c>
      <c r="AA20" s="145"/>
      <c r="AB20" s="145"/>
    </row>
    <row r="21" spans="1:28" x14ac:dyDescent="0.25">
      <c r="A21" s="142"/>
      <c r="B21" s="294">
        <v>5000082116</v>
      </c>
      <c r="C21" s="294" t="s">
        <v>345</v>
      </c>
      <c r="D21" s="368"/>
      <c r="E21" s="238">
        <v>1</v>
      </c>
      <c r="F21" s="239">
        <v>35.44</v>
      </c>
      <c r="G21" s="240">
        <f t="shared" si="0"/>
        <v>24.96</v>
      </c>
      <c r="H21" s="241">
        <f t="shared" si="1"/>
        <v>35.44</v>
      </c>
      <c r="I21" s="242"/>
      <c r="J21" s="243">
        <f t="shared" si="2"/>
        <v>1</v>
      </c>
      <c r="K21" s="240">
        <f t="shared" si="3"/>
        <v>35.44</v>
      </c>
      <c r="L21" s="240">
        <f t="shared" si="4"/>
        <v>35.44</v>
      </c>
      <c r="M21" s="244" t="s">
        <v>84</v>
      </c>
      <c r="N21" s="245"/>
      <c r="O21" s="226"/>
      <c r="P21" s="246"/>
      <c r="Q21" s="239"/>
      <c r="R21" s="247">
        <f t="shared" si="5"/>
        <v>0</v>
      </c>
      <c r="S21" s="248">
        <f t="shared" si="6"/>
        <v>35.44</v>
      </c>
      <c r="T21" s="248">
        <f t="shared" si="7"/>
        <v>35.44</v>
      </c>
      <c r="U21" s="249">
        <f t="shared" si="8"/>
        <v>0</v>
      </c>
      <c r="V21" s="249">
        <f t="shared" si="9"/>
        <v>1</v>
      </c>
      <c r="W21" s="250"/>
      <c r="X21" s="232"/>
      <c r="Y21" s="145" t="s">
        <v>89</v>
      </c>
      <c r="Z21" s="145">
        <v>1000</v>
      </c>
      <c r="AA21" s="145"/>
      <c r="AB21" s="145"/>
    </row>
    <row r="22" spans="1:28" x14ac:dyDescent="0.25">
      <c r="A22" s="142"/>
      <c r="B22" s="292"/>
      <c r="C22" s="292"/>
      <c r="D22" s="369"/>
      <c r="E22" s="219"/>
      <c r="F22" s="220"/>
      <c r="G22" s="221">
        <f t="shared" si="0"/>
        <v>0</v>
      </c>
      <c r="H22" s="222">
        <f t="shared" si="1"/>
        <v>0</v>
      </c>
      <c r="I22" s="242"/>
      <c r="J22" s="224">
        <f t="shared" si="2"/>
        <v>0</v>
      </c>
      <c r="K22" s="221">
        <f t="shared" si="3"/>
        <v>0</v>
      </c>
      <c r="L22" s="221">
        <f t="shared" si="4"/>
        <v>0</v>
      </c>
      <c r="M22" s="220" t="s">
        <v>84</v>
      </c>
      <c r="N22" s="254"/>
      <c r="O22" s="226"/>
      <c r="P22" s="255"/>
      <c r="Q22" s="228"/>
      <c r="R22" s="229">
        <f t="shared" si="5"/>
        <v>0</v>
      </c>
      <c r="S22" s="229">
        <f t="shared" si="6"/>
        <v>0</v>
      </c>
      <c r="T22" s="229">
        <f t="shared" si="7"/>
        <v>0</v>
      </c>
      <c r="U22" s="230">
        <f t="shared" si="8"/>
        <v>0</v>
      </c>
      <c r="V22" s="230">
        <f t="shared" si="9"/>
        <v>0</v>
      </c>
      <c r="W22" s="231"/>
      <c r="X22" s="232"/>
      <c r="Y22" s="145" t="s">
        <v>91</v>
      </c>
      <c r="Z22" s="145">
        <v>1200</v>
      </c>
      <c r="AA22" s="145"/>
      <c r="AB22" s="145"/>
    </row>
    <row r="23" spans="1:28" x14ac:dyDescent="0.25">
      <c r="A23" s="142"/>
      <c r="B23" s="294"/>
      <c r="C23" s="294"/>
      <c r="D23" s="368"/>
      <c r="E23" s="238"/>
      <c r="F23" s="239"/>
      <c r="G23" s="240">
        <f t="shared" si="0"/>
        <v>0</v>
      </c>
      <c r="H23" s="241">
        <f t="shared" si="1"/>
        <v>0</v>
      </c>
      <c r="I23" s="242"/>
      <c r="J23" s="243">
        <f t="shared" si="2"/>
        <v>0</v>
      </c>
      <c r="K23" s="240">
        <f t="shared" si="3"/>
        <v>0</v>
      </c>
      <c r="L23" s="240">
        <f t="shared" si="4"/>
        <v>0</v>
      </c>
      <c r="M23" s="244" t="s">
        <v>84</v>
      </c>
      <c r="N23" s="245"/>
      <c r="O23" s="226"/>
      <c r="P23" s="246"/>
      <c r="Q23" s="239"/>
      <c r="R23" s="247">
        <f t="shared" si="5"/>
        <v>0</v>
      </c>
      <c r="S23" s="248">
        <f t="shared" si="6"/>
        <v>0</v>
      </c>
      <c r="T23" s="248">
        <f t="shared" si="7"/>
        <v>0</v>
      </c>
      <c r="U23" s="249">
        <f t="shared" si="8"/>
        <v>0</v>
      </c>
      <c r="V23" s="249">
        <f t="shared" si="9"/>
        <v>0</v>
      </c>
      <c r="W23" s="250"/>
      <c r="X23" s="232"/>
      <c r="Y23" s="145" t="s">
        <v>93</v>
      </c>
      <c r="Z23" s="145">
        <v>2000</v>
      </c>
      <c r="AA23" s="145"/>
      <c r="AB23" s="145"/>
    </row>
    <row r="24" spans="1:28" x14ac:dyDescent="0.25">
      <c r="A24" s="142"/>
      <c r="B24" s="292">
        <v>5200009453</v>
      </c>
      <c r="C24" s="292" t="s">
        <v>346</v>
      </c>
      <c r="D24" s="369"/>
      <c r="E24" s="219">
        <v>1</v>
      </c>
      <c r="F24" s="220">
        <v>3367.35</v>
      </c>
      <c r="G24" s="221">
        <f t="shared" si="0"/>
        <v>2371.37</v>
      </c>
      <c r="H24" s="222">
        <f t="shared" si="1"/>
        <v>3367.35</v>
      </c>
      <c r="I24" s="242"/>
      <c r="J24" s="224">
        <f t="shared" si="2"/>
        <v>1</v>
      </c>
      <c r="K24" s="221">
        <f t="shared" si="3"/>
        <v>3367.35</v>
      </c>
      <c r="L24" s="221">
        <f t="shared" si="4"/>
        <v>3367.35</v>
      </c>
      <c r="M24" s="220" t="s">
        <v>84</v>
      </c>
      <c r="N24" s="254"/>
      <c r="O24" s="226"/>
      <c r="P24" s="255"/>
      <c r="Q24" s="228"/>
      <c r="R24" s="229">
        <f t="shared" si="5"/>
        <v>0</v>
      </c>
      <c r="S24" s="229">
        <f t="shared" si="6"/>
        <v>3367.35</v>
      </c>
      <c r="T24" s="229">
        <f t="shared" si="7"/>
        <v>3367.35</v>
      </c>
      <c r="U24" s="230">
        <f t="shared" si="8"/>
        <v>0</v>
      </c>
      <c r="V24" s="230">
        <f t="shared" si="9"/>
        <v>1</v>
      </c>
      <c r="W24" s="231"/>
      <c r="X24" s="232"/>
      <c r="Y24" s="145" t="s">
        <v>95</v>
      </c>
      <c r="Z24" s="145">
        <v>4000</v>
      </c>
      <c r="AA24" s="145"/>
      <c r="AB24" s="145"/>
    </row>
    <row r="25" spans="1:28" x14ac:dyDescent="0.25">
      <c r="A25" s="142"/>
      <c r="B25">
        <v>5000153758</v>
      </c>
      <c r="C25" s="294" t="s">
        <v>347</v>
      </c>
      <c r="D25" s="368"/>
      <c r="E25" s="238">
        <v>1</v>
      </c>
      <c r="F25" s="239">
        <v>287.2</v>
      </c>
      <c r="G25" s="240">
        <f t="shared" si="0"/>
        <v>202.25</v>
      </c>
      <c r="H25" s="241">
        <f t="shared" si="1"/>
        <v>287.2</v>
      </c>
      <c r="I25" s="242"/>
      <c r="J25" s="243">
        <f t="shared" si="2"/>
        <v>1</v>
      </c>
      <c r="K25" s="240">
        <f t="shared" si="3"/>
        <v>287.2</v>
      </c>
      <c r="L25" s="240">
        <f t="shared" si="4"/>
        <v>287.2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287.2</v>
      </c>
      <c r="T25" s="248">
        <f t="shared" si="7"/>
        <v>287.2</v>
      </c>
      <c r="U25" s="249">
        <f t="shared" si="8"/>
        <v>0</v>
      </c>
      <c r="V25" s="249">
        <f t="shared" si="9"/>
        <v>1</v>
      </c>
      <c r="W25" s="250"/>
      <c r="X25" s="232"/>
      <c r="Y25" s="145" t="s">
        <v>96</v>
      </c>
      <c r="Z25" s="145">
        <v>6000</v>
      </c>
      <c r="AA25" s="145"/>
      <c r="AB25" s="145"/>
    </row>
    <row r="26" spans="1:28" x14ac:dyDescent="0.25">
      <c r="A26" s="142"/>
      <c r="B26">
        <v>5000160388</v>
      </c>
      <c r="C26" s="357" t="s">
        <v>348</v>
      </c>
      <c r="D26" s="369"/>
      <c r="E26" s="219">
        <v>1</v>
      </c>
      <c r="F26" s="220">
        <v>2605.06</v>
      </c>
      <c r="G26" s="221">
        <f t="shared" si="0"/>
        <v>1834.55</v>
      </c>
      <c r="H26" s="222">
        <f t="shared" si="1"/>
        <v>2605.06</v>
      </c>
      <c r="I26" s="242"/>
      <c r="J26" s="224">
        <f t="shared" si="2"/>
        <v>1</v>
      </c>
      <c r="K26" s="221">
        <f t="shared" si="3"/>
        <v>2605.06</v>
      </c>
      <c r="L26" s="221">
        <f t="shared" si="4"/>
        <v>2605.06</v>
      </c>
      <c r="M26" s="220" t="s">
        <v>84</v>
      </c>
      <c r="N26" s="254"/>
      <c r="O26" s="226"/>
      <c r="P26" s="255"/>
      <c r="Q26" s="228"/>
      <c r="R26" s="229">
        <f t="shared" si="5"/>
        <v>0</v>
      </c>
      <c r="S26" s="229">
        <f t="shared" si="6"/>
        <v>2605.06</v>
      </c>
      <c r="T26" s="229">
        <f t="shared" si="7"/>
        <v>2605.06</v>
      </c>
      <c r="U26" s="230">
        <f t="shared" si="8"/>
        <v>0</v>
      </c>
      <c r="V26" s="230">
        <f t="shared" si="9"/>
        <v>1</v>
      </c>
      <c r="W26" s="231"/>
      <c r="X26" s="232"/>
      <c r="Y26" s="145" t="s">
        <v>98</v>
      </c>
      <c r="Z26" s="145">
        <v>8000</v>
      </c>
      <c r="AA26" s="145"/>
      <c r="AB26" s="145"/>
    </row>
    <row r="27" spans="1:28" x14ac:dyDescent="0.25">
      <c r="A27" s="142"/>
      <c r="B27" s="294">
        <v>5100061991</v>
      </c>
      <c r="C27" s="294" t="s">
        <v>349</v>
      </c>
      <c r="D27" s="370"/>
      <c r="E27" s="382">
        <v>3</v>
      </c>
      <c r="F27" s="239">
        <v>1265.32</v>
      </c>
      <c r="G27" s="240"/>
      <c r="H27" s="241">
        <f t="shared" si="1"/>
        <v>3795.96</v>
      </c>
      <c r="I27" s="242"/>
      <c r="J27" s="243">
        <f t="shared" si="2"/>
        <v>3</v>
      </c>
      <c r="K27" s="240">
        <f t="shared" si="3"/>
        <v>1265.32</v>
      </c>
      <c r="L27" s="240">
        <f t="shared" si="4"/>
        <v>3795.96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1265.32</v>
      </c>
      <c r="T27" s="248">
        <f t="shared" si="7"/>
        <v>3795.96</v>
      </c>
      <c r="U27" s="249">
        <f t="shared" si="8"/>
        <v>0</v>
      </c>
      <c r="V27" s="249">
        <f t="shared" si="9"/>
        <v>1</v>
      </c>
      <c r="W27" s="250"/>
      <c r="X27" s="232"/>
      <c r="Y27" s="145" t="s">
        <v>99</v>
      </c>
      <c r="Z27" s="259">
        <v>10000</v>
      </c>
      <c r="AA27" s="145"/>
      <c r="AB27" s="145"/>
    </row>
    <row r="28" spans="1:28" x14ac:dyDescent="0.25">
      <c r="A28" s="142"/>
      <c r="B28" s="379">
        <v>5100066530</v>
      </c>
      <c r="C28" s="379" t="s">
        <v>350</v>
      </c>
      <c r="D28" s="367"/>
      <c r="E28" s="219">
        <v>2</v>
      </c>
      <c r="F28" s="220">
        <v>107.03</v>
      </c>
      <c r="G28" s="221">
        <f t="shared" ref="G28:G60" si="10">ROUND(IF($F$17="USD $", F28*$E$15,F28*$D$15),2)</f>
        <v>75.37</v>
      </c>
      <c r="H28" s="222">
        <f t="shared" si="1"/>
        <v>214.06</v>
      </c>
      <c r="I28" s="242"/>
      <c r="J28" s="224">
        <f t="shared" si="2"/>
        <v>2</v>
      </c>
      <c r="K28" s="221">
        <f t="shared" si="3"/>
        <v>107.03</v>
      </c>
      <c r="L28" s="221">
        <f t="shared" si="4"/>
        <v>214.06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107.03</v>
      </c>
      <c r="T28" s="229">
        <f t="shared" si="7"/>
        <v>214.06</v>
      </c>
      <c r="U28" s="230">
        <f t="shared" si="8"/>
        <v>0</v>
      </c>
      <c r="V28" s="230">
        <f t="shared" si="9"/>
        <v>1</v>
      </c>
      <c r="W28" s="231"/>
      <c r="X28" s="232"/>
      <c r="Y28" s="145" t="s">
        <v>100</v>
      </c>
      <c r="Z28" s="145" t="s">
        <v>101</v>
      </c>
      <c r="AA28" s="145"/>
      <c r="AB28" s="145"/>
    </row>
    <row r="29" spans="1:28" x14ac:dyDescent="0.25">
      <c r="A29" s="142"/>
      <c r="B29" s="374"/>
      <c r="C29" s="374"/>
      <c r="D29" s="368"/>
      <c r="E29" s="238"/>
      <c r="F29" s="239"/>
      <c r="G29" s="240">
        <f t="shared" si="10"/>
        <v>0</v>
      </c>
      <c r="H29" s="241">
        <f t="shared" si="1"/>
        <v>0</v>
      </c>
      <c r="I29" s="242"/>
      <c r="J29" s="243">
        <f t="shared" si="2"/>
        <v>0</v>
      </c>
      <c r="K29" s="240">
        <f t="shared" si="3"/>
        <v>0</v>
      </c>
      <c r="L29" s="240">
        <f t="shared" si="4"/>
        <v>0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0</v>
      </c>
      <c r="T29" s="248">
        <f t="shared" si="7"/>
        <v>0</v>
      </c>
      <c r="U29" s="249">
        <f t="shared" si="8"/>
        <v>0</v>
      </c>
      <c r="V29" s="249">
        <f t="shared" si="9"/>
        <v>0</v>
      </c>
      <c r="W29" s="250"/>
      <c r="X29" s="232"/>
      <c r="Y29" s="145" t="s">
        <v>102</v>
      </c>
      <c r="Z29" s="145"/>
      <c r="AA29" s="145"/>
      <c r="AB29" s="145"/>
    </row>
    <row r="30" spans="1:28" x14ac:dyDescent="0.25">
      <c r="A30" s="142"/>
      <c r="B30" s="358"/>
      <c r="C30" s="359"/>
      <c r="D30" s="369"/>
      <c r="E30" s="219"/>
      <c r="F30" s="220"/>
      <c r="G30" s="221">
        <f t="shared" si="10"/>
        <v>0</v>
      </c>
      <c r="H30" s="222">
        <f t="shared" si="1"/>
        <v>0</v>
      </c>
      <c r="I30" s="242"/>
      <c r="J30" s="224">
        <f t="shared" si="2"/>
        <v>0</v>
      </c>
      <c r="K30" s="221">
        <f t="shared" si="3"/>
        <v>0</v>
      </c>
      <c r="L30" s="221">
        <f t="shared" si="4"/>
        <v>0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0</v>
      </c>
      <c r="T30" s="229">
        <f t="shared" si="7"/>
        <v>0</v>
      </c>
      <c r="U30" s="230">
        <f t="shared" si="8"/>
        <v>0</v>
      </c>
      <c r="V30" s="230">
        <f t="shared" si="9"/>
        <v>0</v>
      </c>
      <c r="W30" s="231"/>
      <c r="X30" s="232"/>
      <c r="Y30" s="145"/>
      <c r="Z30" s="145"/>
      <c r="AA30" s="145"/>
      <c r="AB30" s="145"/>
    </row>
    <row r="31" spans="1:28" x14ac:dyDescent="0.25">
      <c r="A31" s="142"/>
      <c r="B31" s="362"/>
      <c r="C31" s="363"/>
      <c r="D31" s="368"/>
      <c r="E31" s="238"/>
      <c r="F31" s="239"/>
      <c r="G31" s="240">
        <f t="shared" si="10"/>
        <v>0</v>
      </c>
      <c r="H31" s="241">
        <f t="shared" si="1"/>
        <v>0</v>
      </c>
      <c r="I31" s="242"/>
      <c r="J31" s="243">
        <f t="shared" si="2"/>
        <v>0</v>
      </c>
      <c r="K31" s="240">
        <f t="shared" si="3"/>
        <v>0</v>
      </c>
      <c r="L31" s="240">
        <f t="shared" si="4"/>
        <v>0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0</v>
      </c>
      <c r="T31" s="248">
        <f t="shared" si="7"/>
        <v>0</v>
      </c>
      <c r="U31" s="249">
        <f t="shared" si="8"/>
        <v>0</v>
      </c>
      <c r="V31" s="249">
        <f t="shared" si="9"/>
        <v>0</v>
      </c>
      <c r="W31" s="250"/>
      <c r="X31" s="232"/>
      <c r="Y31" s="145" t="s">
        <v>84</v>
      </c>
      <c r="Z31" s="145"/>
      <c r="AA31" s="145"/>
      <c r="AB31" s="145"/>
    </row>
    <row r="32" spans="1:28" x14ac:dyDescent="0.25">
      <c r="A32" s="142"/>
      <c r="B32" s="358"/>
      <c r="C32" s="365"/>
      <c r="D32" s="369"/>
      <c r="E32" s="219"/>
      <c r="F32" s="220"/>
      <c r="G32" s="221">
        <f t="shared" si="10"/>
        <v>0</v>
      </c>
      <c r="H32" s="222">
        <f t="shared" si="1"/>
        <v>0</v>
      </c>
      <c r="I32" s="242"/>
      <c r="J32" s="224">
        <f t="shared" si="2"/>
        <v>0</v>
      </c>
      <c r="K32" s="221">
        <f t="shared" si="3"/>
        <v>0</v>
      </c>
      <c r="L32" s="221">
        <f t="shared" si="4"/>
        <v>0</v>
      </c>
      <c r="M32" s="220" t="s">
        <v>84</v>
      </c>
      <c r="N32" s="254"/>
      <c r="O32" s="226"/>
      <c r="P32" s="255"/>
      <c r="Q32" s="228"/>
      <c r="R32" s="229">
        <f t="shared" si="5"/>
        <v>0</v>
      </c>
      <c r="S32" s="229">
        <f t="shared" si="6"/>
        <v>0</v>
      </c>
      <c r="T32" s="229">
        <f t="shared" si="7"/>
        <v>0</v>
      </c>
      <c r="U32" s="230">
        <f t="shared" si="8"/>
        <v>0</v>
      </c>
      <c r="V32" s="230">
        <f t="shared" si="9"/>
        <v>0</v>
      </c>
      <c r="W32" s="231"/>
      <c r="X32" s="232"/>
      <c r="Y32" s="145" t="s">
        <v>104</v>
      </c>
      <c r="Z32" s="145"/>
      <c r="AA32" s="145"/>
      <c r="AB32" s="145"/>
    </row>
    <row r="33" spans="1:28" x14ac:dyDescent="0.25">
      <c r="A33" s="142"/>
      <c r="B33" s="362"/>
      <c r="C33" s="363"/>
      <c r="D33" s="368"/>
      <c r="E33" s="238"/>
      <c r="F33" s="239"/>
      <c r="G33" s="240">
        <f t="shared" si="10"/>
        <v>0</v>
      </c>
      <c r="H33" s="241">
        <f t="shared" si="1"/>
        <v>0</v>
      </c>
      <c r="I33" s="242"/>
      <c r="J33" s="243">
        <f t="shared" si="2"/>
        <v>0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358"/>
      <c r="C34" s="365"/>
      <c r="D34" s="369"/>
      <c r="E34" s="219"/>
      <c r="F34" s="220"/>
      <c r="G34" s="221">
        <f t="shared" si="1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/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31"/>
      <c r="X34" s="232"/>
      <c r="Y34" s="145"/>
      <c r="Z34" s="145"/>
      <c r="AA34" s="145"/>
      <c r="AB34" s="145"/>
    </row>
    <row r="35" spans="1:28" x14ac:dyDescent="0.25">
      <c r="A35" s="142"/>
      <c r="B35" s="362"/>
      <c r="C35" s="363"/>
      <c r="D35" s="368"/>
      <c r="E35" s="238"/>
      <c r="F35" s="239"/>
      <c r="G35" s="240">
        <f t="shared" si="1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/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358"/>
      <c r="C36" s="365"/>
      <c r="D36" s="369"/>
      <c r="E36" s="219"/>
      <c r="F36" s="220"/>
      <c r="G36" s="221">
        <f t="shared" si="1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/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31"/>
      <c r="X36" s="232"/>
      <c r="Y36" s="145"/>
      <c r="Z36" s="145"/>
      <c r="AA36" s="145"/>
      <c r="AB36" s="145"/>
    </row>
    <row r="37" spans="1:28" x14ac:dyDescent="0.25">
      <c r="A37" s="142"/>
      <c r="B37" s="362"/>
      <c r="C37" s="363"/>
      <c r="D37" s="286"/>
      <c r="E37" s="364"/>
      <c r="F37" s="239"/>
      <c r="G37" s="240">
        <f t="shared" si="1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/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358"/>
      <c r="C38" s="365"/>
      <c r="D38" s="287"/>
      <c r="E38" s="361"/>
      <c r="F38" s="220"/>
      <c r="G38" s="221">
        <f t="shared" si="1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/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362"/>
      <c r="C39" s="363"/>
      <c r="D39" s="286"/>
      <c r="E39" s="364"/>
      <c r="F39" s="239"/>
      <c r="G39" s="240">
        <f t="shared" si="1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358"/>
      <c r="C40" s="365"/>
      <c r="D40" s="287"/>
      <c r="E40" s="361"/>
      <c r="F40" s="220"/>
      <c r="G40" s="221">
        <f t="shared" si="1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>
        <v>0.5</v>
      </c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362"/>
      <c r="C41" s="363"/>
      <c r="D41" s="286"/>
      <c r="E41" s="364"/>
      <c r="F41" s="239"/>
      <c r="G41" s="240">
        <f t="shared" si="1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358"/>
      <c r="C42" s="365"/>
      <c r="D42" s="287"/>
      <c r="E42" s="361"/>
      <c r="F42" s="220"/>
      <c r="G42" s="221">
        <f t="shared" si="1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362"/>
      <c r="C43" s="363"/>
      <c r="D43" s="286"/>
      <c r="E43" s="364"/>
      <c r="F43" s="239"/>
      <c r="G43" s="240">
        <f t="shared" si="1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358"/>
      <c r="C44" s="365"/>
      <c r="D44" s="287"/>
      <c r="E44" s="361"/>
      <c r="F44" s="220"/>
      <c r="G44" s="221">
        <f t="shared" si="1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362"/>
      <c r="C45" s="363"/>
      <c r="D45" s="286"/>
      <c r="E45" s="364"/>
      <c r="F45" s="239"/>
      <c r="G45" s="240">
        <f t="shared" si="1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358"/>
      <c r="C46" s="365"/>
      <c r="D46" s="287"/>
      <c r="E46" s="361"/>
      <c r="F46" s="220"/>
      <c r="G46" s="221">
        <f t="shared" si="1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x14ac:dyDescent="0.25">
      <c r="A47" s="142"/>
      <c r="B47" s="362"/>
      <c r="C47" s="363"/>
      <c r="D47" s="286"/>
      <c r="E47" s="364"/>
      <c r="F47" s="239"/>
      <c r="G47" s="240">
        <f t="shared" si="10"/>
        <v>0</v>
      </c>
      <c r="H47" s="241">
        <f t="shared" si="1"/>
        <v>0</v>
      </c>
      <c r="I47" s="242"/>
      <c r="J47" s="243">
        <f t="shared" si="2"/>
        <v>0</v>
      </c>
      <c r="K47" s="240">
        <f t="shared" si="3"/>
        <v>0</v>
      </c>
      <c r="L47" s="240">
        <f t="shared" si="4"/>
        <v>0</v>
      </c>
      <c r="M47" s="244" t="s">
        <v>84</v>
      </c>
      <c r="N47" s="245"/>
      <c r="O47" s="226"/>
      <c r="P47" s="246"/>
      <c r="Q47" s="239"/>
      <c r="R47" s="247">
        <f t="shared" si="5"/>
        <v>0</v>
      </c>
      <c r="S47" s="248">
        <f t="shared" si="6"/>
        <v>0</v>
      </c>
      <c r="T47" s="248">
        <f t="shared" si="7"/>
        <v>0</v>
      </c>
      <c r="U47" s="249">
        <f t="shared" si="8"/>
        <v>0</v>
      </c>
      <c r="V47" s="249">
        <f t="shared" si="9"/>
        <v>0</v>
      </c>
      <c r="W47" s="250"/>
      <c r="X47" s="232"/>
      <c r="Y47" s="145"/>
      <c r="Z47" s="145"/>
      <c r="AA47" s="145"/>
      <c r="AB47" s="145"/>
    </row>
    <row r="48" spans="1:28" x14ac:dyDescent="0.25">
      <c r="A48" s="142"/>
      <c r="B48" s="358"/>
      <c r="C48" s="365"/>
      <c r="D48" s="287"/>
      <c r="E48" s="361"/>
      <c r="F48" s="220"/>
      <c r="G48" s="221">
        <f t="shared" si="10"/>
        <v>0</v>
      </c>
      <c r="H48" s="222">
        <f t="shared" si="1"/>
        <v>0</v>
      </c>
      <c r="I48" s="242"/>
      <c r="J48" s="224">
        <f t="shared" si="2"/>
        <v>0</v>
      </c>
      <c r="K48" s="221">
        <f t="shared" si="3"/>
        <v>0</v>
      </c>
      <c r="L48" s="221">
        <f t="shared" si="4"/>
        <v>0</v>
      </c>
      <c r="M48" s="220" t="s">
        <v>84</v>
      </c>
      <c r="N48" s="254"/>
      <c r="O48" s="226"/>
      <c r="P48" s="255"/>
      <c r="Q48" s="228"/>
      <c r="R48" s="229">
        <f t="shared" si="5"/>
        <v>0</v>
      </c>
      <c r="S48" s="229">
        <f t="shared" si="6"/>
        <v>0</v>
      </c>
      <c r="T48" s="229">
        <f t="shared" si="7"/>
        <v>0</v>
      </c>
      <c r="U48" s="230">
        <f t="shared" si="8"/>
        <v>0</v>
      </c>
      <c r="V48" s="230">
        <f t="shared" si="9"/>
        <v>0</v>
      </c>
      <c r="W48" s="250"/>
      <c r="X48" s="232"/>
      <c r="Y48" s="145"/>
      <c r="Z48" s="145"/>
      <c r="AA48" s="145"/>
      <c r="AB48" s="145"/>
    </row>
    <row r="49" spans="1:28" x14ac:dyDescent="0.25">
      <c r="A49" s="142"/>
      <c r="B49" s="362"/>
      <c r="C49" s="363"/>
      <c r="D49" s="286"/>
      <c r="E49" s="364"/>
      <c r="F49" s="239"/>
      <c r="G49" s="240">
        <f t="shared" si="10"/>
        <v>0</v>
      </c>
      <c r="H49" s="241">
        <f t="shared" si="1"/>
        <v>0</v>
      </c>
      <c r="I49" s="242"/>
      <c r="J49" s="243">
        <f t="shared" si="2"/>
        <v>0</v>
      </c>
      <c r="K49" s="240">
        <f t="shared" si="3"/>
        <v>0</v>
      </c>
      <c r="L49" s="240">
        <f t="shared" si="4"/>
        <v>0</v>
      </c>
      <c r="M49" s="244" t="s">
        <v>84</v>
      </c>
      <c r="N49" s="245">
        <v>0.5</v>
      </c>
      <c r="O49" s="226"/>
      <c r="P49" s="246"/>
      <c r="Q49" s="239"/>
      <c r="R49" s="247">
        <f t="shared" si="5"/>
        <v>0</v>
      </c>
      <c r="S49" s="248">
        <f t="shared" si="6"/>
        <v>0</v>
      </c>
      <c r="T49" s="248">
        <f t="shared" si="7"/>
        <v>0</v>
      </c>
      <c r="U49" s="249">
        <f t="shared" si="8"/>
        <v>0</v>
      </c>
      <c r="V49" s="249">
        <f t="shared" si="9"/>
        <v>0</v>
      </c>
      <c r="W49" s="250"/>
      <c r="X49" s="232"/>
      <c r="Y49" s="145"/>
      <c r="Z49" s="145"/>
      <c r="AA49" s="145"/>
      <c r="AB49" s="145"/>
    </row>
    <row r="50" spans="1:28" x14ac:dyDescent="0.25">
      <c r="A50" s="142"/>
      <c r="B50" s="358"/>
      <c r="C50" s="365"/>
      <c r="D50" s="287"/>
      <c r="E50" s="361"/>
      <c r="F50" s="220"/>
      <c r="G50" s="221">
        <f t="shared" si="10"/>
        <v>0</v>
      </c>
      <c r="H50" s="222">
        <f t="shared" si="1"/>
        <v>0</v>
      </c>
      <c r="I50" s="242"/>
      <c r="J50" s="224">
        <f t="shared" si="2"/>
        <v>0</v>
      </c>
      <c r="K50" s="221">
        <f t="shared" si="3"/>
        <v>0</v>
      </c>
      <c r="L50" s="221">
        <f t="shared" si="4"/>
        <v>0</v>
      </c>
      <c r="M50" s="220" t="s">
        <v>84</v>
      </c>
      <c r="N50" s="254">
        <v>0.5</v>
      </c>
      <c r="O50" s="226"/>
      <c r="P50" s="255"/>
      <c r="Q50" s="228"/>
      <c r="R50" s="229">
        <f t="shared" si="5"/>
        <v>0</v>
      </c>
      <c r="S50" s="229">
        <f t="shared" si="6"/>
        <v>0</v>
      </c>
      <c r="T50" s="229">
        <f t="shared" si="7"/>
        <v>0</v>
      </c>
      <c r="U50" s="230">
        <f t="shared" si="8"/>
        <v>0</v>
      </c>
      <c r="V50" s="230">
        <f t="shared" si="9"/>
        <v>0</v>
      </c>
      <c r="W50" s="250"/>
      <c r="X50" s="232"/>
      <c r="Y50" s="145"/>
      <c r="Z50" s="145"/>
      <c r="AA50" s="145"/>
      <c r="AB50" s="145"/>
    </row>
    <row r="51" spans="1:28" x14ac:dyDescent="0.25">
      <c r="A51" s="142"/>
      <c r="B51" s="362"/>
      <c r="C51" s="363"/>
      <c r="D51" s="286"/>
      <c r="E51" s="364"/>
      <c r="F51" s="239"/>
      <c r="G51" s="240">
        <f t="shared" si="10"/>
        <v>0</v>
      </c>
      <c r="H51" s="241">
        <f t="shared" si="1"/>
        <v>0</v>
      </c>
      <c r="I51" s="242"/>
      <c r="J51" s="243">
        <f t="shared" si="2"/>
        <v>0</v>
      </c>
      <c r="K51" s="240">
        <f t="shared" si="3"/>
        <v>0</v>
      </c>
      <c r="L51" s="240">
        <f t="shared" si="4"/>
        <v>0</v>
      </c>
      <c r="M51" s="244" t="s">
        <v>84</v>
      </c>
      <c r="N51" s="245">
        <v>0.5</v>
      </c>
      <c r="O51" s="226"/>
      <c r="P51" s="246"/>
      <c r="Q51" s="239"/>
      <c r="R51" s="247">
        <f t="shared" si="5"/>
        <v>0</v>
      </c>
      <c r="S51" s="248">
        <f t="shared" si="6"/>
        <v>0</v>
      </c>
      <c r="T51" s="248">
        <f t="shared" si="7"/>
        <v>0</v>
      </c>
      <c r="U51" s="249">
        <f t="shared" si="8"/>
        <v>0</v>
      </c>
      <c r="V51" s="249">
        <f t="shared" si="9"/>
        <v>0</v>
      </c>
      <c r="W51" s="250"/>
      <c r="X51" s="232"/>
      <c r="Y51" s="145"/>
      <c r="Z51" s="145"/>
      <c r="AA51" s="145"/>
      <c r="AB51" s="145"/>
    </row>
    <row r="52" spans="1:28" x14ac:dyDescent="0.25">
      <c r="A52" s="142"/>
      <c r="B52" s="227"/>
      <c r="C52" s="257"/>
      <c r="D52" s="253"/>
      <c r="E52" s="219"/>
      <c r="F52" s="220"/>
      <c r="G52" s="221">
        <f t="shared" si="10"/>
        <v>0</v>
      </c>
      <c r="H52" s="222">
        <f t="shared" si="1"/>
        <v>0</v>
      </c>
      <c r="I52" s="242"/>
      <c r="J52" s="224">
        <f t="shared" si="2"/>
        <v>0</v>
      </c>
      <c r="K52" s="221">
        <f t="shared" si="3"/>
        <v>0</v>
      </c>
      <c r="L52" s="221">
        <f t="shared" si="4"/>
        <v>0</v>
      </c>
      <c r="M52" s="220" t="s">
        <v>84</v>
      </c>
      <c r="N52" s="254">
        <v>0.5</v>
      </c>
      <c r="O52" s="226"/>
      <c r="P52" s="255"/>
      <c r="Q52" s="228"/>
      <c r="R52" s="229">
        <f t="shared" si="5"/>
        <v>0</v>
      </c>
      <c r="S52" s="229">
        <f t="shared" si="6"/>
        <v>0</v>
      </c>
      <c r="T52" s="229">
        <f t="shared" si="7"/>
        <v>0</v>
      </c>
      <c r="U52" s="230">
        <f t="shared" si="8"/>
        <v>0</v>
      </c>
      <c r="V52" s="230">
        <f t="shared" si="9"/>
        <v>0</v>
      </c>
      <c r="W52" s="250"/>
      <c r="X52" s="232"/>
      <c r="Y52" s="145"/>
      <c r="Z52" s="145"/>
      <c r="AA52" s="145"/>
      <c r="AB52" s="145"/>
    </row>
    <row r="53" spans="1:28" x14ac:dyDescent="0.25">
      <c r="A53" s="142"/>
      <c r="B53" s="246"/>
      <c r="C53" s="153"/>
      <c r="D53" s="237"/>
      <c r="E53" s="238"/>
      <c r="F53" s="239"/>
      <c r="G53" s="240">
        <f t="shared" si="10"/>
        <v>0</v>
      </c>
      <c r="H53" s="241">
        <f t="shared" si="1"/>
        <v>0</v>
      </c>
      <c r="I53" s="242"/>
      <c r="J53" s="243">
        <f t="shared" si="2"/>
        <v>0</v>
      </c>
      <c r="K53" s="240">
        <f t="shared" si="3"/>
        <v>0</v>
      </c>
      <c r="L53" s="240">
        <f t="shared" si="4"/>
        <v>0</v>
      </c>
      <c r="M53" s="244" t="s">
        <v>84</v>
      </c>
      <c r="N53" s="245"/>
      <c r="O53" s="226"/>
      <c r="P53" s="246"/>
      <c r="Q53" s="239"/>
      <c r="R53" s="247">
        <f t="shared" si="5"/>
        <v>0</v>
      </c>
      <c r="S53" s="248">
        <f t="shared" si="6"/>
        <v>0</v>
      </c>
      <c r="T53" s="248">
        <f t="shared" si="7"/>
        <v>0</v>
      </c>
      <c r="U53" s="249">
        <f t="shared" si="8"/>
        <v>0</v>
      </c>
      <c r="V53" s="249">
        <f t="shared" si="9"/>
        <v>0</v>
      </c>
      <c r="W53" s="250"/>
      <c r="X53" s="232"/>
      <c r="Y53" s="145"/>
      <c r="Z53" s="145"/>
      <c r="AA53" s="145"/>
      <c r="AB53" s="145"/>
    </row>
    <row r="54" spans="1:28" x14ac:dyDescent="0.25">
      <c r="A54" s="142"/>
      <c r="B54" s="227"/>
      <c r="C54" s="257"/>
      <c r="D54" s="253"/>
      <c r="E54" s="219"/>
      <c r="F54" s="220"/>
      <c r="G54" s="221">
        <f t="shared" si="10"/>
        <v>0</v>
      </c>
      <c r="H54" s="222">
        <f t="shared" si="1"/>
        <v>0</v>
      </c>
      <c r="I54" s="242"/>
      <c r="J54" s="224">
        <f t="shared" si="2"/>
        <v>0</v>
      </c>
      <c r="K54" s="221">
        <f t="shared" si="3"/>
        <v>0</v>
      </c>
      <c r="L54" s="221">
        <f t="shared" si="4"/>
        <v>0</v>
      </c>
      <c r="M54" s="220" t="s">
        <v>84</v>
      </c>
      <c r="N54" s="254"/>
      <c r="O54" s="226"/>
      <c r="P54" s="255"/>
      <c r="Q54" s="228"/>
      <c r="R54" s="229">
        <f t="shared" si="5"/>
        <v>0</v>
      </c>
      <c r="S54" s="229">
        <f t="shared" si="6"/>
        <v>0</v>
      </c>
      <c r="T54" s="229">
        <f t="shared" si="7"/>
        <v>0</v>
      </c>
      <c r="U54" s="230">
        <f t="shared" si="8"/>
        <v>0</v>
      </c>
      <c r="V54" s="230">
        <f t="shared" si="9"/>
        <v>0</v>
      </c>
      <c r="W54" s="250"/>
      <c r="X54" s="232"/>
      <c r="Y54" s="145"/>
      <c r="Z54" s="145"/>
      <c r="AA54" s="145"/>
      <c r="AB54" s="145"/>
    </row>
    <row r="55" spans="1:28" x14ac:dyDescent="0.25">
      <c r="A55" s="142"/>
      <c r="B55" s="246"/>
      <c r="C55" s="153"/>
      <c r="D55" s="237"/>
      <c r="E55" s="238"/>
      <c r="F55" s="239"/>
      <c r="G55" s="240">
        <f t="shared" si="10"/>
        <v>0</v>
      </c>
      <c r="H55" s="241">
        <f t="shared" si="1"/>
        <v>0</v>
      </c>
      <c r="I55" s="242"/>
      <c r="J55" s="243">
        <f t="shared" si="2"/>
        <v>0</v>
      </c>
      <c r="K55" s="240">
        <f t="shared" si="3"/>
        <v>0</v>
      </c>
      <c r="L55" s="240">
        <f t="shared" si="4"/>
        <v>0</v>
      </c>
      <c r="M55" s="244" t="s">
        <v>84</v>
      </c>
      <c r="N55" s="245"/>
      <c r="O55" s="226"/>
      <c r="P55" s="246"/>
      <c r="Q55" s="239"/>
      <c r="R55" s="247">
        <f t="shared" si="5"/>
        <v>0</v>
      </c>
      <c r="S55" s="248">
        <f t="shared" si="6"/>
        <v>0</v>
      </c>
      <c r="T55" s="248">
        <f t="shared" si="7"/>
        <v>0</v>
      </c>
      <c r="U55" s="249">
        <f t="shared" si="8"/>
        <v>0</v>
      </c>
      <c r="V55" s="249">
        <f t="shared" si="9"/>
        <v>0</v>
      </c>
      <c r="W55" s="250"/>
      <c r="X55" s="232"/>
      <c r="Y55" s="145"/>
      <c r="Z55" s="145"/>
      <c r="AA55" s="145"/>
      <c r="AB55" s="145"/>
    </row>
    <row r="56" spans="1:28" x14ac:dyDescent="0.25">
      <c r="A56" s="142"/>
      <c r="B56" s="227"/>
      <c r="C56" s="257"/>
      <c r="D56" s="253"/>
      <c r="E56" s="219"/>
      <c r="F56" s="220"/>
      <c r="G56" s="221">
        <f t="shared" si="10"/>
        <v>0</v>
      </c>
      <c r="H56" s="222">
        <f t="shared" si="1"/>
        <v>0</v>
      </c>
      <c r="I56" s="242"/>
      <c r="J56" s="224">
        <f t="shared" si="2"/>
        <v>0</v>
      </c>
      <c r="K56" s="221">
        <f t="shared" si="3"/>
        <v>0</v>
      </c>
      <c r="L56" s="221">
        <f t="shared" si="4"/>
        <v>0</v>
      </c>
      <c r="M56" s="220" t="s">
        <v>84</v>
      </c>
      <c r="N56" s="254"/>
      <c r="O56" s="226"/>
      <c r="P56" s="255"/>
      <c r="Q56" s="228"/>
      <c r="R56" s="229">
        <f t="shared" si="5"/>
        <v>0</v>
      </c>
      <c r="S56" s="229">
        <f t="shared" si="6"/>
        <v>0</v>
      </c>
      <c r="T56" s="229">
        <f t="shared" si="7"/>
        <v>0</v>
      </c>
      <c r="U56" s="230">
        <f t="shared" si="8"/>
        <v>0</v>
      </c>
      <c r="V56" s="230">
        <f t="shared" si="9"/>
        <v>0</v>
      </c>
      <c r="W56" s="250"/>
      <c r="X56" s="232"/>
      <c r="Y56" s="145"/>
      <c r="Z56" s="145"/>
      <c r="AA56" s="145"/>
      <c r="AB56" s="145"/>
    </row>
    <row r="57" spans="1:28" x14ac:dyDescent="0.25">
      <c r="A57" s="142"/>
      <c r="B57" s="246"/>
      <c r="C57" s="153"/>
      <c r="D57" s="237"/>
      <c r="E57" s="238"/>
      <c r="F57" s="239"/>
      <c r="G57" s="240">
        <f t="shared" si="10"/>
        <v>0</v>
      </c>
      <c r="H57" s="241">
        <f t="shared" si="1"/>
        <v>0</v>
      </c>
      <c r="I57" s="242"/>
      <c r="J57" s="243">
        <f t="shared" si="2"/>
        <v>0</v>
      </c>
      <c r="K57" s="240">
        <f t="shared" si="3"/>
        <v>0</v>
      </c>
      <c r="L57" s="240">
        <f t="shared" si="4"/>
        <v>0</v>
      </c>
      <c r="M57" s="244" t="s">
        <v>84</v>
      </c>
      <c r="N57" s="245"/>
      <c r="O57" s="226"/>
      <c r="P57" s="246"/>
      <c r="Q57" s="239"/>
      <c r="R57" s="247">
        <f t="shared" si="5"/>
        <v>0</v>
      </c>
      <c r="S57" s="248">
        <f t="shared" si="6"/>
        <v>0</v>
      </c>
      <c r="T57" s="248">
        <f t="shared" si="7"/>
        <v>0</v>
      </c>
      <c r="U57" s="249">
        <f t="shared" si="8"/>
        <v>0</v>
      </c>
      <c r="V57" s="249">
        <f t="shared" si="9"/>
        <v>0</v>
      </c>
      <c r="W57" s="250"/>
      <c r="X57" s="232"/>
      <c r="Y57" s="145"/>
      <c r="Z57" s="145"/>
      <c r="AA57" s="145"/>
      <c r="AB57" s="145"/>
    </row>
    <row r="58" spans="1:28" x14ac:dyDescent="0.25">
      <c r="A58" s="142"/>
      <c r="B58" s="227"/>
      <c r="C58" s="257"/>
      <c r="D58" s="253"/>
      <c r="E58" s="219"/>
      <c r="F58" s="220"/>
      <c r="G58" s="221">
        <f t="shared" si="10"/>
        <v>0</v>
      </c>
      <c r="H58" s="222">
        <f t="shared" si="1"/>
        <v>0</v>
      </c>
      <c r="I58" s="242"/>
      <c r="J58" s="224">
        <f t="shared" si="2"/>
        <v>0</v>
      </c>
      <c r="K58" s="221">
        <f t="shared" si="3"/>
        <v>0</v>
      </c>
      <c r="L58" s="221">
        <f t="shared" si="4"/>
        <v>0</v>
      </c>
      <c r="M58" s="220" t="s">
        <v>84</v>
      </c>
      <c r="N58" s="254"/>
      <c r="O58" s="226"/>
      <c r="P58" s="255"/>
      <c r="Q58" s="228"/>
      <c r="R58" s="229">
        <f t="shared" si="5"/>
        <v>0</v>
      </c>
      <c r="S58" s="229">
        <f t="shared" si="6"/>
        <v>0</v>
      </c>
      <c r="T58" s="229">
        <f t="shared" si="7"/>
        <v>0</v>
      </c>
      <c r="U58" s="230">
        <f t="shared" si="8"/>
        <v>0</v>
      </c>
      <c r="V58" s="230">
        <f t="shared" si="9"/>
        <v>0</v>
      </c>
      <c r="W58" s="250"/>
      <c r="X58" s="232"/>
      <c r="Y58" s="145"/>
      <c r="Z58" s="145"/>
      <c r="AA58" s="145"/>
      <c r="AB58" s="145"/>
    </row>
    <row r="59" spans="1:28" x14ac:dyDescent="0.25">
      <c r="A59" s="142"/>
      <c r="B59" s="246"/>
      <c r="C59" s="153"/>
      <c r="D59" s="237"/>
      <c r="E59" s="238"/>
      <c r="F59" s="239"/>
      <c r="G59" s="240">
        <f t="shared" si="10"/>
        <v>0</v>
      </c>
      <c r="H59" s="241">
        <f t="shared" si="1"/>
        <v>0</v>
      </c>
      <c r="I59" s="242"/>
      <c r="J59" s="243">
        <f t="shared" si="2"/>
        <v>0</v>
      </c>
      <c r="K59" s="240">
        <f t="shared" si="3"/>
        <v>0</v>
      </c>
      <c r="L59" s="240">
        <f t="shared" si="4"/>
        <v>0</v>
      </c>
      <c r="M59" s="244" t="s">
        <v>84</v>
      </c>
      <c r="N59" s="245"/>
      <c r="O59" s="226"/>
      <c r="P59" s="246"/>
      <c r="Q59" s="239"/>
      <c r="R59" s="247">
        <f t="shared" si="5"/>
        <v>0</v>
      </c>
      <c r="S59" s="248">
        <f t="shared" si="6"/>
        <v>0</v>
      </c>
      <c r="T59" s="248">
        <f t="shared" si="7"/>
        <v>0</v>
      </c>
      <c r="U59" s="249">
        <f t="shared" si="8"/>
        <v>0</v>
      </c>
      <c r="V59" s="249">
        <f t="shared" si="9"/>
        <v>0</v>
      </c>
      <c r="W59" s="250"/>
      <c r="X59" s="232"/>
      <c r="Y59" s="145"/>
      <c r="Z59" s="145"/>
      <c r="AA59" s="145"/>
      <c r="AB59" s="145"/>
    </row>
    <row r="60" spans="1:28" x14ac:dyDescent="0.25">
      <c r="A60" s="142"/>
      <c r="B60" s="227"/>
      <c r="C60" s="257"/>
      <c r="D60" s="253"/>
      <c r="E60" s="219"/>
      <c r="F60" s="220"/>
      <c r="G60" s="221">
        <f t="shared" si="10"/>
        <v>0</v>
      </c>
      <c r="H60" s="222">
        <f t="shared" si="1"/>
        <v>0</v>
      </c>
      <c r="I60" s="242"/>
      <c r="J60" s="224">
        <f t="shared" si="2"/>
        <v>0</v>
      </c>
      <c r="K60" s="221">
        <f t="shared" si="3"/>
        <v>0</v>
      </c>
      <c r="L60" s="221">
        <f t="shared" si="4"/>
        <v>0</v>
      </c>
      <c r="M60" s="220" t="s">
        <v>84</v>
      </c>
      <c r="N60" s="254"/>
      <c r="O60" s="226"/>
      <c r="P60" s="255"/>
      <c r="Q60" s="228"/>
      <c r="R60" s="229">
        <f t="shared" si="5"/>
        <v>0</v>
      </c>
      <c r="S60" s="229">
        <f t="shared" si="6"/>
        <v>0</v>
      </c>
      <c r="T60" s="229">
        <f t="shared" si="7"/>
        <v>0</v>
      </c>
      <c r="U60" s="230">
        <f t="shared" si="8"/>
        <v>0</v>
      </c>
      <c r="V60" s="230">
        <f t="shared" si="9"/>
        <v>0</v>
      </c>
      <c r="W60" s="250"/>
      <c r="X60" s="232"/>
      <c r="Y60" s="145"/>
      <c r="Z60" s="145"/>
      <c r="AA60" s="145"/>
      <c r="AB60" s="145"/>
    </row>
    <row r="61" spans="1:28" ht="20.25" customHeight="1" x14ac:dyDescent="0.25">
      <c r="A61" s="261"/>
      <c r="B61" s="262"/>
      <c r="C61" s="262"/>
      <c r="D61" s="263" t="s">
        <v>116</v>
      </c>
      <c r="E61" s="264">
        <f>SUM(E18:E60)</f>
        <v>12</v>
      </c>
      <c r="F61" s="265">
        <f>SUM(F18:F60)</f>
        <v>8001.53</v>
      </c>
      <c r="G61" s="266">
        <f>SUM(G18:G60)</f>
        <v>4743.8</v>
      </c>
      <c r="H61" s="267">
        <f>SUM(H18:H60)</f>
        <v>10639.199999999999</v>
      </c>
      <c r="I61" s="268"/>
      <c r="J61" s="269">
        <f>SUM(J18:J60)</f>
        <v>12</v>
      </c>
      <c r="K61" s="266">
        <f>SUM(K18:K60)</f>
        <v>8001.53</v>
      </c>
      <c r="L61" s="267">
        <f>SUM(L18:L60)</f>
        <v>10639.199999999999</v>
      </c>
      <c r="M61" s="267"/>
      <c r="N61" s="267"/>
      <c r="O61" s="270"/>
      <c r="P61" s="271"/>
      <c r="Q61" s="266">
        <f>SUM(Q18:Q60)</f>
        <v>0</v>
      </c>
      <c r="R61" s="266">
        <f>SUM(R18:R60)</f>
        <v>0</v>
      </c>
      <c r="S61" s="267">
        <f>SUM(S18:S60)</f>
        <v>8001.53</v>
      </c>
      <c r="T61" s="267">
        <f>SUM(T18:T60)</f>
        <v>10639.199999999999</v>
      </c>
      <c r="U61" s="272"/>
      <c r="V61" s="272"/>
      <c r="W61" s="273"/>
      <c r="X61" s="274"/>
    </row>
    <row r="63" spans="1:28" ht="15" customHeight="1" x14ac:dyDescent="0.25">
      <c r="U63" s="275"/>
    </row>
  </sheetData>
  <mergeCells count="61">
    <mergeCell ref="P16:P17"/>
    <mergeCell ref="R17:V17"/>
    <mergeCell ref="B16:B17"/>
    <mergeCell ref="C16:C17"/>
    <mergeCell ref="D16:D17"/>
    <mergeCell ref="E16:E17"/>
    <mergeCell ref="F16:G16"/>
    <mergeCell ref="D9:E9"/>
    <mergeCell ref="F9:G9"/>
    <mergeCell ref="P9:R9"/>
    <mergeCell ref="S9:S10"/>
    <mergeCell ref="T9:T10"/>
    <mergeCell ref="B11:C15"/>
    <mergeCell ref="D11:E13"/>
    <mergeCell ref="F11:H12"/>
    <mergeCell ref="P11:V13"/>
    <mergeCell ref="F13:G13"/>
    <mergeCell ref="F14:H14"/>
    <mergeCell ref="F15:H15"/>
    <mergeCell ref="P15:V15"/>
    <mergeCell ref="S7:T7"/>
    <mergeCell ref="U7:V7"/>
    <mergeCell ref="V9:V10"/>
    <mergeCell ref="W9:W10"/>
    <mergeCell ref="P10:R10"/>
    <mergeCell ref="U9:U10"/>
    <mergeCell ref="D8:E8"/>
    <mergeCell ref="F8:G8"/>
    <mergeCell ref="P8:R8"/>
    <mergeCell ref="D5:E5"/>
    <mergeCell ref="F5:G5"/>
    <mergeCell ref="P5:R5"/>
    <mergeCell ref="D7:E7"/>
    <mergeCell ref="F7:G7"/>
    <mergeCell ref="P7:R7"/>
    <mergeCell ref="S5:T5"/>
    <mergeCell ref="U5:V5"/>
    <mergeCell ref="D6:E6"/>
    <mergeCell ref="F6:G6"/>
    <mergeCell ref="P6:R6"/>
    <mergeCell ref="S6:T6"/>
    <mergeCell ref="U6:V6"/>
    <mergeCell ref="D3:E3"/>
    <mergeCell ref="F3:G3"/>
    <mergeCell ref="P3:R3"/>
    <mergeCell ref="S3:T3"/>
    <mergeCell ref="U3:V3"/>
    <mergeCell ref="D4:E4"/>
    <mergeCell ref="F4:G4"/>
    <mergeCell ref="P4:R4"/>
    <mergeCell ref="S4:T4"/>
    <mergeCell ref="U4:V4"/>
    <mergeCell ref="B1:C1"/>
    <mergeCell ref="D1:G1"/>
    <mergeCell ref="P1:R1"/>
    <mergeCell ref="S1:W1"/>
    <mergeCell ref="D2:E2"/>
    <mergeCell ref="F2:G2"/>
    <mergeCell ref="P2:R2"/>
    <mergeCell ref="S2:T2"/>
    <mergeCell ref="U2:V2"/>
  </mergeCells>
  <conditionalFormatting sqref="U9:U10">
    <cfRule type="expression" dxfId="11" priority="3" stopIfTrue="1">
      <formula>$U$9&gt;100%</formula>
    </cfRule>
    <cfRule type="expression" dxfId="10" priority="4">
      <formula>$U$9&lt;50%</formula>
    </cfRule>
  </conditionalFormatting>
  <conditionalFormatting sqref="V9:V10">
    <cfRule type="expression" dxfId="9" priority="1">
      <formula>$V$9&lt;50%</formula>
    </cfRule>
    <cfRule type="expression" dxfId="8" priority="2">
      <formula>$V$9&gt;50%</formula>
    </cfRule>
  </conditionalFormatting>
  <dataValidations count="5">
    <dataValidation type="list" allowBlank="1" showInputMessage="1" showErrorMessage="1" sqref="M18:M60" xr:uid="{C6935B37-4D05-4CF0-9039-A38880B3AE0A}">
      <formula1>$Y$31:$Y$32</formula1>
    </dataValidation>
    <dataValidation type="list" allowBlank="1" showInputMessage="1" showErrorMessage="1" sqref="I13" xr:uid="{57C04C54-3958-4A09-961D-1371AE71BD2C}">
      <formula1>$K$9:$K$9</formula1>
    </dataValidation>
    <dataValidation type="list" allowBlank="1" showInputMessage="1" showErrorMessage="1" sqref="Q14 K17 Q17 F17" xr:uid="{7928C3A6-4A12-430B-A3DF-FE5365B0754B}">
      <formula1>$Y$11:$Y$12</formula1>
    </dataValidation>
    <dataValidation type="list" showInputMessage="1" showErrorMessage="1" sqref="D52:D60 D28:D36 D18:D26" xr:uid="{F171F94B-2D3F-4605-BDF8-856D8F86914F}">
      <formula1>$Z$18:$Z$29</formula1>
    </dataValidation>
    <dataValidation type="list" allowBlank="1" showInputMessage="1" showErrorMessage="1" sqref="H13" xr:uid="{6CDA6847-18F0-4046-8930-BCBAB4C57B52}">
      <formula1>$Y$13:$Y$14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4D697-FC90-4A1F-8EE3-91E12F2BDCE0}">
  <sheetPr>
    <pageSetUpPr fitToPage="1"/>
  </sheetPr>
  <dimension ref="A1:AB49"/>
  <sheetViews>
    <sheetView tabSelected="1" zoomScale="85" zoomScaleNormal="85" workbookViewId="0">
      <selection activeCell="C19" sqref="C19"/>
    </sheetView>
  </sheetViews>
  <sheetFormatPr defaultColWidth="9.140625" defaultRowHeight="15" x14ac:dyDescent="0.25"/>
  <cols>
    <col min="1" max="1" width="0.85546875" style="139" customWidth="1"/>
    <col min="2" max="2" width="25.7109375" style="139" customWidth="1"/>
    <col min="3" max="3" width="43.28515625" style="139" customWidth="1"/>
    <col min="4" max="4" width="9.7109375" style="141" customWidth="1"/>
    <col min="5" max="5" width="9.7109375" style="139" customWidth="1"/>
    <col min="6" max="8" width="18.7109375" style="139" customWidth="1"/>
    <col min="9" max="9" width="0.85546875" style="139" customWidth="1"/>
    <col min="10" max="10" width="9.5703125" style="139" customWidth="1"/>
    <col min="11" max="13" width="18.7109375" style="139" customWidth="1"/>
    <col min="14" max="14" width="13.7109375" style="139" customWidth="1"/>
    <col min="15" max="15" width="0.85546875" style="139" customWidth="1"/>
    <col min="16" max="16" width="17.85546875" style="139" customWidth="1"/>
    <col min="17" max="20" width="18.7109375" style="139" customWidth="1"/>
    <col min="21" max="21" width="15" style="139" bestFit="1" customWidth="1"/>
    <col min="22" max="22" width="14.7109375" style="139" bestFit="1" customWidth="1"/>
    <col min="23" max="23" width="13.42578125" style="139" hidden="1" customWidth="1"/>
    <col min="24" max="24" width="0.85546875" style="139" customWidth="1"/>
    <col min="25" max="26" width="9.140625" style="139" hidden="1" customWidth="1"/>
    <col min="27" max="27" width="9.140625" style="139" customWidth="1"/>
    <col min="28" max="28" width="10.5703125" style="139" bestFit="1" customWidth="1"/>
    <col min="29" max="16384" width="9.140625" style="139"/>
  </cols>
  <sheetData>
    <row r="1" spans="1:28" ht="23.25" customHeight="1" x14ac:dyDescent="0.25">
      <c r="A1" s="142"/>
      <c r="B1" s="526" t="s">
        <v>0</v>
      </c>
      <c r="C1" s="523"/>
      <c r="D1" s="527" t="s">
        <v>1</v>
      </c>
      <c r="E1" s="524"/>
      <c r="F1" s="524"/>
      <c r="G1" s="525"/>
      <c r="H1" s="302" t="s">
        <v>2</v>
      </c>
      <c r="I1" s="303"/>
      <c r="J1" s="303"/>
      <c r="K1" s="304"/>
      <c r="L1" s="305" t="s">
        <v>3</v>
      </c>
      <c r="M1" s="306"/>
      <c r="N1" s="306"/>
      <c r="O1" s="306"/>
      <c r="P1" s="524" t="str">
        <f>K17</f>
        <v>CAD $</v>
      </c>
      <c r="Q1" s="524"/>
      <c r="R1" s="525"/>
      <c r="S1" s="523" t="s">
        <v>4</v>
      </c>
      <c r="T1" s="524"/>
      <c r="U1" s="524"/>
      <c r="V1" s="524"/>
      <c r="W1" s="525"/>
      <c r="X1" s="143"/>
      <c r="Y1" s="144"/>
      <c r="Z1" s="145"/>
      <c r="AA1" s="145"/>
      <c r="AB1" s="145"/>
    </row>
    <row r="2" spans="1:28" ht="15" customHeight="1" x14ac:dyDescent="0.25">
      <c r="A2" s="142"/>
      <c r="B2" s="146" t="s">
        <v>5</v>
      </c>
      <c r="C2" s="147">
        <v>45919</v>
      </c>
      <c r="D2" s="546" t="s">
        <v>6</v>
      </c>
      <c r="E2" s="547"/>
      <c r="F2" s="677" t="s">
        <v>360</v>
      </c>
      <c r="G2" s="549"/>
      <c r="H2" s="315" t="s">
        <v>7</v>
      </c>
      <c r="I2" s="317"/>
      <c r="J2" s="316"/>
      <c r="K2" s="148"/>
      <c r="L2" s="318" t="s">
        <v>8</v>
      </c>
      <c r="M2" s="319"/>
      <c r="N2" s="320"/>
      <c r="O2" s="149"/>
      <c r="P2" s="554">
        <f>H47</f>
        <v>1323.44</v>
      </c>
      <c r="Q2" s="554"/>
      <c r="R2" s="555"/>
      <c r="S2" s="556" t="s">
        <v>9</v>
      </c>
      <c r="T2" s="557"/>
      <c r="U2" s="530"/>
      <c r="V2" s="531"/>
      <c r="W2" s="150"/>
      <c r="X2" s="151"/>
      <c r="Y2" s="144"/>
      <c r="Z2" s="145"/>
      <c r="AA2" s="145"/>
      <c r="AB2" s="145"/>
    </row>
    <row r="3" spans="1:28" ht="15" customHeight="1" x14ac:dyDescent="0.25">
      <c r="A3" s="142"/>
      <c r="B3" s="152" t="s">
        <v>10</v>
      </c>
      <c r="C3" s="153" t="s">
        <v>11</v>
      </c>
      <c r="D3" s="532" t="s">
        <v>12</v>
      </c>
      <c r="E3" s="533"/>
      <c r="F3" s="534"/>
      <c r="G3" s="535"/>
      <c r="H3" s="307" t="s">
        <v>13</v>
      </c>
      <c r="I3" s="309"/>
      <c r="J3" s="308"/>
      <c r="K3" s="154"/>
      <c r="L3" s="310" t="s">
        <v>14</v>
      </c>
      <c r="M3" s="311"/>
      <c r="N3" s="312"/>
      <c r="O3" s="149"/>
      <c r="P3" s="540">
        <f>L47</f>
        <v>1323.44</v>
      </c>
      <c r="Q3" s="540"/>
      <c r="R3" s="541"/>
      <c r="S3" s="542" t="s">
        <v>15</v>
      </c>
      <c r="T3" s="543"/>
      <c r="U3" s="544"/>
      <c r="V3" s="545"/>
      <c r="W3" s="155"/>
      <c r="X3" s="142"/>
      <c r="Y3" s="156"/>
      <c r="Z3" s="145"/>
      <c r="AA3" s="145"/>
      <c r="AB3" s="145"/>
    </row>
    <row r="4" spans="1:28" ht="15" customHeight="1" x14ac:dyDescent="0.25">
      <c r="A4" s="142"/>
      <c r="B4" s="157" t="s">
        <v>16</v>
      </c>
      <c r="C4" s="153"/>
      <c r="D4" s="532" t="s">
        <v>17</v>
      </c>
      <c r="E4" s="533"/>
      <c r="F4" s="684" t="s">
        <v>361</v>
      </c>
      <c r="G4" s="685"/>
      <c r="H4" s="307" t="s">
        <v>19</v>
      </c>
      <c r="I4" s="309"/>
      <c r="J4" s="308"/>
      <c r="K4" s="154"/>
      <c r="L4" s="310" t="s">
        <v>20</v>
      </c>
      <c r="M4" s="311"/>
      <c r="N4" s="312"/>
      <c r="O4" s="149"/>
      <c r="P4" s="540">
        <f>P2-P3</f>
        <v>0</v>
      </c>
      <c r="Q4" s="540"/>
      <c r="R4" s="541"/>
      <c r="S4" s="542" t="s">
        <v>21</v>
      </c>
      <c r="T4" s="543"/>
      <c r="U4" s="544"/>
      <c r="V4" s="545"/>
      <c r="W4" s="155"/>
      <c r="X4" s="142"/>
      <c r="Y4" s="156"/>
      <c r="Z4" s="145"/>
      <c r="AA4" s="145"/>
      <c r="AB4" s="145"/>
    </row>
    <row r="5" spans="1:28" ht="15" customHeight="1" x14ac:dyDescent="0.25">
      <c r="A5" s="142"/>
      <c r="B5" s="157" t="s">
        <v>22</v>
      </c>
      <c r="C5" s="153"/>
      <c r="D5" s="532" t="s">
        <v>23</v>
      </c>
      <c r="E5" s="533"/>
      <c r="F5" s="684" t="s">
        <v>362</v>
      </c>
      <c r="G5" s="685"/>
      <c r="H5" s="307" t="s">
        <v>25</v>
      </c>
      <c r="I5" s="309"/>
      <c r="J5" s="308"/>
      <c r="K5" s="154"/>
      <c r="L5" s="321" t="s">
        <v>26</v>
      </c>
      <c r="M5" s="322"/>
      <c r="N5" s="323"/>
      <c r="O5" s="149"/>
      <c r="P5" s="561">
        <f>IFERROR((P2-P3)/P2,"")</f>
        <v>0</v>
      </c>
      <c r="Q5" s="561"/>
      <c r="R5" s="562"/>
      <c r="S5" s="542" t="s">
        <v>27</v>
      </c>
      <c r="T5" s="543"/>
      <c r="U5" s="544"/>
      <c r="V5" s="545"/>
      <c r="W5" s="155"/>
      <c r="X5" s="142"/>
      <c r="Y5" s="156"/>
      <c r="Z5" s="145"/>
      <c r="AA5" s="145"/>
      <c r="AB5" s="145"/>
    </row>
    <row r="6" spans="1:28" ht="15" customHeight="1" x14ac:dyDescent="0.25">
      <c r="A6" s="142"/>
      <c r="B6" s="157" t="s">
        <v>28</v>
      </c>
      <c r="C6" s="158"/>
      <c r="D6" s="532" t="s">
        <v>29</v>
      </c>
      <c r="E6" s="533"/>
      <c r="F6" s="681" t="s">
        <v>363</v>
      </c>
      <c r="G6" s="673"/>
      <c r="H6" s="307" t="s">
        <v>31</v>
      </c>
      <c r="I6" s="309"/>
      <c r="J6" s="308"/>
      <c r="K6" s="154"/>
      <c r="L6" s="327" t="s">
        <v>32</v>
      </c>
      <c r="M6" s="328"/>
      <c r="N6" s="329"/>
      <c r="O6" s="149"/>
      <c r="P6" s="577">
        <f>T47</f>
        <v>1323.44</v>
      </c>
      <c r="Q6" s="577"/>
      <c r="R6" s="578"/>
      <c r="S6" s="542" t="s">
        <v>33</v>
      </c>
      <c r="T6" s="543"/>
      <c r="U6" s="544"/>
      <c r="V6" s="545"/>
      <c r="W6" s="159"/>
      <c r="X6" s="160"/>
      <c r="Y6" s="161"/>
      <c r="Z6" s="145"/>
      <c r="AA6" s="145"/>
      <c r="AB6" s="145"/>
    </row>
    <row r="7" spans="1:28" ht="15" customHeight="1" x14ac:dyDescent="0.25">
      <c r="A7" s="142"/>
      <c r="B7" s="157" t="s">
        <v>34</v>
      </c>
      <c r="C7" s="162"/>
      <c r="D7" s="532" t="s">
        <v>35</v>
      </c>
      <c r="E7" s="533"/>
      <c r="F7" s="671"/>
      <c r="G7" s="535"/>
      <c r="H7" s="307" t="s">
        <v>36</v>
      </c>
      <c r="I7" s="309"/>
      <c r="J7" s="308"/>
      <c r="K7" s="154"/>
      <c r="L7" s="324" t="s">
        <v>37</v>
      </c>
      <c r="M7" s="325"/>
      <c r="N7" s="326"/>
      <c r="O7" s="149"/>
      <c r="P7" s="567">
        <f>R47</f>
        <v>0</v>
      </c>
      <c r="Q7" s="567"/>
      <c r="R7" s="568"/>
      <c r="S7" s="569" t="s">
        <v>38</v>
      </c>
      <c r="T7" s="570"/>
      <c r="U7" s="571"/>
      <c r="V7" s="572"/>
      <c r="W7" s="159"/>
      <c r="X7" s="163"/>
      <c r="Y7" s="145"/>
      <c r="Z7" s="145"/>
      <c r="AA7" s="145"/>
      <c r="AB7" s="145"/>
    </row>
    <row r="8" spans="1:28" ht="15" customHeight="1" x14ac:dyDescent="0.25">
      <c r="A8" s="142"/>
      <c r="B8" s="164"/>
      <c r="C8" s="165"/>
      <c r="D8" s="532" t="s">
        <v>39</v>
      </c>
      <c r="E8" s="533"/>
      <c r="F8" s="534"/>
      <c r="G8" s="535"/>
      <c r="H8" s="307" t="s">
        <v>40</v>
      </c>
      <c r="I8" s="309"/>
      <c r="J8" s="308"/>
      <c r="K8" s="154"/>
      <c r="L8" s="324" t="s">
        <v>41</v>
      </c>
      <c r="M8" s="325"/>
      <c r="N8" s="326"/>
      <c r="O8" s="149"/>
      <c r="P8" s="567">
        <f>IF(P1=Q14,R14,IF(Q14="CAD $",R14*D15,IF(Q14="USD $",R14*E15,0)))</f>
        <v>0</v>
      </c>
      <c r="Q8" s="567"/>
      <c r="R8" s="568"/>
      <c r="S8" s="166" t="s">
        <v>42</v>
      </c>
      <c r="T8" s="167" t="s">
        <v>43</v>
      </c>
      <c r="U8" s="167" t="s">
        <v>44</v>
      </c>
      <c r="V8" s="168" t="s">
        <v>45</v>
      </c>
      <c r="W8" s="169"/>
      <c r="X8" s="170"/>
      <c r="Y8" s="145"/>
      <c r="Z8" s="145"/>
      <c r="AA8" s="145"/>
      <c r="AB8" s="145"/>
    </row>
    <row r="9" spans="1:28" ht="15" customHeight="1" x14ac:dyDescent="0.25">
      <c r="A9" s="142"/>
      <c r="B9" s="165"/>
      <c r="C9" s="165"/>
      <c r="D9" s="532" t="s">
        <v>46</v>
      </c>
      <c r="E9" s="533"/>
      <c r="F9" s="534" t="s">
        <v>365</v>
      </c>
      <c r="G9" s="535"/>
      <c r="H9" s="171"/>
      <c r="I9" s="172"/>
      <c r="J9" s="172"/>
      <c r="K9" s="173"/>
      <c r="L9" s="324" t="s">
        <v>47</v>
      </c>
      <c r="M9" s="325"/>
      <c r="N9" s="326"/>
      <c r="O9" s="149"/>
      <c r="P9" s="582">
        <f>V14</f>
        <v>0</v>
      </c>
      <c r="Q9" s="582"/>
      <c r="R9" s="583"/>
      <c r="S9" s="584">
        <f>P7+P8+P9</f>
        <v>0</v>
      </c>
      <c r="T9" s="584">
        <f>P3-S9</f>
        <v>1323.44</v>
      </c>
      <c r="U9" s="586">
        <f>IFERROR(((P3-S9)/S9),0)</f>
        <v>0</v>
      </c>
      <c r="V9" s="586">
        <f>IFERROR(T9/P3,0)</f>
        <v>1</v>
      </c>
      <c r="W9" s="588"/>
      <c r="X9" s="170"/>
      <c r="Y9" s="145"/>
      <c r="Z9" s="145"/>
      <c r="AA9" s="145"/>
      <c r="AB9" s="145"/>
    </row>
    <row r="10" spans="1:28" ht="15" customHeight="1" x14ac:dyDescent="0.25">
      <c r="A10" s="142"/>
      <c r="B10" s="165"/>
      <c r="C10" s="165"/>
      <c r="D10" s="174"/>
      <c r="E10" s="174"/>
      <c r="F10" s="171"/>
      <c r="G10" s="171"/>
      <c r="H10" s="171"/>
      <c r="I10" s="172"/>
      <c r="J10" s="172"/>
      <c r="K10" s="173"/>
      <c r="L10" s="313" t="s">
        <v>48</v>
      </c>
      <c r="M10" s="330"/>
      <c r="N10" s="314"/>
      <c r="O10" s="149"/>
      <c r="P10" s="580">
        <f>E47</f>
        <v>2</v>
      </c>
      <c r="Q10" s="580"/>
      <c r="R10" s="581"/>
      <c r="S10" s="585"/>
      <c r="T10" s="585"/>
      <c r="U10" s="587"/>
      <c r="V10" s="587"/>
      <c r="W10" s="589"/>
      <c r="X10" s="170"/>
      <c r="Y10" s="145"/>
      <c r="Z10" s="145"/>
      <c r="AA10" s="145"/>
      <c r="AB10" s="145"/>
    </row>
    <row r="11" spans="1:28" ht="15" customHeight="1" x14ac:dyDescent="0.25">
      <c r="A11" s="142"/>
      <c r="B11" s="637"/>
      <c r="C11" s="638"/>
      <c r="D11" s="641" t="s">
        <v>49</v>
      </c>
      <c r="E11" s="642"/>
      <c r="F11" s="645" t="s">
        <v>8</v>
      </c>
      <c r="G11" s="591"/>
      <c r="H11" s="646"/>
      <c r="I11" s="175"/>
      <c r="J11" s="347" t="s">
        <v>50</v>
      </c>
      <c r="K11" s="348"/>
      <c r="L11" s="348"/>
      <c r="M11" s="348"/>
      <c r="N11" s="349"/>
      <c r="O11" s="149"/>
      <c r="P11" s="590" t="s">
        <v>51</v>
      </c>
      <c r="Q11" s="591"/>
      <c r="R11" s="591"/>
      <c r="S11" s="591"/>
      <c r="T11" s="591"/>
      <c r="U11" s="591"/>
      <c r="V11" s="592"/>
      <c r="W11" s="176"/>
      <c r="X11" s="177"/>
      <c r="Y11" s="145" t="s">
        <v>52</v>
      </c>
      <c r="Z11" s="145"/>
      <c r="AA11" s="145"/>
      <c r="AB11" s="145"/>
    </row>
    <row r="12" spans="1:28" ht="15" customHeight="1" x14ac:dyDescent="0.25">
      <c r="A12" s="142"/>
      <c r="B12" s="639"/>
      <c r="C12" s="640"/>
      <c r="D12" s="643"/>
      <c r="E12" s="644"/>
      <c r="F12" s="647"/>
      <c r="G12" s="648"/>
      <c r="H12" s="649"/>
      <c r="I12" s="178"/>
      <c r="J12" s="350"/>
      <c r="K12" s="351"/>
      <c r="L12" s="351"/>
      <c r="M12" s="351"/>
      <c r="N12" s="352"/>
      <c r="O12" s="179"/>
      <c r="P12" s="593"/>
      <c r="Q12" s="594"/>
      <c r="R12" s="594"/>
      <c r="S12" s="594"/>
      <c r="T12" s="594"/>
      <c r="U12" s="594"/>
      <c r="V12" s="595"/>
      <c r="W12" s="180"/>
      <c r="X12" s="177"/>
      <c r="Y12" s="145" t="s">
        <v>53</v>
      </c>
      <c r="Z12" s="145"/>
      <c r="AA12" s="145"/>
      <c r="AB12" s="145"/>
    </row>
    <row r="13" spans="1:28" ht="15" customHeight="1" x14ac:dyDescent="0.25">
      <c r="A13" s="142"/>
      <c r="B13" s="639"/>
      <c r="C13" s="640"/>
      <c r="D13" s="603"/>
      <c r="E13" s="604"/>
      <c r="F13" s="596" t="s">
        <v>54</v>
      </c>
      <c r="G13" s="597"/>
      <c r="H13" s="181" t="s">
        <v>55</v>
      </c>
      <c r="I13" s="182"/>
      <c r="J13" s="353"/>
      <c r="K13" s="354"/>
      <c r="L13" s="354"/>
      <c r="M13" s="354"/>
      <c r="N13" s="355"/>
      <c r="O13" s="179"/>
      <c r="P13" s="593"/>
      <c r="Q13" s="594"/>
      <c r="R13" s="594"/>
      <c r="S13" s="594"/>
      <c r="T13" s="594"/>
      <c r="U13" s="594"/>
      <c r="V13" s="595"/>
      <c r="W13" s="183"/>
      <c r="X13" s="177"/>
      <c r="Y13" s="145" t="s">
        <v>55</v>
      </c>
      <c r="Z13" s="145"/>
      <c r="AA13" s="145"/>
      <c r="AB13" s="145"/>
    </row>
    <row r="14" spans="1:28" ht="30" customHeight="1" x14ac:dyDescent="0.25">
      <c r="A14" s="142"/>
      <c r="B14" s="639"/>
      <c r="C14" s="640"/>
      <c r="D14" s="184" t="s">
        <v>56</v>
      </c>
      <c r="E14" s="185" t="s">
        <v>57</v>
      </c>
      <c r="F14" s="598" t="s">
        <v>58</v>
      </c>
      <c r="G14" s="599"/>
      <c r="H14" s="600"/>
      <c r="I14" s="186"/>
      <c r="J14" s="331" t="s">
        <v>59</v>
      </c>
      <c r="K14" s="332"/>
      <c r="L14" s="335" t="s">
        <v>60</v>
      </c>
      <c r="M14" s="336"/>
      <c r="N14" s="337"/>
      <c r="O14" s="187"/>
      <c r="P14" s="188" t="s">
        <v>61</v>
      </c>
      <c r="Q14" s="189" t="s">
        <v>53</v>
      </c>
      <c r="R14" s="190"/>
      <c r="S14" s="188" t="s">
        <v>62</v>
      </c>
      <c r="T14" s="191">
        <v>2.5000000000000001E-2</v>
      </c>
      <c r="U14" s="188" t="s">
        <v>63</v>
      </c>
      <c r="V14" s="192">
        <f>ROUND(R47*T14,2)</f>
        <v>0</v>
      </c>
      <c r="W14" s="193"/>
      <c r="X14" s="177"/>
      <c r="Y14" s="145" t="s">
        <v>64</v>
      </c>
      <c r="Z14" s="145"/>
      <c r="AA14" s="145"/>
      <c r="AB14" s="145"/>
    </row>
    <row r="15" spans="1:28" ht="15" customHeight="1" x14ac:dyDescent="0.25">
      <c r="A15" s="142"/>
      <c r="B15" s="639"/>
      <c r="C15" s="640"/>
      <c r="D15" s="194">
        <f>1/E15</f>
        <v>0.70422535211267612</v>
      </c>
      <c r="E15" s="195">
        <v>1.42</v>
      </c>
      <c r="F15" s="611"/>
      <c r="G15" s="612"/>
      <c r="H15" s="613"/>
      <c r="I15" s="196"/>
      <c r="J15" s="333"/>
      <c r="K15" s="334"/>
      <c r="L15" s="338"/>
      <c r="M15" s="339"/>
      <c r="N15" s="340"/>
      <c r="O15" s="187"/>
      <c r="P15" s="619" t="s">
        <v>65</v>
      </c>
      <c r="Q15" s="620"/>
      <c r="R15" s="620"/>
      <c r="S15" s="620"/>
      <c r="T15" s="620"/>
      <c r="U15" s="620"/>
      <c r="V15" s="621"/>
      <c r="W15" s="197"/>
      <c r="X15" s="198"/>
      <c r="Y15" s="145"/>
      <c r="Z15" s="145"/>
      <c r="AA15" s="145"/>
      <c r="AB15" s="145"/>
    </row>
    <row r="16" spans="1:28" ht="15" customHeight="1" x14ac:dyDescent="0.25">
      <c r="A16" s="142"/>
      <c r="B16" s="622" t="s">
        <v>66</v>
      </c>
      <c r="C16" s="624" t="s">
        <v>67</v>
      </c>
      <c r="D16" s="626" t="s">
        <v>68</v>
      </c>
      <c r="E16" s="628" t="s">
        <v>69</v>
      </c>
      <c r="F16" s="625" t="s">
        <v>70</v>
      </c>
      <c r="G16" s="630"/>
      <c r="H16" s="199" t="s">
        <v>71</v>
      </c>
      <c r="I16" s="200"/>
      <c r="J16" s="343" t="s">
        <v>69</v>
      </c>
      <c r="K16" s="201" t="s">
        <v>72</v>
      </c>
      <c r="L16" s="202" t="s">
        <v>73</v>
      </c>
      <c r="M16" s="345" t="s">
        <v>74</v>
      </c>
      <c r="N16" s="345" t="s">
        <v>75</v>
      </c>
      <c r="O16" s="203"/>
      <c r="P16" s="635" t="s">
        <v>76</v>
      </c>
      <c r="Q16" s="204" t="s">
        <v>77</v>
      </c>
      <c r="R16" s="204" t="s">
        <v>78</v>
      </c>
      <c r="S16" s="205" t="s">
        <v>79</v>
      </c>
      <c r="T16" s="205" t="s">
        <v>80</v>
      </c>
      <c r="U16" s="202" t="s">
        <v>81</v>
      </c>
      <c r="V16" s="202" t="s">
        <v>82</v>
      </c>
      <c r="W16" s="206"/>
      <c r="X16" s="207"/>
      <c r="Y16" s="145"/>
      <c r="Z16" s="145"/>
      <c r="AA16" s="145"/>
      <c r="AB16" s="145"/>
    </row>
    <row r="17" spans="1:28" s="140" customFormat="1" ht="15" customHeight="1" x14ac:dyDescent="0.25">
      <c r="A17" s="208"/>
      <c r="B17" s="628"/>
      <c r="C17" s="678"/>
      <c r="D17" s="627"/>
      <c r="E17" s="629"/>
      <c r="F17" s="189" t="s">
        <v>52</v>
      </c>
      <c r="G17" s="209" t="str">
        <f>IF(F17="USD $", "CAD $", "USD $")</f>
        <v>USD $</v>
      </c>
      <c r="H17" s="210" t="str">
        <f>K17</f>
        <v>CAD $</v>
      </c>
      <c r="I17" s="211"/>
      <c r="J17" s="344"/>
      <c r="K17" s="341" t="s">
        <v>52</v>
      </c>
      <c r="L17" s="342"/>
      <c r="M17" s="346"/>
      <c r="N17" s="346"/>
      <c r="O17" s="212"/>
      <c r="P17" s="636"/>
      <c r="Q17" s="189" t="s">
        <v>52</v>
      </c>
      <c r="R17" s="616" t="str">
        <f>K17</f>
        <v>CAD $</v>
      </c>
      <c r="S17" s="617"/>
      <c r="T17" s="617"/>
      <c r="U17" s="617"/>
      <c r="V17" s="618"/>
      <c r="W17" s="213"/>
      <c r="X17" s="214"/>
      <c r="Y17" s="215"/>
      <c r="Z17" s="215"/>
      <c r="AA17" s="215"/>
      <c r="AB17" s="215"/>
    </row>
    <row r="18" spans="1:28" x14ac:dyDescent="0.25">
      <c r="A18" s="142"/>
      <c r="B18" s="358">
        <v>881131300</v>
      </c>
      <c r="C18" s="359" t="s">
        <v>364</v>
      </c>
      <c r="D18" s="369"/>
      <c r="E18" s="219">
        <v>1</v>
      </c>
      <c r="F18" s="220">
        <v>931.52</v>
      </c>
      <c r="G18" s="221">
        <f t="shared" ref="G18:G46" si="0">ROUND(IF($F$17="USD $", F18*$E$15,F18*$D$15),2)</f>
        <v>656</v>
      </c>
      <c r="H18" s="222">
        <f t="shared" ref="H18:H46" si="1">ROUND(IF($H$17=$G$17,E18*G18,E18*F18),2)</f>
        <v>931.52</v>
      </c>
      <c r="I18" s="242"/>
      <c r="J18" s="224">
        <f t="shared" ref="J18:J46" si="2">E18</f>
        <v>1</v>
      </c>
      <c r="K18" s="221">
        <f t="shared" ref="K18:K46" si="3">IFERROR(IF(M18="OEM DISC %",ROUND(IF($K$17=$F$17,F18*(1-N18),G18*(1-N18)),2),IF(M18="MARKUP %",ROUND(R18/J18*(1+N18),2))),0)</f>
        <v>931.52</v>
      </c>
      <c r="L18" s="221">
        <f t="shared" ref="L18:L46" si="4">ROUND((J18*K18),2)</f>
        <v>931.52</v>
      </c>
      <c r="M18" s="220" t="s">
        <v>84</v>
      </c>
      <c r="N18" s="254"/>
      <c r="O18" s="226"/>
      <c r="P18" s="255"/>
      <c r="Q18" s="228"/>
      <c r="R18" s="229">
        <f t="shared" ref="R18:R46" si="5">ROUND(IF($R$17=$Q$17,Q18,IF($R$17="USD $",Q18*$D$15,Q18*$E$15))*E18,2)</f>
        <v>0</v>
      </c>
      <c r="S18" s="229">
        <f t="shared" ref="S18:S46" si="6">IFERROR(ROUND(T18/E18,2),0)</f>
        <v>931.52</v>
      </c>
      <c r="T18" s="229">
        <f t="shared" ref="T18:T46" si="7">ROUND(L18-R18,2)</f>
        <v>931.52</v>
      </c>
      <c r="U18" s="230">
        <f t="shared" ref="U18:U46" si="8">IFERROR(((K18-(R18/J18))/(R18/J18)),0)</f>
        <v>0</v>
      </c>
      <c r="V18" s="230">
        <f t="shared" ref="V18:V46" si="9">IFERROR(((K18-(R18/J18))/K18),0)</f>
        <v>1</v>
      </c>
      <c r="W18" s="231"/>
      <c r="X18" s="232"/>
      <c r="Y18" s="145"/>
      <c r="Z18" s="145"/>
      <c r="AA18" s="145"/>
      <c r="AB18" s="145"/>
    </row>
    <row r="19" spans="1:28" x14ac:dyDescent="0.25">
      <c r="A19" s="142"/>
      <c r="B19" s="358">
        <v>881160110</v>
      </c>
      <c r="C19" s="365" t="s">
        <v>97</v>
      </c>
      <c r="D19" s="369"/>
      <c r="E19" s="219">
        <v>1</v>
      </c>
      <c r="F19" s="220">
        <v>391.92</v>
      </c>
      <c r="G19" s="221">
        <f t="shared" si="0"/>
        <v>276</v>
      </c>
      <c r="H19" s="222">
        <f t="shared" si="1"/>
        <v>391.92</v>
      </c>
      <c r="I19" s="242"/>
      <c r="J19" s="224">
        <f t="shared" si="2"/>
        <v>1</v>
      </c>
      <c r="K19" s="221">
        <f t="shared" si="3"/>
        <v>391.92</v>
      </c>
      <c r="L19" s="221">
        <f t="shared" si="4"/>
        <v>391.92</v>
      </c>
      <c r="M19" s="220" t="s">
        <v>84</v>
      </c>
      <c r="N19" s="254"/>
      <c r="O19" s="226"/>
      <c r="P19" s="255"/>
      <c r="Q19" s="228"/>
      <c r="R19" s="229">
        <f t="shared" si="5"/>
        <v>0</v>
      </c>
      <c r="S19" s="229">
        <f t="shared" si="6"/>
        <v>391.92</v>
      </c>
      <c r="T19" s="229">
        <f t="shared" si="7"/>
        <v>391.92</v>
      </c>
      <c r="U19" s="230">
        <f t="shared" si="8"/>
        <v>0</v>
      </c>
      <c r="V19" s="230">
        <f t="shared" si="9"/>
        <v>1</v>
      </c>
      <c r="W19" s="231"/>
      <c r="X19" s="232"/>
      <c r="Y19" s="145" t="s">
        <v>104</v>
      </c>
      <c r="Z19" s="145"/>
      <c r="AA19" s="145"/>
      <c r="AB19" s="145"/>
    </row>
    <row r="20" spans="1:28" x14ac:dyDescent="0.25">
      <c r="A20" s="142"/>
      <c r="B20" s="358"/>
      <c r="C20" s="365"/>
      <c r="D20" s="369"/>
      <c r="E20" s="219"/>
      <c r="F20" s="220"/>
      <c r="G20" s="221">
        <f t="shared" si="0"/>
        <v>0</v>
      </c>
      <c r="H20" s="222">
        <f t="shared" si="1"/>
        <v>0</v>
      </c>
      <c r="I20" s="242"/>
      <c r="J20" s="224">
        <f t="shared" si="2"/>
        <v>0</v>
      </c>
      <c r="K20" s="221">
        <f t="shared" si="3"/>
        <v>0</v>
      </c>
      <c r="L20" s="221">
        <f t="shared" si="4"/>
        <v>0</v>
      </c>
      <c r="M20" s="220" t="s">
        <v>84</v>
      </c>
      <c r="N20" s="254"/>
      <c r="O20" s="226"/>
      <c r="P20" s="255"/>
      <c r="Q20" s="228"/>
      <c r="R20" s="229">
        <f t="shared" si="5"/>
        <v>0</v>
      </c>
      <c r="S20" s="229">
        <f t="shared" si="6"/>
        <v>0</v>
      </c>
      <c r="T20" s="229">
        <f t="shared" si="7"/>
        <v>0</v>
      </c>
      <c r="U20" s="230">
        <f t="shared" si="8"/>
        <v>0</v>
      </c>
      <c r="V20" s="230">
        <f t="shared" si="9"/>
        <v>0</v>
      </c>
      <c r="W20" s="231"/>
      <c r="X20" s="232"/>
      <c r="Y20" s="145"/>
      <c r="Z20" s="145"/>
      <c r="AA20" s="145"/>
      <c r="AB20" s="145"/>
    </row>
    <row r="21" spans="1:28" x14ac:dyDescent="0.25">
      <c r="A21" s="142"/>
      <c r="B21" s="362"/>
      <c r="C21" s="363"/>
      <c r="D21" s="368"/>
      <c r="E21" s="238"/>
      <c r="F21" s="239"/>
      <c r="G21" s="240">
        <f t="shared" si="0"/>
        <v>0</v>
      </c>
      <c r="H21" s="241">
        <f t="shared" si="1"/>
        <v>0</v>
      </c>
      <c r="I21" s="242"/>
      <c r="J21" s="243">
        <f t="shared" si="2"/>
        <v>0</v>
      </c>
      <c r="K21" s="240">
        <f t="shared" si="3"/>
        <v>0</v>
      </c>
      <c r="L21" s="240">
        <f t="shared" si="4"/>
        <v>0</v>
      </c>
      <c r="M21" s="244" t="s">
        <v>84</v>
      </c>
      <c r="N21" s="245"/>
      <c r="O21" s="226"/>
      <c r="P21" s="246"/>
      <c r="Q21" s="239"/>
      <c r="R21" s="247">
        <f t="shared" si="5"/>
        <v>0</v>
      </c>
      <c r="S21" s="248">
        <f t="shared" si="6"/>
        <v>0</v>
      </c>
      <c r="T21" s="248">
        <f t="shared" si="7"/>
        <v>0</v>
      </c>
      <c r="U21" s="249">
        <f t="shared" si="8"/>
        <v>0</v>
      </c>
      <c r="V21" s="249">
        <f t="shared" si="9"/>
        <v>0</v>
      </c>
      <c r="W21" s="250"/>
      <c r="X21" s="232"/>
      <c r="Y21" s="145"/>
      <c r="Z21" s="145"/>
      <c r="AA21" s="145"/>
      <c r="AB21" s="145"/>
    </row>
    <row r="22" spans="1:28" x14ac:dyDescent="0.25">
      <c r="A22" s="142"/>
      <c r="B22" s="358"/>
      <c r="C22" s="365"/>
      <c r="D22" s="369"/>
      <c r="E22" s="219"/>
      <c r="F22" s="220"/>
      <c r="G22" s="221">
        <f t="shared" si="0"/>
        <v>0</v>
      </c>
      <c r="H22" s="222">
        <f t="shared" si="1"/>
        <v>0</v>
      </c>
      <c r="I22" s="242"/>
      <c r="J22" s="224">
        <f t="shared" si="2"/>
        <v>0</v>
      </c>
      <c r="K22" s="221">
        <f t="shared" si="3"/>
        <v>0</v>
      </c>
      <c r="L22" s="221">
        <f t="shared" si="4"/>
        <v>0</v>
      </c>
      <c r="M22" s="220" t="s">
        <v>84</v>
      </c>
      <c r="N22" s="254"/>
      <c r="O22" s="226"/>
      <c r="P22" s="255"/>
      <c r="Q22" s="228"/>
      <c r="R22" s="229">
        <f t="shared" si="5"/>
        <v>0</v>
      </c>
      <c r="S22" s="229">
        <f t="shared" si="6"/>
        <v>0</v>
      </c>
      <c r="T22" s="229">
        <f t="shared" si="7"/>
        <v>0</v>
      </c>
      <c r="U22" s="230">
        <f t="shared" si="8"/>
        <v>0</v>
      </c>
      <c r="V22" s="230">
        <f t="shared" si="9"/>
        <v>0</v>
      </c>
      <c r="W22" s="231"/>
      <c r="X22" s="232"/>
      <c r="Y22" s="145"/>
      <c r="Z22" s="145"/>
      <c r="AA22" s="145"/>
      <c r="AB22" s="145"/>
    </row>
    <row r="23" spans="1:28" x14ac:dyDescent="0.25">
      <c r="A23" s="142"/>
      <c r="B23" s="362"/>
      <c r="C23" s="363"/>
      <c r="D23" s="286"/>
      <c r="E23" s="364"/>
      <c r="F23" s="239"/>
      <c r="G23" s="240">
        <f t="shared" si="0"/>
        <v>0</v>
      </c>
      <c r="H23" s="241">
        <f t="shared" si="1"/>
        <v>0</v>
      </c>
      <c r="I23" s="242"/>
      <c r="J23" s="243">
        <f t="shared" si="2"/>
        <v>0</v>
      </c>
      <c r="K23" s="240">
        <f t="shared" si="3"/>
        <v>0</v>
      </c>
      <c r="L23" s="240">
        <f t="shared" si="4"/>
        <v>0</v>
      </c>
      <c r="M23" s="244" t="s">
        <v>84</v>
      </c>
      <c r="N23" s="245"/>
      <c r="O23" s="226"/>
      <c r="P23" s="246"/>
      <c r="Q23" s="239"/>
      <c r="R23" s="247">
        <f t="shared" si="5"/>
        <v>0</v>
      </c>
      <c r="S23" s="248">
        <f t="shared" si="6"/>
        <v>0</v>
      </c>
      <c r="T23" s="248">
        <f t="shared" si="7"/>
        <v>0</v>
      </c>
      <c r="U23" s="249">
        <f t="shared" si="8"/>
        <v>0</v>
      </c>
      <c r="V23" s="249">
        <f t="shared" si="9"/>
        <v>0</v>
      </c>
      <c r="W23" s="250"/>
      <c r="X23" s="232"/>
      <c r="Y23" s="145"/>
      <c r="Z23" s="145"/>
      <c r="AA23" s="145"/>
      <c r="AB23" s="145"/>
    </row>
    <row r="24" spans="1:28" x14ac:dyDescent="0.25">
      <c r="A24" s="142"/>
      <c r="B24" s="358"/>
      <c r="C24" s="365"/>
      <c r="D24" s="287"/>
      <c r="E24" s="361"/>
      <c r="F24" s="220"/>
      <c r="G24" s="221">
        <f t="shared" si="0"/>
        <v>0</v>
      </c>
      <c r="H24" s="222">
        <f t="shared" si="1"/>
        <v>0</v>
      </c>
      <c r="I24" s="242"/>
      <c r="J24" s="224">
        <f t="shared" si="2"/>
        <v>0</v>
      </c>
      <c r="K24" s="221">
        <f t="shared" si="3"/>
        <v>0</v>
      </c>
      <c r="L24" s="221">
        <f t="shared" si="4"/>
        <v>0</v>
      </c>
      <c r="M24" s="220" t="s">
        <v>84</v>
      </c>
      <c r="N24" s="254"/>
      <c r="O24" s="226"/>
      <c r="P24" s="255"/>
      <c r="Q24" s="228"/>
      <c r="R24" s="229">
        <f t="shared" si="5"/>
        <v>0</v>
      </c>
      <c r="S24" s="229">
        <f t="shared" si="6"/>
        <v>0</v>
      </c>
      <c r="T24" s="229">
        <f t="shared" si="7"/>
        <v>0</v>
      </c>
      <c r="U24" s="230">
        <f t="shared" si="8"/>
        <v>0</v>
      </c>
      <c r="V24" s="230">
        <f t="shared" si="9"/>
        <v>0</v>
      </c>
      <c r="W24" s="250"/>
      <c r="X24" s="232"/>
      <c r="Y24" s="145"/>
      <c r="Z24" s="145"/>
      <c r="AA24" s="145"/>
      <c r="AB24" s="145"/>
    </row>
    <row r="25" spans="1:28" x14ac:dyDescent="0.25">
      <c r="A25" s="142"/>
      <c r="B25" s="362"/>
      <c r="C25" s="363"/>
      <c r="D25" s="286"/>
      <c r="E25" s="364"/>
      <c r="F25" s="239"/>
      <c r="G25" s="240">
        <f t="shared" si="0"/>
        <v>0</v>
      </c>
      <c r="H25" s="241">
        <f t="shared" si="1"/>
        <v>0</v>
      </c>
      <c r="I25" s="242"/>
      <c r="J25" s="243">
        <f t="shared" si="2"/>
        <v>0</v>
      </c>
      <c r="K25" s="240">
        <f t="shared" si="3"/>
        <v>0</v>
      </c>
      <c r="L25" s="240">
        <f t="shared" si="4"/>
        <v>0</v>
      </c>
      <c r="M25" s="244" t="s">
        <v>84</v>
      </c>
      <c r="N25" s="245"/>
      <c r="O25" s="226"/>
      <c r="P25" s="246"/>
      <c r="Q25" s="239"/>
      <c r="R25" s="247">
        <f t="shared" si="5"/>
        <v>0</v>
      </c>
      <c r="S25" s="248">
        <f t="shared" si="6"/>
        <v>0</v>
      </c>
      <c r="T25" s="248">
        <f t="shared" si="7"/>
        <v>0</v>
      </c>
      <c r="U25" s="249">
        <f t="shared" si="8"/>
        <v>0</v>
      </c>
      <c r="V25" s="249">
        <f t="shared" si="9"/>
        <v>0</v>
      </c>
      <c r="W25" s="250"/>
      <c r="X25" s="232"/>
      <c r="Y25" s="145"/>
      <c r="Z25" s="145"/>
      <c r="AA25" s="145"/>
      <c r="AB25" s="145"/>
    </row>
    <row r="26" spans="1:28" x14ac:dyDescent="0.25">
      <c r="A26" s="142"/>
      <c r="B26" s="358"/>
      <c r="C26" s="365"/>
      <c r="D26" s="287"/>
      <c r="E26" s="361"/>
      <c r="F26" s="220"/>
      <c r="G26" s="221">
        <f t="shared" si="0"/>
        <v>0</v>
      </c>
      <c r="H26" s="222">
        <f t="shared" si="1"/>
        <v>0</v>
      </c>
      <c r="I26" s="242"/>
      <c r="J26" s="224">
        <f t="shared" si="2"/>
        <v>0</v>
      </c>
      <c r="K26" s="221">
        <f t="shared" si="3"/>
        <v>0</v>
      </c>
      <c r="L26" s="221">
        <f t="shared" si="4"/>
        <v>0</v>
      </c>
      <c r="M26" s="220" t="s">
        <v>84</v>
      </c>
      <c r="N26" s="254">
        <v>0.5</v>
      </c>
      <c r="O26" s="226"/>
      <c r="P26" s="255"/>
      <c r="Q26" s="228"/>
      <c r="R26" s="229">
        <f t="shared" si="5"/>
        <v>0</v>
      </c>
      <c r="S26" s="229">
        <f t="shared" si="6"/>
        <v>0</v>
      </c>
      <c r="T26" s="229">
        <f t="shared" si="7"/>
        <v>0</v>
      </c>
      <c r="U26" s="230">
        <f t="shared" si="8"/>
        <v>0</v>
      </c>
      <c r="V26" s="230">
        <f t="shared" si="9"/>
        <v>0</v>
      </c>
      <c r="W26" s="250"/>
      <c r="X26" s="232"/>
      <c r="Y26" s="145"/>
      <c r="Z26" s="145"/>
      <c r="AA26" s="145"/>
      <c r="AB26" s="145"/>
    </row>
    <row r="27" spans="1:28" x14ac:dyDescent="0.25">
      <c r="A27" s="142"/>
      <c r="B27" s="362"/>
      <c r="C27" s="363"/>
      <c r="D27" s="286"/>
      <c r="E27" s="364"/>
      <c r="F27" s="239"/>
      <c r="G27" s="240">
        <f t="shared" si="0"/>
        <v>0</v>
      </c>
      <c r="H27" s="241">
        <f t="shared" si="1"/>
        <v>0</v>
      </c>
      <c r="I27" s="242"/>
      <c r="J27" s="243">
        <f t="shared" si="2"/>
        <v>0</v>
      </c>
      <c r="K27" s="240">
        <f t="shared" si="3"/>
        <v>0</v>
      </c>
      <c r="L27" s="240">
        <f t="shared" si="4"/>
        <v>0</v>
      </c>
      <c r="M27" s="244" t="s">
        <v>84</v>
      </c>
      <c r="N27" s="245"/>
      <c r="O27" s="226"/>
      <c r="P27" s="246"/>
      <c r="Q27" s="239"/>
      <c r="R27" s="247">
        <f t="shared" si="5"/>
        <v>0</v>
      </c>
      <c r="S27" s="248">
        <f t="shared" si="6"/>
        <v>0</v>
      </c>
      <c r="T27" s="248">
        <f t="shared" si="7"/>
        <v>0</v>
      </c>
      <c r="U27" s="249">
        <f t="shared" si="8"/>
        <v>0</v>
      </c>
      <c r="V27" s="249">
        <f t="shared" si="9"/>
        <v>0</v>
      </c>
      <c r="W27" s="250"/>
      <c r="X27" s="232"/>
      <c r="Y27" s="145"/>
      <c r="Z27" s="145"/>
      <c r="AA27" s="145"/>
      <c r="AB27" s="145"/>
    </row>
    <row r="28" spans="1:28" x14ac:dyDescent="0.25">
      <c r="A28" s="142"/>
      <c r="B28" s="358"/>
      <c r="C28" s="365"/>
      <c r="D28" s="287"/>
      <c r="E28" s="361"/>
      <c r="F28" s="220"/>
      <c r="G28" s="221">
        <f t="shared" si="0"/>
        <v>0</v>
      </c>
      <c r="H28" s="222">
        <f t="shared" si="1"/>
        <v>0</v>
      </c>
      <c r="I28" s="242"/>
      <c r="J28" s="224">
        <f t="shared" si="2"/>
        <v>0</v>
      </c>
      <c r="K28" s="221">
        <f t="shared" si="3"/>
        <v>0</v>
      </c>
      <c r="L28" s="221">
        <f t="shared" si="4"/>
        <v>0</v>
      </c>
      <c r="M28" s="220" t="s">
        <v>84</v>
      </c>
      <c r="N28" s="254"/>
      <c r="O28" s="226"/>
      <c r="P28" s="255"/>
      <c r="Q28" s="228"/>
      <c r="R28" s="229">
        <f t="shared" si="5"/>
        <v>0</v>
      </c>
      <c r="S28" s="229">
        <f t="shared" si="6"/>
        <v>0</v>
      </c>
      <c r="T28" s="229">
        <f t="shared" si="7"/>
        <v>0</v>
      </c>
      <c r="U28" s="230">
        <f t="shared" si="8"/>
        <v>0</v>
      </c>
      <c r="V28" s="230">
        <f t="shared" si="9"/>
        <v>0</v>
      </c>
      <c r="W28" s="250"/>
      <c r="X28" s="232"/>
      <c r="Y28" s="145"/>
      <c r="Z28" s="145"/>
      <c r="AA28" s="145"/>
      <c r="AB28" s="145"/>
    </row>
    <row r="29" spans="1:28" x14ac:dyDescent="0.25">
      <c r="A29" s="142"/>
      <c r="B29" s="362"/>
      <c r="C29" s="363"/>
      <c r="D29" s="286"/>
      <c r="E29" s="364"/>
      <c r="F29" s="239"/>
      <c r="G29" s="240">
        <f t="shared" si="0"/>
        <v>0</v>
      </c>
      <c r="H29" s="241">
        <f t="shared" si="1"/>
        <v>0</v>
      </c>
      <c r="I29" s="242"/>
      <c r="J29" s="243">
        <f t="shared" si="2"/>
        <v>0</v>
      </c>
      <c r="K29" s="240">
        <f t="shared" si="3"/>
        <v>0</v>
      </c>
      <c r="L29" s="240">
        <f t="shared" si="4"/>
        <v>0</v>
      </c>
      <c r="M29" s="244" t="s">
        <v>84</v>
      </c>
      <c r="N29" s="245"/>
      <c r="O29" s="226"/>
      <c r="P29" s="246"/>
      <c r="Q29" s="239"/>
      <c r="R29" s="247">
        <f t="shared" si="5"/>
        <v>0</v>
      </c>
      <c r="S29" s="248">
        <f t="shared" si="6"/>
        <v>0</v>
      </c>
      <c r="T29" s="248">
        <f t="shared" si="7"/>
        <v>0</v>
      </c>
      <c r="U29" s="249">
        <f t="shared" si="8"/>
        <v>0</v>
      </c>
      <c r="V29" s="249">
        <f t="shared" si="9"/>
        <v>0</v>
      </c>
      <c r="W29" s="250"/>
      <c r="X29" s="232"/>
      <c r="Y29" s="145"/>
      <c r="Z29" s="145"/>
      <c r="AA29" s="145"/>
      <c r="AB29" s="145"/>
    </row>
    <row r="30" spans="1:28" x14ac:dyDescent="0.25">
      <c r="A30" s="142"/>
      <c r="B30" s="358"/>
      <c r="C30" s="365"/>
      <c r="D30" s="287"/>
      <c r="E30" s="361"/>
      <c r="F30" s="220"/>
      <c r="G30" s="221">
        <f t="shared" si="0"/>
        <v>0</v>
      </c>
      <c r="H30" s="222">
        <f t="shared" si="1"/>
        <v>0</v>
      </c>
      <c r="I30" s="242"/>
      <c r="J30" s="224">
        <f t="shared" si="2"/>
        <v>0</v>
      </c>
      <c r="K30" s="221">
        <f t="shared" si="3"/>
        <v>0</v>
      </c>
      <c r="L30" s="221">
        <f t="shared" si="4"/>
        <v>0</v>
      </c>
      <c r="M30" s="220" t="s">
        <v>84</v>
      </c>
      <c r="N30" s="254"/>
      <c r="O30" s="226"/>
      <c r="P30" s="255"/>
      <c r="Q30" s="228"/>
      <c r="R30" s="229">
        <f t="shared" si="5"/>
        <v>0</v>
      </c>
      <c r="S30" s="229">
        <f t="shared" si="6"/>
        <v>0</v>
      </c>
      <c r="T30" s="229">
        <f t="shared" si="7"/>
        <v>0</v>
      </c>
      <c r="U30" s="230">
        <f t="shared" si="8"/>
        <v>0</v>
      </c>
      <c r="V30" s="230">
        <f t="shared" si="9"/>
        <v>0</v>
      </c>
      <c r="W30" s="250"/>
      <c r="X30" s="232"/>
      <c r="Y30" s="145"/>
      <c r="Z30" s="145"/>
      <c r="AA30" s="145"/>
      <c r="AB30" s="145"/>
    </row>
    <row r="31" spans="1:28" x14ac:dyDescent="0.25">
      <c r="A31" s="142"/>
      <c r="B31" s="362"/>
      <c r="C31" s="363"/>
      <c r="D31" s="286"/>
      <c r="E31" s="364"/>
      <c r="F31" s="239"/>
      <c r="G31" s="240">
        <f t="shared" si="0"/>
        <v>0</v>
      </c>
      <c r="H31" s="241">
        <f t="shared" si="1"/>
        <v>0</v>
      </c>
      <c r="I31" s="242"/>
      <c r="J31" s="243">
        <f t="shared" si="2"/>
        <v>0</v>
      </c>
      <c r="K31" s="240">
        <f t="shared" si="3"/>
        <v>0</v>
      </c>
      <c r="L31" s="240">
        <f t="shared" si="4"/>
        <v>0</v>
      </c>
      <c r="M31" s="244" t="s">
        <v>84</v>
      </c>
      <c r="N31" s="245"/>
      <c r="O31" s="226"/>
      <c r="P31" s="246"/>
      <c r="Q31" s="239"/>
      <c r="R31" s="247">
        <f t="shared" si="5"/>
        <v>0</v>
      </c>
      <c r="S31" s="248">
        <f t="shared" si="6"/>
        <v>0</v>
      </c>
      <c r="T31" s="248">
        <f t="shared" si="7"/>
        <v>0</v>
      </c>
      <c r="U31" s="249">
        <f t="shared" si="8"/>
        <v>0</v>
      </c>
      <c r="V31" s="249">
        <f t="shared" si="9"/>
        <v>0</v>
      </c>
      <c r="W31" s="250"/>
      <c r="X31" s="232"/>
      <c r="Y31" s="145"/>
      <c r="Z31" s="145"/>
      <c r="AA31" s="145"/>
      <c r="AB31" s="145"/>
    </row>
    <row r="32" spans="1:28" x14ac:dyDescent="0.25">
      <c r="A32" s="142"/>
      <c r="B32" s="358"/>
      <c r="C32" s="365"/>
      <c r="D32" s="287"/>
      <c r="E32" s="361"/>
      <c r="F32" s="220"/>
      <c r="G32" s="221">
        <f t="shared" si="0"/>
        <v>0</v>
      </c>
      <c r="H32" s="222">
        <f t="shared" si="1"/>
        <v>0</v>
      </c>
      <c r="I32" s="242"/>
      <c r="J32" s="224">
        <f t="shared" si="2"/>
        <v>0</v>
      </c>
      <c r="K32" s="221">
        <f t="shared" si="3"/>
        <v>0</v>
      </c>
      <c r="L32" s="221">
        <f t="shared" si="4"/>
        <v>0</v>
      </c>
      <c r="M32" s="220" t="s">
        <v>84</v>
      </c>
      <c r="N32" s="254"/>
      <c r="O32" s="226"/>
      <c r="P32" s="255"/>
      <c r="Q32" s="228"/>
      <c r="R32" s="229">
        <f t="shared" si="5"/>
        <v>0</v>
      </c>
      <c r="S32" s="229">
        <f t="shared" si="6"/>
        <v>0</v>
      </c>
      <c r="T32" s="229">
        <f t="shared" si="7"/>
        <v>0</v>
      </c>
      <c r="U32" s="230">
        <f t="shared" si="8"/>
        <v>0</v>
      </c>
      <c r="V32" s="230">
        <f t="shared" si="9"/>
        <v>0</v>
      </c>
      <c r="W32" s="250"/>
      <c r="X32" s="232"/>
      <c r="Y32" s="145"/>
      <c r="Z32" s="145"/>
      <c r="AA32" s="145"/>
      <c r="AB32" s="145"/>
    </row>
    <row r="33" spans="1:28" x14ac:dyDescent="0.25">
      <c r="A33" s="142"/>
      <c r="B33" s="362"/>
      <c r="C33" s="363"/>
      <c r="D33" s="286"/>
      <c r="E33" s="364"/>
      <c r="F33" s="239"/>
      <c r="G33" s="240">
        <f t="shared" si="0"/>
        <v>0</v>
      </c>
      <c r="H33" s="241">
        <f t="shared" si="1"/>
        <v>0</v>
      </c>
      <c r="I33" s="242"/>
      <c r="J33" s="243">
        <f t="shared" si="2"/>
        <v>0</v>
      </c>
      <c r="K33" s="240">
        <f t="shared" si="3"/>
        <v>0</v>
      </c>
      <c r="L33" s="240">
        <f t="shared" si="4"/>
        <v>0</v>
      </c>
      <c r="M33" s="244" t="s">
        <v>84</v>
      </c>
      <c r="N33" s="245"/>
      <c r="O33" s="226"/>
      <c r="P33" s="246"/>
      <c r="Q33" s="239"/>
      <c r="R33" s="247">
        <f t="shared" si="5"/>
        <v>0</v>
      </c>
      <c r="S33" s="248">
        <f t="shared" si="6"/>
        <v>0</v>
      </c>
      <c r="T33" s="248">
        <f t="shared" si="7"/>
        <v>0</v>
      </c>
      <c r="U33" s="249">
        <f t="shared" si="8"/>
        <v>0</v>
      </c>
      <c r="V33" s="249">
        <f t="shared" si="9"/>
        <v>0</v>
      </c>
      <c r="W33" s="250"/>
      <c r="X33" s="232"/>
      <c r="Y33" s="145"/>
      <c r="Z33" s="145"/>
      <c r="AA33" s="145"/>
      <c r="AB33" s="145"/>
    </row>
    <row r="34" spans="1:28" x14ac:dyDescent="0.25">
      <c r="A34" s="142"/>
      <c r="B34" s="358"/>
      <c r="C34" s="365"/>
      <c r="D34" s="287"/>
      <c r="E34" s="361"/>
      <c r="F34" s="220"/>
      <c r="G34" s="221">
        <f t="shared" si="0"/>
        <v>0</v>
      </c>
      <c r="H34" s="222">
        <f t="shared" si="1"/>
        <v>0</v>
      </c>
      <c r="I34" s="242"/>
      <c r="J34" s="224">
        <f t="shared" si="2"/>
        <v>0</v>
      </c>
      <c r="K34" s="221">
        <f t="shared" si="3"/>
        <v>0</v>
      </c>
      <c r="L34" s="221">
        <f t="shared" si="4"/>
        <v>0</v>
      </c>
      <c r="M34" s="220" t="s">
        <v>84</v>
      </c>
      <c r="N34" s="254"/>
      <c r="O34" s="226"/>
      <c r="P34" s="255"/>
      <c r="Q34" s="228"/>
      <c r="R34" s="229">
        <f t="shared" si="5"/>
        <v>0</v>
      </c>
      <c r="S34" s="229">
        <f t="shared" si="6"/>
        <v>0</v>
      </c>
      <c r="T34" s="229">
        <f t="shared" si="7"/>
        <v>0</v>
      </c>
      <c r="U34" s="230">
        <f t="shared" si="8"/>
        <v>0</v>
      </c>
      <c r="V34" s="230">
        <f t="shared" si="9"/>
        <v>0</v>
      </c>
      <c r="W34" s="250"/>
      <c r="X34" s="232"/>
      <c r="Y34" s="145"/>
      <c r="Z34" s="145"/>
      <c r="AA34" s="145"/>
      <c r="AB34" s="145"/>
    </row>
    <row r="35" spans="1:28" x14ac:dyDescent="0.25">
      <c r="A35" s="142"/>
      <c r="B35" s="362"/>
      <c r="C35" s="363"/>
      <c r="D35" s="286"/>
      <c r="E35" s="364"/>
      <c r="F35" s="239"/>
      <c r="G35" s="240">
        <f t="shared" si="0"/>
        <v>0</v>
      </c>
      <c r="H35" s="241">
        <f t="shared" si="1"/>
        <v>0</v>
      </c>
      <c r="I35" s="242"/>
      <c r="J35" s="243">
        <f t="shared" si="2"/>
        <v>0</v>
      </c>
      <c r="K35" s="240">
        <f t="shared" si="3"/>
        <v>0</v>
      </c>
      <c r="L35" s="240">
        <f t="shared" si="4"/>
        <v>0</v>
      </c>
      <c r="M35" s="244" t="s">
        <v>84</v>
      </c>
      <c r="N35" s="245">
        <v>0.5</v>
      </c>
      <c r="O35" s="226"/>
      <c r="P35" s="246"/>
      <c r="Q35" s="239"/>
      <c r="R35" s="247">
        <f t="shared" si="5"/>
        <v>0</v>
      </c>
      <c r="S35" s="248">
        <f t="shared" si="6"/>
        <v>0</v>
      </c>
      <c r="T35" s="248">
        <f t="shared" si="7"/>
        <v>0</v>
      </c>
      <c r="U35" s="249">
        <f t="shared" si="8"/>
        <v>0</v>
      </c>
      <c r="V35" s="249">
        <f t="shared" si="9"/>
        <v>0</v>
      </c>
      <c r="W35" s="250"/>
      <c r="X35" s="232"/>
      <c r="Y35" s="145"/>
      <c r="Z35" s="145"/>
      <c r="AA35" s="145"/>
      <c r="AB35" s="145"/>
    </row>
    <row r="36" spans="1:28" x14ac:dyDescent="0.25">
      <c r="A36" s="142"/>
      <c r="B36" s="358"/>
      <c r="C36" s="365"/>
      <c r="D36" s="287"/>
      <c r="E36" s="361"/>
      <c r="F36" s="220"/>
      <c r="G36" s="221">
        <f t="shared" si="0"/>
        <v>0</v>
      </c>
      <c r="H36" s="222">
        <f t="shared" si="1"/>
        <v>0</v>
      </c>
      <c r="I36" s="242"/>
      <c r="J36" s="224">
        <f t="shared" si="2"/>
        <v>0</v>
      </c>
      <c r="K36" s="221">
        <f t="shared" si="3"/>
        <v>0</v>
      </c>
      <c r="L36" s="221">
        <f t="shared" si="4"/>
        <v>0</v>
      </c>
      <c r="M36" s="220" t="s">
        <v>84</v>
      </c>
      <c r="N36" s="254">
        <v>0.5</v>
      </c>
      <c r="O36" s="226"/>
      <c r="P36" s="255"/>
      <c r="Q36" s="228"/>
      <c r="R36" s="229">
        <f t="shared" si="5"/>
        <v>0</v>
      </c>
      <c r="S36" s="229">
        <f t="shared" si="6"/>
        <v>0</v>
      </c>
      <c r="T36" s="229">
        <f t="shared" si="7"/>
        <v>0</v>
      </c>
      <c r="U36" s="230">
        <f t="shared" si="8"/>
        <v>0</v>
      </c>
      <c r="V36" s="230">
        <f t="shared" si="9"/>
        <v>0</v>
      </c>
      <c r="W36" s="250"/>
      <c r="X36" s="232"/>
      <c r="Y36" s="145"/>
      <c r="Z36" s="145"/>
      <c r="AA36" s="145"/>
      <c r="AB36" s="145"/>
    </row>
    <row r="37" spans="1:28" x14ac:dyDescent="0.25">
      <c r="A37" s="142"/>
      <c r="B37" s="362"/>
      <c r="C37" s="363"/>
      <c r="D37" s="286"/>
      <c r="E37" s="364"/>
      <c r="F37" s="239"/>
      <c r="G37" s="240">
        <f t="shared" si="0"/>
        <v>0</v>
      </c>
      <c r="H37" s="241">
        <f t="shared" si="1"/>
        <v>0</v>
      </c>
      <c r="I37" s="242"/>
      <c r="J37" s="243">
        <f t="shared" si="2"/>
        <v>0</v>
      </c>
      <c r="K37" s="240">
        <f t="shared" si="3"/>
        <v>0</v>
      </c>
      <c r="L37" s="240">
        <f t="shared" si="4"/>
        <v>0</v>
      </c>
      <c r="M37" s="244" t="s">
        <v>84</v>
      </c>
      <c r="N37" s="245">
        <v>0.5</v>
      </c>
      <c r="O37" s="226"/>
      <c r="P37" s="246"/>
      <c r="Q37" s="239"/>
      <c r="R37" s="247">
        <f t="shared" si="5"/>
        <v>0</v>
      </c>
      <c r="S37" s="248">
        <f t="shared" si="6"/>
        <v>0</v>
      </c>
      <c r="T37" s="248">
        <f t="shared" si="7"/>
        <v>0</v>
      </c>
      <c r="U37" s="249">
        <f t="shared" si="8"/>
        <v>0</v>
      </c>
      <c r="V37" s="249">
        <f t="shared" si="9"/>
        <v>0</v>
      </c>
      <c r="W37" s="250"/>
      <c r="X37" s="232"/>
      <c r="Y37" s="145"/>
      <c r="Z37" s="145"/>
      <c r="AA37" s="145"/>
      <c r="AB37" s="145"/>
    </row>
    <row r="38" spans="1:28" x14ac:dyDescent="0.25">
      <c r="A38" s="142"/>
      <c r="B38" s="227"/>
      <c r="C38" s="257"/>
      <c r="D38" s="253"/>
      <c r="E38" s="219"/>
      <c r="F38" s="220"/>
      <c r="G38" s="221">
        <f t="shared" si="0"/>
        <v>0</v>
      </c>
      <c r="H38" s="222">
        <f t="shared" si="1"/>
        <v>0</v>
      </c>
      <c r="I38" s="242"/>
      <c r="J38" s="224">
        <f t="shared" si="2"/>
        <v>0</v>
      </c>
      <c r="K38" s="221">
        <f t="shared" si="3"/>
        <v>0</v>
      </c>
      <c r="L38" s="221">
        <f t="shared" si="4"/>
        <v>0</v>
      </c>
      <c r="M38" s="220" t="s">
        <v>84</v>
      </c>
      <c r="N38" s="254">
        <v>0.5</v>
      </c>
      <c r="O38" s="226"/>
      <c r="P38" s="255"/>
      <c r="Q38" s="228"/>
      <c r="R38" s="229">
        <f t="shared" si="5"/>
        <v>0</v>
      </c>
      <c r="S38" s="229">
        <f t="shared" si="6"/>
        <v>0</v>
      </c>
      <c r="T38" s="229">
        <f t="shared" si="7"/>
        <v>0</v>
      </c>
      <c r="U38" s="230">
        <f t="shared" si="8"/>
        <v>0</v>
      </c>
      <c r="V38" s="230">
        <f t="shared" si="9"/>
        <v>0</v>
      </c>
      <c r="W38" s="250"/>
      <c r="X38" s="232"/>
      <c r="Y38" s="145"/>
      <c r="Z38" s="145"/>
      <c r="AA38" s="145"/>
      <c r="AB38" s="145"/>
    </row>
    <row r="39" spans="1:28" x14ac:dyDescent="0.25">
      <c r="A39" s="142"/>
      <c r="B39" s="246"/>
      <c r="C39" s="153"/>
      <c r="D39" s="237"/>
      <c r="E39" s="238"/>
      <c r="F39" s="239"/>
      <c r="G39" s="240">
        <f t="shared" si="0"/>
        <v>0</v>
      </c>
      <c r="H39" s="241">
        <f t="shared" si="1"/>
        <v>0</v>
      </c>
      <c r="I39" s="242"/>
      <c r="J39" s="243">
        <f t="shared" si="2"/>
        <v>0</v>
      </c>
      <c r="K39" s="240">
        <f t="shared" si="3"/>
        <v>0</v>
      </c>
      <c r="L39" s="240">
        <f t="shared" si="4"/>
        <v>0</v>
      </c>
      <c r="M39" s="244" t="s">
        <v>84</v>
      </c>
      <c r="N39" s="245"/>
      <c r="O39" s="226"/>
      <c r="P39" s="246"/>
      <c r="Q39" s="239"/>
      <c r="R39" s="247">
        <f t="shared" si="5"/>
        <v>0</v>
      </c>
      <c r="S39" s="248">
        <f t="shared" si="6"/>
        <v>0</v>
      </c>
      <c r="T39" s="248">
        <f t="shared" si="7"/>
        <v>0</v>
      </c>
      <c r="U39" s="249">
        <f t="shared" si="8"/>
        <v>0</v>
      </c>
      <c r="V39" s="249">
        <f t="shared" si="9"/>
        <v>0</v>
      </c>
      <c r="W39" s="250"/>
      <c r="X39" s="232"/>
      <c r="Y39" s="145"/>
      <c r="Z39" s="145"/>
      <c r="AA39" s="145"/>
      <c r="AB39" s="145"/>
    </row>
    <row r="40" spans="1:28" x14ac:dyDescent="0.25">
      <c r="A40" s="142"/>
      <c r="B40" s="227"/>
      <c r="C40" s="257"/>
      <c r="D40" s="253"/>
      <c r="E40" s="219"/>
      <c r="F40" s="220"/>
      <c r="G40" s="221">
        <f t="shared" si="0"/>
        <v>0</v>
      </c>
      <c r="H40" s="222">
        <f t="shared" si="1"/>
        <v>0</v>
      </c>
      <c r="I40" s="242"/>
      <c r="J40" s="224">
        <f t="shared" si="2"/>
        <v>0</v>
      </c>
      <c r="K40" s="221">
        <f t="shared" si="3"/>
        <v>0</v>
      </c>
      <c r="L40" s="221">
        <f t="shared" si="4"/>
        <v>0</v>
      </c>
      <c r="M40" s="220" t="s">
        <v>84</v>
      </c>
      <c r="N40" s="254"/>
      <c r="O40" s="226"/>
      <c r="P40" s="255"/>
      <c r="Q40" s="228"/>
      <c r="R40" s="229">
        <f t="shared" si="5"/>
        <v>0</v>
      </c>
      <c r="S40" s="229">
        <f t="shared" si="6"/>
        <v>0</v>
      </c>
      <c r="T40" s="229">
        <f t="shared" si="7"/>
        <v>0</v>
      </c>
      <c r="U40" s="230">
        <f t="shared" si="8"/>
        <v>0</v>
      </c>
      <c r="V40" s="230">
        <f t="shared" si="9"/>
        <v>0</v>
      </c>
      <c r="W40" s="250"/>
      <c r="X40" s="232"/>
      <c r="Y40" s="145"/>
      <c r="Z40" s="145"/>
      <c r="AA40" s="145"/>
      <c r="AB40" s="145"/>
    </row>
    <row r="41" spans="1:28" x14ac:dyDescent="0.25">
      <c r="A41" s="142"/>
      <c r="B41" s="246"/>
      <c r="C41" s="153"/>
      <c r="D41" s="237"/>
      <c r="E41" s="238"/>
      <c r="F41" s="239"/>
      <c r="G41" s="240">
        <f t="shared" si="0"/>
        <v>0</v>
      </c>
      <c r="H41" s="241">
        <f t="shared" si="1"/>
        <v>0</v>
      </c>
      <c r="I41" s="242"/>
      <c r="J41" s="243">
        <f t="shared" si="2"/>
        <v>0</v>
      </c>
      <c r="K41" s="240">
        <f t="shared" si="3"/>
        <v>0</v>
      </c>
      <c r="L41" s="240">
        <f t="shared" si="4"/>
        <v>0</v>
      </c>
      <c r="M41" s="244" t="s">
        <v>84</v>
      </c>
      <c r="N41" s="245"/>
      <c r="O41" s="226"/>
      <c r="P41" s="246"/>
      <c r="Q41" s="239"/>
      <c r="R41" s="247">
        <f t="shared" si="5"/>
        <v>0</v>
      </c>
      <c r="S41" s="248">
        <f t="shared" si="6"/>
        <v>0</v>
      </c>
      <c r="T41" s="248">
        <f t="shared" si="7"/>
        <v>0</v>
      </c>
      <c r="U41" s="249">
        <f t="shared" si="8"/>
        <v>0</v>
      </c>
      <c r="V41" s="249">
        <f t="shared" si="9"/>
        <v>0</v>
      </c>
      <c r="W41" s="250"/>
      <c r="X41" s="232"/>
      <c r="Y41" s="145"/>
      <c r="Z41" s="145"/>
      <c r="AA41" s="145"/>
      <c r="AB41" s="145"/>
    </row>
    <row r="42" spans="1:28" x14ac:dyDescent="0.25">
      <c r="A42" s="142"/>
      <c r="B42" s="227"/>
      <c r="C42" s="257"/>
      <c r="D42" s="253"/>
      <c r="E42" s="219"/>
      <c r="F42" s="220"/>
      <c r="G42" s="221">
        <f t="shared" si="0"/>
        <v>0</v>
      </c>
      <c r="H42" s="222">
        <f t="shared" si="1"/>
        <v>0</v>
      </c>
      <c r="I42" s="242"/>
      <c r="J42" s="224">
        <f t="shared" si="2"/>
        <v>0</v>
      </c>
      <c r="K42" s="221">
        <f t="shared" si="3"/>
        <v>0</v>
      </c>
      <c r="L42" s="221">
        <f t="shared" si="4"/>
        <v>0</v>
      </c>
      <c r="M42" s="220" t="s">
        <v>84</v>
      </c>
      <c r="N42" s="254"/>
      <c r="O42" s="226"/>
      <c r="P42" s="255"/>
      <c r="Q42" s="228"/>
      <c r="R42" s="229">
        <f t="shared" si="5"/>
        <v>0</v>
      </c>
      <c r="S42" s="229">
        <f t="shared" si="6"/>
        <v>0</v>
      </c>
      <c r="T42" s="229">
        <f t="shared" si="7"/>
        <v>0</v>
      </c>
      <c r="U42" s="230">
        <f t="shared" si="8"/>
        <v>0</v>
      </c>
      <c r="V42" s="230">
        <f t="shared" si="9"/>
        <v>0</v>
      </c>
      <c r="W42" s="250"/>
      <c r="X42" s="232"/>
      <c r="Y42" s="145"/>
      <c r="Z42" s="145"/>
      <c r="AA42" s="145"/>
      <c r="AB42" s="145"/>
    </row>
    <row r="43" spans="1:28" x14ac:dyDescent="0.25">
      <c r="A43" s="142"/>
      <c r="B43" s="246"/>
      <c r="C43" s="153"/>
      <c r="D43" s="237"/>
      <c r="E43" s="238"/>
      <c r="F43" s="239"/>
      <c r="G43" s="240">
        <f t="shared" si="0"/>
        <v>0</v>
      </c>
      <c r="H43" s="241">
        <f t="shared" si="1"/>
        <v>0</v>
      </c>
      <c r="I43" s="242"/>
      <c r="J43" s="243">
        <f t="shared" si="2"/>
        <v>0</v>
      </c>
      <c r="K43" s="240">
        <f t="shared" si="3"/>
        <v>0</v>
      </c>
      <c r="L43" s="240">
        <f t="shared" si="4"/>
        <v>0</v>
      </c>
      <c r="M43" s="244" t="s">
        <v>84</v>
      </c>
      <c r="N43" s="245"/>
      <c r="O43" s="226"/>
      <c r="P43" s="246"/>
      <c r="Q43" s="239"/>
      <c r="R43" s="247">
        <f t="shared" si="5"/>
        <v>0</v>
      </c>
      <c r="S43" s="248">
        <f t="shared" si="6"/>
        <v>0</v>
      </c>
      <c r="T43" s="248">
        <f t="shared" si="7"/>
        <v>0</v>
      </c>
      <c r="U43" s="249">
        <f t="shared" si="8"/>
        <v>0</v>
      </c>
      <c r="V43" s="249">
        <f t="shared" si="9"/>
        <v>0</v>
      </c>
      <c r="W43" s="250"/>
      <c r="X43" s="232"/>
      <c r="Y43" s="145"/>
      <c r="Z43" s="145"/>
      <c r="AA43" s="145"/>
      <c r="AB43" s="145"/>
    </row>
    <row r="44" spans="1:28" x14ac:dyDescent="0.25">
      <c r="A44" s="142"/>
      <c r="B44" s="227"/>
      <c r="C44" s="257"/>
      <c r="D44" s="253"/>
      <c r="E44" s="219"/>
      <c r="F44" s="220"/>
      <c r="G44" s="221">
        <f t="shared" si="0"/>
        <v>0</v>
      </c>
      <c r="H44" s="222">
        <f t="shared" si="1"/>
        <v>0</v>
      </c>
      <c r="I44" s="242"/>
      <c r="J44" s="224">
        <f t="shared" si="2"/>
        <v>0</v>
      </c>
      <c r="K44" s="221">
        <f t="shared" si="3"/>
        <v>0</v>
      </c>
      <c r="L44" s="221">
        <f t="shared" si="4"/>
        <v>0</v>
      </c>
      <c r="M44" s="220" t="s">
        <v>84</v>
      </c>
      <c r="N44" s="254"/>
      <c r="O44" s="226"/>
      <c r="P44" s="255"/>
      <c r="Q44" s="228"/>
      <c r="R44" s="229">
        <f t="shared" si="5"/>
        <v>0</v>
      </c>
      <c r="S44" s="229">
        <f t="shared" si="6"/>
        <v>0</v>
      </c>
      <c r="T44" s="229">
        <f t="shared" si="7"/>
        <v>0</v>
      </c>
      <c r="U44" s="230">
        <f t="shared" si="8"/>
        <v>0</v>
      </c>
      <c r="V44" s="230">
        <f t="shared" si="9"/>
        <v>0</v>
      </c>
      <c r="W44" s="250"/>
      <c r="X44" s="232"/>
      <c r="Y44" s="145"/>
      <c r="Z44" s="145"/>
      <c r="AA44" s="145"/>
      <c r="AB44" s="145"/>
    </row>
    <row r="45" spans="1:28" x14ac:dyDescent="0.25">
      <c r="A45" s="142"/>
      <c r="B45" s="246"/>
      <c r="C45" s="153"/>
      <c r="D45" s="237"/>
      <c r="E45" s="238"/>
      <c r="F45" s="239"/>
      <c r="G45" s="240">
        <f t="shared" si="0"/>
        <v>0</v>
      </c>
      <c r="H45" s="241">
        <f t="shared" si="1"/>
        <v>0</v>
      </c>
      <c r="I45" s="242"/>
      <c r="J45" s="243">
        <f t="shared" si="2"/>
        <v>0</v>
      </c>
      <c r="K45" s="240">
        <f t="shared" si="3"/>
        <v>0</v>
      </c>
      <c r="L45" s="240">
        <f t="shared" si="4"/>
        <v>0</v>
      </c>
      <c r="M45" s="244" t="s">
        <v>84</v>
      </c>
      <c r="N45" s="245"/>
      <c r="O45" s="226"/>
      <c r="P45" s="246"/>
      <c r="Q45" s="239"/>
      <c r="R45" s="247">
        <f t="shared" si="5"/>
        <v>0</v>
      </c>
      <c r="S45" s="248">
        <f t="shared" si="6"/>
        <v>0</v>
      </c>
      <c r="T45" s="248">
        <f t="shared" si="7"/>
        <v>0</v>
      </c>
      <c r="U45" s="249">
        <f t="shared" si="8"/>
        <v>0</v>
      </c>
      <c r="V45" s="249">
        <f t="shared" si="9"/>
        <v>0</v>
      </c>
      <c r="W45" s="250"/>
      <c r="X45" s="232"/>
      <c r="Y45" s="145"/>
      <c r="Z45" s="145"/>
      <c r="AA45" s="145"/>
      <c r="AB45" s="145"/>
    </row>
    <row r="46" spans="1:28" x14ac:dyDescent="0.25">
      <c r="A46" s="142"/>
      <c r="B46" s="227"/>
      <c r="C46" s="257"/>
      <c r="D46" s="253"/>
      <c r="E46" s="219"/>
      <c r="F46" s="220"/>
      <c r="G46" s="221">
        <f t="shared" si="0"/>
        <v>0</v>
      </c>
      <c r="H46" s="222">
        <f t="shared" si="1"/>
        <v>0</v>
      </c>
      <c r="I46" s="242"/>
      <c r="J46" s="224">
        <f t="shared" si="2"/>
        <v>0</v>
      </c>
      <c r="K46" s="221">
        <f t="shared" si="3"/>
        <v>0</v>
      </c>
      <c r="L46" s="221">
        <f t="shared" si="4"/>
        <v>0</v>
      </c>
      <c r="M46" s="220" t="s">
        <v>84</v>
      </c>
      <c r="N46" s="254"/>
      <c r="O46" s="226"/>
      <c r="P46" s="255"/>
      <c r="Q46" s="228"/>
      <c r="R46" s="229">
        <f t="shared" si="5"/>
        <v>0</v>
      </c>
      <c r="S46" s="229">
        <f t="shared" si="6"/>
        <v>0</v>
      </c>
      <c r="T46" s="229">
        <f t="shared" si="7"/>
        <v>0</v>
      </c>
      <c r="U46" s="230">
        <f t="shared" si="8"/>
        <v>0</v>
      </c>
      <c r="V46" s="230">
        <f t="shared" si="9"/>
        <v>0</v>
      </c>
      <c r="W46" s="250"/>
      <c r="X46" s="232"/>
      <c r="Y46" s="145"/>
      <c r="Z46" s="145"/>
      <c r="AA46" s="145"/>
      <c r="AB46" s="145"/>
    </row>
    <row r="47" spans="1:28" ht="20.25" customHeight="1" x14ac:dyDescent="0.25">
      <c r="A47" s="261"/>
      <c r="B47" s="262"/>
      <c r="C47" s="262"/>
      <c r="D47" s="263" t="s">
        <v>116</v>
      </c>
      <c r="E47" s="264">
        <f>SUM(E18:E46)</f>
        <v>2</v>
      </c>
      <c r="F47" s="265">
        <f>SUM(F18:F46)</f>
        <v>1323.44</v>
      </c>
      <c r="G47" s="266">
        <f>SUM(G18:G46)</f>
        <v>932</v>
      </c>
      <c r="H47" s="267">
        <f>SUM(H18:H46)</f>
        <v>1323.44</v>
      </c>
      <c r="I47" s="268"/>
      <c r="J47" s="269">
        <f>SUM(J18:J46)</f>
        <v>2</v>
      </c>
      <c r="K47" s="266">
        <f>SUM(K18:K46)</f>
        <v>1323.44</v>
      </c>
      <c r="L47" s="267">
        <f>SUM(L18:L46)</f>
        <v>1323.44</v>
      </c>
      <c r="M47" s="267"/>
      <c r="N47" s="267"/>
      <c r="O47" s="270"/>
      <c r="P47" s="271"/>
      <c r="Q47" s="266">
        <f>SUM(Q18:Q46)</f>
        <v>0</v>
      </c>
      <c r="R47" s="266">
        <f>SUM(R18:R46)</f>
        <v>0</v>
      </c>
      <c r="S47" s="267">
        <f>SUM(S18:S46)</f>
        <v>1323.44</v>
      </c>
      <c r="T47" s="267">
        <f>SUM(T18:T46)</f>
        <v>1323.44</v>
      </c>
      <c r="U47" s="272"/>
      <c r="V47" s="272"/>
      <c r="W47" s="273"/>
      <c r="X47" s="274"/>
    </row>
    <row r="49" spans="21:21" ht="15" customHeight="1" x14ac:dyDescent="0.25">
      <c r="U49" s="275"/>
    </row>
  </sheetData>
  <mergeCells count="61">
    <mergeCell ref="P16:P17"/>
    <mergeCell ref="R17:V17"/>
    <mergeCell ref="B16:B17"/>
    <mergeCell ref="C16:C17"/>
    <mergeCell ref="D16:D17"/>
    <mergeCell ref="E16:E17"/>
    <mergeCell ref="F16:G16"/>
    <mergeCell ref="D9:E9"/>
    <mergeCell ref="F9:G9"/>
    <mergeCell ref="P9:R9"/>
    <mergeCell ref="S9:S10"/>
    <mergeCell ref="T9:T10"/>
    <mergeCell ref="B11:C15"/>
    <mergeCell ref="D11:E13"/>
    <mergeCell ref="F11:H12"/>
    <mergeCell ref="P11:V13"/>
    <mergeCell ref="F13:G13"/>
    <mergeCell ref="F14:H14"/>
    <mergeCell ref="F15:H15"/>
    <mergeCell ref="P15:V15"/>
    <mergeCell ref="S7:T7"/>
    <mergeCell ref="U7:V7"/>
    <mergeCell ref="V9:V10"/>
    <mergeCell ref="W9:W10"/>
    <mergeCell ref="P10:R10"/>
    <mergeCell ref="U9:U10"/>
    <mergeCell ref="D8:E8"/>
    <mergeCell ref="F8:G8"/>
    <mergeCell ref="P8:R8"/>
    <mergeCell ref="D5:E5"/>
    <mergeCell ref="F5:G5"/>
    <mergeCell ref="P5:R5"/>
    <mergeCell ref="D7:E7"/>
    <mergeCell ref="F7:G7"/>
    <mergeCell ref="P7:R7"/>
    <mergeCell ref="S5:T5"/>
    <mergeCell ref="U5:V5"/>
    <mergeCell ref="D6:E6"/>
    <mergeCell ref="F6:G6"/>
    <mergeCell ref="P6:R6"/>
    <mergeCell ref="S6:T6"/>
    <mergeCell ref="U6:V6"/>
    <mergeCell ref="D3:E3"/>
    <mergeCell ref="F3:G3"/>
    <mergeCell ref="P3:R3"/>
    <mergeCell ref="S3:T3"/>
    <mergeCell ref="U3:V3"/>
    <mergeCell ref="D4:E4"/>
    <mergeCell ref="F4:G4"/>
    <mergeCell ref="P4:R4"/>
    <mergeCell ref="S4:T4"/>
    <mergeCell ref="U4:V4"/>
    <mergeCell ref="B1:C1"/>
    <mergeCell ref="D1:G1"/>
    <mergeCell ref="P1:R1"/>
    <mergeCell ref="S1:W1"/>
    <mergeCell ref="D2:E2"/>
    <mergeCell ref="F2:G2"/>
    <mergeCell ref="P2:R2"/>
    <mergeCell ref="S2:T2"/>
    <mergeCell ref="U2:V2"/>
  </mergeCells>
  <conditionalFormatting sqref="U9:U10">
    <cfRule type="expression" dxfId="7" priority="3" stopIfTrue="1">
      <formula>$U$9&gt;100%</formula>
    </cfRule>
    <cfRule type="expression" dxfId="6" priority="4">
      <formula>$U$9&lt;50%</formula>
    </cfRule>
  </conditionalFormatting>
  <conditionalFormatting sqref="V9:V10">
    <cfRule type="expression" dxfId="5" priority="1">
      <formula>$V$9&lt;50%</formula>
    </cfRule>
    <cfRule type="expression" dxfId="4" priority="2">
      <formula>$V$9&gt;50%</formula>
    </cfRule>
  </conditionalFormatting>
  <dataValidations count="5">
    <dataValidation type="list" allowBlank="1" showInputMessage="1" showErrorMessage="1" sqref="H13" xr:uid="{ABA5CF24-C52F-44C7-A1E1-6CC1F7C5BA6B}">
      <formula1>$Y$13:$Y$14</formula1>
    </dataValidation>
    <dataValidation type="list" showInputMessage="1" showErrorMessage="1" sqref="D38:D46 D18:D22" xr:uid="{2BA43D41-2B24-402C-A55B-E71AECB83BDA}">
      <formula1>#REF!</formula1>
    </dataValidation>
    <dataValidation type="list" allowBlank="1" showInputMessage="1" showErrorMessage="1" sqref="Q14 K17 Q17 F17" xr:uid="{C1B5D82B-9FA8-4FED-B22F-22E0B90B0A1F}">
      <formula1>$Y$11:$Y$12</formula1>
    </dataValidation>
    <dataValidation type="list" allowBlank="1" showInputMessage="1" showErrorMessage="1" sqref="I13" xr:uid="{799176A9-6869-4F90-BB01-AB02367A2F82}">
      <formula1>$K$9:$K$9</formula1>
    </dataValidation>
    <dataValidation type="list" allowBlank="1" showInputMessage="1" showErrorMessage="1" sqref="M18:M46" xr:uid="{06DF281D-4CC5-47E4-923C-05DBB0BF9D06}">
      <formula1>$Y$19:$Y$19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63</vt:i4>
      </vt:variant>
    </vt:vector>
  </HeadingPairs>
  <TitlesOfParts>
    <vt:vector size="63" baseType="lpstr">
      <vt:lpstr>BOBCAT T66 (B4S) (2)</vt:lpstr>
      <vt:lpstr>BOBCAT T66 (B4S)</vt:lpstr>
      <vt:lpstr>BOBCAT T64 (B4S)</vt:lpstr>
      <vt:lpstr>Peterbilt 348 2NP3LJ06LM682275</vt:lpstr>
      <vt:lpstr>Peterbilt 348 2NP3LJ0X6NM800232</vt:lpstr>
      <vt:lpstr>Peterbilt 348 2NP3LJ0X6NM800233</vt:lpstr>
      <vt:lpstr>Kenworth T880 1NKZLP0XXLJ95</vt:lpstr>
      <vt:lpstr>Kenworth T800 1XKDDBTX17R994503</vt:lpstr>
      <vt:lpstr>Kenworth T800 1XKDDBTX57R994505</vt:lpstr>
      <vt:lpstr>Kenworth T800 1XKDDBTX57R99</vt:lpstr>
      <vt:lpstr>Kenworth T800 1XKDDBTX97R992840</vt:lpstr>
      <vt:lpstr>Kenworth T800 1XKDDBTXX7R992832</vt:lpstr>
      <vt:lpstr>Kenworth T800 1XXDDBTX179992833</vt:lpstr>
      <vt:lpstr>Kenworth T800 1XKDDBTX27R991528</vt:lpstr>
      <vt:lpstr>BW211D 901583251560</vt:lpstr>
      <vt:lpstr>BW211 901583251951</vt:lpstr>
      <vt:lpstr>BW211D-5 101587651138</vt:lpstr>
      <vt:lpstr>BW211D-5 101587651168</vt:lpstr>
      <vt:lpstr>BW211D-5 101587651171</vt:lpstr>
      <vt:lpstr>BW213 901582571158</vt:lpstr>
      <vt:lpstr>213PD 901582571215</vt:lpstr>
      <vt:lpstr>BW213PDH-4 901582571113</vt:lpstr>
      <vt:lpstr>Hitachi Zx35U JD 35G</vt:lpstr>
      <vt:lpstr>Ingersoll Rand XP185WIR COMPRES</vt:lpstr>
      <vt:lpstr>Ingersoll Rand XP185WJD COMPRES</vt:lpstr>
      <vt:lpstr>Ingersoll Rand P185WJD COMPRESS</vt:lpstr>
      <vt:lpstr>Ingersoll Rand P185WJD COMP (2)</vt:lpstr>
      <vt:lpstr>Ingersoll Rand L6-4MH light</vt:lpstr>
      <vt:lpstr>Ingersoll Rand L8-4MH light (2)</vt:lpstr>
      <vt:lpstr>International 7400</vt:lpstr>
      <vt:lpstr>International CV515</vt:lpstr>
      <vt:lpstr>International 7500 SBA</vt:lpstr>
      <vt:lpstr>International Workstar 7400</vt:lpstr>
      <vt:lpstr>International Workstar 7400 (2)</vt:lpstr>
      <vt:lpstr>JLG 10054 Telehandler</vt:lpstr>
      <vt:lpstr>JLG 10054 Telehandler (2)</vt:lpstr>
      <vt:lpstr>JLG 10054 Telehandler (3)</vt:lpstr>
      <vt:lpstr>JLG 10054 Telehandler (4)</vt:lpstr>
      <vt:lpstr>JLG 10054 Telehandler (5)</vt:lpstr>
      <vt:lpstr>JLG 10054 Telehandler (6)</vt:lpstr>
      <vt:lpstr>JLG 10054 Telehandler (7)</vt:lpstr>
      <vt:lpstr>JLG 600AJ</vt:lpstr>
      <vt:lpstr>JLG 600AJ (2)</vt:lpstr>
      <vt:lpstr>JLG 600S</vt:lpstr>
      <vt:lpstr>JLG 600S (2)</vt:lpstr>
      <vt:lpstr>JLG 600S (3)</vt:lpstr>
      <vt:lpstr>JCB 510-56</vt:lpstr>
      <vt:lpstr>JCB 510-56 (2)</vt:lpstr>
      <vt:lpstr>JCB 510-56 (3)</vt:lpstr>
      <vt:lpstr>Link-Belt RTC_8065</vt:lpstr>
      <vt:lpstr>Wacker ST-45 SKID</vt:lpstr>
      <vt:lpstr>Wacker LTT6L </vt:lpstr>
      <vt:lpstr>Wacker LTT6L  (2)</vt:lpstr>
      <vt:lpstr>Wacker LTT6L  (3)</vt:lpstr>
      <vt:lpstr>Wacker LTT6L  (4)</vt:lpstr>
      <vt:lpstr>Wacker LTT6L  (5)</vt:lpstr>
      <vt:lpstr>Wacker LTT6L  (6)</vt:lpstr>
      <vt:lpstr>Wacker LTT6L  (7)</vt:lpstr>
      <vt:lpstr>Wacker LTT6L  (8)</vt:lpstr>
      <vt:lpstr>Wacker LTT6L  (9)</vt:lpstr>
      <vt:lpstr>Wacker LTT6L  (10)</vt:lpstr>
      <vt:lpstr>Wacker LTT6L  (11)</vt:lpstr>
      <vt:lpstr>Takeuchi TL10V2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accounting globalmachineryauctions.com</dc:creator>
  <cp:keywords/>
  <dc:description/>
  <cp:lastModifiedBy>Tska0734</cp:lastModifiedBy>
  <cp:revision/>
  <dcterms:created xsi:type="dcterms:W3CDTF">2025-09-19T19:20:07Z</dcterms:created>
  <dcterms:modified xsi:type="dcterms:W3CDTF">2025-12-03T13:29:30Z</dcterms:modified>
  <cp:category/>
  <cp:contentStatus/>
</cp:coreProperties>
</file>