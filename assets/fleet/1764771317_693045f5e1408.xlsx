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ECE9119A-E682-4EB1-93FA-7D9C07978BC9}" xr6:coauthVersionLast="47" xr6:coauthVersionMax="47" xr10:uidLastSave="{00000000-0000-0000-0000-000000000000}"/>
  <bookViews>
    <workbookView xWindow="-120" yWindow="-120" windowWidth="20640" windowHeight="11160" xr2:uid="{EAC116F2-D257-4308-B3E1-626B33CB1430}"/>
  </bookViews>
  <sheets>
    <sheet name="BOBCAT T750 (ATF) (2)" sheetId="35" r:id="rId1"/>
    <sheet name="BOBCAT T750 (ATF)" sheetId="28" r:id="rId2"/>
    <sheet name="BOBCAT T770 (AN8)" sheetId="32" r:id="rId3"/>
    <sheet name="BOBCAT T770 (AT5)" sheetId="31" r:id="rId4"/>
    <sheet name="BOBCAT T770 (AT6)" sheetId="29" r:id="rId5"/>
    <sheet name="BOBCAT T770 (AT6) (2)" sheetId="30" r:id="rId6"/>
    <sheet name="CAT 589 (31Z)" sheetId="15" r:id="rId7"/>
    <sheet name="KUBOTA U55-5 (JKU)" sheetId="33" r:id="rId8"/>
    <sheet name="TADANO GR-750XL-2 Crane" sheetId="3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35" l="1"/>
  <c r="K49" i="35"/>
  <c r="F49" i="35"/>
  <c r="E49" i="35"/>
  <c r="K48" i="35"/>
  <c r="J48" i="35"/>
  <c r="L48" i="35" s="1"/>
  <c r="L47" i="35"/>
  <c r="K47" i="35"/>
  <c r="J47" i="35"/>
  <c r="K46" i="35"/>
  <c r="J46" i="35"/>
  <c r="L46" i="35" s="1"/>
  <c r="L45" i="35"/>
  <c r="K45" i="35"/>
  <c r="J45" i="35"/>
  <c r="K44" i="35"/>
  <c r="J44" i="35"/>
  <c r="L44" i="35" s="1"/>
  <c r="L43" i="35"/>
  <c r="K43" i="35"/>
  <c r="J43" i="35"/>
  <c r="K42" i="35"/>
  <c r="J42" i="35"/>
  <c r="L42" i="35" s="1"/>
  <c r="L41" i="35"/>
  <c r="K41" i="35"/>
  <c r="J41" i="35"/>
  <c r="H41" i="35"/>
  <c r="G41" i="35"/>
  <c r="L40" i="35"/>
  <c r="K40" i="35"/>
  <c r="J40" i="35"/>
  <c r="L39" i="35"/>
  <c r="K39" i="35"/>
  <c r="J39" i="35"/>
  <c r="H39" i="35"/>
  <c r="G39" i="35"/>
  <c r="L38" i="35"/>
  <c r="K38" i="35"/>
  <c r="J38" i="35"/>
  <c r="L37" i="35"/>
  <c r="K37" i="35"/>
  <c r="J37" i="35"/>
  <c r="H37" i="35"/>
  <c r="G37" i="35"/>
  <c r="L36" i="35"/>
  <c r="K36" i="35"/>
  <c r="J36" i="35"/>
  <c r="L35" i="35"/>
  <c r="K35" i="35"/>
  <c r="J35" i="35"/>
  <c r="H35" i="35"/>
  <c r="G35" i="35"/>
  <c r="L34" i="35"/>
  <c r="K34" i="35"/>
  <c r="J34" i="35"/>
  <c r="L33" i="35"/>
  <c r="K33" i="35"/>
  <c r="J33" i="35"/>
  <c r="H33" i="35"/>
  <c r="G33" i="35"/>
  <c r="L32" i="35"/>
  <c r="K32" i="35"/>
  <c r="J32" i="35"/>
  <c r="L31" i="35"/>
  <c r="K31" i="35"/>
  <c r="J31" i="35"/>
  <c r="H31" i="35"/>
  <c r="G31" i="35"/>
  <c r="L30" i="35"/>
  <c r="K30" i="35"/>
  <c r="J30" i="35"/>
  <c r="L29" i="35"/>
  <c r="K29" i="35"/>
  <c r="J29" i="35"/>
  <c r="H29" i="35"/>
  <c r="G29" i="35"/>
  <c r="L28" i="35"/>
  <c r="K28" i="35"/>
  <c r="J28" i="35"/>
  <c r="L27" i="35"/>
  <c r="K27" i="35"/>
  <c r="J27" i="35"/>
  <c r="H27" i="35"/>
  <c r="G27" i="35"/>
  <c r="L26" i="35"/>
  <c r="K26" i="35"/>
  <c r="J26" i="35"/>
  <c r="L25" i="35"/>
  <c r="K25" i="35"/>
  <c r="J25" i="35"/>
  <c r="H25" i="35"/>
  <c r="G25" i="35"/>
  <c r="L24" i="35"/>
  <c r="K24" i="35"/>
  <c r="J24" i="35"/>
  <c r="L23" i="35"/>
  <c r="K23" i="35"/>
  <c r="J23" i="35"/>
  <c r="H23" i="35"/>
  <c r="G23" i="35"/>
  <c r="L22" i="35"/>
  <c r="K22" i="35"/>
  <c r="J22" i="35"/>
  <c r="L21" i="35"/>
  <c r="K21" i="35"/>
  <c r="J21" i="35"/>
  <c r="H21" i="35"/>
  <c r="G21" i="35"/>
  <c r="L20" i="35"/>
  <c r="K20" i="35"/>
  <c r="J20" i="35"/>
  <c r="L19" i="35"/>
  <c r="K19" i="35"/>
  <c r="J19" i="35"/>
  <c r="H19" i="35"/>
  <c r="G19" i="35"/>
  <c r="L18" i="35"/>
  <c r="L49" i="35" s="1"/>
  <c r="P3" i="35" s="1"/>
  <c r="K18" i="35"/>
  <c r="J18" i="35"/>
  <c r="J49" i="35" s="1"/>
  <c r="R17" i="35"/>
  <c r="R35" i="35" s="1"/>
  <c r="H17" i="35"/>
  <c r="H47" i="35" s="1"/>
  <c r="G17" i="35"/>
  <c r="D15" i="35"/>
  <c r="P10" i="35"/>
  <c r="P8" i="35"/>
  <c r="P1" i="35"/>
  <c r="Q49" i="34"/>
  <c r="F49" i="34"/>
  <c r="E49" i="34"/>
  <c r="K48" i="34"/>
  <c r="J48" i="34"/>
  <c r="L48" i="34" s="1"/>
  <c r="T48" i="34" s="1"/>
  <c r="S48" i="34" s="1"/>
  <c r="H48" i="34"/>
  <c r="R47" i="34"/>
  <c r="K47" i="34"/>
  <c r="L47" i="34" s="1"/>
  <c r="T47" i="34" s="1"/>
  <c r="S47" i="34" s="1"/>
  <c r="J47" i="34"/>
  <c r="R46" i="34"/>
  <c r="K46" i="34"/>
  <c r="J46" i="34"/>
  <c r="K45" i="34"/>
  <c r="J45" i="34"/>
  <c r="H45" i="34"/>
  <c r="R44" i="34"/>
  <c r="K44" i="34"/>
  <c r="J44" i="34"/>
  <c r="R43" i="34"/>
  <c r="K43" i="34"/>
  <c r="J43" i="34"/>
  <c r="J42" i="34"/>
  <c r="H42" i="34"/>
  <c r="R41" i="34"/>
  <c r="K41" i="34"/>
  <c r="L41" i="34" s="1"/>
  <c r="J41" i="34"/>
  <c r="R40" i="34"/>
  <c r="K40" i="34"/>
  <c r="J40" i="34"/>
  <c r="K39" i="34"/>
  <c r="J39" i="34"/>
  <c r="H39" i="34"/>
  <c r="R38" i="34"/>
  <c r="K38" i="34"/>
  <c r="J38" i="34"/>
  <c r="R37" i="34"/>
  <c r="K37" i="34"/>
  <c r="J37" i="34"/>
  <c r="K36" i="34"/>
  <c r="J36" i="34"/>
  <c r="L36" i="34" s="1"/>
  <c r="H36" i="34"/>
  <c r="R35" i="34"/>
  <c r="K35" i="34"/>
  <c r="J35" i="34"/>
  <c r="R34" i="34"/>
  <c r="K34" i="34"/>
  <c r="J34" i="34"/>
  <c r="K33" i="34"/>
  <c r="J33" i="34"/>
  <c r="H33" i="34"/>
  <c r="R32" i="34"/>
  <c r="K32" i="34"/>
  <c r="J32" i="34"/>
  <c r="R31" i="34"/>
  <c r="K31" i="34"/>
  <c r="J31" i="34"/>
  <c r="K30" i="34"/>
  <c r="J30" i="34"/>
  <c r="H30" i="34"/>
  <c r="R29" i="34"/>
  <c r="K29" i="34"/>
  <c r="J29" i="34"/>
  <c r="R28" i="34"/>
  <c r="K28" i="34"/>
  <c r="J28" i="34"/>
  <c r="K27" i="34"/>
  <c r="J27" i="34"/>
  <c r="H27" i="34"/>
  <c r="R26" i="34"/>
  <c r="K26" i="34"/>
  <c r="J26" i="34"/>
  <c r="R25" i="34"/>
  <c r="K25" i="34"/>
  <c r="V25" i="34" s="1"/>
  <c r="J25" i="34"/>
  <c r="K24" i="34"/>
  <c r="J24" i="34"/>
  <c r="H24" i="34"/>
  <c r="R23" i="34"/>
  <c r="K23" i="34"/>
  <c r="V23" i="34" s="1"/>
  <c r="J23" i="34"/>
  <c r="R22" i="34"/>
  <c r="K22" i="34"/>
  <c r="J22" i="34"/>
  <c r="K21" i="34"/>
  <c r="J21" i="34"/>
  <c r="L21" i="34" s="1"/>
  <c r="H21" i="34"/>
  <c r="R20" i="34"/>
  <c r="K20" i="34"/>
  <c r="J20" i="34"/>
  <c r="R19" i="34"/>
  <c r="K19" i="34"/>
  <c r="V19" i="34" s="1"/>
  <c r="J19" i="34"/>
  <c r="K18" i="34"/>
  <c r="J18" i="34"/>
  <c r="L18" i="34" s="1"/>
  <c r="H18" i="34"/>
  <c r="R17" i="34"/>
  <c r="R48" i="34" s="1"/>
  <c r="H17" i="34"/>
  <c r="G17" i="34"/>
  <c r="H35" i="34" s="1"/>
  <c r="D15" i="34"/>
  <c r="G48" i="34" s="1"/>
  <c r="P10" i="34"/>
  <c r="P1" i="34"/>
  <c r="P8" i="34" s="1"/>
  <c r="T22" i="35" l="1"/>
  <c r="S22" i="35" s="1"/>
  <c r="T30" i="35"/>
  <c r="S30" i="35" s="1"/>
  <c r="T38" i="35"/>
  <c r="S38" i="35" s="1"/>
  <c r="U35" i="35"/>
  <c r="V35" i="35"/>
  <c r="R48" i="35"/>
  <c r="T48" i="35" s="1"/>
  <c r="S48" i="35" s="1"/>
  <c r="R46" i="35"/>
  <c r="T46" i="35" s="1"/>
  <c r="S46" i="35" s="1"/>
  <c r="R44" i="35"/>
  <c r="T44" i="35" s="1"/>
  <c r="S44" i="35" s="1"/>
  <c r="R42" i="35"/>
  <c r="T42" i="35" s="1"/>
  <c r="S42" i="35" s="1"/>
  <c r="R40" i="35"/>
  <c r="T40" i="35" s="1"/>
  <c r="S40" i="35" s="1"/>
  <c r="R38" i="35"/>
  <c r="R36" i="35"/>
  <c r="V36" i="35" s="1"/>
  <c r="R34" i="35"/>
  <c r="T34" i="35" s="1"/>
  <c r="S34" i="35" s="1"/>
  <c r="R32" i="35"/>
  <c r="T32" i="35" s="1"/>
  <c r="S32" i="35" s="1"/>
  <c r="R30" i="35"/>
  <c r="R28" i="35"/>
  <c r="V28" i="35" s="1"/>
  <c r="R26" i="35"/>
  <c r="T26" i="35" s="1"/>
  <c r="S26" i="35" s="1"/>
  <c r="R24" i="35"/>
  <c r="T24" i="35" s="1"/>
  <c r="S24" i="35" s="1"/>
  <c r="R22" i="35"/>
  <c r="R20" i="35"/>
  <c r="V20" i="35" s="1"/>
  <c r="R18" i="35"/>
  <c r="T35" i="35"/>
  <c r="S35" i="35" s="1"/>
  <c r="T37" i="35"/>
  <c r="S37" i="35" s="1"/>
  <c r="G48" i="35"/>
  <c r="G46" i="35"/>
  <c r="G44" i="35"/>
  <c r="G42" i="35"/>
  <c r="G18" i="35"/>
  <c r="R19" i="35"/>
  <c r="G20" i="35"/>
  <c r="R21" i="35"/>
  <c r="G22" i="35"/>
  <c r="R23" i="35"/>
  <c r="R31" i="35"/>
  <c r="G34" i="35"/>
  <c r="R37" i="35"/>
  <c r="G38" i="35"/>
  <c r="R39" i="35"/>
  <c r="G43" i="35"/>
  <c r="G45" i="35"/>
  <c r="T45" i="35"/>
  <c r="S45" i="35" s="1"/>
  <c r="G47" i="35"/>
  <c r="T18" i="35"/>
  <c r="V42" i="35"/>
  <c r="U42" i="35"/>
  <c r="H43" i="35"/>
  <c r="R43" i="35"/>
  <c r="V44" i="35"/>
  <c r="H45" i="35"/>
  <c r="R45" i="35"/>
  <c r="V46" i="35"/>
  <c r="U46" i="35"/>
  <c r="R47" i="35"/>
  <c r="V48" i="35"/>
  <c r="U48" i="35"/>
  <c r="T21" i="35"/>
  <c r="S21" i="35" s="1"/>
  <c r="T23" i="35"/>
  <c r="S23" i="35" s="1"/>
  <c r="G24" i="35"/>
  <c r="R25" i="35"/>
  <c r="T25" i="35" s="1"/>
  <c r="S25" i="35" s="1"/>
  <c r="G26" i="35"/>
  <c r="R27" i="35"/>
  <c r="T27" i="35" s="1"/>
  <c r="S27" i="35" s="1"/>
  <c r="G28" i="35"/>
  <c r="R29" i="35"/>
  <c r="G30" i="35"/>
  <c r="G32" i="35"/>
  <c r="R33" i="35"/>
  <c r="G36" i="35"/>
  <c r="G40" i="35"/>
  <c r="R41" i="35"/>
  <c r="H48" i="35"/>
  <c r="H46" i="35"/>
  <c r="H44" i="35"/>
  <c r="H42" i="35"/>
  <c r="H40" i="35"/>
  <c r="H38" i="35"/>
  <c r="H36" i="35"/>
  <c r="H34" i="35"/>
  <c r="H32" i="35"/>
  <c r="H30" i="35"/>
  <c r="H28" i="35"/>
  <c r="H26" i="35"/>
  <c r="H24" i="35"/>
  <c r="H22" i="35"/>
  <c r="H20" i="35"/>
  <c r="H18" i="35"/>
  <c r="V18" i="35"/>
  <c r="U18" i="35"/>
  <c r="V22" i="35"/>
  <c r="U22" i="35"/>
  <c r="V24" i="35"/>
  <c r="U24" i="35"/>
  <c r="V26" i="35"/>
  <c r="U26" i="35"/>
  <c r="V30" i="35"/>
  <c r="U30" i="35"/>
  <c r="V32" i="35"/>
  <c r="U32" i="35"/>
  <c r="V34" i="35"/>
  <c r="U34" i="35"/>
  <c r="V38" i="35"/>
  <c r="U38" i="35"/>
  <c r="V40" i="35"/>
  <c r="U40" i="35"/>
  <c r="L24" i="34"/>
  <c r="L30" i="34"/>
  <c r="L27" i="34"/>
  <c r="L20" i="34"/>
  <c r="T20" i="34" s="1"/>
  <c r="S20" i="34" s="1"/>
  <c r="U28" i="34"/>
  <c r="L44" i="34"/>
  <c r="T44" i="34" s="1"/>
  <c r="S44" i="34" s="1"/>
  <c r="V34" i="34"/>
  <c r="L29" i="34"/>
  <c r="T29" i="34" s="1"/>
  <c r="S29" i="34" s="1"/>
  <c r="U31" i="34"/>
  <c r="L33" i="34"/>
  <c r="V35" i="34"/>
  <c r="V37" i="34"/>
  <c r="L39" i="34"/>
  <c r="T41" i="34"/>
  <c r="S41" i="34" s="1"/>
  <c r="V20" i="34"/>
  <c r="U22" i="34"/>
  <c r="L26" i="34"/>
  <c r="T26" i="34" s="1"/>
  <c r="S26" i="34" s="1"/>
  <c r="V46" i="34"/>
  <c r="L32" i="34"/>
  <c r="T32" i="34" s="1"/>
  <c r="S32" i="34" s="1"/>
  <c r="L38" i="34"/>
  <c r="T38" i="34" s="1"/>
  <c r="S38" i="34" s="1"/>
  <c r="U40" i="34"/>
  <c r="L23" i="34"/>
  <c r="T23" i="34" s="1"/>
  <c r="S23" i="34" s="1"/>
  <c r="V28" i="34"/>
  <c r="L35" i="34"/>
  <c r="T35" i="34" s="1"/>
  <c r="S35" i="34" s="1"/>
  <c r="V43" i="34"/>
  <c r="L45" i="34"/>
  <c r="T21" i="34"/>
  <c r="S21" i="34" s="1"/>
  <c r="V48" i="34"/>
  <c r="U48" i="34"/>
  <c r="V40" i="34"/>
  <c r="L19" i="34"/>
  <c r="T19" i="34" s="1"/>
  <c r="S19" i="34" s="1"/>
  <c r="G23" i="34"/>
  <c r="L25" i="34"/>
  <c r="T25" i="34" s="1"/>
  <c r="S25" i="34" s="1"/>
  <c r="G26" i="34"/>
  <c r="L28" i="34"/>
  <c r="T28" i="34" s="1"/>
  <c r="S28" i="34" s="1"/>
  <c r="L31" i="34"/>
  <c r="T31" i="34" s="1"/>
  <c r="S31" i="34" s="1"/>
  <c r="L34" i="34"/>
  <c r="T34" i="34" s="1"/>
  <c r="S34" i="34" s="1"/>
  <c r="L37" i="34"/>
  <c r="T37" i="34" s="1"/>
  <c r="S37" i="34" s="1"/>
  <c r="G41" i="34"/>
  <c r="G44" i="34"/>
  <c r="J49" i="34"/>
  <c r="H29" i="34"/>
  <c r="H38" i="34"/>
  <c r="H44" i="34"/>
  <c r="H47" i="34"/>
  <c r="G19" i="34"/>
  <c r="U20" i="34"/>
  <c r="G22" i="34"/>
  <c r="U23" i="34"/>
  <c r="G25" i="34"/>
  <c r="U26" i="34"/>
  <c r="G28" i="34"/>
  <c r="U29" i="34"/>
  <c r="G31" i="34"/>
  <c r="U32" i="34"/>
  <c r="G34" i="34"/>
  <c r="U35" i="34"/>
  <c r="G37" i="34"/>
  <c r="U38" i="34"/>
  <c r="G40" i="34"/>
  <c r="U41" i="34"/>
  <c r="G43" i="34"/>
  <c r="U44" i="34"/>
  <c r="G46" i="34"/>
  <c r="U47" i="34"/>
  <c r="V22" i="34"/>
  <c r="V31" i="34"/>
  <c r="G29" i="34"/>
  <c r="G32" i="34"/>
  <c r="L46" i="34"/>
  <c r="T46" i="34" s="1"/>
  <c r="S46" i="34" s="1"/>
  <c r="H26" i="34"/>
  <c r="H32" i="34"/>
  <c r="H41" i="34"/>
  <c r="R18" i="34"/>
  <c r="H19" i="34"/>
  <c r="R21" i="34"/>
  <c r="U21" i="34" s="1"/>
  <c r="H22" i="34"/>
  <c r="R24" i="34"/>
  <c r="U24" i="34" s="1"/>
  <c r="H25" i="34"/>
  <c r="V26" i="34"/>
  <c r="R27" i="34"/>
  <c r="U27" i="34" s="1"/>
  <c r="H28" i="34"/>
  <c r="V29" i="34"/>
  <c r="R30" i="34"/>
  <c r="U30" i="34" s="1"/>
  <c r="H31" i="34"/>
  <c r="V32" i="34"/>
  <c r="R33" i="34"/>
  <c r="U33" i="34" s="1"/>
  <c r="H34" i="34"/>
  <c r="R36" i="34"/>
  <c r="U36" i="34" s="1"/>
  <c r="H37" i="34"/>
  <c r="V38" i="34"/>
  <c r="R39" i="34"/>
  <c r="U39" i="34" s="1"/>
  <c r="H40" i="34"/>
  <c r="V41" i="34"/>
  <c r="R42" i="34"/>
  <c r="K42" i="34" s="1"/>
  <c r="K49" i="34" s="1"/>
  <c r="H43" i="34"/>
  <c r="V44" i="34"/>
  <c r="R45" i="34"/>
  <c r="U45" i="34" s="1"/>
  <c r="H46" i="34"/>
  <c r="V47" i="34"/>
  <c r="G20" i="34"/>
  <c r="L22" i="34"/>
  <c r="T22" i="34" s="1"/>
  <c r="S22" i="34" s="1"/>
  <c r="G35" i="34"/>
  <c r="G38" i="34"/>
  <c r="L40" i="34"/>
  <c r="T40" i="34" s="1"/>
  <c r="S40" i="34" s="1"/>
  <c r="L43" i="34"/>
  <c r="T43" i="34" s="1"/>
  <c r="S43" i="34" s="1"/>
  <c r="G47" i="34"/>
  <c r="H20" i="34"/>
  <c r="H23" i="34"/>
  <c r="G18" i="34"/>
  <c r="U19" i="34"/>
  <c r="G21" i="34"/>
  <c r="G24" i="34"/>
  <c r="U25" i="34"/>
  <c r="G27" i="34"/>
  <c r="G30" i="34"/>
  <c r="G33" i="34"/>
  <c r="U34" i="34"/>
  <c r="G36" i="34"/>
  <c r="U37" i="34"/>
  <c r="G39" i="34"/>
  <c r="G42" i="34"/>
  <c r="U43" i="34"/>
  <c r="G45" i="34"/>
  <c r="U46" i="34"/>
  <c r="U39" i="35" l="1"/>
  <c r="V39" i="35"/>
  <c r="U33" i="35"/>
  <c r="V33" i="35"/>
  <c r="U45" i="35"/>
  <c r="V45" i="35"/>
  <c r="U43" i="35"/>
  <c r="V43" i="35"/>
  <c r="S18" i="35"/>
  <c r="U23" i="35"/>
  <c r="V23" i="35"/>
  <c r="U19" i="35"/>
  <c r="V19" i="35"/>
  <c r="T36" i="35"/>
  <c r="S36" i="35" s="1"/>
  <c r="T28" i="35"/>
  <c r="S28" i="35" s="1"/>
  <c r="T20" i="35"/>
  <c r="S20" i="35" s="1"/>
  <c r="U25" i="35"/>
  <c r="V25" i="35"/>
  <c r="U31" i="35"/>
  <c r="V31" i="35"/>
  <c r="U36" i="35"/>
  <c r="U28" i="35"/>
  <c r="U20" i="35"/>
  <c r="H49" i="35"/>
  <c r="P2" i="35" s="1"/>
  <c r="U41" i="35"/>
  <c r="V41" i="35"/>
  <c r="U27" i="35"/>
  <c r="V27" i="35"/>
  <c r="T39" i="35"/>
  <c r="S39" i="35" s="1"/>
  <c r="U47" i="35"/>
  <c r="V47" i="35"/>
  <c r="T47" i="35"/>
  <c r="S47" i="35" s="1"/>
  <c r="T43" i="35"/>
  <c r="S43" i="35" s="1"/>
  <c r="U37" i="35"/>
  <c r="V37" i="35"/>
  <c r="G49" i="35"/>
  <c r="T19" i="35"/>
  <c r="S19" i="35" s="1"/>
  <c r="U29" i="35"/>
  <c r="V29" i="35"/>
  <c r="T29" i="35"/>
  <c r="S29" i="35" s="1"/>
  <c r="T33" i="35"/>
  <c r="S33" i="35" s="1"/>
  <c r="U44" i="35"/>
  <c r="U21" i="35"/>
  <c r="V21" i="35"/>
  <c r="T41" i="35"/>
  <c r="S41" i="35" s="1"/>
  <c r="R49" i="35"/>
  <c r="T31" i="35"/>
  <c r="S31" i="35" s="1"/>
  <c r="L42" i="34"/>
  <c r="T42" i="34" s="1"/>
  <c r="S42" i="34" s="1"/>
  <c r="V45" i="34"/>
  <c r="H49" i="34"/>
  <c r="P2" i="34" s="1"/>
  <c r="T39" i="34"/>
  <c r="S39" i="34" s="1"/>
  <c r="T24" i="34"/>
  <c r="S24" i="34" s="1"/>
  <c r="V30" i="34"/>
  <c r="T30" i="34"/>
  <c r="S30" i="34" s="1"/>
  <c r="V42" i="34"/>
  <c r="U42" i="34"/>
  <c r="T36" i="34"/>
  <c r="S36" i="34" s="1"/>
  <c r="G49" i="34"/>
  <c r="R49" i="34"/>
  <c r="U18" i="34"/>
  <c r="T33" i="34"/>
  <c r="S33" i="34" s="1"/>
  <c r="V33" i="34"/>
  <c r="V24" i="34"/>
  <c r="V36" i="34"/>
  <c r="V27" i="34"/>
  <c r="T45" i="34"/>
  <c r="S45" i="34" s="1"/>
  <c r="T18" i="34"/>
  <c r="V18" i="34"/>
  <c r="V21" i="34"/>
  <c r="T27" i="34"/>
  <c r="S27" i="34" s="1"/>
  <c r="V39" i="34"/>
  <c r="V14" i="35" l="1"/>
  <c r="P9" i="35" s="1"/>
  <c r="P7" i="35"/>
  <c r="S9" i="35" s="1"/>
  <c r="S49" i="35"/>
  <c r="P5" i="35"/>
  <c r="P4" i="35"/>
  <c r="T49" i="35"/>
  <c r="P6" i="35" s="1"/>
  <c r="L49" i="34"/>
  <c r="P3" i="34" s="1"/>
  <c r="P5" i="34" s="1"/>
  <c r="V14" i="34"/>
  <c r="P9" i="34" s="1"/>
  <c r="P7" i="34"/>
  <c r="S18" i="34"/>
  <c r="S49" i="34" s="1"/>
  <c r="T49" i="34"/>
  <c r="P6" i="34" s="1"/>
  <c r="T9" i="35" l="1"/>
  <c r="V9" i="35" s="1"/>
  <c r="U9" i="35"/>
  <c r="P4" i="34"/>
  <c r="S9" i="34"/>
  <c r="T9" i="34" l="1"/>
  <c r="V9" i="34" s="1"/>
  <c r="U9" i="34"/>
  <c r="Q49" i="33" l="1"/>
  <c r="F49" i="33"/>
  <c r="E49" i="33"/>
  <c r="P10" i="33" s="1"/>
  <c r="K48" i="33"/>
  <c r="J48" i="33"/>
  <c r="L48" i="33" s="1"/>
  <c r="G48" i="33"/>
  <c r="L47" i="33"/>
  <c r="K47" i="33"/>
  <c r="J47" i="33"/>
  <c r="K46" i="33"/>
  <c r="J46" i="33"/>
  <c r="L46" i="33" s="1"/>
  <c r="K45" i="33"/>
  <c r="J45" i="33"/>
  <c r="L45" i="33" s="1"/>
  <c r="G45" i="33"/>
  <c r="L44" i="33"/>
  <c r="K44" i="33"/>
  <c r="J44" i="33"/>
  <c r="K43" i="33"/>
  <c r="J43" i="33"/>
  <c r="L43" i="33" s="1"/>
  <c r="J42" i="33"/>
  <c r="G42" i="33"/>
  <c r="K41" i="33"/>
  <c r="L41" i="33" s="1"/>
  <c r="J41" i="33"/>
  <c r="K40" i="33"/>
  <c r="J40" i="33"/>
  <c r="K39" i="33"/>
  <c r="J39" i="33"/>
  <c r="G39" i="33"/>
  <c r="K38" i="33"/>
  <c r="L38" i="33" s="1"/>
  <c r="J38" i="33"/>
  <c r="K37" i="33"/>
  <c r="J37" i="33"/>
  <c r="L37" i="33" s="1"/>
  <c r="K36" i="33"/>
  <c r="J36" i="33"/>
  <c r="L36" i="33" s="1"/>
  <c r="G36" i="33"/>
  <c r="K35" i="33"/>
  <c r="J35" i="33"/>
  <c r="K34" i="33"/>
  <c r="J34" i="33"/>
  <c r="K33" i="33"/>
  <c r="J33" i="33"/>
  <c r="G33" i="33"/>
  <c r="K32" i="33"/>
  <c r="J32" i="33"/>
  <c r="K31" i="33"/>
  <c r="J31" i="33"/>
  <c r="K30" i="33"/>
  <c r="J30" i="33"/>
  <c r="G30" i="33"/>
  <c r="K29" i="33"/>
  <c r="L29" i="33" s="1"/>
  <c r="J29" i="33"/>
  <c r="K28" i="33"/>
  <c r="J28" i="33"/>
  <c r="K27" i="33"/>
  <c r="J27" i="33"/>
  <c r="G27" i="33"/>
  <c r="K26" i="33"/>
  <c r="J26" i="33"/>
  <c r="K25" i="33"/>
  <c r="J25" i="33"/>
  <c r="K24" i="33"/>
  <c r="J24" i="33"/>
  <c r="L24" i="33" s="1"/>
  <c r="G24" i="33"/>
  <c r="K23" i="33"/>
  <c r="J23" i="33"/>
  <c r="K22" i="33"/>
  <c r="J22" i="33"/>
  <c r="K21" i="33"/>
  <c r="J21" i="33"/>
  <c r="G21" i="33"/>
  <c r="K20" i="33"/>
  <c r="J20" i="33"/>
  <c r="R19" i="33"/>
  <c r="K19" i="33"/>
  <c r="V19" i="33" s="1"/>
  <c r="J19" i="33"/>
  <c r="K18" i="33"/>
  <c r="J18" i="33"/>
  <c r="G18" i="33"/>
  <c r="R17" i="33"/>
  <c r="R47" i="33" s="1"/>
  <c r="H17" i="33"/>
  <c r="G17" i="33"/>
  <c r="D15" i="33"/>
  <c r="G47" i="33" s="1"/>
  <c r="P1" i="33"/>
  <c r="P8" i="33" s="1"/>
  <c r="Q49" i="32"/>
  <c r="F49" i="32"/>
  <c r="E49" i="32"/>
  <c r="P10" i="32" s="1"/>
  <c r="K48" i="32"/>
  <c r="J48" i="32"/>
  <c r="R47" i="32"/>
  <c r="K47" i="32"/>
  <c r="V47" i="32" s="1"/>
  <c r="J47" i="32"/>
  <c r="R46" i="32"/>
  <c r="K46" i="32"/>
  <c r="L46" i="32" s="1"/>
  <c r="T46" i="32" s="1"/>
  <c r="S46" i="32" s="1"/>
  <c r="J46" i="32"/>
  <c r="K45" i="32"/>
  <c r="J45" i="32"/>
  <c r="R44" i="32"/>
  <c r="U44" i="32" s="1"/>
  <c r="K44" i="32"/>
  <c r="V44" i="32" s="1"/>
  <c r="J44" i="32"/>
  <c r="R43" i="32"/>
  <c r="K43" i="32"/>
  <c r="L43" i="32" s="1"/>
  <c r="T43" i="32" s="1"/>
  <c r="S43" i="32" s="1"/>
  <c r="J43" i="32"/>
  <c r="K42" i="32"/>
  <c r="J42" i="32"/>
  <c r="R41" i="32"/>
  <c r="K41" i="32"/>
  <c r="J41" i="32"/>
  <c r="R40" i="32"/>
  <c r="K40" i="32"/>
  <c r="J40" i="32"/>
  <c r="K39" i="32"/>
  <c r="J39" i="32"/>
  <c r="R38" i="32"/>
  <c r="K38" i="32"/>
  <c r="J38" i="32"/>
  <c r="R37" i="32"/>
  <c r="K37" i="32"/>
  <c r="L37" i="32" s="1"/>
  <c r="J37" i="32"/>
  <c r="K36" i="32"/>
  <c r="J36" i="32"/>
  <c r="R35" i="32"/>
  <c r="U35" i="32" s="1"/>
  <c r="K35" i="32"/>
  <c r="V35" i="32" s="1"/>
  <c r="J35" i="32"/>
  <c r="L35" i="32" s="1"/>
  <c r="T35" i="32" s="1"/>
  <c r="S35" i="32" s="1"/>
  <c r="R34" i="32"/>
  <c r="K34" i="32"/>
  <c r="L34" i="32" s="1"/>
  <c r="T34" i="32" s="1"/>
  <c r="S34" i="32" s="1"/>
  <c r="J34" i="32"/>
  <c r="G34" i="32"/>
  <c r="K33" i="32"/>
  <c r="J33" i="32"/>
  <c r="R32" i="32"/>
  <c r="K32" i="32"/>
  <c r="V32" i="32" s="1"/>
  <c r="J32" i="32"/>
  <c r="R31" i="32"/>
  <c r="K31" i="32"/>
  <c r="L31" i="32" s="1"/>
  <c r="T31" i="32" s="1"/>
  <c r="S31" i="32" s="1"/>
  <c r="J31" i="32"/>
  <c r="G31" i="32"/>
  <c r="K30" i="32"/>
  <c r="J30" i="32"/>
  <c r="R29" i="32"/>
  <c r="K29" i="32"/>
  <c r="V29" i="32" s="1"/>
  <c r="J29" i="32"/>
  <c r="R28" i="32"/>
  <c r="K28" i="32"/>
  <c r="L28" i="32" s="1"/>
  <c r="T28" i="32" s="1"/>
  <c r="S28" i="32" s="1"/>
  <c r="J28" i="32"/>
  <c r="G28" i="32"/>
  <c r="K27" i="32"/>
  <c r="J27" i="32"/>
  <c r="R26" i="32"/>
  <c r="K26" i="32"/>
  <c r="V26" i="32" s="1"/>
  <c r="J26" i="32"/>
  <c r="R25" i="32"/>
  <c r="K25" i="32"/>
  <c r="V25" i="32" s="1"/>
  <c r="J25" i="32"/>
  <c r="G25" i="32"/>
  <c r="K24" i="32"/>
  <c r="J24" i="32"/>
  <c r="R23" i="32"/>
  <c r="U23" i="32" s="1"/>
  <c r="K23" i="32"/>
  <c r="V23" i="32" s="1"/>
  <c r="J23" i="32"/>
  <c r="R22" i="32"/>
  <c r="K22" i="32"/>
  <c r="V22" i="32" s="1"/>
  <c r="J22" i="32"/>
  <c r="G22" i="32"/>
  <c r="K21" i="32"/>
  <c r="J21" i="32"/>
  <c r="R20" i="32"/>
  <c r="K20" i="32"/>
  <c r="V20" i="32" s="1"/>
  <c r="J20" i="32"/>
  <c r="R19" i="32"/>
  <c r="K19" i="32"/>
  <c r="J19" i="32"/>
  <c r="G19" i="32"/>
  <c r="K18" i="32"/>
  <c r="J18" i="32"/>
  <c r="R17" i="32"/>
  <c r="R48" i="32" s="1"/>
  <c r="H17" i="32"/>
  <c r="G17" i="32"/>
  <c r="H24" i="32" s="1"/>
  <c r="D15" i="32"/>
  <c r="G47" i="32" s="1"/>
  <c r="P1" i="32"/>
  <c r="P8" i="32" s="1"/>
  <c r="L40" i="33" l="1"/>
  <c r="L27" i="33"/>
  <c r="L28" i="33"/>
  <c r="L33" i="33"/>
  <c r="U47" i="32"/>
  <c r="L47" i="32"/>
  <c r="T47" i="32" s="1"/>
  <c r="S47" i="32" s="1"/>
  <c r="L41" i="32"/>
  <c r="T41" i="32" s="1"/>
  <c r="S41" i="32" s="1"/>
  <c r="L38" i="32"/>
  <c r="T38" i="32" s="1"/>
  <c r="S38" i="32" s="1"/>
  <c r="L20" i="32"/>
  <c r="T20" i="32" s="1"/>
  <c r="S20" i="32" s="1"/>
  <c r="U20" i="32"/>
  <c r="L26" i="32"/>
  <c r="T26" i="32" s="1"/>
  <c r="S26" i="32" s="1"/>
  <c r="L32" i="32"/>
  <c r="T32" i="32" s="1"/>
  <c r="S32" i="32" s="1"/>
  <c r="L23" i="32"/>
  <c r="T23" i="32" s="1"/>
  <c r="S23" i="32" s="1"/>
  <c r="U26" i="32"/>
  <c r="U32" i="32"/>
  <c r="L29" i="32"/>
  <c r="T29" i="32" s="1"/>
  <c r="S29" i="32" s="1"/>
  <c r="L39" i="33"/>
  <c r="L35" i="33"/>
  <c r="T35" i="33" s="1"/>
  <c r="S35" i="33" s="1"/>
  <c r="L34" i="33"/>
  <c r="L25" i="33"/>
  <c r="L30" i="33"/>
  <c r="L32" i="33"/>
  <c r="L31" i="33"/>
  <c r="L22" i="33"/>
  <c r="U19" i="33"/>
  <c r="J49" i="33"/>
  <c r="L20" i="33"/>
  <c r="L23" i="33"/>
  <c r="L19" i="33"/>
  <c r="T19" i="33" s="1"/>
  <c r="S19" i="33" s="1"/>
  <c r="L21" i="33"/>
  <c r="L26" i="33"/>
  <c r="V40" i="33"/>
  <c r="U45" i="33"/>
  <c r="T46" i="33"/>
  <c r="S46" i="33" s="1"/>
  <c r="H48" i="33"/>
  <c r="H39" i="33"/>
  <c r="H33" i="33"/>
  <c r="H18" i="33"/>
  <c r="H45" i="33"/>
  <c r="H42" i="33"/>
  <c r="H36" i="33"/>
  <c r="H30" i="33"/>
  <c r="H27" i="33"/>
  <c r="H24" i="33"/>
  <c r="H21" i="33"/>
  <c r="H46" i="33"/>
  <c r="H43" i="33"/>
  <c r="H40" i="33"/>
  <c r="H37" i="33"/>
  <c r="H34" i="33"/>
  <c r="H31" i="33"/>
  <c r="H28" i="33"/>
  <c r="H25" i="33"/>
  <c r="H22" i="33"/>
  <c r="H19" i="33"/>
  <c r="H47" i="33"/>
  <c r="H44" i="33"/>
  <c r="H41" i="33"/>
  <c r="H38" i="33"/>
  <c r="H35" i="33"/>
  <c r="H32" i="33"/>
  <c r="H29" i="33"/>
  <c r="H26" i="33"/>
  <c r="H23" i="33"/>
  <c r="H20" i="33"/>
  <c r="U48" i="33"/>
  <c r="V43" i="33"/>
  <c r="T44" i="33"/>
  <c r="S44" i="33" s="1"/>
  <c r="V47" i="33"/>
  <c r="T27" i="33"/>
  <c r="S27" i="33" s="1"/>
  <c r="T43" i="33"/>
  <c r="S43" i="33" s="1"/>
  <c r="T45" i="33"/>
  <c r="S45" i="33" s="1"/>
  <c r="T47" i="33"/>
  <c r="S47" i="33" s="1"/>
  <c r="R22" i="33"/>
  <c r="U22" i="33" s="1"/>
  <c r="R25" i="33"/>
  <c r="U25" i="33" s="1"/>
  <c r="V27" i="33"/>
  <c r="R28" i="33"/>
  <c r="U28" i="33" s="1"/>
  <c r="R31" i="33"/>
  <c r="U31" i="33" s="1"/>
  <c r="R34" i="33"/>
  <c r="U34" i="33" s="1"/>
  <c r="V36" i="33"/>
  <c r="R37" i="33"/>
  <c r="U37" i="33" s="1"/>
  <c r="R40" i="33"/>
  <c r="U40" i="33" s="1"/>
  <c r="R43" i="33"/>
  <c r="U43" i="33" s="1"/>
  <c r="V45" i="33"/>
  <c r="R46" i="33"/>
  <c r="U46" i="33" s="1"/>
  <c r="V48" i="33"/>
  <c r="L18" i="33"/>
  <c r="G19" i="33"/>
  <c r="G22" i="33"/>
  <c r="G25" i="33"/>
  <c r="G28" i="33"/>
  <c r="G31" i="33"/>
  <c r="G34" i="33"/>
  <c r="G37" i="33"/>
  <c r="G40" i="33"/>
  <c r="U41" i="33"/>
  <c r="G43" i="33"/>
  <c r="U44" i="33"/>
  <c r="G46" i="33"/>
  <c r="U47" i="33"/>
  <c r="R18" i="33"/>
  <c r="U18" i="33" s="1"/>
  <c r="R21" i="33"/>
  <c r="U21" i="33" s="1"/>
  <c r="R24" i="33"/>
  <c r="T24" i="33" s="1"/>
  <c r="S24" i="33" s="1"/>
  <c r="R27" i="33"/>
  <c r="U27" i="33" s="1"/>
  <c r="R30" i="33"/>
  <c r="T30" i="33" s="1"/>
  <c r="S30" i="33" s="1"/>
  <c r="R33" i="33"/>
  <c r="V33" i="33" s="1"/>
  <c r="R36" i="33"/>
  <c r="T36" i="33" s="1"/>
  <c r="S36" i="33" s="1"/>
  <c r="R39" i="33"/>
  <c r="V39" i="33" s="1"/>
  <c r="R42" i="33"/>
  <c r="K42" i="33" s="1"/>
  <c r="L42" i="33" s="1"/>
  <c r="T42" i="33" s="1"/>
  <c r="S42" i="33" s="1"/>
  <c r="R45" i="33"/>
  <c r="R48" i="33"/>
  <c r="T48" i="33" s="1"/>
  <c r="S48" i="33" s="1"/>
  <c r="R20" i="33"/>
  <c r="R23" i="33"/>
  <c r="V23" i="33" s="1"/>
  <c r="R26" i="33"/>
  <c r="R29" i="33"/>
  <c r="T29" i="33" s="1"/>
  <c r="S29" i="33" s="1"/>
  <c r="R35" i="33"/>
  <c r="V35" i="33" s="1"/>
  <c r="R44" i="33"/>
  <c r="V44" i="33" s="1"/>
  <c r="R32" i="33"/>
  <c r="R38" i="33"/>
  <c r="T38" i="33" s="1"/>
  <c r="S38" i="33" s="1"/>
  <c r="R41" i="33"/>
  <c r="V41" i="33" s="1"/>
  <c r="G20" i="33"/>
  <c r="G23" i="33"/>
  <c r="G26" i="33"/>
  <c r="G29" i="33"/>
  <c r="G32" i="33"/>
  <c r="G35" i="33"/>
  <c r="G38" i="33"/>
  <c r="G41" i="33"/>
  <c r="G44" i="33"/>
  <c r="L44" i="32"/>
  <c r="T44" i="32" s="1"/>
  <c r="S44" i="32" s="1"/>
  <c r="J49" i="32"/>
  <c r="L40" i="32"/>
  <c r="T40" i="32" s="1"/>
  <c r="S40" i="32" s="1"/>
  <c r="V41" i="32"/>
  <c r="V38" i="32"/>
  <c r="U38" i="32"/>
  <c r="T37" i="32"/>
  <c r="S37" i="32" s="1"/>
  <c r="U41" i="32"/>
  <c r="U29" i="32"/>
  <c r="V19" i="32"/>
  <c r="L18" i="32"/>
  <c r="K49" i="32"/>
  <c r="H48" i="32"/>
  <c r="U30" i="32"/>
  <c r="H18" i="32"/>
  <c r="L19" i="32"/>
  <c r="T19" i="32" s="1"/>
  <c r="S19" i="32" s="1"/>
  <c r="U19" i="32"/>
  <c r="H21" i="32"/>
  <c r="L22" i="32"/>
  <c r="T22" i="32" s="1"/>
  <c r="S22" i="32" s="1"/>
  <c r="U22" i="32"/>
  <c r="L25" i="32"/>
  <c r="T25" i="32" s="1"/>
  <c r="S25" i="32" s="1"/>
  <c r="U25" i="32"/>
  <c r="U48" i="32"/>
  <c r="U21" i="32"/>
  <c r="H45" i="32"/>
  <c r="H42" i="32"/>
  <c r="H39" i="32"/>
  <c r="H36" i="32"/>
  <c r="H33" i="32"/>
  <c r="H30" i="32"/>
  <c r="H27" i="32"/>
  <c r="H41" i="32"/>
  <c r="H38" i="32"/>
  <c r="H35" i="32"/>
  <c r="H29" i="32"/>
  <c r="H26" i="32"/>
  <c r="H20" i="32"/>
  <c r="H47" i="32"/>
  <c r="H44" i="32"/>
  <c r="H32" i="32"/>
  <c r="H23" i="32"/>
  <c r="V30" i="32"/>
  <c r="V39" i="32"/>
  <c r="L21" i="32"/>
  <c r="T21" i="32" s="1"/>
  <c r="S21" i="32" s="1"/>
  <c r="L27" i="32"/>
  <c r="T27" i="32" s="1"/>
  <c r="S27" i="32" s="1"/>
  <c r="L36" i="32"/>
  <c r="L39" i="32"/>
  <c r="T39" i="32" s="1"/>
  <c r="S39" i="32" s="1"/>
  <c r="L42" i="32"/>
  <c r="L45" i="32"/>
  <c r="R18" i="32"/>
  <c r="H19" i="32"/>
  <c r="R21" i="32"/>
  <c r="H22" i="32"/>
  <c r="R24" i="32"/>
  <c r="V24" i="32" s="1"/>
  <c r="H25" i="32"/>
  <c r="R27" i="32"/>
  <c r="U27" i="32" s="1"/>
  <c r="H28" i="32"/>
  <c r="R30" i="32"/>
  <c r="H31" i="32"/>
  <c r="R33" i="32"/>
  <c r="U33" i="32" s="1"/>
  <c r="H34" i="32"/>
  <c r="R36" i="32"/>
  <c r="U36" i="32" s="1"/>
  <c r="H37" i="32"/>
  <c r="R39" i="32"/>
  <c r="U39" i="32" s="1"/>
  <c r="H40" i="32"/>
  <c r="R42" i="32"/>
  <c r="V42" i="32" s="1"/>
  <c r="H43" i="32"/>
  <c r="R45" i="32"/>
  <c r="U45" i="32" s="1"/>
  <c r="H46" i="32"/>
  <c r="V21" i="32"/>
  <c r="V33" i="32"/>
  <c r="V48" i="32"/>
  <c r="L24" i="32"/>
  <c r="L30" i="32"/>
  <c r="T30" i="32" s="1"/>
  <c r="S30" i="32" s="1"/>
  <c r="L33" i="32"/>
  <c r="G37" i="32"/>
  <c r="G40" i="32"/>
  <c r="G43" i="32"/>
  <c r="G46" i="32"/>
  <c r="L48" i="32"/>
  <c r="T48" i="32" s="1"/>
  <c r="S48" i="32" s="1"/>
  <c r="G18" i="32"/>
  <c r="G21" i="32"/>
  <c r="G24" i="32"/>
  <c r="G27" i="32"/>
  <c r="U28" i="32"/>
  <c r="G30" i="32"/>
  <c r="U31" i="32"/>
  <c r="G33" i="32"/>
  <c r="U34" i="32"/>
  <c r="G36" i="32"/>
  <c r="U37" i="32"/>
  <c r="G39" i="32"/>
  <c r="U40" i="32"/>
  <c r="G42" i="32"/>
  <c r="U43" i="32"/>
  <c r="G45" i="32"/>
  <c r="U46" i="32"/>
  <c r="G48" i="32"/>
  <c r="V28" i="32"/>
  <c r="V31" i="32"/>
  <c r="V34" i="32"/>
  <c r="V37" i="32"/>
  <c r="V43" i="32"/>
  <c r="V40" i="32"/>
  <c r="V46" i="32"/>
  <c r="G20" i="32"/>
  <c r="G23" i="32"/>
  <c r="G26" i="32"/>
  <c r="G29" i="32"/>
  <c r="G32" i="32"/>
  <c r="G35" i="32"/>
  <c r="G38" i="32"/>
  <c r="G41" i="32"/>
  <c r="G44" i="32"/>
  <c r="Q49" i="31"/>
  <c r="F49" i="31"/>
  <c r="E49" i="31"/>
  <c r="P10" i="31" s="1"/>
  <c r="L48" i="31"/>
  <c r="K48" i="31"/>
  <c r="J48" i="31"/>
  <c r="G48" i="31"/>
  <c r="K47" i="31"/>
  <c r="J47" i="31"/>
  <c r="L47" i="31" s="1"/>
  <c r="K46" i="31"/>
  <c r="J46" i="31"/>
  <c r="G46" i="31"/>
  <c r="K45" i="31"/>
  <c r="J45" i="31"/>
  <c r="L45" i="31" s="1"/>
  <c r="G45" i="31"/>
  <c r="K44" i="31"/>
  <c r="J44" i="31"/>
  <c r="K43" i="31"/>
  <c r="J43" i="31"/>
  <c r="G43" i="31"/>
  <c r="K42" i="31"/>
  <c r="J42" i="31"/>
  <c r="G42" i="31"/>
  <c r="K41" i="31"/>
  <c r="J41" i="31"/>
  <c r="K40" i="31"/>
  <c r="J40" i="31"/>
  <c r="G40" i="31"/>
  <c r="K39" i="31"/>
  <c r="J39" i="31"/>
  <c r="G39" i="31"/>
  <c r="K38" i="31"/>
  <c r="J38" i="31"/>
  <c r="K37" i="31"/>
  <c r="J37" i="31"/>
  <c r="G37" i="31"/>
  <c r="K36" i="31"/>
  <c r="J36" i="31"/>
  <c r="L36" i="31" s="1"/>
  <c r="G36" i="31"/>
  <c r="K35" i="31"/>
  <c r="J35" i="31"/>
  <c r="K34" i="31"/>
  <c r="J34" i="31"/>
  <c r="G34" i="31"/>
  <c r="K33" i="31"/>
  <c r="J33" i="31"/>
  <c r="G33" i="31"/>
  <c r="K32" i="31"/>
  <c r="J32" i="31"/>
  <c r="K31" i="31"/>
  <c r="J31" i="31"/>
  <c r="G31" i="31"/>
  <c r="K30" i="31"/>
  <c r="J30" i="31"/>
  <c r="G30" i="31"/>
  <c r="K29" i="31"/>
  <c r="J29" i="31"/>
  <c r="K28" i="31"/>
  <c r="J28" i="31"/>
  <c r="G28" i="31"/>
  <c r="K27" i="31"/>
  <c r="J27" i="31"/>
  <c r="L27" i="31" s="1"/>
  <c r="G27" i="31"/>
  <c r="K26" i="31"/>
  <c r="J26" i="31"/>
  <c r="K25" i="31"/>
  <c r="J25" i="31"/>
  <c r="G25" i="31"/>
  <c r="K24" i="31"/>
  <c r="J24" i="31"/>
  <c r="G24" i="31"/>
  <c r="K23" i="31"/>
  <c r="J23" i="31"/>
  <c r="K22" i="31"/>
  <c r="J22" i="31"/>
  <c r="G22" i="31"/>
  <c r="K21" i="31"/>
  <c r="J21" i="31"/>
  <c r="G21" i="31"/>
  <c r="K20" i="31"/>
  <c r="J20" i="31"/>
  <c r="K19" i="31"/>
  <c r="J19" i="31"/>
  <c r="G19" i="31"/>
  <c r="K18" i="31"/>
  <c r="J18" i="31"/>
  <c r="G18" i="31"/>
  <c r="R17" i="31"/>
  <c r="R24" i="31" s="1"/>
  <c r="H17" i="31"/>
  <c r="H28" i="31" s="1"/>
  <c r="G17" i="31"/>
  <c r="D15" i="31"/>
  <c r="G47" i="31" s="1"/>
  <c r="P1" i="31"/>
  <c r="P8" i="31" s="1"/>
  <c r="Q49" i="30"/>
  <c r="F49" i="30"/>
  <c r="E49" i="30"/>
  <c r="K48" i="30"/>
  <c r="J48" i="30"/>
  <c r="L48" i="30" s="1"/>
  <c r="G48" i="30"/>
  <c r="K47" i="30"/>
  <c r="J47" i="30"/>
  <c r="K46" i="30"/>
  <c r="J46" i="30"/>
  <c r="L46" i="30" s="1"/>
  <c r="H46" i="30"/>
  <c r="K45" i="30"/>
  <c r="J45" i="30"/>
  <c r="L45" i="30" s="1"/>
  <c r="H45" i="30"/>
  <c r="G45" i="30"/>
  <c r="K44" i="30"/>
  <c r="J44" i="30"/>
  <c r="K43" i="30"/>
  <c r="J43" i="30"/>
  <c r="L43" i="30" s="1"/>
  <c r="H43" i="30"/>
  <c r="K42" i="30"/>
  <c r="J42" i="30"/>
  <c r="H42" i="30"/>
  <c r="G42" i="30"/>
  <c r="K41" i="30"/>
  <c r="J41" i="30"/>
  <c r="K40" i="30"/>
  <c r="J40" i="30"/>
  <c r="L40" i="30" s="1"/>
  <c r="H40" i="30"/>
  <c r="K39" i="30"/>
  <c r="J39" i="30"/>
  <c r="L39" i="30" s="1"/>
  <c r="H39" i="30"/>
  <c r="G39" i="30"/>
  <c r="K38" i="30"/>
  <c r="J38" i="30"/>
  <c r="K37" i="30"/>
  <c r="J37" i="30"/>
  <c r="L37" i="30" s="1"/>
  <c r="H37" i="30"/>
  <c r="K36" i="30"/>
  <c r="J36" i="30"/>
  <c r="L36" i="30" s="1"/>
  <c r="H36" i="30"/>
  <c r="G36" i="30"/>
  <c r="K35" i="30"/>
  <c r="J35" i="30"/>
  <c r="K34" i="30"/>
  <c r="J34" i="30"/>
  <c r="L34" i="30" s="1"/>
  <c r="H34" i="30"/>
  <c r="K33" i="30"/>
  <c r="V33" i="30" s="1"/>
  <c r="J33" i="30"/>
  <c r="L33" i="30" s="1"/>
  <c r="H33" i="30"/>
  <c r="G33" i="30"/>
  <c r="K32" i="30"/>
  <c r="J32" i="30"/>
  <c r="K31" i="30"/>
  <c r="J31" i="30"/>
  <c r="L31" i="30" s="1"/>
  <c r="H31" i="30"/>
  <c r="K30" i="30"/>
  <c r="J30" i="30"/>
  <c r="L30" i="30" s="1"/>
  <c r="H30" i="30"/>
  <c r="G30" i="30"/>
  <c r="K29" i="30"/>
  <c r="L29" i="30" s="1"/>
  <c r="J29" i="30"/>
  <c r="K28" i="30"/>
  <c r="J28" i="30"/>
  <c r="L28" i="30" s="1"/>
  <c r="H28" i="30"/>
  <c r="K27" i="30"/>
  <c r="J27" i="30"/>
  <c r="L27" i="30" s="1"/>
  <c r="H27" i="30"/>
  <c r="G27" i="30"/>
  <c r="K26" i="30"/>
  <c r="J26" i="30"/>
  <c r="K25" i="30"/>
  <c r="J25" i="30"/>
  <c r="L25" i="30" s="1"/>
  <c r="H25" i="30"/>
  <c r="K24" i="30"/>
  <c r="J24" i="30"/>
  <c r="L24" i="30" s="1"/>
  <c r="H24" i="30"/>
  <c r="G24" i="30"/>
  <c r="K23" i="30"/>
  <c r="L23" i="30" s="1"/>
  <c r="J23" i="30"/>
  <c r="K22" i="30"/>
  <c r="J22" i="30"/>
  <c r="L22" i="30" s="1"/>
  <c r="H22" i="30"/>
  <c r="K21" i="30"/>
  <c r="J21" i="30"/>
  <c r="L21" i="30" s="1"/>
  <c r="H21" i="30"/>
  <c r="G21" i="30"/>
  <c r="K20" i="30"/>
  <c r="J20" i="30"/>
  <c r="K19" i="30"/>
  <c r="J19" i="30"/>
  <c r="L19" i="30" s="1"/>
  <c r="H19" i="30"/>
  <c r="K18" i="30"/>
  <c r="J18" i="30"/>
  <c r="J49" i="30" s="1"/>
  <c r="H18" i="30"/>
  <c r="G18" i="30"/>
  <c r="R17" i="30"/>
  <c r="R33" i="30" s="1"/>
  <c r="U33" i="30" s="1"/>
  <c r="H17" i="30"/>
  <c r="H48" i="30" s="1"/>
  <c r="G17" i="30"/>
  <c r="D15" i="30"/>
  <c r="G47" i="30" s="1"/>
  <c r="P10" i="30"/>
  <c r="P1" i="30"/>
  <c r="P8" i="30" s="1"/>
  <c r="L42" i="30" l="1"/>
  <c r="K49" i="30"/>
  <c r="L18" i="31"/>
  <c r="L19" i="31"/>
  <c r="L26" i="31"/>
  <c r="L28" i="31"/>
  <c r="L35" i="31"/>
  <c r="L37" i="31"/>
  <c r="L46" i="31"/>
  <c r="L24" i="31"/>
  <c r="L33" i="31"/>
  <c r="L42" i="31"/>
  <c r="K49" i="33"/>
  <c r="T31" i="33"/>
  <c r="S31" i="33" s="1"/>
  <c r="V29" i="33"/>
  <c r="U35" i="33"/>
  <c r="T33" i="33"/>
  <c r="S33" i="33" s="1"/>
  <c r="U33" i="33"/>
  <c r="V25" i="33"/>
  <c r="U24" i="33"/>
  <c r="T32" i="33"/>
  <c r="S32" i="33" s="1"/>
  <c r="G49" i="33"/>
  <c r="T26" i="33"/>
  <c r="S26" i="33" s="1"/>
  <c r="T22" i="33"/>
  <c r="S22" i="33" s="1"/>
  <c r="V22" i="33"/>
  <c r="T20" i="33"/>
  <c r="S20" i="33" s="1"/>
  <c r="V34" i="33"/>
  <c r="U36" i="33"/>
  <c r="V46" i="33"/>
  <c r="V26" i="33"/>
  <c r="U38" i="33"/>
  <c r="U29" i="33"/>
  <c r="U20" i="33"/>
  <c r="V24" i="33"/>
  <c r="T40" i="33"/>
  <c r="S40" i="33" s="1"/>
  <c r="T34" i="33"/>
  <c r="S34" i="33" s="1"/>
  <c r="T23" i="33"/>
  <c r="S23" i="33" s="1"/>
  <c r="U30" i="33"/>
  <c r="V38" i="33"/>
  <c r="V20" i="33"/>
  <c r="U32" i="33"/>
  <c r="U23" i="33"/>
  <c r="T37" i="33"/>
  <c r="S37" i="33" s="1"/>
  <c r="T39" i="33"/>
  <c r="S39" i="33" s="1"/>
  <c r="H49" i="33"/>
  <c r="P2" i="33" s="1"/>
  <c r="R49" i="33"/>
  <c r="V28" i="33"/>
  <c r="U42" i="33"/>
  <c r="V42" i="33"/>
  <c r="V37" i="33"/>
  <c r="V31" i="33"/>
  <c r="T41" i="33"/>
  <c r="S41" i="33" s="1"/>
  <c r="T28" i="33"/>
  <c r="S28" i="33" s="1"/>
  <c r="T25" i="33"/>
  <c r="S25" i="33" s="1"/>
  <c r="U39" i="33"/>
  <c r="T21" i="33"/>
  <c r="S21" i="33" s="1"/>
  <c r="V32" i="33"/>
  <c r="U26" i="33"/>
  <c r="T18" i="33"/>
  <c r="L49" i="33"/>
  <c r="P3" i="33" s="1"/>
  <c r="V30" i="33"/>
  <c r="V21" i="33"/>
  <c r="V18" i="33"/>
  <c r="L44" i="31"/>
  <c r="T24" i="32"/>
  <c r="S24" i="32" s="1"/>
  <c r="R49" i="32"/>
  <c r="V27" i="32"/>
  <c r="U42" i="32"/>
  <c r="T45" i="32"/>
  <c r="S45" i="32" s="1"/>
  <c r="V45" i="32"/>
  <c r="U24" i="32"/>
  <c r="V18" i="32"/>
  <c r="T42" i="32"/>
  <c r="S42" i="32" s="1"/>
  <c r="H49" i="32"/>
  <c r="P2" i="32" s="1"/>
  <c r="L49" i="32"/>
  <c r="P3" i="32" s="1"/>
  <c r="T18" i="32"/>
  <c r="G49" i="32"/>
  <c r="T33" i="32"/>
  <c r="S33" i="32" s="1"/>
  <c r="T36" i="32"/>
  <c r="S36" i="32" s="1"/>
  <c r="V36" i="32"/>
  <c r="U18" i="32"/>
  <c r="L20" i="31"/>
  <c r="L22" i="31"/>
  <c r="L31" i="31"/>
  <c r="L38" i="31"/>
  <c r="L40" i="31"/>
  <c r="L25" i="31"/>
  <c r="L32" i="31"/>
  <c r="L34" i="31"/>
  <c r="L41" i="31"/>
  <c r="L43" i="31"/>
  <c r="L21" i="31"/>
  <c r="L30" i="31"/>
  <c r="L39" i="31"/>
  <c r="J49" i="31"/>
  <c r="R21" i="31"/>
  <c r="V21" i="31" s="1"/>
  <c r="R27" i="31"/>
  <c r="U27" i="31" s="1"/>
  <c r="L23" i="31"/>
  <c r="U24" i="31"/>
  <c r="L29" i="31"/>
  <c r="H22" i="31"/>
  <c r="T24" i="31"/>
  <c r="S24" i="31" s="1"/>
  <c r="H48" i="31"/>
  <c r="H45" i="31"/>
  <c r="H42" i="31"/>
  <c r="H39" i="31"/>
  <c r="H36" i="31"/>
  <c r="H33" i="31"/>
  <c r="H30" i="31"/>
  <c r="H27" i="31"/>
  <c r="H24" i="31"/>
  <c r="H21" i="31"/>
  <c r="H18" i="31"/>
  <c r="H47" i="31"/>
  <c r="H44" i="31"/>
  <c r="H41" i="31"/>
  <c r="H38" i="31"/>
  <c r="H35" i="31"/>
  <c r="H32" i="31"/>
  <c r="H29" i="31"/>
  <c r="H26" i="31"/>
  <c r="H23" i="31"/>
  <c r="H20" i="31"/>
  <c r="H46" i="31"/>
  <c r="H43" i="31"/>
  <c r="H40" i="31"/>
  <c r="H37" i="31"/>
  <c r="H34" i="31"/>
  <c r="H31" i="31"/>
  <c r="R18" i="31"/>
  <c r="V18" i="31" s="1"/>
  <c r="V22" i="31"/>
  <c r="R47" i="31"/>
  <c r="U47" i="31" s="1"/>
  <c r="R44" i="31"/>
  <c r="U44" i="31" s="1"/>
  <c r="R41" i="31"/>
  <c r="U41" i="31" s="1"/>
  <c r="R38" i="31"/>
  <c r="U38" i="31" s="1"/>
  <c r="R35" i="31"/>
  <c r="U35" i="31" s="1"/>
  <c r="R32" i="31"/>
  <c r="U32" i="31" s="1"/>
  <c r="R29" i="31"/>
  <c r="U29" i="31" s="1"/>
  <c r="R26" i="31"/>
  <c r="U26" i="31" s="1"/>
  <c r="R23" i="31"/>
  <c r="U23" i="31" s="1"/>
  <c r="R20" i="31"/>
  <c r="U20" i="31" s="1"/>
  <c r="R48" i="31"/>
  <c r="U48" i="31" s="1"/>
  <c r="R46" i="31"/>
  <c r="U46" i="31" s="1"/>
  <c r="R43" i="31"/>
  <c r="U43" i="31" s="1"/>
  <c r="R40" i="31"/>
  <c r="U40" i="31" s="1"/>
  <c r="R37" i="31"/>
  <c r="U37" i="31" s="1"/>
  <c r="R34" i="31"/>
  <c r="U34" i="31" s="1"/>
  <c r="R31" i="31"/>
  <c r="U31" i="31" s="1"/>
  <c r="R28" i="31"/>
  <c r="U28" i="31" s="1"/>
  <c r="R25" i="31"/>
  <c r="R22" i="31"/>
  <c r="U22" i="31" s="1"/>
  <c r="R19" i="31"/>
  <c r="V19" i="31" s="1"/>
  <c r="R45" i="31"/>
  <c r="U45" i="31" s="1"/>
  <c r="R42" i="31"/>
  <c r="U42" i="31" s="1"/>
  <c r="R39" i="31"/>
  <c r="R36" i="31"/>
  <c r="V36" i="31" s="1"/>
  <c r="R33" i="31"/>
  <c r="R30" i="31"/>
  <c r="V30" i="31" s="1"/>
  <c r="H19" i="31"/>
  <c r="H25" i="31"/>
  <c r="V24" i="31"/>
  <c r="V27" i="31"/>
  <c r="K49" i="31"/>
  <c r="G20" i="31"/>
  <c r="G23" i="31"/>
  <c r="G26" i="31"/>
  <c r="G29" i="31"/>
  <c r="G32" i="31"/>
  <c r="G35" i="31"/>
  <c r="G38" i="31"/>
  <c r="G41" i="31"/>
  <c r="G44" i="31"/>
  <c r="V19" i="30"/>
  <c r="V37" i="30"/>
  <c r="U20" i="30"/>
  <c r="T22" i="30"/>
  <c r="S22" i="30" s="1"/>
  <c r="V26" i="30"/>
  <c r="V32" i="30"/>
  <c r="U44" i="30"/>
  <c r="T46" i="30"/>
  <c r="S46" i="30" s="1"/>
  <c r="V21" i="30"/>
  <c r="V22" i="30"/>
  <c r="V24" i="30"/>
  <c r="V30" i="30"/>
  <c r="V40" i="30"/>
  <c r="V27" i="30"/>
  <c r="V39" i="30"/>
  <c r="T19" i="30"/>
  <c r="S19" i="30" s="1"/>
  <c r="T23" i="30"/>
  <c r="S23" i="30" s="1"/>
  <c r="T31" i="30"/>
  <c r="S31" i="30" s="1"/>
  <c r="T33" i="30"/>
  <c r="S33" i="30" s="1"/>
  <c r="V35" i="30"/>
  <c r="U41" i="30"/>
  <c r="R24" i="30"/>
  <c r="U24" i="30" s="1"/>
  <c r="R39" i="30"/>
  <c r="U39" i="30" s="1"/>
  <c r="L26" i="30"/>
  <c r="T26" i="30" s="1"/>
  <c r="S26" i="30" s="1"/>
  <c r="L35" i="30"/>
  <c r="L38" i="30"/>
  <c r="L44" i="30"/>
  <c r="T44" i="30" s="1"/>
  <c r="S44" i="30" s="1"/>
  <c r="V18" i="30"/>
  <c r="R19" i="30"/>
  <c r="U19" i="30" s="1"/>
  <c r="H20" i="30"/>
  <c r="H49" i="30" s="1"/>
  <c r="P2" i="30" s="1"/>
  <c r="R22" i="30"/>
  <c r="U22" i="30" s="1"/>
  <c r="H23" i="30"/>
  <c r="R25" i="30"/>
  <c r="U25" i="30" s="1"/>
  <c r="H26" i="30"/>
  <c r="R28" i="30"/>
  <c r="U28" i="30" s="1"/>
  <c r="H29" i="30"/>
  <c r="R31" i="30"/>
  <c r="U31" i="30" s="1"/>
  <c r="H32" i="30"/>
  <c r="R34" i="30"/>
  <c r="U34" i="30" s="1"/>
  <c r="H35" i="30"/>
  <c r="R37" i="30"/>
  <c r="U37" i="30" s="1"/>
  <c r="H38" i="30"/>
  <c r="R40" i="30"/>
  <c r="U40" i="30" s="1"/>
  <c r="H41" i="30"/>
  <c r="R43" i="30"/>
  <c r="U43" i="30" s="1"/>
  <c r="H44" i="30"/>
  <c r="R46" i="30"/>
  <c r="U46" i="30" s="1"/>
  <c r="H47" i="30"/>
  <c r="R30" i="30"/>
  <c r="U30" i="30" s="1"/>
  <c r="V44" i="30"/>
  <c r="L20" i="30"/>
  <c r="L32" i="30"/>
  <c r="L41" i="30"/>
  <c r="T41" i="30" s="1"/>
  <c r="S41" i="30" s="1"/>
  <c r="L47" i="30"/>
  <c r="L18" i="30"/>
  <c r="G19" i="30"/>
  <c r="G49" i="30" s="1"/>
  <c r="G22" i="30"/>
  <c r="G25" i="30"/>
  <c r="G28" i="30"/>
  <c r="G31" i="30"/>
  <c r="G34" i="30"/>
  <c r="G37" i="30"/>
  <c r="G40" i="30"/>
  <c r="G43" i="30"/>
  <c r="G46" i="30"/>
  <c r="R48" i="30"/>
  <c r="U48" i="30" s="1"/>
  <c r="R18" i="30"/>
  <c r="R36" i="30"/>
  <c r="U36" i="30" s="1"/>
  <c r="R42" i="30"/>
  <c r="U42" i="30" s="1"/>
  <c r="R45" i="30"/>
  <c r="U45" i="30" s="1"/>
  <c r="R20" i="30"/>
  <c r="V20" i="30" s="1"/>
  <c r="R23" i="30"/>
  <c r="U23" i="30" s="1"/>
  <c r="R26" i="30"/>
  <c r="U26" i="30" s="1"/>
  <c r="R29" i="30"/>
  <c r="V29" i="30" s="1"/>
  <c r="R32" i="30"/>
  <c r="U32" i="30" s="1"/>
  <c r="R35" i="30"/>
  <c r="U35" i="30" s="1"/>
  <c r="R38" i="30"/>
  <c r="U38" i="30" s="1"/>
  <c r="R41" i="30"/>
  <c r="V41" i="30" s="1"/>
  <c r="R44" i="30"/>
  <c r="R47" i="30"/>
  <c r="V47" i="30" s="1"/>
  <c r="R21" i="30"/>
  <c r="U21" i="30" s="1"/>
  <c r="R27" i="30"/>
  <c r="U27" i="30" s="1"/>
  <c r="G20" i="30"/>
  <c r="G23" i="30"/>
  <c r="G26" i="30"/>
  <c r="G29" i="30"/>
  <c r="G32" i="30"/>
  <c r="G35" i="30"/>
  <c r="G38" i="30"/>
  <c r="G41" i="30"/>
  <c r="G44" i="30"/>
  <c r="T33" i="31" l="1"/>
  <c r="S33" i="31" s="1"/>
  <c r="T49" i="33"/>
  <c r="P6" i="33" s="1"/>
  <c r="S18" i="33"/>
  <c r="S49" i="33" s="1"/>
  <c r="V14" i="33"/>
  <c r="P9" i="33" s="1"/>
  <c r="P7" i="33"/>
  <c r="P4" i="33"/>
  <c r="P5" i="33"/>
  <c r="V44" i="31"/>
  <c r="V45" i="31"/>
  <c r="T45" i="31"/>
  <c r="S45" i="31" s="1"/>
  <c r="T49" i="32"/>
  <c r="P6" i="32" s="1"/>
  <c r="S18" i="32"/>
  <c r="S49" i="32" s="1"/>
  <c r="P4" i="32"/>
  <c r="P5" i="32"/>
  <c r="P7" i="32"/>
  <c r="V14" i="32"/>
  <c r="P9" i="32" s="1"/>
  <c r="T40" i="31"/>
  <c r="S40" i="31" s="1"/>
  <c r="U33" i="31"/>
  <c r="V33" i="31"/>
  <c r="T26" i="31"/>
  <c r="S26" i="31" s="1"/>
  <c r="T39" i="31"/>
  <c r="S39" i="31" s="1"/>
  <c r="G49" i="31"/>
  <c r="L49" i="31"/>
  <c r="P3" i="31" s="1"/>
  <c r="V38" i="31"/>
  <c r="V40" i="31"/>
  <c r="T22" i="31"/>
  <c r="S22" i="31" s="1"/>
  <c r="V42" i="31"/>
  <c r="T31" i="31"/>
  <c r="S31" i="31" s="1"/>
  <c r="T35" i="31"/>
  <c r="S35" i="31" s="1"/>
  <c r="T27" i="31"/>
  <c r="S27" i="31" s="1"/>
  <c r="V26" i="31"/>
  <c r="T21" i="31"/>
  <c r="S21" i="31" s="1"/>
  <c r="V35" i="31"/>
  <c r="V23" i="31"/>
  <c r="U36" i="31"/>
  <c r="T42" i="31"/>
  <c r="S42" i="31" s="1"/>
  <c r="T44" i="31"/>
  <c r="S44" i="31" s="1"/>
  <c r="T37" i="31"/>
  <c r="S37" i="31" s="1"/>
  <c r="T23" i="31"/>
  <c r="S23" i="31" s="1"/>
  <c r="V41" i="31"/>
  <c r="T28" i="31"/>
  <c r="S28" i="31" s="1"/>
  <c r="U25" i="31"/>
  <c r="T25" i="31"/>
  <c r="S25" i="31" s="1"/>
  <c r="V29" i="31"/>
  <c r="V25" i="31"/>
  <c r="U21" i="31"/>
  <c r="T36" i="31"/>
  <c r="S36" i="31" s="1"/>
  <c r="T46" i="31"/>
  <c r="S46" i="31" s="1"/>
  <c r="T41" i="31"/>
  <c r="S41" i="31" s="1"/>
  <c r="V32" i="31"/>
  <c r="T32" i="31"/>
  <c r="S32" i="31" s="1"/>
  <c r="T38" i="31"/>
  <c r="S38" i="31" s="1"/>
  <c r="V47" i="31"/>
  <c r="H49" i="31"/>
  <c r="P2" i="31" s="1"/>
  <c r="T47" i="31"/>
  <c r="S47" i="31" s="1"/>
  <c r="R49" i="31"/>
  <c r="V39" i="31"/>
  <c r="V46" i="31"/>
  <c r="U19" i="31"/>
  <c r="T19" i="31"/>
  <c r="S19" i="31" s="1"/>
  <c r="U39" i="31"/>
  <c r="V37" i="31"/>
  <c r="T18" i="31"/>
  <c r="T30" i="31"/>
  <c r="S30" i="31" s="1"/>
  <c r="U18" i="31"/>
  <c r="U30" i="31"/>
  <c r="V31" i="31"/>
  <c r="V48" i="31"/>
  <c r="T43" i="31"/>
  <c r="S43" i="31" s="1"/>
  <c r="T20" i="31"/>
  <c r="S20" i="31" s="1"/>
  <c r="V34" i="31"/>
  <c r="T48" i="31"/>
  <c r="S48" i="31" s="1"/>
  <c r="T34" i="31"/>
  <c r="S34" i="31" s="1"/>
  <c r="T29" i="31"/>
  <c r="S29" i="31" s="1"/>
  <c r="V43" i="31"/>
  <c r="V28" i="31"/>
  <c r="V20" i="31"/>
  <c r="P4" i="30"/>
  <c r="U18" i="30"/>
  <c r="R49" i="30"/>
  <c r="L49" i="30"/>
  <c r="P3" i="30" s="1"/>
  <c r="P5" i="30" s="1"/>
  <c r="T18" i="30"/>
  <c r="V38" i="30"/>
  <c r="T38" i="30"/>
  <c r="S38" i="30" s="1"/>
  <c r="T39" i="30"/>
  <c r="S39" i="30" s="1"/>
  <c r="T27" i="30"/>
  <c r="S27" i="30" s="1"/>
  <c r="V36" i="30"/>
  <c r="V45" i="30"/>
  <c r="T42" i="30"/>
  <c r="S42" i="30" s="1"/>
  <c r="T30" i="30"/>
  <c r="S30" i="30" s="1"/>
  <c r="T48" i="30"/>
  <c r="S48" i="30" s="1"/>
  <c r="U29" i="30"/>
  <c r="T47" i="30"/>
  <c r="S47" i="30" s="1"/>
  <c r="T35" i="30"/>
  <c r="S35" i="30" s="1"/>
  <c r="V23" i="30"/>
  <c r="T37" i="30"/>
  <c r="S37" i="30" s="1"/>
  <c r="T25" i="30"/>
  <c r="S25" i="30" s="1"/>
  <c r="V34" i="30"/>
  <c r="V25" i="30"/>
  <c r="T40" i="30"/>
  <c r="S40" i="30" s="1"/>
  <c r="T28" i="30"/>
  <c r="S28" i="30" s="1"/>
  <c r="V43" i="30"/>
  <c r="T29" i="30"/>
  <c r="S29" i="30" s="1"/>
  <c r="U47" i="30"/>
  <c r="T32" i="30"/>
  <c r="S32" i="30" s="1"/>
  <c r="T45" i="30"/>
  <c r="S45" i="30" s="1"/>
  <c r="T21" i="30"/>
  <c r="S21" i="30" s="1"/>
  <c r="V46" i="30"/>
  <c r="V28" i="30"/>
  <c r="V48" i="30"/>
  <c r="T36" i="30"/>
  <c r="S36" i="30" s="1"/>
  <c r="T24" i="30"/>
  <c r="S24" i="30" s="1"/>
  <c r="V31" i="30"/>
  <c r="T20" i="30"/>
  <c r="S20" i="30" s="1"/>
  <c r="T43" i="30"/>
  <c r="S43" i="30" s="1"/>
  <c r="V42" i="30"/>
  <c r="T34" i="30"/>
  <c r="S34" i="30" s="1"/>
  <c r="S9" i="33" l="1"/>
  <c r="U9" i="33" s="1"/>
  <c r="S9" i="32"/>
  <c r="V14" i="31"/>
  <c r="P9" i="31" s="1"/>
  <c r="P7" i="31"/>
  <c r="P4" i="31"/>
  <c r="P5" i="31"/>
  <c r="T49" i="31"/>
  <c r="P6" i="31" s="1"/>
  <c r="S18" i="31"/>
  <c r="S49" i="31" s="1"/>
  <c r="T49" i="30"/>
  <c r="P6" i="30" s="1"/>
  <c r="S18" i="30"/>
  <c r="S49" i="30" s="1"/>
  <c r="U9" i="30"/>
  <c r="T9" i="30"/>
  <c r="V9" i="30" s="1"/>
  <c r="V14" i="30"/>
  <c r="P9" i="30" s="1"/>
  <c r="P7" i="30"/>
  <c r="S9" i="30" s="1"/>
  <c r="T9" i="33" l="1"/>
  <c r="V9" i="33" s="1"/>
  <c r="U9" i="32"/>
  <c r="T9" i="32"/>
  <c r="V9" i="32" s="1"/>
  <c r="S9" i="31"/>
  <c r="U9" i="31" s="1"/>
  <c r="T9" i="31" l="1"/>
  <c r="V9" i="31" s="1"/>
  <c r="Q49" i="29"/>
  <c r="F49" i="29"/>
  <c r="E49" i="29"/>
  <c r="K48" i="29"/>
  <c r="J48" i="29"/>
  <c r="L48" i="29" s="1"/>
  <c r="R47" i="29"/>
  <c r="K47" i="29"/>
  <c r="L47" i="29" s="1"/>
  <c r="T47" i="29" s="1"/>
  <c r="S47" i="29" s="1"/>
  <c r="J47" i="29"/>
  <c r="R46" i="29"/>
  <c r="K46" i="29"/>
  <c r="L46" i="29" s="1"/>
  <c r="T46" i="29" s="1"/>
  <c r="S46" i="29" s="1"/>
  <c r="J46" i="29"/>
  <c r="K45" i="29"/>
  <c r="J45" i="29"/>
  <c r="L45" i="29" s="1"/>
  <c r="R44" i="29"/>
  <c r="K44" i="29"/>
  <c r="L44" i="29" s="1"/>
  <c r="T44" i="29" s="1"/>
  <c r="S44" i="29" s="1"/>
  <c r="J44" i="29"/>
  <c r="R43" i="29"/>
  <c r="K43" i="29"/>
  <c r="L43" i="29" s="1"/>
  <c r="T43" i="29" s="1"/>
  <c r="S43" i="29" s="1"/>
  <c r="J43" i="29"/>
  <c r="K42" i="29"/>
  <c r="J42" i="29"/>
  <c r="R41" i="29"/>
  <c r="K41" i="29"/>
  <c r="J41" i="29"/>
  <c r="R40" i="29"/>
  <c r="K40" i="29"/>
  <c r="J40" i="29"/>
  <c r="K39" i="29"/>
  <c r="J39" i="29"/>
  <c r="R38" i="29"/>
  <c r="K38" i="29"/>
  <c r="J38" i="29"/>
  <c r="R37" i="29"/>
  <c r="K37" i="29"/>
  <c r="J37" i="29"/>
  <c r="K36" i="29"/>
  <c r="J36" i="29"/>
  <c r="R35" i="29"/>
  <c r="K35" i="29"/>
  <c r="L35" i="29" s="1"/>
  <c r="T35" i="29" s="1"/>
  <c r="S35" i="29" s="1"/>
  <c r="J35" i="29"/>
  <c r="R34" i="29"/>
  <c r="K34" i="29"/>
  <c r="L34" i="29" s="1"/>
  <c r="T34" i="29" s="1"/>
  <c r="S34" i="29" s="1"/>
  <c r="J34" i="29"/>
  <c r="K33" i="29"/>
  <c r="J33" i="29"/>
  <c r="R32" i="29"/>
  <c r="K32" i="29"/>
  <c r="J32" i="29"/>
  <c r="R31" i="29"/>
  <c r="K31" i="29"/>
  <c r="J31" i="29"/>
  <c r="K30" i="29"/>
  <c r="J30" i="29"/>
  <c r="R29" i="29"/>
  <c r="K29" i="29"/>
  <c r="J29" i="29"/>
  <c r="R28" i="29"/>
  <c r="K28" i="29"/>
  <c r="J28" i="29"/>
  <c r="K27" i="29"/>
  <c r="J27" i="29"/>
  <c r="R26" i="29"/>
  <c r="K26" i="29"/>
  <c r="L26" i="29" s="1"/>
  <c r="T26" i="29" s="1"/>
  <c r="S26" i="29" s="1"/>
  <c r="J26" i="29"/>
  <c r="R25" i="29"/>
  <c r="K25" i="29"/>
  <c r="L25" i="29" s="1"/>
  <c r="T25" i="29" s="1"/>
  <c r="S25" i="29" s="1"/>
  <c r="J25" i="29"/>
  <c r="K24" i="29"/>
  <c r="J24" i="29"/>
  <c r="R23" i="29"/>
  <c r="K23" i="29"/>
  <c r="J23" i="29"/>
  <c r="R22" i="29"/>
  <c r="K22" i="29"/>
  <c r="J22" i="29"/>
  <c r="K21" i="29"/>
  <c r="J21" i="29"/>
  <c r="R20" i="29"/>
  <c r="K20" i="29"/>
  <c r="J20" i="29"/>
  <c r="R19" i="29"/>
  <c r="K19" i="29"/>
  <c r="J19" i="29"/>
  <c r="K18" i="29"/>
  <c r="J18" i="29"/>
  <c r="R17" i="29"/>
  <c r="R48" i="29" s="1"/>
  <c r="H17" i="29"/>
  <c r="H46" i="29" s="1"/>
  <c r="G17" i="29"/>
  <c r="H35" i="29" s="1"/>
  <c r="D15" i="29"/>
  <c r="G47" i="29" s="1"/>
  <c r="P10" i="29"/>
  <c r="P1" i="29"/>
  <c r="P8" i="29" s="1"/>
  <c r="L42" i="29" l="1"/>
  <c r="L39" i="29"/>
  <c r="L30" i="29"/>
  <c r="L24" i="29"/>
  <c r="L21" i="29"/>
  <c r="L33" i="29"/>
  <c r="L19" i="29"/>
  <c r="T19" i="29" s="1"/>
  <c r="S19" i="29" s="1"/>
  <c r="L28" i="29"/>
  <c r="T28" i="29" s="1"/>
  <c r="S28" i="29" s="1"/>
  <c r="L37" i="29"/>
  <c r="T37" i="29" s="1"/>
  <c r="S37" i="29" s="1"/>
  <c r="L32" i="29"/>
  <c r="T32" i="29" s="1"/>
  <c r="S32" i="29" s="1"/>
  <c r="L23" i="29"/>
  <c r="T23" i="29" s="1"/>
  <c r="S23" i="29" s="1"/>
  <c r="L22" i="29"/>
  <c r="T22" i="29" s="1"/>
  <c r="S22" i="29" s="1"/>
  <c r="L31" i="29"/>
  <c r="T31" i="29" s="1"/>
  <c r="S31" i="29" s="1"/>
  <c r="L40" i="29"/>
  <c r="T40" i="29" s="1"/>
  <c r="S40" i="29" s="1"/>
  <c r="L41" i="29"/>
  <c r="T41" i="29" s="1"/>
  <c r="S41" i="29" s="1"/>
  <c r="J49" i="29"/>
  <c r="L20" i="29"/>
  <c r="T20" i="29" s="1"/>
  <c r="S20" i="29" s="1"/>
  <c r="L27" i="29"/>
  <c r="T27" i="29" s="1"/>
  <c r="S27" i="29" s="1"/>
  <c r="L29" i="29"/>
  <c r="T29" i="29" s="1"/>
  <c r="S29" i="29" s="1"/>
  <c r="L36" i="29"/>
  <c r="L38" i="29"/>
  <c r="T38" i="29" s="1"/>
  <c r="S38" i="29" s="1"/>
  <c r="U27" i="29"/>
  <c r="T48" i="29"/>
  <c r="S48" i="29" s="1"/>
  <c r="U45" i="29"/>
  <c r="U48" i="29"/>
  <c r="T33" i="29"/>
  <c r="S33" i="29" s="1"/>
  <c r="L18" i="29"/>
  <c r="G19" i="29"/>
  <c r="U20" i="29"/>
  <c r="G22" i="29"/>
  <c r="U23" i="29"/>
  <c r="G25" i="29"/>
  <c r="U26" i="29"/>
  <c r="G28" i="29"/>
  <c r="U29" i="29"/>
  <c r="G31" i="29"/>
  <c r="U32" i="29"/>
  <c r="G34" i="29"/>
  <c r="U35" i="29"/>
  <c r="G37" i="29"/>
  <c r="U38" i="29"/>
  <c r="G40" i="29"/>
  <c r="U41" i="29"/>
  <c r="G43" i="29"/>
  <c r="U44" i="29"/>
  <c r="G46" i="29"/>
  <c r="U47" i="29"/>
  <c r="H29" i="29"/>
  <c r="H38" i="29"/>
  <c r="V48" i="29"/>
  <c r="R18" i="29"/>
  <c r="U18" i="29" s="1"/>
  <c r="H19" i="29"/>
  <c r="V20" i="29"/>
  <c r="R21" i="29"/>
  <c r="U21" i="29" s="1"/>
  <c r="H22" i="29"/>
  <c r="V23" i="29"/>
  <c r="R24" i="29"/>
  <c r="V24" i="29" s="1"/>
  <c r="H25" i="29"/>
  <c r="V26" i="29"/>
  <c r="R27" i="29"/>
  <c r="H28" i="29"/>
  <c r="V29" i="29"/>
  <c r="R30" i="29"/>
  <c r="T30" i="29" s="1"/>
  <c r="S30" i="29" s="1"/>
  <c r="H31" i="29"/>
  <c r="V32" i="29"/>
  <c r="R33" i="29"/>
  <c r="U33" i="29" s="1"/>
  <c r="H34" i="29"/>
  <c r="V35" i="29"/>
  <c r="R36" i="29"/>
  <c r="V36" i="29" s="1"/>
  <c r="H37" i="29"/>
  <c r="V38" i="29"/>
  <c r="R39" i="29"/>
  <c r="H40" i="29"/>
  <c r="V41" i="29"/>
  <c r="R42" i="29"/>
  <c r="T42" i="29" s="1"/>
  <c r="S42" i="29" s="1"/>
  <c r="H43" i="29"/>
  <c r="V44" i="29"/>
  <c r="R45" i="29"/>
  <c r="T45" i="29" s="1"/>
  <c r="S45" i="29" s="1"/>
  <c r="V47" i="29"/>
  <c r="K49" i="29"/>
  <c r="G18" i="29"/>
  <c r="U19" i="29"/>
  <c r="G21" i="29"/>
  <c r="U22" i="29"/>
  <c r="G24" i="29"/>
  <c r="U25" i="29"/>
  <c r="G27" i="29"/>
  <c r="U28" i="29"/>
  <c r="G30" i="29"/>
  <c r="U31" i="29"/>
  <c r="G33" i="29"/>
  <c r="U34" i="29"/>
  <c r="G36" i="29"/>
  <c r="U37" i="29"/>
  <c r="G39" i="29"/>
  <c r="U40" i="29"/>
  <c r="G42" i="29"/>
  <c r="U43" i="29"/>
  <c r="G45" i="29"/>
  <c r="U46" i="29"/>
  <c r="G48" i="29"/>
  <c r="V21" i="29"/>
  <c r="H26" i="29"/>
  <c r="V27" i="29"/>
  <c r="V33" i="29"/>
  <c r="H41" i="29"/>
  <c r="H44" i="29"/>
  <c r="H47" i="29"/>
  <c r="H18" i="29"/>
  <c r="V19" i="29"/>
  <c r="H21" i="29"/>
  <c r="V22" i="29"/>
  <c r="H24" i="29"/>
  <c r="V25" i="29"/>
  <c r="H27" i="29"/>
  <c r="V28" i="29"/>
  <c r="H30" i="29"/>
  <c r="V31" i="29"/>
  <c r="H33" i="29"/>
  <c r="V34" i="29"/>
  <c r="H36" i="29"/>
  <c r="V37" i="29"/>
  <c r="H39" i="29"/>
  <c r="V40" i="29"/>
  <c r="H42" i="29"/>
  <c r="V43" i="29"/>
  <c r="H45" i="29"/>
  <c r="V46" i="29"/>
  <c r="H48" i="29"/>
  <c r="H20" i="29"/>
  <c r="H23" i="29"/>
  <c r="H32" i="29"/>
  <c r="V45" i="29"/>
  <c r="G20" i="29"/>
  <c r="G23" i="29"/>
  <c r="G26" i="29"/>
  <c r="G29" i="29"/>
  <c r="G32" i="29"/>
  <c r="G35" i="29"/>
  <c r="G38" i="29"/>
  <c r="G41" i="29"/>
  <c r="G44" i="29"/>
  <c r="T39" i="29" l="1"/>
  <c r="S39" i="29" s="1"/>
  <c r="V39" i="29"/>
  <c r="T21" i="29"/>
  <c r="S21" i="29" s="1"/>
  <c r="H49" i="29"/>
  <c r="P2" i="29" s="1"/>
  <c r="G49" i="29"/>
  <c r="U42" i="29"/>
  <c r="R49" i="29"/>
  <c r="U36" i="29"/>
  <c r="T18" i="29"/>
  <c r="L49" i="29"/>
  <c r="P3" i="29" s="1"/>
  <c r="U39" i="29"/>
  <c r="T24" i="29"/>
  <c r="S24" i="29" s="1"/>
  <c r="V18" i="29"/>
  <c r="V42" i="29"/>
  <c r="V30" i="29"/>
  <c r="U24" i="29"/>
  <c r="U30" i="29"/>
  <c r="T36" i="29"/>
  <c r="S36" i="29" s="1"/>
  <c r="P4" i="29" l="1"/>
  <c r="P5" i="29"/>
  <c r="T49" i="29"/>
  <c r="P6" i="29" s="1"/>
  <c r="S18" i="29"/>
  <c r="S49" i="29" s="1"/>
  <c r="V14" i="29"/>
  <c r="P9" i="29" s="1"/>
  <c r="P7" i="29"/>
  <c r="S9" i="29" l="1"/>
  <c r="U9" i="29" l="1"/>
  <c r="T9" i="29"/>
  <c r="V9" i="29" s="1"/>
  <c r="Q49" i="28" l="1"/>
  <c r="F49" i="28"/>
  <c r="E49" i="28"/>
  <c r="K48" i="28"/>
  <c r="J48" i="28"/>
  <c r="L48" i="28" s="1"/>
  <c r="K47" i="28"/>
  <c r="L47" i="28" s="1"/>
  <c r="J47" i="28"/>
  <c r="K46" i="28"/>
  <c r="J46" i="28"/>
  <c r="L46" i="28" s="1"/>
  <c r="K45" i="28"/>
  <c r="J45" i="28"/>
  <c r="K44" i="28"/>
  <c r="J44" i="28"/>
  <c r="L44" i="28" s="1"/>
  <c r="K43" i="28"/>
  <c r="J43" i="28"/>
  <c r="L43" i="28" s="1"/>
  <c r="G43" i="28"/>
  <c r="K42" i="28"/>
  <c r="J42" i="28"/>
  <c r="H42" i="28"/>
  <c r="R41" i="28"/>
  <c r="K41" i="28"/>
  <c r="J41" i="28"/>
  <c r="K40" i="28"/>
  <c r="J40" i="28"/>
  <c r="G40" i="28"/>
  <c r="K39" i="28"/>
  <c r="J39" i="28"/>
  <c r="H39" i="28"/>
  <c r="R38" i="28"/>
  <c r="K38" i="28"/>
  <c r="J38" i="28"/>
  <c r="K37" i="28"/>
  <c r="J37" i="28"/>
  <c r="G37" i="28"/>
  <c r="K36" i="28"/>
  <c r="J36" i="28"/>
  <c r="H36" i="28"/>
  <c r="G36" i="28"/>
  <c r="R35" i="28"/>
  <c r="K35" i="28"/>
  <c r="J35" i="28"/>
  <c r="K34" i="28"/>
  <c r="J34" i="28"/>
  <c r="G34" i="28"/>
  <c r="K33" i="28"/>
  <c r="J33" i="28"/>
  <c r="H33" i="28"/>
  <c r="G33" i="28"/>
  <c r="R32" i="28"/>
  <c r="K32" i="28"/>
  <c r="J32" i="28"/>
  <c r="K31" i="28"/>
  <c r="J31" i="28"/>
  <c r="L31" i="28" s="1"/>
  <c r="G31" i="28"/>
  <c r="K30" i="28"/>
  <c r="J30" i="28"/>
  <c r="H30" i="28"/>
  <c r="G30" i="28"/>
  <c r="R29" i="28"/>
  <c r="L29" i="28"/>
  <c r="T29" i="28" s="1"/>
  <c r="S29" i="28" s="1"/>
  <c r="K29" i="28"/>
  <c r="J29" i="28"/>
  <c r="K28" i="28"/>
  <c r="J28" i="28"/>
  <c r="G28" i="28"/>
  <c r="K27" i="28"/>
  <c r="J27" i="28"/>
  <c r="H27" i="28"/>
  <c r="G27" i="28"/>
  <c r="R26" i="28"/>
  <c r="K26" i="28"/>
  <c r="V26" i="28" s="1"/>
  <c r="J26" i="28"/>
  <c r="K25" i="28"/>
  <c r="J25" i="28"/>
  <c r="G25" i="28"/>
  <c r="K24" i="28"/>
  <c r="J24" i="28"/>
  <c r="H24" i="28"/>
  <c r="G24" i="28"/>
  <c r="R23" i="28"/>
  <c r="K23" i="28"/>
  <c r="J23" i="28"/>
  <c r="L23" i="28" s="1"/>
  <c r="K22" i="28"/>
  <c r="J22" i="28"/>
  <c r="G22" i="28"/>
  <c r="K21" i="28"/>
  <c r="J21" i="28"/>
  <c r="H21" i="28"/>
  <c r="G21" i="28"/>
  <c r="R20" i="28"/>
  <c r="K20" i="28"/>
  <c r="J20" i="28"/>
  <c r="L20" i="28" s="1"/>
  <c r="T20" i="28" s="1"/>
  <c r="S20" i="28" s="1"/>
  <c r="K19" i="28"/>
  <c r="J19" i="28"/>
  <c r="G19" i="28"/>
  <c r="K18" i="28"/>
  <c r="J18" i="28"/>
  <c r="H18" i="28"/>
  <c r="G18" i="28"/>
  <c r="R17" i="28"/>
  <c r="R44" i="28" s="1"/>
  <c r="H17" i="28"/>
  <c r="H45" i="28" s="1"/>
  <c r="G17" i="28"/>
  <c r="D15" i="28"/>
  <c r="G47" i="28" s="1"/>
  <c r="P10" i="28"/>
  <c r="P8" i="28"/>
  <c r="P1" i="28"/>
  <c r="Q49" i="15"/>
  <c r="F49" i="15"/>
  <c r="E49" i="15"/>
  <c r="P10" i="15" s="1"/>
  <c r="K48" i="15"/>
  <c r="J48" i="15"/>
  <c r="L48" i="15" s="1"/>
  <c r="G48" i="15"/>
  <c r="L47" i="15"/>
  <c r="K47" i="15"/>
  <c r="J47" i="15"/>
  <c r="R46" i="15"/>
  <c r="U46" i="15" s="1"/>
  <c r="K46" i="15"/>
  <c r="V46" i="15" s="1"/>
  <c r="J46" i="15"/>
  <c r="L46" i="15" s="1"/>
  <c r="T46" i="15" s="1"/>
  <c r="S46" i="15" s="1"/>
  <c r="K45" i="15"/>
  <c r="J45" i="15"/>
  <c r="L45" i="15" s="1"/>
  <c r="G45" i="15"/>
  <c r="L44" i="15"/>
  <c r="K44" i="15"/>
  <c r="J44" i="15"/>
  <c r="R43" i="15"/>
  <c r="U43" i="15" s="1"/>
  <c r="K43" i="15"/>
  <c r="V43" i="15" s="1"/>
  <c r="J43" i="15"/>
  <c r="L43" i="15" s="1"/>
  <c r="T43" i="15" s="1"/>
  <c r="S43" i="15" s="1"/>
  <c r="J42" i="15"/>
  <c r="G42" i="15"/>
  <c r="L41" i="15"/>
  <c r="K41" i="15"/>
  <c r="J41" i="15"/>
  <c r="R40" i="15"/>
  <c r="U40" i="15" s="1"/>
  <c r="K40" i="15"/>
  <c r="V40" i="15" s="1"/>
  <c r="J40" i="15"/>
  <c r="L40" i="15" s="1"/>
  <c r="T40" i="15" s="1"/>
  <c r="S40" i="15" s="1"/>
  <c r="K39" i="15"/>
  <c r="J39" i="15"/>
  <c r="L39" i="15" s="1"/>
  <c r="G39" i="15"/>
  <c r="L38" i="15"/>
  <c r="K38" i="15"/>
  <c r="J38" i="15"/>
  <c r="R37" i="15"/>
  <c r="U37" i="15" s="1"/>
  <c r="K37" i="15"/>
  <c r="V37" i="15" s="1"/>
  <c r="J37" i="15"/>
  <c r="L37" i="15" s="1"/>
  <c r="T37" i="15" s="1"/>
  <c r="S37" i="15" s="1"/>
  <c r="K36" i="15"/>
  <c r="J36" i="15"/>
  <c r="L36" i="15" s="1"/>
  <c r="G36" i="15"/>
  <c r="L35" i="15"/>
  <c r="K35" i="15"/>
  <c r="J35" i="15"/>
  <c r="R34" i="15"/>
  <c r="U34" i="15" s="1"/>
  <c r="K34" i="15"/>
  <c r="V34" i="15" s="1"/>
  <c r="J34" i="15"/>
  <c r="L34" i="15" s="1"/>
  <c r="T34" i="15" s="1"/>
  <c r="S34" i="15" s="1"/>
  <c r="K33" i="15"/>
  <c r="J33" i="15"/>
  <c r="L33" i="15" s="1"/>
  <c r="G33" i="15"/>
  <c r="L32" i="15"/>
  <c r="K32" i="15"/>
  <c r="J32" i="15"/>
  <c r="R31" i="15"/>
  <c r="K31" i="15"/>
  <c r="V31" i="15" s="1"/>
  <c r="J31" i="15"/>
  <c r="K30" i="15"/>
  <c r="J30" i="15"/>
  <c r="G30" i="15"/>
  <c r="K29" i="15"/>
  <c r="L29" i="15" s="1"/>
  <c r="J29" i="15"/>
  <c r="R28" i="15"/>
  <c r="K28" i="15"/>
  <c r="J28" i="15"/>
  <c r="K27" i="15"/>
  <c r="J27" i="15"/>
  <c r="L27" i="15" s="1"/>
  <c r="G27" i="15"/>
  <c r="K26" i="15"/>
  <c r="L26" i="15" s="1"/>
  <c r="J26" i="15"/>
  <c r="R25" i="15"/>
  <c r="K25" i="15"/>
  <c r="V25" i="15" s="1"/>
  <c r="J25" i="15"/>
  <c r="K24" i="15"/>
  <c r="J24" i="15"/>
  <c r="G24" i="15"/>
  <c r="K23" i="15"/>
  <c r="L23" i="15" s="1"/>
  <c r="J23" i="15"/>
  <c r="R22" i="15"/>
  <c r="K22" i="15"/>
  <c r="J22" i="15"/>
  <c r="K21" i="15"/>
  <c r="J21" i="15"/>
  <c r="G21" i="15"/>
  <c r="K20" i="15"/>
  <c r="L20" i="15" s="1"/>
  <c r="J20" i="15"/>
  <c r="R19" i="15"/>
  <c r="K19" i="15"/>
  <c r="V19" i="15" s="1"/>
  <c r="J19" i="15"/>
  <c r="K18" i="15"/>
  <c r="J18" i="15"/>
  <c r="G18" i="15"/>
  <c r="R17" i="15"/>
  <c r="R47" i="15" s="1"/>
  <c r="H17" i="15"/>
  <c r="H48" i="15" s="1"/>
  <c r="G17" i="15"/>
  <c r="H18" i="15" s="1"/>
  <c r="D15" i="15"/>
  <c r="G47" i="15" s="1"/>
  <c r="P8" i="15"/>
  <c r="P1" i="15"/>
  <c r="L38" i="28" l="1"/>
  <c r="T38" i="28" s="1"/>
  <c r="S38" i="28" s="1"/>
  <c r="L34" i="28"/>
  <c r="L25" i="28"/>
  <c r="V38" i="28"/>
  <c r="L40" i="28"/>
  <c r="L41" i="28"/>
  <c r="T41" i="28" s="1"/>
  <c r="S41" i="28" s="1"/>
  <c r="V41" i="28"/>
  <c r="L32" i="28"/>
  <c r="T32" i="28" s="1"/>
  <c r="S32" i="28" s="1"/>
  <c r="T23" i="28"/>
  <c r="S23" i="28" s="1"/>
  <c r="J49" i="28"/>
  <c r="V20" i="28"/>
  <c r="L28" i="28"/>
  <c r="V23" i="28"/>
  <c r="V35" i="28"/>
  <c r="L26" i="28"/>
  <c r="T26" i="28" s="1"/>
  <c r="S26" i="28" s="1"/>
  <c r="L22" i="28"/>
  <c r="V32" i="28"/>
  <c r="L35" i="28"/>
  <c r="T35" i="28" s="1"/>
  <c r="S35" i="28" s="1"/>
  <c r="L19" i="28"/>
  <c r="V29" i="28"/>
  <c r="L37" i="28"/>
  <c r="V44" i="28"/>
  <c r="T47" i="28"/>
  <c r="S47" i="28" s="1"/>
  <c r="T48" i="28"/>
  <c r="S48" i="28" s="1"/>
  <c r="U48" i="28"/>
  <c r="T44" i="28"/>
  <c r="S44" i="28" s="1"/>
  <c r="R19" i="28"/>
  <c r="U19" i="28" s="1"/>
  <c r="H20" i="28"/>
  <c r="R22" i="28"/>
  <c r="U22" i="28" s="1"/>
  <c r="H23" i="28"/>
  <c r="R25" i="28"/>
  <c r="U25" i="28" s="1"/>
  <c r="H26" i="28"/>
  <c r="R28" i="28"/>
  <c r="U28" i="28" s="1"/>
  <c r="H29" i="28"/>
  <c r="R31" i="28"/>
  <c r="U31" i="28" s="1"/>
  <c r="H32" i="28"/>
  <c r="R34" i="28"/>
  <c r="U34" i="28" s="1"/>
  <c r="H35" i="28"/>
  <c r="R37" i="28"/>
  <c r="U37" i="28" s="1"/>
  <c r="H38" i="28"/>
  <c r="R40" i="28"/>
  <c r="V40" i="28" s="1"/>
  <c r="H41" i="28"/>
  <c r="V42" i="28"/>
  <c r="R43" i="28"/>
  <c r="T43" i="28" s="1"/>
  <c r="S43" i="28" s="1"/>
  <c r="H44" i="28"/>
  <c r="R46" i="28"/>
  <c r="T46" i="28" s="1"/>
  <c r="S46" i="28" s="1"/>
  <c r="H47" i="28"/>
  <c r="V48" i="28"/>
  <c r="K49" i="28"/>
  <c r="L18" i="28"/>
  <c r="U20" i="28"/>
  <c r="L21" i="28"/>
  <c r="U23" i="28"/>
  <c r="L24" i="28"/>
  <c r="U26" i="28"/>
  <c r="L27" i="28"/>
  <c r="T27" i="28" s="1"/>
  <c r="S27" i="28" s="1"/>
  <c r="U29" i="28"/>
  <c r="L30" i="28"/>
  <c r="U32" i="28"/>
  <c r="L33" i="28"/>
  <c r="T33" i="28" s="1"/>
  <c r="S33" i="28" s="1"/>
  <c r="U35" i="28"/>
  <c r="L36" i="28"/>
  <c r="U38" i="28"/>
  <c r="L39" i="28"/>
  <c r="U41" i="28"/>
  <c r="L42" i="28"/>
  <c r="T42" i="28" s="1"/>
  <c r="S42" i="28" s="1"/>
  <c r="U44" i="28"/>
  <c r="L45" i="28"/>
  <c r="T45" i="28" s="1"/>
  <c r="S45" i="28" s="1"/>
  <c r="G46" i="28"/>
  <c r="U47" i="28"/>
  <c r="R18" i="28"/>
  <c r="U18" i="28" s="1"/>
  <c r="H19" i="28"/>
  <c r="R21" i="28"/>
  <c r="U21" i="28" s="1"/>
  <c r="H22" i="28"/>
  <c r="R24" i="28"/>
  <c r="U24" i="28" s="1"/>
  <c r="H25" i="28"/>
  <c r="R27" i="28"/>
  <c r="U27" i="28" s="1"/>
  <c r="H28" i="28"/>
  <c r="R30" i="28"/>
  <c r="V30" i="28" s="1"/>
  <c r="H31" i="28"/>
  <c r="R33" i="28"/>
  <c r="V33" i="28" s="1"/>
  <c r="H34" i="28"/>
  <c r="R36" i="28"/>
  <c r="U36" i="28" s="1"/>
  <c r="H37" i="28"/>
  <c r="R39" i="28"/>
  <c r="U39" i="28" s="1"/>
  <c r="H40" i="28"/>
  <c r="R42" i="28"/>
  <c r="U42" i="28" s="1"/>
  <c r="H43" i="28"/>
  <c r="R45" i="28"/>
  <c r="U45" i="28" s="1"/>
  <c r="H46" i="28"/>
  <c r="V47" i="28"/>
  <c r="R48" i="28"/>
  <c r="G39" i="28"/>
  <c r="G42" i="28"/>
  <c r="U43" i="28"/>
  <c r="G45" i="28"/>
  <c r="G48" i="28"/>
  <c r="R47" i="28"/>
  <c r="H48" i="28"/>
  <c r="G20" i="28"/>
  <c r="G23" i="28"/>
  <c r="G26" i="28"/>
  <c r="G29" i="28"/>
  <c r="G32" i="28"/>
  <c r="G35" i="28"/>
  <c r="G38" i="28"/>
  <c r="G41" i="28"/>
  <c r="G44" i="28"/>
  <c r="L22" i="15"/>
  <c r="U22" i="15"/>
  <c r="L21" i="15"/>
  <c r="U28" i="15"/>
  <c r="U25" i="15"/>
  <c r="T22" i="15"/>
  <c r="S22" i="15" s="1"/>
  <c r="L28" i="15"/>
  <c r="T28" i="15" s="1"/>
  <c r="S28" i="15" s="1"/>
  <c r="J49" i="15"/>
  <c r="V22" i="15"/>
  <c r="L24" i="15"/>
  <c r="T24" i="15" s="1"/>
  <c r="S24" i="15" s="1"/>
  <c r="V28" i="15"/>
  <c r="L30" i="15"/>
  <c r="U31" i="15"/>
  <c r="U19" i="15"/>
  <c r="L19" i="15"/>
  <c r="T19" i="15" s="1"/>
  <c r="S19" i="15" s="1"/>
  <c r="L25" i="15"/>
  <c r="T25" i="15" s="1"/>
  <c r="S25" i="15" s="1"/>
  <c r="L31" i="15"/>
  <c r="T31" i="15" s="1"/>
  <c r="S31" i="15" s="1"/>
  <c r="V32" i="15"/>
  <c r="L42" i="15"/>
  <c r="T42" i="15" s="1"/>
  <c r="S42" i="15" s="1"/>
  <c r="V47" i="15"/>
  <c r="V23" i="15"/>
  <c r="T33" i="15"/>
  <c r="S33" i="15" s="1"/>
  <c r="V41" i="15"/>
  <c r="T47" i="15"/>
  <c r="S47" i="15" s="1"/>
  <c r="H23" i="15"/>
  <c r="H26" i="15"/>
  <c r="H29" i="15"/>
  <c r="H32" i="15"/>
  <c r="H38" i="15"/>
  <c r="V39" i="15"/>
  <c r="H47" i="15"/>
  <c r="K49" i="15"/>
  <c r="L18" i="15"/>
  <c r="G19" i="15"/>
  <c r="G22" i="15"/>
  <c r="G25" i="15"/>
  <c r="G28" i="15"/>
  <c r="G31" i="15"/>
  <c r="G34" i="15"/>
  <c r="G37" i="15"/>
  <c r="G40" i="15"/>
  <c r="G43" i="15"/>
  <c r="G46" i="15"/>
  <c r="U47" i="15"/>
  <c r="H20" i="15"/>
  <c r="V33" i="15"/>
  <c r="H35" i="15"/>
  <c r="H41" i="15"/>
  <c r="H44" i="15"/>
  <c r="R18" i="15"/>
  <c r="U18" i="15" s="1"/>
  <c r="H19" i="15"/>
  <c r="R21" i="15"/>
  <c r="U21" i="15" s="1"/>
  <c r="H22" i="15"/>
  <c r="R24" i="15"/>
  <c r="U24" i="15" s="1"/>
  <c r="H25" i="15"/>
  <c r="R27" i="15"/>
  <c r="T27" i="15" s="1"/>
  <c r="S27" i="15" s="1"/>
  <c r="H28" i="15"/>
  <c r="R30" i="15"/>
  <c r="T30" i="15" s="1"/>
  <c r="S30" i="15" s="1"/>
  <c r="H31" i="15"/>
  <c r="R33" i="15"/>
  <c r="U33" i="15" s="1"/>
  <c r="H34" i="15"/>
  <c r="R36" i="15"/>
  <c r="V36" i="15" s="1"/>
  <c r="H37" i="15"/>
  <c r="R39" i="15"/>
  <c r="T39" i="15" s="1"/>
  <c r="S39" i="15" s="1"/>
  <c r="H40" i="15"/>
  <c r="R42" i="15"/>
  <c r="K42" i="15" s="1"/>
  <c r="H43" i="15"/>
  <c r="R45" i="15"/>
  <c r="U45" i="15" s="1"/>
  <c r="H46" i="15"/>
  <c r="R48" i="15"/>
  <c r="U48" i="15" s="1"/>
  <c r="R20" i="15"/>
  <c r="T20" i="15" s="1"/>
  <c r="S20" i="15" s="1"/>
  <c r="H21" i="15"/>
  <c r="R23" i="15"/>
  <c r="T23" i="15" s="1"/>
  <c r="S23" i="15" s="1"/>
  <c r="H24" i="15"/>
  <c r="R26" i="15"/>
  <c r="T26" i="15" s="1"/>
  <c r="S26" i="15" s="1"/>
  <c r="H27" i="15"/>
  <c r="R29" i="15"/>
  <c r="T29" i="15" s="1"/>
  <c r="S29" i="15" s="1"/>
  <c r="H30" i="15"/>
  <c r="R32" i="15"/>
  <c r="T32" i="15" s="1"/>
  <c r="S32" i="15" s="1"/>
  <c r="H33" i="15"/>
  <c r="R35" i="15"/>
  <c r="T35" i="15" s="1"/>
  <c r="S35" i="15" s="1"/>
  <c r="H36" i="15"/>
  <c r="R38" i="15"/>
  <c r="T38" i="15" s="1"/>
  <c r="S38" i="15" s="1"/>
  <c r="H39" i="15"/>
  <c r="R41" i="15"/>
  <c r="T41" i="15" s="1"/>
  <c r="S41" i="15" s="1"/>
  <c r="H42" i="15"/>
  <c r="R44" i="15"/>
  <c r="V44" i="15" s="1"/>
  <c r="H45" i="15"/>
  <c r="G20" i="15"/>
  <c r="G23" i="15"/>
  <c r="G26" i="15"/>
  <c r="G29" i="15"/>
  <c r="G32" i="15"/>
  <c r="G35" i="15"/>
  <c r="G38" i="15"/>
  <c r="G41" i="15"/>
  <c r="G44" i="15"/>
  <c r="T36" i="28" l="1"/>
  <c r="S36" i="28" s="1"/>
  <c r="V36" i="28"/>
  <c r="V18" i="28"/>
  <c r="T24" i="28"/>
  <c r="S24" i="28" s="1"/>
  <c r="H49" i="28"/>
  <c r="P2" i="28" s="1"/>
  <c r="V24" i="28"/>
  <c r="G49" i="28"/>
  <c r="U33" i="28"/>
  <c r="T30" i="28"/>
  <c r="S30" i="28" s="1"/>
  <c r="T31" i="28"/>
  <c r="S31" i="28" s="1"/>
  <c r="V37" i="28"/>
  <c r="T37" i="28"/>
  <c r="S37" i="28" s="1"/>
  <c r="U46" i="28"/>
  <c r="V45" i="28"/>
  <c r="V39" i="28"/>
  <c r="V27" i="28"/>
  <c r="V21" i="28"/>
  <c r="T34" i="28"/>
  <c r="S34" i="28" s="1"/>
  <c r="U30" i="28"/>
  <c r="V25" i="28"/>
  <c r="V28" i="28"/>
  <c r="T39" i="28"/>
  <c r="S39" i="28" s="1"/>
  <c r="T21" i="28"/>
  <c r="S21" i="28" s="1"/>
  <c r="T18" i="28"/>
  <c r="L49" i="28"/>
  <c r="P3" i="28" s="1"/>
  <c r="V19" i="28"/>
  <c r="V22" i="28"/>
  <c r="T22" i="28"/>
  <c r="S22" i="28" s="1"/>
  <c r="T25" i="28"/>
  <c r="S25" i="28" s="1"/>
  <c r="T40" i="28"/>
  <c r="S40" i="28" s="1"/>
  <c r="V46" i="28"/>
  <c r="T19" i="28"/>
  <c r="S19" i="28" s="1"/>
  <c r="V31" i="28"/>
  <c r="V43" i="28"/>
  <c r="V34" i="28"/>
  <c r="T28" i="28"/>
  <c r="S28" i="28" s="1"/>
  <c r="U40" i="28"/>
  <c r="R49" i="28"/>
  <c r="V24" i="15"/>
  <c r="G49" i="15"/>
  <c r="V21" i="15"/>
  <c r="U30" i="15"/>
  <c r="H49" i="15"/>
  <c r="P2" i="15" s="1"/>
  <c r="V30" i="15"/>
  <c r="U27" i="15"/>
  <c r="T18" i="15"/>
  <c r="L49" i="15"/>
  <c r="P3" i="15" s="1"/>
  <c r="V35" i="15"/>
  <c r="T44" i="15"/>
  <c r="S44" i="15" s="1"/>
  <c r="R49" i="15"/>
  <c r="V48" i="15"/>
  <c r="U41" i="15"/>
  <c r="U32" i="15"/>
  <c r="U23" i="15"/>
  <c r="V29" i="15"/>
  <c r="U39" i="15"/>
  <c r="V38" i="15"/>
  <c r="V20" i="15"/>
  <c r="U44" i="15"/>
  <c r="U35" i="15"/>
  <c r="U26" i="15"/>
  <c r="V26" i="15"/>
  <c r="T45" i="15"/>
  <c r="S45" i="15" s="1"/>
  <c r="U42" i="15"/>
  <c r="V42" i="15"/>
  <c r="V18" i="15"/>
  <c r="V45" i="15"/>
  <c r="V27" i="15"/>
  <c r="U36" i="15"/>
  <c r="T36" i="15"/>
  <c r="S36" i="15" s="1"/>
  <c r="T48" i="15"/>
  <c r="S48" i="15" s="1"/>
  <c r="U29" i="15"/>
  <c r="U38" i="15"/>
  <c r="U20" i="15"/>
  <c r="T21" i="15"/>
  <c r="S21" i="15" s="1"/>
  <c r="P4" i="28" l="1"/>
  <c r="P5" i="28"/>
  <c r="V14" i="28"/>
  <c r="P9" i="28" s="1"/>
  <c r="P7" i="28"/>
  <c r="T49" i="28"/>
  <c r="P6" i="28" s="1"/>
  <c r="S18" i="28"/>
  <c r="S49" i="28" s="1"/>
  <c r="P5" i="15"/>
  <c r="T49" i="15"/>
  <c r="P6" i="15" s="1"/>
  <c r="S18" i="15"/>
  <c r="S49" i="15" s="1"/>
  <c r="V14" i="15"/>
  <c r="P9" i="15" s="1"/>
  <c r="P7" i="15"/>
  <c r="S9" i="15" s="1"/>
  <c r="U9" i="15" s="1"/>
  <c r="P4" i="15"/>
  <c r="S9" i="28" l="1"/>
  <c r="T9" i="15"/>
  <c r="V9" i="15" s="1"/>
  <c r="T9" i="28" l="1"/>
  <c r="V9" i="28" s="1"/>
  <c r="U9" i="28"/>
</calcChain>
</file>

<file path=xl/sharedStrings.xml><?xml version="1.0" encoding="utf-8"?>
<sst xmlns="http://schemas.openxmlformats.org/spreadsheetml/2006/main" count="1457" uniqueCount="220">
  <si>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</si>
  <si>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</si>
  <si>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</si>
  <si>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</si>
  <si>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</si>
  <si>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</si>
  <si>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</si>
  <si>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 xml:space="preserve">BC-217 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</si>
  <si>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</si>
  <si>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</si>
  <si>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</si>
  <si>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</si>
  <si>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</si>
  <si>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</si>
  <si>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</si>
  <si>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</si>
  <si>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</si>
  <si>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</si>
  <si>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BOBCAT</t>
  </si>
  <si>
    <t>FUEL FILTERS</t>
  </si>
  <si>
    <t>$ SAVINGS</t>
  </si>
  <si>
    <t>PROJECT #</t>
  </si>
  <si>
    <t>PHONE:</t>
  </si>
  <si>
    <t>MODEL</t>
  </si>
  <si>
    <t>T750</t>
  </si>
  <si>
    <t>HYDRAULIC FILTERS</t>
  </si>
  <si>
    <t>% SAVINGS</t>
  </si>
  <si>
    <t>CUST INVOICE #</t>
  </si>
  <si>
    <t>EMAIL:</t>
  </si>
  <si>
    <t>SERIAL NUMBER</t>
  </si>
  <si>
    <t>ATF613217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</si>
  <si>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</si>
  <si>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</si>
  <si>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</si>
  <si>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</si>
  <si>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</si>
  <si>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</si>
  <si>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</si>
  <si>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</si>
  <si>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</si>
  <si>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</si>
  <si>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</si>
  <si>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</si>
  <si>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</si>
  <si>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</si>
  <si>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</si>
  <si>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</si>
  <si>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</si>
  <si>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</si>
  <si>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</si>
  <si>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</si>
  <si>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</si>
  <si>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</si>
  <si>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</si>
  <si>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</si>
  <si>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</si>
  <si>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</si>
  <si>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</si>
  <si>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</si>
  <si>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TYPE/TIER</t>
  </si>
  <si>
    <t>IE: VIP - Gold</t>
  </si>
  <si>
    <t>FREIGHT TOTAL ORDER</t>
  </si>
  <si>
    <t>CUSTOMS AND BROKERAGE  %</t>
  </si>
  <si>
    <t>BROKERAGE FEES</t>
  </si>
  <si>
    <t>NO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</si>
  <si>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</si>
  <si>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</si>
  <si>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</si>
  <si>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</si>
  <si>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</si>
  <si>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</si>
  <si>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</si>
  <si>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</si>
  <si>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</si>
  <si>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PRCING METHOD
%OEM / MARKUP</t>
  </si>
  <si>
    <t>OEM DISC % / MARKUP %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</si>
  <si>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</si>
  <si>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</si>
  <si>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</si>
  <si>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</si>
  <si>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</si>
  <si>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</si>
  <si>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</si>
  <si>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ENGINE OIL FILTER</t>
  </si>
  <si>
    <t>OEM DISC %</t>
  </si>
  <si>
    <t>FUEL WATER SEPARATOR FILTER</t>
  </si>
  <si>
    <t>GQP</t>
  </si>
  <si>
    <t>CTP</t>
  </si>
  <si>
    <t>HYDRAULIC OIL FILTER ELEMENT</t>
  </si>
  <si>
    <t>BLMQ</t>
  </si>
  <si>
    <t>PRIMARY AIR FILTER ELEMENT (OUTER)</t>
  </si>
  <si>
    <t>CAT</t>
  </si>
  <si>
    <t>SECONDARY AIR FILTER ELEMENT</t>
  </si>
  <si>
    <t>FINNING</t>
  </si>
  <si>
    <t>CABIN AIR FILTER ELEMENT</t>
  </si>
  <si>
    <t>JD</t>
  </si>
  <si>
    <t>BRANDT</t>
  </si>
  <si>
    <t>SPROCKET</t>
  </si>
  <si>
    <t>PTI</t>
  </si>
  <si>
    <t>CONEQUIP</t>
  </si>
  <si>
    <t>80" Bucket - Severe Duty</t>
  </si>
  <si>
    <t>CANDY</t>
  </si>
  <si>
    <t>AS REQ'D</t>
  </si>
  <si>
    <t>U/C</t>
  </si>
  <si>
    <t>TRACK IDLER -Front</t>
  </si>
  <si>
    <t>Track Idler - Rear</t>
  </si>
  <si>
    <t>Roller Assembly</t>
  </si>
  <si>
    <t>MARKUP %</t>
  </si>
  <si>
    <t>Rubber Track - 320x86x55</t>
  </si>
  <si>
    <t>Upper Gasket Kit</t>
  </si>
  <si>
    <t>Lower Gasket Kit</t>
  </si>
  <si>
    <t xml:space="preserve">CRANKSHAFT </t>
  </si>
  <si>
    <t>CYLINDER HEAD</t>
  </si>
  <si>
    <t>Turbocharger AS</t>
  </si>
  <si>
    <t>Battery GP</t>
  </si>
  <si>
    <t>Injector</t>
  </si>
  <si>
    <t>TOTALS</t>
  </si>
  <si>
    <t>BC-791</t>
  </si>
  <si>
    <t>Bobcat</t>
  </si>
  <si>
    <t>AT5T11791</t>
  </si>
  <si>
    <t xml:space="preserve">  FILTERS:</t>
  </si>
  <si>
    <t>FUEL Filter w/WATER SEPARATOR</t>
  </si>
  <si>
    <t>TRANSMISSION FILTER</t>
  </si>
  <si>
    <t>HYDRAULIC FILTER</t>
  </si>
  <si>
    <t>CABIN AIR FILTER</t>
  </si>
  <si>
    <t>PRIMARY AIR FILTER</t>
  </si>
  <si>
    <t>SECONDARY AIR FILTER</t>
  </si>
  <si>
    <t>WATER SEPARATOR</t>
  </si>
  <si>
    <t>DIESEL PARTICULATE FILTER</t>
  </si>
  <si>
    <t>DPF Outlet Kit</t>
  </si>
  <si>
    <t xml:space="preserve">  MISCANELOUS:</t>
  </si>
  <si>
    <t>BATTERY</t>
  </si>
  <si>
    <t>SEAT</t>
  </si>
  <si>
    <t xml:space="preserve">  ENGINE COMPONENTS:</t>
  </si>
  <si>
    <t>7024930/7024931</t>
  </si>
  <si>
    <t>ENGINE MAJOR OVERHAUL KIT</t>
  </si>
  <si>
    <t>CAMSHAFT</t>
  </si>
  <si>
    <t>CRANKSAHFT</t>
  </si>
  <si>
    <t>TURBOCHARGER</t>
  </si>
  <si>
    <t>INJECTOR GP</t>
  </si>
  <si>
    <t xml:space="preserve">  GROUND ENGAGING TOOLS:</t>
  </si>
  <si>
    <t>80" Bucket</t>
  </si>
  <si>
    <t>Rubber Track (450x86x55)</t>
  </si>
  <si>
    <t>DIESEL EXHAUST FLUID FILTER Kit</t>
  </si>
  <si>
    <t>BC-083</t>
  </si>
  <si>
    <t>T770</t>
  </si>
  <si>
    <t>AT6316083</t>
  </si>
  <si>
    <t>CRANKSHAFT / Gear</t>
  </si>
  <si>
    <t>BC-330</t>
  </si>
  <si>
    <t>AT6314330</t>
  </si>
  <si>
    <t>FUEL FILTER</t>
  </si>
  <si>
    <t>CAT/MIDWESTERN</t>
  </si>
  <si>
    <t>7W-5495</t>
  </si>
  <si>
    <t>Air Filter - Primary</t>
  </si>
  <si>
    <t>1P-7360</t>
  </si>
  <si>
    <t>Air Filter - Secondary</t>
  </si>
  <si>
    <t>9M-2341</t>
  </si>
  <si>
    <t>Fuel Filter - Primary</t>
  </si>
  <si>
    <t>1R-0750</t>
  </si>
  <si>
    <t>Fuel Filter - Secondary</t>
  </si>
  <si>
    <t>2P-4005</t>
  </si>
  <si>
    <t>Engine Oil Filter</t>
  </si>
  <si>
    <t>1R-0741</t>
  </si>
  <si>
    <t>Hydraulic Filter</t>
  </si>
  <si>
    <t>4J-6064</t>
  </si>
  <si>
    <t>Transmission Filter</t>
  </si>
  <si>
    <t>4H-2978</t>
  </si>
  <si>
    <t>6P-1319</t>
  </si>
  <si>
    <t>Cab - Fresh Air</t>
  </si>
  <si>
    <t>6P-6664</t>
  </si>
  <si>
    <t>Cab - Recirculate</t>
  </si>
  <si>
    <t>153-5720</t>
  </si>
  <si>
    <t>Battery</t>
  </si>
  <si>
    <t>8N-5510</t>
  </si>
  <si>
    <t>Turbocharger</t>
  </si>
  <si>
    <t>583_GD_MTO_22"_41LINK</t>
  </si>
  <si>
    <t>GQP 583T Complete UC KIT</t>
  </si>
  <si>
    <t>PL-398</t>
  </si>
  <si>
    <t>31Z00398</t>
  </si>
  <si>
    <t xml:space="preserve">BH-853 </t>
  </si>
  <si>
    <t>Kubota</t>
  </si>
  <si>
    <t>U55-4</t>
  </si>
  <si>
    <t>JKUU0554K01H20853</t>
  </si>
  <si>
    <t>HH1C032430</t>
  </si>
  <si>
    <t>HH1J043172</t>
  </si>
  <si>
    <t>V063151880</t>
  </si>
  <si>
    <t>FUEL WATER SEPARATOR</t>
  </si>
  <si>
    <t>R141164930</t>
  </si>
  <si>
    <t>R140142270</t>
  </si>
  <si>
    <t>115D31L</t>
  </si>
  <si>
    <t>RD57938404</t>
  </si>
  <si>
    <t>1J0699350 / 1J70699360</t>
  </si>
  <si>
    <t>1J73516012</t>
  </si>
  <si>
    <t>1J70023010</t>
  </si>
  <si>
    <t>1J70503032</t>
  </si>
  <si>
    <t>1J70353076</t>
  </si>
  <si>
    <t>RD45866752</t>
  </si>
  <si>
    <t>Bucket Pin</t>
  </si>
  <si>
    <t>RD57967800</t>
  </si>
  <si>
    <t>Bucket Cylinder</t>
  </si>
  <si>
    <t>RD57893110</t>
  </si>
  <si>
    <t>Blade Kit (1960mm)</t>
  </si>
  <si>
    <t>RD57922310</t>
  </si>
  <si>
    <t>Rubber Track (400x72.5x74)</t>
  </si>
  <si>
    <t>RT-983</t>
  </si>
  <si>
    <t>Tadano</t>
  </si>
  <si>
    <t>GR-750XL-2 - 75 Ton Crane</t>
  </si>
  <si>
    <t>Cummins - QSB6.7</t>
  </si>
  <si>
    <t>LF3970</t>
  </si>
  <si>
    <t>FS1098</t>
  </si>
  <si>
    <t>AF55015</t>
  </si>
  <si>
    <t>AF55309</t>
  </si>
  <si>
    <t>DIESEL EXHAUST FLUID FILTER</t>
  </si>
  <si>
    <t>4955350RX</t>
  </si>
  <si>
    <t>Tire Size: 29.5-25, 22-ply</t>
  </si>
  <si>
    <t>Rough Terrain Crane</t>
  </si>
  <si>
    <t>Mini Excavator</t>
  </si>
  <si>
    <t>Compact Track Loader</t>
  </si>
  <si>
    <t>T-770</t>
  </si>
  <si>
    <t>Pipelayer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</si>
</sst>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8">
    <xf numFmtId="0" fontId="0" fillId="0" borderId="0" xfId="0"/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44" fontId="6" fillId="0" borderId="2" xfId="1" applyFont="1" applyFill="1" applyBorder="1" applyProtection="1">
      <protection locked="0"/>
    </xf>
    <xf numFmtId="44" fontId="6" fillId="0" borderId="2" xfId="1" applyFont="1" applyFill="1" applyBorder="1" applyProtection="1"/>
    <xf numFmtId="44" fontId="6" fillId="0" borderId="7" xfId="1" applyFont="1" applyFill="1" applyBorder="1" applyProtection="1"/>
    <xf numFmtId="44" fontId="6" fillId="5" borderId="13" xfId="1" applyFont="1" applyFill="1" applyBorder="1" applyProtection="1"/>
    <xf numFmtId="9" fontId="6" fillId="0" borderId="3" xfId="2" applyFont="1" applyBorder="1" applyProtection="1">
      <protection locked="0"/>
    </xf>
    <xf numFmtId="44" fontId="6" fillId="0" borderId="1" xfId="1" applyFont="1" applyFill="1" applyBorder="1" applyProtection="1">
      <protection locked="0"/>
    </xf>
    <xf numFmtId="44" fontId="6" fillId="0" borderId="1" xfId="1" applyFont="1" applyFill="1" applyBorder="1" applyProtection="1"/>
    <xf numFmtId="44" fontId="6" fillId="3" borderId="1" xfId="1" applyFont="1" applyFill="1" applyBorder="1" applyProtection="1">
      <protection locked="0"/>
    </xf>
    <xf numFmtId="9" fontId="6" fillId="3" borderId="3" xfId="2" applyFont="1" applyFill="1" applyBorder="1" applyProtection="1">
      <protection locked="0"/>
    </xf>
    <xf numFmtId="0" fontId="2" fillId="3" borderId="13" xfId="0" applyFont="1" applyFill="1" applyBorder="1" applyProtection="1">
      <protection locked="0"/>
    </xf>
    <xf numFmtId="0" fontId="5" fillId="3" borderId="13" xfId="3" applyFill="1" applyBorder="1" applyAlignment="1" applyProtection="1"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" fillId="3" borderId="0" xfId="0" applyFont="1" applyFill="1" applyProtection="1">
      <protection locked="0"/>
    </xf>
    <xf numFmtId="0" fontId="12" fillId="0" borderId="17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2" fillId="1" borderId="0" xfId="0" applyFont="1" applyFill="1" applyProtection="1"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0" fontId="6" fillId="0" borderId="0" xfId="2" applyNumberFormat="1" applyFont="1" applyBorder="1" applyProtection="1">
      <protection locked="0"/>
    </xf>
    <xf numFmtId="10" fontId="6" fillId="3" borderId="0" xfId="2" applyNumberFormat="1" applyFont="1" applyFill="1" applyBorder="1" applyProtection="1">
      <protection locked="0"/>
    </xf>
    <xf numFmtId="10" fontId="6" fillId="0" borderId="1" xfId="2" applyNumberFormat="1" applyFont="1" applyBorder="1" applyProtection="1"/>
    <xf numFmtId="1" fontId="15" fillId="3" borderId="3" xfId="3" applyNumberFormat="1" applyFont="1" applyFill="1" applyBorder="1" applyAlignment="1" applyProtection="1">
      <alignment horizontal="left"/>
      <protection locked="0"/>
    </xf>
    <xf numFmtId="0" fontId="6" fillId="3" borderId="3" xfId="3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165" fontId="2" fillId="3" borderId="7" xfId="0" applyNumberFormat="1" applyFont="1" applyFill="1" applyBorder="1" applyAlignment="1" applyProtection="1">
      <alignment horizontal="left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65" fontId="2" fillId="3" borderId="13" xfId="0" applyNumberFormat="1" applyFont="1" applyFill="1" applyBorder="1" applyProtection="1">
      <protection locked="0"/>
    </xf>
    <xf numFmtId="9" fontId="6" fillId="0" borderId="7" xfId="2" applyFont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44" fontId="6" fillId="10" borderId="2" xfId="1" applyFont="1" applyFill="1" applyBorder="1" applyProtection="1"/>
    <xf numFmtId="44" fontId="6" fillId="10" borderId="7" xfId="1" applyFont="1" applyFill="1" applyBorder="1" applyProtection="1"/>
    <xf numFmtId="44" fontId="6" fillId="10" borderId="1" xfId="1" applyFont="1" applyFill="1" applyBorder="1" applyProtection="1"/>
    <xf numFmtId="10" fontId="6" fillId="10" borderId="1" xfId="2" applyNumberFormat="1" applyFont="1" applyFill="1" applyBorder="1" applyProtection="1"/>
    <xf numFmtId="44" fontId="6" fillId="6" borderId="13" xfId="1" applyFont="1" applyFill="1" applyBorder="1" applyProtection="1"/>
    <xf numFmtId="9" fontId="6" fillId="11" borderId="0" xfId="2" applyFont="1" applyFill="1" applyBorder="1" applyAlignment="1" applyProtection="1">
      <alignment horizontal="center"/>
    </xf>
    <xf numFmtId="0" fontId="9" fillId="3" borderId="22" xfId="0" applyFont="1" applyFill="1" applyBorder="1" applyAlignment="1" applyProtection="1">
      <alignment horizontal="center"/>
      <protection locked="0"/>
    </xf>
    <xf numFmtId="44" fontId="3" fillId="3" borderId="33" xfId="1" applyFont="1" applyFill="1" applyBorder="1" applyAlignment="1" applyProtection="1">
      <alignment horizontal="center" vertical="center"/>
      <protection locked="0"/>
    </xf>
    <xf numFmtId="10" fontId="4" fillId="3" borderId="33" xfId="2" applyNumberFormat="1" applyFont="1" applyFill="1" applyBorder="1" applyAlignment="1" applyProtection="1">
      <alignment horizontal="center" vertical="center"/>
      <protection locked="0"/>
    </xf>
    <xf numFmtId="0" fontId="5" fillId="6" borderId="0" xfId="3" applyFill="1" applyBorder="1" applyAlignment="1" applyProtection="1"/>
    <xf numFmtId="9" fontId="8" fillId="0" borderId="0" xfId="2" applyFont="1" applyFill="1" applyBorder="1" applyAlignment="1" applyProtection="1"/>
    <xf numFmtId="0" fontId="7" fillId="6" borderId="0" xfId="3" applyFont="1" applyFill="1" applyBorder="1" applyAlignment="1" applyProtection="1"/>
    <xf numFmtId="10" fontId="6" fillId="6" borderId="0" xfId="2" applyNumberFormat="1" applyFont="1" applyFill="1" applyBorder="1" applyProtection="1"/>
    <xf numFmtId="9" fontId="6" fillId="5" borderId="13" xfId="2" applyFont="1" applyFill="1" applyBorder="1" applyProtection="1"/>
    <xf numFmtId="44" fontId="6" fillId="12" borderId="1" xfId="1" applyFont="1" applyFill="1" applyBorder="1" applyProtection="1"/>
    <xf numFmtId="3" fontId="6" fillId="0" borderId="2" xfId="0" applyNumberFormat="1" applyFont="1" applyBorder="1" applyAlignment="1" applyProtection="1">
      <alignment horizont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1" xfId="0" applyFont="1" applyFill="1" applyBorder="1"/>
    <xf numFmtId="0" fontId="2" fillId="0" borderId="0" xfId="0" applyFont="1"/>
    <xf numFmtId="0" fontId="3" fillId="6" borderId="0" xfId="0" applyFont="1" applyFill="1"/>
    <xf numFmtId="0" fontId="10" fillId="0" borderId="0" xfId="0" applyFont="1" applyAlignment="1">
      <alignment vertical="center"/>
    </xf>
    <xf numFmtId="0" fontId="6" fillId="0" borderId="0" xfId="0" applyFont="1"/>
    <xf numFmtId="165" fontId="2" fillId="6" borderId="0" xfId="0" applyNumberFormat="1" applyFont="1" applyFill="1"/>
    <xf numFmtId="166" fontId="8" fillId="0" borderId="0" xfId="0" applyNumberFormat="1" applyFont="1"/>
    <xf numFmtId="166" fontId="9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44" fontId="6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  <xf numFmtId="10" fontId="4" fillId="6" borderId="1" xfId="0" applyNumberFormat="1" applyFont="1" applyFill="1" applyBorder="1" applyAlignment="1">
      <alignment horizontal="center"/>
    </xf>
    <xf numFmtId="0" fontId="2" fillId="10" borderId="5" xfId="0" applyFont="1" applyFill="1" applyBorder="1"/>
    <xf numFmtId="0" fontId="4" fillId="10" borderId="5" xfId="0" applyFont="1" applyFill="1" applyBorder="1"/>
    <xf numFmtId="3" fontId="3" fillId="10" borderId="1" xfId="0" applyNumberFormat="1" applyFont="1" applyFill="1" applyBorder="1"/>
    <xf numFmtId="44" fontId="3" fillId="10" borderId="1" xfId="1" applyFont="1" applyFill="1" applyBorder="1" applyAlignment="1" applyProtection="1">
      <alignment horizontal="center"/>
    </xf>
    <xf numFmtId="44" fontId="3" fillId="10" borderId="1" xfId="0" applyNumberFormat="1" applyFont="1" applyFill="1" applyBorder="1" applyAlignment="1">
      <alignment horizontal="right"/>
    </xf>
    <xf numFmtId="44" fontId="3" fillId="10" borderId="1" xfId="0" applyNumberFormat="1" applyFont="1" applyFill="1" applyBorder="1"/>
    <xf numFmtId="44" fontId="25" fillId="6" borderId="1" xfId="0" applyNumberFormat="1" applyFont="1" applyFill="1" applyBorder="1"/>
    <xf numFmtId="3" fontId="3" fillId="10" borderId="1" xfId="0" applyNumberFormat="1" applyFont="1" applyFill="1" applyBorder="1" applyAlignment="1">
      <alignment horizontal="center"/>
    </xf>
    <xf numFmtId="44" fontId="9" fillId="6" borderId="1" xfId="0" applyNumberFormat="1" applyFont="1" applyFill="1" applyBorder="1"/>
    <xf numFmtId="10" fontId="3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3" fontId="6" fillId="10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2" fillId="9" borderId="30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 wrapText="1"/>
    </xf>
    <xf numFmtId="44" fontId="8" fillId="10" borderId="32" xfId="0" applyNumberFormat="1" applyFont="1" applyFill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8" fillId="11" borderId="0" xfId="0" applyFont="1" applyFill="1" applyAlignment="1">
      <alignment horizontal="center"/>
    </xf>
    <xf numFmtId="0" fontId="9" fillId="11" borderId="0" xfId="0" applyFont="1" applyFill="1" applyAlignment="1">
      <alignment horizontal="right"/>
    </xf>
    <xf numFmtId="0" fontId="2" fillId="11" borderId="0" xfId="0" applyFont="1" applyFill="1"/>
    <xf numFmtId="0" fontId="3" fillId="11" borderId="6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2" fontId="13" fillId="0" borderId="1" xfId="0" applyNumberFormat="1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" fillId="0" borderId="64" xfId="0" applyFont="1" applyBorder="1" applyAlignment="1" applyProtection="1">
      <alignment horizontal="center"/>
      <protection locked="0"/>
    </xf>
    <xf numFmtId="0" fontId="6" fillId="3" borderId="65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4" fillId="10" borderId="66" xfId="0" applyFont="1" applyFill="1" applyBorder="1" applyAlignment="1">
      <alignment horizontal="right"/>
    </xf>
    <xf numFmtId="44" fontId="6" fillId="10" borderId="2" xfId="1" applyFont="1" applyFill="1" applyBorder="1" applyProtection="1">
      <protection locked="0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6" fillId="3" borderId="47" xfId="0" applyFont="1" applyFill="1" applyBorder="1" applyAlignment="1" applyProtection="1">
      <alignment horizontal="left"/>
      <protection locked="0"/>
    </xf>
    <xf numFmtId="0" fontId="6" fillId="3" borderId="46" xfId="0" applyFont="1" applyFill="1" applyBorder="1" applyAlignment="1" applyProtection="1">
      <alignment horizontal="left"/>
      <protection locked="0"/>
    </xf>
    <xf numFmtId="0" fontId="17" fillId="8" borderId="22" xfId="0" applyFont="1" applyFill="1" applyBorder="1" applyAlignment="1">
      <alignment horizontal="center"/>
    </xf>
    <xf numFmtId="0" fontId="17" fillId="8" borderId="57" xfId="0" applyFont="1" applyFill="1" applyBorder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17" fillId="8" borderId="18" xfId="0" applyFont="1" applyFill="1" applyBorder="1" applyAlignment="1">
      <alignment horizontal="center"/>
    </xf>
    <xf numFmtId="0" fontId="17" fillId="8" borderId="56" xfId="0" applyFont="1" applyFill="1" applyBorder="1" applyAlignment="1">
      <alignment horizontal="center"/>
    </xf>
    <xf numFmtId="0" fontId="17" fillId="8" borderId="24" xfId="0" applyFont="1" applyFill="1" applyBorder="1" applyAlignment="1">
      <alignment horizontal="center"/>
    </xf>
    <xf numFmtId="0" fontId="17" fillId="8" borderId="63" xfId="0" applyFont="1" applyFill="1" applyBorder="1" applyAlignment="1">
      <alignment horizontal="center"/>
    </xf>
    <xf numFmtId="0" fontId="3" fillId="3" borderId="47" xfId="0" applyFont="1" applyFill="1" applyBorder="1" applyAlignment="1" applyProtection="1">
      <alignment horizontal="left"/>
      <protection locked="0"/>
    </xf>
    <xf numFmtId="0" fontId="3" fillId="3" borderId="46" xfId="0" applyFont="1" applyFill="1" applyBorder="1" applyAlignment="1" applyProtection="1">
      <alignment horizontal="left"/>
      <protection locked="0"/>
    </xf>
    <xf numFmtId="0" fontId="9" fillId="4" borderId="3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9" fillId="4" borderId="5" xfId="0" applyFont="1" applyFill="1" applyBorder="1" applyAlignment="1">
      <alignment horizontal="right"/>
    </xf>
    <xf numFmtId="0" fontId="9" fillId="13" borderId="3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9" fillId="4" borderId="47" xfId="0" applyFont="1" applyFill="1" applyBorder="1" applyAlignment="1">
      <alignment horizontal="right"/>
    </xf>
    <xf numFmtId="0" fontId="9" fillId="4" borderId="46" xfId="0" applyFont="1" applyFill="1" applyBorder="1" applyAlignment="1">
      <alignment horizontal="right"/>
    </xf>
    <xf numFmtId="0" fontId="6" fillId="3" borderId="47" xfId="0" applyFont="1" applyFill="1" applyBorder="1" applyAlignment="1" applyProtection="1">
      <alignment horizontal="left"/>
      <protection locked="0"/>
    </xf>
    <xf numFmtId="0" fontId="6" fillId="3" borderId="46" xfId="0" applyFont="1" applyFill="1" applyBorder="1" applyAlignment="1" applyProtection="1">
      <alignment horizontal="left"/>
      <protection locked="0"/>
    </xf>
    <xf numFmtId="0" fontId="9" fillId="4" borderId="48" xfId="0" applyFont="1" applyFill="1" applyBorder="1" applyAlignment="1">
      <alignment horizontal="right"/>
    </xf>
    <xf numFmtId="0" fontId="9" fillId="13" borderId="47" xfId="0" applyFont="1" applyFill="1" applyBorder="1" applyAlignment="1">
      <alignment horizontal="center"/>
    </xf>
    <xf numFmtId="0" fontId="9" fillId="13" borderId="48" xfId="0" applyFont="1" applyFill="1" applyBorder="1" applyAlignment="1">
      <alignment horizontal="center"/>
    </xf>
    <xf numFmtId="0" fontId="9" fillId="13" borderId="46" xfId="0" applyFont="1" applyFill="1" applyBorder="1" applyAlignment="1">
      <alignment horizontal="center"/>
    </xf>
    <xf numFmtId="166" fontId="8" fillId="0" borderId="48" xfId="0" applyNumberFormat="1" applyFont="1" applyBorder="1" applyAlignment="1">
      <alignment horizontal="center"/>
    </xf>
    <xf numFmtId="166" fontId="8" fillId="0" borderId="46" xfId="0" applyNumberFormat="1" applyFont="1" applyBorder="1" applyAlignment="1">
      <alignment horizontal="center"/>
    </xf>
    <xf numFmtId="0" fontId="3" fillId="13" borderId="47" xfId="0" applyFont="1" applyFill="1" applyBorder="1" applyAlignment="1">
      <alignment horizontal="center"/>
    </xf>
    <xf numFmtId="0" fontId="3" fillId="13" borderId="46" xfId="0" applyFont="1" applyFill="1" applyBorder="1" applyAlignment="1">
      <alignment horizontal="center"/>
    </xf>
    <xf numFmtId="0" fontId="9" fillId="13" borderId="43" xfId="0" applyFont="1" applyFill="1" applyBorder="1" applyAlignment="1">
      <alignment horizontal="center"/>
    </xf>
    <xf numFmtId="0" fontId="9" fillId="13" borderId="44" xfId="0" applyFont="1" applyFill="1" applyBorder="1" applyAlignment="1">
      <alignment horizontal="center"/>
    </xf>
    <xf numFmtId="0" fontId="9" fillId="13" borderId="31" xfId="0" applyFont="1" applyFill="1" applyBorder="1" applyAlignment="1">
      <alignment horizontal="center"/>
    </xf>
    <xf numFmtId="9" fontId="8" fillId="0" borderId="44" xfId="2" applyFont="1" applyFill="1" applyBorder="1" applyAlignment="1" applyProtection="1">
      <alignment horizontal="center"/>
    </xf>
    <xf numFmtId="9" fontId="8" fillId="0" borderId="31" xfId="2" applyFont="1" applyFill="1" applyBorder="1" applyAlignment="1" applyProtection="1">
      <alignment horizontal="center"/>
    </xf>
    <xf numFmtId="0" fontId="9" fillId="13" borderId="3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0" fontId="3" fillId="13" borderId="61" xfId="0" applyFont="1" applyFill="1" applyBorder="1" applyAlignment="1">
      <alignment horizontal="center"/>
    </xf>
    <xf numFmtId="0" fontId="3" fillId="13" borderId="62" xfId="0" applyFont="1" applyFill="1" applyBorder="1" applyAlignment="1">
      <alignment horizontal="center"/>
    </xf>
    <xf numFmtId="0" fontId="3" fillId="3" borderId="61" xfId="0" applyFont="1" applyFill="1" applyBorder="1" applyAlignment="1" applyProtection="1">
      <alignment horizontal="left"/>
      <protection locked="0"/>
    </xf>
    <xf numFmtId="0" fontId="3" fillId="3" borderId="62" xfId="0" applyFont="1" applyFill="1" applyBorder="1" applyAlignment="1" applyProtection="1">
      <alignment horizontal="left"/>
      <protection locked="0"/>
    </xf>
    <xf numFmtId="0" fontId="9" fillId="13" borderId="15" xfId="0" applyFont="1" applyFill="1" applyBorder="1" applyAlignment="1">
      <alignment horizontal="center" vertical="center"/>
    </xf>
    <xf numFmtId="0" fontId="9" fillId="13" borderId="59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166" fontId="9" fillId="0" borderId="59" xfId="0" applyNumberFormat="1" applyFont="1" applyBorder="1" applyAlignment="1">
      <alignment horizontal="center" vertical="center"/>
    </xf>
    <xf numFmtId="166" fontId="9" fillId="0" borderId="16" xfId="0" applyNumberFormat="1" applyFont="1" applyBorder="1" applyAlignment="1">
      <alignment horizontal="center" vertical="center"/>
    </xf>
    <xf numFmtId="0" fontId="3" fillId="13" borderId="5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166" fontId="9" fillId="0" borderId="5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166" fontId="3" fillId="7" borderId="60" xfId="0" applyNumberFormat="1" applyFont="1" applyFill="1" applyBorder="1" applyAlignment="1">
      <alignment horizontal="center" vertical="center"/>
    </xf>
    <xf numFmtId="166" fontId="3" fillId="7" borderId="2" xfId="0" applyNumberFormat="1" applyFont="1" applyFill="1" applyBorder="1" applyAlignment="1">
      <alignment horizontal="center" vertical="center"/>
    </xf>
    <xf numFmtId="9" fontId="4" fillId="0" borderId="60" xfId="2" applyFont="1" applyBorder="1" applyAlignment="1" applyProtection="1">
      <alignment horizontal="center" vertical="center"/>
    </xf>
    <xf numFmtId="9" fontId="4" fillId="0" borderId="2" xfId="2" applyFont="1" applyBorder="1" applyAlignment="1" applyProtection="1">
      <alignment horizontal="center" vertical="center"/>
    </xf>
    <xf numFmtId="0" fontId="2" fillId="3" borderId="12" xfId="0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18" fillId="9" borderId="10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4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right" vertical="center"/>
    </xf>
    <xf numFmtId="0" fontId="11" fillId="4" borderId="28" xfId="0" applyFont="1" applyFill="1" applyBorder="1" applyAlignment="1">
      <alignment horizontal="right" vertical="center"/>
    </xf>
    <xf numFmtId="0" fontId="18" fillId="9" borderId="45" xfId="0" applyFont="1" applyFill="1" applyBorder="1" applyAlignment="1">
      <alignment horizontal="center" vertical="center"/>
    </xf>
    <xf numFmtId="0" fontId="18" fillId="9" borderId="48" xfId="0" applyFont="1" applyFill="1" applyBorder="1" applyAlignment="1">
      <alignment horizontal="center" vertical="center"/>
    </xf>
    <xf numFmtId="0" fontId="18" fillId="9" borderId="46" xfId="0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7" fillId="9" borderId="42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9" fontId="10" fillId="3" borderId="24" xfId="2" applyFont="1" applyFill="1" applyBorder="1" applyAlignment="1" applyProtection="1">
      <alignment horizontal="center" vertical="center" wrapText="1"/>
      <protection locked="0"/>
    </xf>
    <xf numFmtId="9" fontId="10" fillId="3" borderId="63" xfId="2" applyFont="1" applyFill="1" applyBorder="1" applyAlignment="1" applyProtection="1">
      <alignment horizontal="center" vertical="center" wrapText="1"/>
      <protection locked="0"/>
    </xf>
    <xf numFmtId="9" fontId="10" fillId="3" borderId="67" xfId="2" applyFont="1" applyFill="1" applyBorder="1" applyAlignment="1" applyProtection="1">
      <alignment horizontal="center" vertical="center" wrapText="1"/>
      <protection locked="0"/>
    </xf>
    <xf numFmtId="9" fontId="10" fillId="3" borderId="68" xfId="2" applyFont="1" applyFill="1" applyBorder="1" applyAlignment="1" applyProtection="1">
      <alignment horizontal="center" vertical="center" wrapText="1"/>
      <protection locked="0"/>
    </xf>
    <xf numFmtId="9" fontId="10" fillId="3" borderId="0" xfId="2" applyFont="1" applyFill="1" applyBorder="1" applyAlignment="1" applyProtection="1">
      <alignment horizontal="center" vertical="center" wrapText="1"/>
      <protection locked="0"/>
    </xf>
    <xf numFmtId="9" fontId="10" fillId="3" borderId="8" xfId="2" applyFont="1" applyFill="1" applyBorder="1" applyAlignment="1" applyProtection="1">
      <alignment horizontal="center" vertical="center" wrapText="1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9" fillId="3" borderId="45" xfId="0" applyFont="1" applyFill="1" applyBorder="1" applyAlignment="1" applyProtection="1">
      <alignment horizontal="center" vertical="center" wrapText="1"/>
      <protection locked="0"/>
    </xf>
    <xf numFmtId="0" fontId="9" fillId="3" borderId="46" xfId="0" applyFont="1" applyFill="1" applyBorder="1" applyAlignment="1" applyProtection="1">
      <alignment horizontal="center" vertical="center" wrapText="1"/>
      <protection locked="0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20" fillId="9" borderId="42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vertical="center" wrapText="1"/>
    </xf>
    <xf numFmtId="0" fontId="20" fillId="9" borderId="49" xfId="0" applyFont="1" applyFill="1" applyBorder="1" applyAlignment="1">
      <alignment horizontal="center" vertical="center" wrapText="1"/>
    </xf>
    <xf numFmtId="0" fontId="20" fillId="9" borderId="50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16" fillId="9" borderId="51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24" fillId="9" borderId="8" xfId="0" applyFont="1" applyFill="1" applyBorder="1" applyAlignment="1">
      <alignment horizontal="center" vertical="center" wrapText="1"/>
    </xf>
    <xf numFmtId="0" fontId="24" fillId="9" borderId="52" xfId="0" applyFont="1" applyFill="1" applyBorder="1" applyAlignment="1">
      <alignment horizontal="center" vertical="center" wrapText="1"/>
    </xf>
    <xf numFmtId="0" fontId="16" fillId="9" borderId="37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 vertical="center" wrapText="1"/>
    </xf>
    <xf numFmtId="0" fontId="17" fillId="9" borderId="40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41" xfId="0" applyFont="1" applyFill="1" applyBorder="1" applyAlignment="1">
      <alignment horizontal="center" vertical="center" wrapText="1"/>
    </xf>
    <xf numFmtId="0" fontId="18" fillId="9" borderId="58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18" fillId="9" borderId="39" xfId="0" applyFont="1" applyFill="1" applyBorder="1" applyAlignment="1">
      <alignment horizontal="center" vertical="center"/>
    </xf>
    <xf numFmtId="0" fontId="18" fillId="9" borderId="52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19" fillId="9" borderId="52" xfId="0" applyFont="1" applyFill="1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3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5CFCE4-21F4-4A14-A08B-B03FD4A52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4F04FD-47AD-4423-9EF2-ADD4FE1A4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59DB4-EDEF-4F47-8E45-3737570E5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DB042-1FCA-471A-96EB-4059E56E1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881E02-AA3C-484B-BAE1-49D125B27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E96A2B-61A4-4904-904C-84748178E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E1618-ABF0-48AF-AA92-93FD84AD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1123D-3C6B-4FB7-B32B-DADEC083C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8A90D-4FB1-41E2-9ACD-F8BCC3F50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6F4F-4582-434E-831D-4F9E583F3446}">
  <sheetPr>
    <pageSetUpPr fitToPage="1"/>
  </sheetPr>
  <dimension ref="A1:AB51"/>
  <sheetViews>
    <sheetView tabSelected="1" zoomScale="85" zoomScaleNormal="85" workbookViewId="0">
      <selection activeCell="C18" sqref="C18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59" t="s">
        <v>7</v>
      </c>
      <c r="G2" s="160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42034.079999999994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45">
        <v>2014</v>
      </c>
      <c r="G3" s="146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22980.93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45" t="s">
        <v>18</v>
      </c>
      <c r="G4" s="146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19053.149999999994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45" t="s">
        <v>24</v>
      </c>
      <c r="G5" s="146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0.45327862534400648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45" t="s">
        <v>30</v>
      </c>
      <c r="G6" s="146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22980.93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/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217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22980.93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36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83</v>
      </c>
      <c r="D18" s="125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10.07</v>
      </c>
      <c r="L18" s="9">
        <f>ROUND((J18*K18),2)</f>
        <v>10.07</v>
      </c>
      <c r="M18" s="8" t="s">
        <v>84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10.07</v>
      </c>
      <c r="T18" s="14">
        <f>ROUND(L18-R18,2)</f>
        <v>10.07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7400454</v>
      </c>
      <c r="C19" s="4" t="s">
        <v>85</v>
      </c>
      <c r="D19" s="126"/>
      <c r="E19" s="54">
        <v>1</v>
      </c>
      <c r="F19" s="15">
        <v>135.49</v>
      </c>
      <c r="G19" s="38">
        <f t="shared" ref="G19:G48" si="1">ROUND(IF($F$17="USD $", F19*$E$15,F19*$D$15),2)</f>
        <v>93.44</v>
      </c>
      <c r="H19" s="39">
        <f t="shared" ref="H19:H48" si="2">ROUND(IF($H$17=$G$17,E19*G19,E19*F19),2)</f>
        <v>135.49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67.75</v>
      </c>
      <c r="L19" s="38">
        <f t="shared" ref="L19:L48" si="4">ROUND((J19*K19),2)</f>
        <v>67.75</v>
      </c>
      <c r="M19" s="129" t="s">
        <v>84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67.75</v>
      </c>
      <c r="T19" s="52">
        <f t="shared" ref="T19:T48" si="6">ROUND(L19-R19,2)</f>
        <v>67.75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27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84</v>
      </c>
      <c r="N20" s="12"/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>
        <v>6692337</v>
      </c>
      <c r="C21" s="4" t="s">
        <v>88</v>
      </c>
      <c r="D21" s="126"/>
      <c r="E21" s="54">
        <v>1</v>
      </c>
      <c r="F21" s="15">
        <v>93.99</v>
      </c>
      <c r="G21" s="38">
        <f t="shared" si="1"/>
        <v>64.819999999999993</v>
      </c>
      <c r="H21" s="39">
        <f t="shared" si="2"/>
        <v>93.99</v>
      </c>
      <c r="I21" s="42"/>
      <c r="J21" s="88">
        <f t="shared" si="0"/>
        <v>1</v>
      </c>
      <c r="K21" s="38">
        <f t="shared" si="3"/>
        <v>47</v>
      </c>
      <c r="L21" s="38">
        <f t="shared" si="4"/>
        <v>47</v>
      </c>
      <c r="M21" s="129" t="s">
        <v>84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47</v>
      </c>
      <c r="T21" s="52">
        <f t="shared" si="6"/>
        <v>47</v>
      </c>
      <c r="U21" s="41">
        <f t="shared" si="7"/>
        <v>0</v>
      </c>
      <c r="V21" s="41">
        <f t="shared" si="8"/>
        <v>1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90</v>
      </c>
      <c r="D22" s="127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91.64</v>
      </c>
      <c r="L22" s="9">
        <f t="shared" si="4"/>
        <v>91.64</v>
      </c>
      <c r="M22" s="8" t="s">
        <v>84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91.64</v>
      </c>
      <c r="T22" s="14">
        <f t="shared" si="6"/>
        <v>91.64</v>
      </c>
      <c r="U22" s="29">
        <f t="shared" si="7"/>
        <v>0</v>
      </c>
      <c r="V22" s="29">
        <f t="shared" si="8"/>
        <v>1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92</v>
      </c>
      <c r="D23" s="126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67.59</v>
      </c>
      <c r="L23" s="38">
        <f t="shared" si="4"/>
        <v>67.59</v>
      </c>
      <c r="M23" s="129" t="s">
        <v>84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67.59</v>
      </c>
      <c r="T23" s="52">
        <f t="shared" si="6"/>
        <v>67.59</v>
      </c>
      <c r="U23" s="41">
        <f t="shared" si="7"/>
        <v>0</v>
      </c>
      <c r="V23" s="41">
        <f t="shared" si="8"/>
        <v>1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94</v>
      </c>
      <c r="D24" s="127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84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6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29" t="s">
        <v>84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97</v>
      </c>
      <c r="D26" s="127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84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6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29" t="s">
        <v>84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>
        <v>7326129</v>
      </c>
      <c r="C28" s="6" t="s">
        <v>100</v>
      </c>
      <c r="D28" s="127"/>
      <c r="E28" s="53">
        <v>1</v>
      </c>
      <c r="F28" s="8">
        <v>4132.46</v>
      </c>
      <c r="G28" s="9">
        <f t="shared" si="1"/>
        <v>2849.97</v>
      </c>
      <c r="H28" s="10">
        <f t="shared" si="2"/>
        <v>4132.46</v>
      </c>
      <c r="I28" s="42"/>
      <c r="J28" s="89">
        <f t="shared" si="0"/>
        <v>1</v>
      </c>
      <c r="K28" s="9">
        <f t="shared" si="3"/>
        <v>2272.85</v>
      </c>
      <c r="L28" s="9">
        <f t="shared" si="4"/>
        <v>2272.85</v>
      </c>
      <c r="M28" s="8" t="s">
        <v>84</v>
      </c>
      <c r="N28" s="12">
        <v>0.45</v>
      </c>
      <c r="O28" s="51"/>
      <c r="P28" s="3"/>
      <c r="Q28" s="13"/>
      <c r="R28" s="14">
        <f t="shared" si="9"/>
        <v>0</v>
      </c>
      <c r="S28" s="14">
        <f t="shared" si="5"/>
        <v>2272.85</v>
      </c>
      <c r="T28" s="14">
        <f t="shared" si="6"/>
        <v>2272.85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84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>
        <v>6693237</v>
      </c>
      <c r="C30" s="6" t="s">
        <v>104</v>
      </c>
      <c r="D30" s="127"/>
      <c r="E30" s="53">
        <v>2</v>
      </c>
      <c r="F30" s="8">
        <v>807.49</v>
      </c>
      <c r="G30" s="9">
        <f t="shared" si="1"/>
        <v>556.89</v>
      </c>
      <c r="H30" s="10">
        <f t="shared" si="2"/>
        <v>1614.98</v>
      </c>
      <c r="I30" s="42"/>
      <c r="J30" s="89">
        <f t="shared" si="0"/>
        <v>2</v>
      </c>
      <c r="K30" s="9">
        <f t="shared" si="3"/>
        <v>444.12</v>
      </c>
      <c r="L30" s="9">
        <f t="shared" si="4"/>
        <v>888.24</v>
      </c>
      <c r="M30" s="8" t="s">
        <v>84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444.12</v>
      </c>
      <c r="T30" s="14">
        <f t="shared" si="6"/>
        <v>888.24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>
        <v>6693238</v>
      </c>
      <c r="C31" s="4" t="s">
        <v>105</v>
      </c>
      <c r="D31" s="126"/>
      <c r="E31" s="54">
        <v>2</v>
      </c>
      <c r="F31" s="15">
        <v>610.99</v>
      </c>
      <c r="G31" s="38">
        <f t="shared" si="1"/>
        <v>421.37</v>
      </c>
      <c r="H31" s="39">
        <f t="shared" si="2"/>
        <v>1221.98</v>
      </c>
      <c r="I31" s="42"/>
      <c r="J31" s="88">
        <f t="shared" si="0"/>
        <v>2</v>
      </c>
      <c r="K31" s="38">
        <f t="shared" si="3"/>
        <v>336.04</v>
      </c>
      <c r="L31" s="38">
        <f t="shared" si="4"/>
        <v>672.08</v>
      </c>
      <c r="M31" s="129" t="s">
        <v>84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336.04</v>
      </c>
      <c r="T31" s="52">
        <f t="shared" si="6"/>
        <v>672.08</v>
      </c>
      <c r="U31" s="41">
        <f t="shared" si="7"/>
        <v>0</v>
      </c>
      <c r="V31" s="41">
        <f t="shared" si="8"/>
        <v>1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>
        <v>6689371</v>
      </c>
      <c r="C32" s="6" t="s">
        <v>106</v>
      </c>
      <c r="D32" s="127"/>
      <c r="E32" s="53">
        <v>10</v>
      </c>
      <c r="F32" s="8">
        <v>554.99</v>
      </c>
      <c r="G32" s="9">
        <f t="shared" si="1"/>
        <v>382.75</v>
      </c>
      <c r="H32" s="10">
        <f t="shared" si="2"/>
        <v>5549.9</v>
      </c>
      <c r="I32" s="42"/>
      <c r="J32" s="89">
        <f t="shared" si="0"/>
        <v>10</v>
      </c>
      <c r="K32" s="9">
        <f t="shared" si="3"/>
        <v>305.24</v>
      </c>
      <c r="L32" s="9">
        <f t="shared" si="4"/>
        <v>3052.4</v>
      </c>
      <c r="M32" s="8" t="s">
        <v>84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305.24</v>
      </c>
      <c r="T32" s="14">
        <f t="shared" si="6"/>
        <v>3052.4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84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6678748</v>
      </c>
      <c r="C34" s="6" t="s">
        <v>108</v>
      </c>
      <c r="D34" s="127"/>
      <c r="E34" s="53">
        <v>2</v>
      </c>
      <c r="F34" s="8">
        <v>2953.99</v>
      </c>
      <c r="G34" s="9">
        <f t="shared" si="1"/>
        <v>2037.23</v>
      </c>
      <c r="H34" s="10">
        <f t="shared" si="2"/>
        <v>5907.98</v>
      </c>
      <c r="I34" s="42"/>
      <c r="J34" s="89">
        <f t="shared" si="0"/>
        <v>2</v>
      </c>
      <c r="K34" s="9">
        <f t="shared" si="3"/>
        <v>1477</v>
      </c>
      <c r="L34" s="9">
        <f t="shared" si="4"/>
        <v>2954</v>
      </c>
      <c r="M34" s="8" t="s">
        <v>84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1477</v>
      </c>
      <c r="T34" s="14">
        <f t="shared" si="6"/>
        <v>2954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84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>
        <v>7024930</v>
      </c>
      <c r="C36" s="6" t="s">
        <v>109</v>
      </c>
      <c r="D36" s="127"/>
      <c r="E36" s="53">
        <v>1</v>
      </c>
      <c r="F36" s="8">
        <v>587.99</v>
      </c>
      <c r="G36" s="9">
        <f t="shared" si="1"/>
        <v>405.51</v>
      </c>
      <c r="H36" s="10">
        <f t="shared" si="2"/>
        <v>587.99</v>
      </c>
      <c r="I36" s="42"/>
      <c r="J36" s="89">
        <f t="shared" si="0"/>
        <v>1</v>
      </c>
      <c r="K36" s="9">
        <f t="shared" si="3"/>
        <v>294</v>
      </c>
      <c r="L36" s="9">
        <f t="shared" si="4"/>
        <v>294</v>
      </c>
      <c r="M36" s="8" t="s">
        <v>84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294</v>
      </c>
      <c r="T36" s="14">
        <f t="shared" si="6"/>
        <v>294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>
        <v>7024931</v>
      </c>
      <c r="C37" s="4" t="s">
        <v>110</v>
      </c>
      <c r="D37" s="126"/>
      <c r="E37" s="54">
        <v>1</v>
      </c>
      <c r="F37" s="15">
        <v>445.99</v>
      </c>
      <c r="G37" s="38">
        <f t="shared" si="1"/>
        <v>307.58</v>
      </c>
      <c r="H37" s="39">
        <f t="shared" si="2"/>
        <v>445.99</v>
      </c>
      <c r="I37" s="42"/>
      <c r="J37" s="88">
        <f t="shared" si="0"/>
        <v>1</v>
      </c>
      <c r="K37" s="38">
        <f t="shared" si="3"/>
        <v>223</v>
      </c>
      <c r="L37" s="38">
        <f t="shared" si="4"/>
        <v>223</v>
      </c>
      <c r="M37" s="129" t="s">
        <v>84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223</v>
      </c>
      <c r="T37" s="52">
        <f t="shared" si="6"/>
        <v>223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>
        <v>7024264</v>
      </c>
      <c r="C38" s="6" t="s">
        <v>111</v>
      </c>
      <c r="D38" s="127"/>
      <c r="E38" s="53">
        <v>1</v>
      </c>
      <c r="F38" s="8">
        <v>6916.49</v>
      </c>
      <c r="G38" s="9">
        <f t="shared" si="1"/>
        <v>4769.99</v>
      </c>
      <c r="H38" s="10">
        <f t="shared" si="2"/>
        <v>6916.49</v>
      </c>
      <c r="I38" s="42"/>
      <c r="J38" s="89">
        <f t="shared" si="0"/>
        <v>1</v>
      </c>
      <c r="K38" s="9">
        <f t="shared" si="3"/>
        <v>3458.25</v>
      </c>
      <c r="L38" s="9">
        <f t="shared" si="4"/>
        <v>3458.25</v>
      </c>
      <c r="M38" s="8" t="s">
        <v>84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3458.25</v>
      </c>
      <c r="T38" s="14">
        <f t="shared" si="6"/>
        <v>3458.25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>
        <v>7024384</v>
      </c>
      <c r="C39" s="4" t="s">
        <v>112</v>
      </c>
      <c r="D39" s="126"/>
      <c r="E39" s="54">
        <v>1</v>
      </c>
      <c r="F39" s="15">
        <v>2400.4899999999998</v>
      </c>
      <c r="G39" s="38">
        <f t="shared" si="1"/>
        <v>1655.51</v>
      </c>
      <c r="H39" s="39">
        <f t="shared" si="2"/>
        <v>2400.4899999999998</v>
      </c>
      <c r="I39" s="42"/>
      <c r="J39" s="88">
        <f t="shared" si="0"/>
        <v>1</v>
      </c>
      <c r="K39" s="38">
        <f t="shared" si="3"/>
        <v>1200.25</v>
      </c>
      <c r="L39" s="38">
        <f t="shared" si="4"/>
        <v>1200.25</v>
      </c>
      <c r="M39" s="129" t="s">
        <v>84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1200.25</v>
      </c>
      <c r="T39" s="52">
        <f t="shared" si="6"/>
        <v>1200.25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7024308</v>
      </c>
      <c r="C40" s="6" t="s">
        <v>113</v>
      </c>
      <c r="D40" s="127"/>
      <c r="E40" s="53">
        <v>1</v>
      </c>
      <c r="F40" s="8">
        <v>4724.49</v>
      </c>
      <c r="G40" s="9">
        <f t="shared" si="1"/>
        <v>3258.27</v>
      </c>
      <c r="H40" s="10">
        <f t="shared" si="2"/>
        <v>4724.49</v>
      </c>
      <c r="I40" s="42"/>
      <c r="J40" s="89">
        <f t="shared" si="0"/>
        <v>1</v>
      </c>
      <c r="K40" s="9">
        <f t="shared" si="3"/>
        <v>2362.25</v>
      </c>
      <c r="L40" s="9">
        <f t="shared" si="4"/>
        <v>2362.25</v>
      </c>
      <c r="M40" s="8" t="s">
        <v>84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2362.25</v>
      </c>
      <c r="T40" s="14">
        <f t="shared" si="6"/>
        <v>2362.25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>
        <v>7312553</v>
      </c>
      <c r="C41" s="4" t="s">
        <v>114</v>
      </c>
      <c r="D41" s="126"/>
      <c r="E41" s="54">
        <v>1</v>
      </c>
      <c r="F41" s="15">
        <v>415.79</v>
      </c>
      <c r="G41" s="38">
        <f t="shared" si="1"/>
        <v>286.75</v>
      </c>
      <c r="H41" s="39">
        <f t="shared" si="2"/>
        <v>415.79</v>
      </c>
      <c r="I41" s="42"/>
      <c r="J41" s="88">
        <f t="shared" si="0"/>
        <v>1</v>
      </c>
      <c r="K41" s="38">
        <f t="shared" si="3"/>
        <v>207.9</v>
      </c>
      <c r="L41" s="38">
        <f t="shared" si="4"/>
        <v>207.9</v>
      </c>
      <c r="M41" s="129" t="s">
        <v>84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207.9</v>
      </c>
      <c r="T41" s="52">
        <f t="shared" si="6"/>
        <v>207.9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>
        <v>7485369</v>
      </c>
      <c r="C42" s="6" t="s">
        <v>115</v>
      </c>
      <c r="D42" s="127"/>
      <c r="E42" s="53">
        <v>4</v>
      </c>
      <c r="F42" s="8">
        <v>1626.49</v>
      </c>
      <c r="G42" s="9">
        <f t="shared" si="1"/>
        <v>1121.72</v>
      </c>
      <c r="H42" s="10">
        <f t="shared" si="2"/>
        <v>6505.96</v>
      </c>
      <c r="I42" s="42"/>
      <c r="J42" s="89">
        <f t="shared" si="0"/>
        <v>4</v>
      </c>
      <c r="K42" s="9">
        <f t="shared" si="3"/>
        <v>1138.54</v>
      </c>
      <c r="L42" s="9">
        <f t="shared" si="4"/>
        <v>4554.16</v>
      </c>
      <c r="M42" s="8" t="s">
        <v>84</v>
      </c>
      <c r="N42" s="12">
        <v>0.3</v>
      </c>
      <c r="O42" s="51"/>
      <c r="P42" s="3"/>
      <c r="Q42" s="13"/>
      <c r="R42" s="14">
        <f t="shared" si="9"/>
        <v>0</v>
      </c>
      <c r="S42" s="14">
        <f t="shared" si="5"/>
        <v>1138.54</v>
      </c>
      <c r="T42" s="14">
        <f t="shared" si="6"/>
        <v>4554.16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84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84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84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36</v>
      </c>
      <c r="F49" s="78">
        <f>SUM(F18:F48)</f>
        <v>27229.739999999994</v>
      </c>
      <c r="G49" s="79">
        <f>SUM(G18:G48)</f>
        <v>18779.12</v>
      </c>
      <c r="H49" s="80">
        <f>SUM(H18:H48)</f>
        <v>42034.079999999994</v>
      </c>
      <c r="I49" s="81"/>
      <c r="J49" s="82">
        <f>SUM(J18:J48)</f>
        <v>36</v>
      </c>
      <c r="K49" s="79">
        <f>SUM(K18:K48)</f>
        <v>14282.239999999998</v>
      </c>
      <c r="L49" s="80">
        <f>SUM(L18:L48)</f>
        <v>22980.93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14282.239999999998</v>
      </c>
      <c r="T49" s="80">
        <f>SUM(T18:T48)</f>
        <v>22980.93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B1:C1"/>
    <mergeCell ref="D1:G1"/>
    <mergeCell ref="H1:K1"/>
    <mergeCell ref="L1:O1"/>
    <mergeCell ref="P1:R1"/>
    <mergeCell ref="S1:W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F17 K17 Q17 Q14" xr:uid="{B134A80A-0332-429C-84A1-04FB59276D8B}">
      <formula1>$Y$11:$Y$12</formula1>
    </dataValidation>
    <dataValidation type="list" allowBlank="1" showInputMessage="1" showErrorMessage="1" sqref="H13" xr:uid="{D8F23700-F257-49C9-94DB-9D548F2FE435}">
      <formula1>$Y$13:$Y$14</formula1>
    </dataValidation>
    <dataValidation type="list" allowBlank="1" showInputMessage="1" showErrorMessage="1" sqref="I13" xr:uid="{A5D23527-EE73-4907-8CD9-6D6076700B9B}">
      <formula1>$K$9:$K$9</formula1>
    </dataValidation>
    <dataValidation type="list" showInputMessage="1" showErrorMessage="1" sqref="D18:D48" xr:uid="{F37E1B97-25B8-4F0A-B4EF-CE6FC1108F9C}">
      <formula1>$Z$18:$Z$29</formula1>
    </dataValidation>
    <dataValidation type="list" allowBlank="1" showInputMessage="1" showErrorMessage="1" sqref="M18:M48" xr:uid="{AB6133F0-81BA-41A0-B022-F9DA3B601206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CF89-A7EA-4D47-AD38-E3A138B80F91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59" t="s">
        <v>7</v>
      </c>
      <c r="G2" s="160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42034.079999999994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45">
        <v>2014</v>
      </c>
      <c r="G3" s="146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22980.93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45" t="s">
        <v>18</v>
      </c>
      <c r="G4" s="146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19053.149999999994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45" t="s">
        <v>24</v>
      </c>
      <c r="G5" s="146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0.45327862534400648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45" t="s">
        <v>30</v>
      </c>
      <c r="G6" s="146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22980.93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/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217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22980.93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36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83</v>
      </c>
      <c r="D18" s="125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10.07</v>
      </c>
      <c r="L18" s="9">
        <f>ROUND((J18*K18),2)</f>
        <v>10.07</v>
      </c>
      <c r="M18" s="8" t="s">
        <v>84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10.07</v>
      </c>
      <c r="T18" s="14">
        <f>ROUND(L18-R18,2)</f>
        <v>10.07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7400454</v>
      </c>
      <c r="C19" s="4" t="s">
        <v>85</v>
      </c>
      <c r="D19" s="126"/>
      <c r="E19" s="54">
        <v>1</v>
      </c>
      <c r="F19" s="15">
        <v>135.49</v>
      </c>
      <c r="G19" s="38">
        <f t="shared" ref="G19:G48" si="1">ROUND(IF($F$17="USD $", F19*$E$15,F19*$D$15),2)</f>
        <v>93.44</v>
      </c>
      <c r="H19" s="39">
        <f t="shared" ref="H19:H48" si="2">ROUND(IF($H$17=$G$17,E19*G19,E19*F19),2)</f>
        <v>135.49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67.75</v>
      </c>
      <c r="L19" s="38">
        <f t="shared" ref="L19:L48" si="4">ROUND((J19*K19),2)</f>
        <v>67.75</v>
      </c>
      <c r="M19" s="129" t="s">
        <v>84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67.75</v>
      </c>
      <c r="T19" s="52">
        <f t="shared" ref="T19:T48" si="6">ROUND(L19-R19,2)</f>
        <v>67.75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27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84</v>
      </c>
      <c r="N20" s="12"/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>
        <v>6692337</v>
      </c>
      <c r="C21" s="4" t="s">
        <v>88</v>
      </c>
      <c r="D21" s="126"/>
      <c r="E21" s="54">
        <v>1</v>
      </c>
      <c r="F21" s="15">
        <v>93.99</v>
      </c>
      <c r="G21" s="38">
        <f t="shared" si="1"/>
        <v>64.819999999999993</v>
      </c>
      <c r="H21" s="39">
        <f t="shared" si="2"/>
        <v>93.99</v>
      </c>
      <c r="I21" s="42"/>
      <c r="J21" s="88">
        <f t="shared" si="0"/>
        <v>1</v>
      </c>
      <c r="K21" s="38">
        <f t="shared" si="3"/>
        <v>47</v>
      </c>
      <c r="L21" s="38">
        <f t="shared" si="4"/>
        <v>47</v>
      </c>
      <c r="M21" s="129" t="s">
        <v>84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47</v>
      </c>
      <c r="T21" s="52">
        <f t="shared" si="6"/>
        <v>47</v>
      </c>
      <c r="U21" s="41">
        <f t="shared" si="7"/>
        <v>0</v>
      </c>
      <c r="V21" s="41">
        <f t="shared" si="8"/>
        <v>1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90</v>
      </c>
      <c r="D22" s="127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91.64</v>
      </c>
      <c r="L22" s="9">
        <f t="shared" si="4"/>
        <v>91.64</v>
      </c>
      <c r="M22" s="8" t="s">
        <v>84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91.64</v>
      </c>
      <c r="T22" s="14">
        <f t="shared" si="6"/>
        <v>91.64</v>
      </c>
      <c r="U22" s="29">
        <f t="shared" si="7"/>
        <v>0</v>
      </c>
      <c r="V22" s="29">
        <f t="shared" si="8"/>
        <v>1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92</v>
      </c>
      <c r="D23" s="126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67.59</v>
      </c>
      <c r="L23" s="38">
        <f t="shared" si="4"/>
        <v>67.59</v>
      </c>
      <c r="M23" s="129" t="s">
        <v>84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67.59</v>
      </c>
      <c r="T23" s="52">
        <f t="shared" si="6"/>
        <v>67.59</v>
      </c>
      <c r="U23" s="41">
        <f t="shared" si="7"/>
        <v>0</v>
      </c>
      <c r="V23" s="41">
        <f t="shared" si="8"/>
        <v>1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94</v>
      </c>
      <c r="D24" s="127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84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6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29" t="s">
        <v>84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97</v>
      </c>
      <c r="D26" s="127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84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6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29" t="s">
        <v>84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>
        <v>7326129</v>
      </c>
      <c r="C28" s="6" t="s">
        <v>100</v>
      </c>
      <c r="D28" s="127"/>
      <c r="E28" s="53">
        <v>1</v>
      </c>
      <c r="F28" s="8">
        <v>4132.46</v>
      </c>
      <c r="G28" s="9">
        <f t="shared" si="1"/>
        <v>2849.97</v>
      </c>
      <c r="H28" s="10">
        <f t="shared" si="2"/>
        <v>4132.46</v>
      </c>
      <c r="I28" s="42"/>
      <c r="J28" s="89">
        <f t="shared" si="0"/>
        <v>1</v>
      </c>
      <c r="K28" s="9">
        <f t="shared" si="3"/>
        <v>2272.85</v>
      </c>
      <c r="L28" s="9">
        <f t="shared" si="4"/>
        <v>2272.85</v>
      </c>
      <c r="M28" s="8" t="s">
        <v>84</v>
      </c>
      <c r="N28" s="12">
        <v>0.45</v>
      </c>
      <c r="O28" s="51"/>
      <c r="P28" s="3"/>
      <c r="Q28" s="13"/>
      <c r="R28" s="14">
        <f t="shared" si="9"/>
        <v>0</v>
      </c>
      <c r="S28" s="14">
        <f t="shared" si="5"/>
        <v>2272.85</v>
      </c>
      <c r="T28" s="14">
        <f t="shared" si="6"/>
        <v>2272.85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84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>
        <v>6693237</v>
      </c>
      <c r="C30" s="6" t="s">
        <v>104</v>
      </c>
      <c r="D30" s="127"/>
      <c r="E30" s="53">
        <v>2</v>
      </c>
      <c r="F30" s="8">
        <v>807.49</v>
      </c>
      <c r="G30" s="9">
        <f t="shared" si="1"/>
        <v>556.89</v>
      </c>
      <c r="H30" s="10">
        <f t="shared" si="2"/>
        <v>1614.98</v>
      </c>
      <c r="I30" s="42"/>
      <c r="J30" s="89">
        <f t="shared" si="0"/>
        <v>2</v>
      </c>
      <c r="K30" s="9">
        <f t="shared" si="3"/>
        <v>444.12</v>
      </c>
      <c r="L30" s="9">
        <f t="shared" si="4"/>
        <v>888.24</v>
      </c>
      <c r="M30" s="8" t="s">
        <v>84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444.12</v>
      </c>
      <c r="T30" s="14">
        <f t="shared" si="6"/>
        <v>888.24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>
        <v>6693238</v>
      </c>
      <c r="C31" s="4" t="s">
        <v>105</v>
      </c>
      <c r="D31" s="126"/>
      <c r="E31" s="54">
        <v>2</v>
      </c>
      <c r="F31" s="15">
        <v>610.99</v>
      </c>
      <c r="G31" s="38">
        <f t="shared" si="1"/>
        <v>421.37</v>
      </c>
      <c r="H31" s="39">
        <f t="shared" si="2"/>
        <v>1221.98</v>
      </c>
      <c r="I31" s="42"/>
      <c r="J31" s="88">
        <f t="shared" si="0"/>
        <v>2</v>
      </c>
      <c r="K31" s="38">
        <f t="shared" si="3"/>
        <v>336.04</v>
      </c>
      <c r="L31" s="38">
        <f t="shared" si="4"/>
        <v>672.08</v>
      </c>
      <c r="M31" s="129" t="s">
        <v>84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336.04</v>
      </c>
      <c r="T31" s="52">
        <f t="shared" si="6"/>
        <v>672.08</v>
      </c>
      <c r="U31" s="41">
        <f t="shared" si="7"/>
        <v>0</v>
      </c>
      <c r="V31" s="41">
        <f t="shared" si="8"/>
        <v>1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>
        <v>6689371</v>
      </c>
      <c r="C32" s="6" t="s">
        <v>106</v>
      </c>
      <c r="D32" s="127"/>
      <c r="E32" s="53">
        <v>10</v>
      </c>
      <c r="F32" s="8">
        <v>554.99</v>
      </c>
      <c r="G32" s="9">
        <f t="shared" si="1"/>
        <v>382.75</v>
      </c>
      <c r="H32" s="10">
        <f t="shared" si="2"/>
        <v>5549.9</v>
      </c>
      <c r="I32" s="42"/>
      <c r="J32" s="89">
        <f t="shared" si="0"/>
        <v>10</v>
      </c>
      <c r="K32" s="9">
        <f t="shared" si="3"/>
        <v>305.24</v>
      </c>
      <c r="L32" s="9">
        <f t="shared" si="4"/>
        <v>3052.4</v>
      </c>
      <c r="M32" s="8" t="s">
        <v>84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305.24</v>
      </c>
      <c r="T32" s="14">
        <f t="shared" si="6"/>
        <v>3052.4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84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6678748</v>
      </c>
      <c r="C34" s="6" t="s">
        <v>108</v>
      </c>
      <c r="D34" s="127"/>
      <c r="E34" s="53">
        <v>2</v>
      </c>
      <c r="F34" s="8">
        <v>2953.99</v>
      </c>
      <c r="G34" s="9">
        <f t="shared" si="1"/>
        <v>2037.23</v>
      </c>
      <c r="H34" s="10">
        <f t="shared" si="2"/>
        <v>5907.98</v>
      </c>
      <c r="I34" s="42"/>
      <c r="J34" s="89">
        <f t="shared" si="0"/>
        <v>2</v>
      </c>
      <c r="K34" s="9">
        <f t="shared" si="3"/>
        <v>1477</v>
      </c>
      <c r="L34" s="9">
        <f t="shared" si="4"/>
        <v>2954</v>
      </c>
      <c r="M34" s="8" t="s">
        <v>84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1477</v>
      </c>
      <c r="T34" s="14">
        <f t="shared" si="6"/>
        <v>2954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84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>
        <v>7024930</v>
      </c>
      <c r="C36" s="6" t="s">
        <v>109</v>
      </c>
      <c r="D36" s="127"/>
      <c r="E36" s="53">
        <v>1</v>
      </c>
      <c r="F36" s="8">
        <v>587.99</v>
      </c>
      <c r="G36" s="9">
        <f t="shared" si="1"/>
        <v>405.51</v>
      </c>
      <c r="H36" s="10">
        <f t="shared" si="2"/>
        <v>587.99</v>
      </c>
      <c r="I36" s="42"/>
      <c r="J36" s="89">
        <f t="shared" si="0"/>
        <v>1</v>
      </c>
      <c r="K36" s="9">
        <f t="shared" si="3"/>
        <v>294</v>
      </c>
      <c r="L36" s="9">
        <f t="shared" si="4"/>
        <v>294</v>
      </c>
      <c r="M36" s="8" t="s">
        <v>84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294</v>
      </c>
      <c r="T36" s="14">
        <f t="shared" si="6"/>
        <v>294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>
        <v>7024931</v>
      </c>
      <c r="C37" s="4" t="s">
        <v>110</v>
      </c>
      <c r="D37" s="126"/>
      <c r="E37" s="54">
        <v>1</v>
      </c>
      <c r="F37" s="15">
        <v>445.99</v>
      </c>
      <c r="G37" s="38">
        <f t="shared" si="1"/>
        <v>307.58</v>
      </c>
      <c r="H37" s="39">
        <f t="shared" si="2"/>
        <v>445.99</v>
      </c>
      <c r="I37" s="42"/>
      <c r="J37" s="88">
        <f t="shared" si="0"/>
        <v>1</v>
      </c>
      <c r="K37" s="38">
        <f t="shared" si="3"/>
        <v>223</v>
      </c>
      <c r="L37" s="38">
        <f t="shared" si="4"/>
        <v>223</v>
      </c>
      <c r="M37" s="129" t="s">
        <v>84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223</v>
      </c>
      <c r="T37" s="52">
        <f t="shared" si="6"/>
        <v>223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>
        <v>7024264</v>
      </c>
      <c r="C38" s="6" t="s">
        <v>111</v>
      </c>
      <c r="D38" s="127"/>
      <c r="E38" s="53">
        <v>1</v>
      </c>
      <c r="F38" s="8">
        <v>6916.49</v>
      </c>
      <c r="G38" s="9">
        <f t="shared" si="1"/>
        <v>4769.99</v>
      </c>
      <c r="H38" s="10">
        <f t="shared" si="2"/>
        <v>6916.49</v>
      </c>
      <c r="I38" s="42"/>
      <c r="J38" s="89">
        <f t="shared" si="0"/>
        <v>1</v>
      </c>
      <c r="K38" s="9">
        <f t="shared" si="3"/>
        <v>3458.25</v>
      </c>
      <c r="L38" s="9">
        <f t="shared" si="4"/>
        <v>3458.25</v>
      </c>
      <c r="M38" s="8" t="s">
        <v>84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3458.25</v>
      </c>
      <c r="T38" s="14">
        <f t="shared" si="6"/>
        <v>3458.25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>
        <v>7024384</v>
      </c>
      <c r="C39" s="4" t="s">
        <v>112</v>
      </c>
      <c r="D39" s="126"/>
      <c r="E39" s="54">
        <v>1</v>
      </c>
      <c r="F39" s="15">
        <v>2400.4899999999998</v>
      </c>
      <c r="G39" s="38">
        <f t="shared" si="1"/>
        <v>1655.51</v>
      </c>
      <c r="H39" s="39">
        <f t="shared" si="2"/>
        <v>2400.4899999999998</v>
      </c>
      <c r="I39" s="42"/>
      <c r="J39" s="88">
        <f t="shared" si="0"/>
        <v>1</v>
      </c>
      <c r="K39" s="38">
        <f t="shared" si="3"/>
        <v>1200.25</v>
      </c>
      <c r="L39" s="38">
        <f t="shared" si="4"/>
        <v>1200.25</v>
      </c>
      <c r="M39" s="129" t="s">
        <v>84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1200.25</v>
      </c>
      <c r="T39" s="52">
        <f t="shared" si="6"/>
        <v>1200.25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7024308</v>
      </c>
      <c r="C40" s="6" t="s">
        <v>113</v>
      </c>
      <c r="D40" s="127"/>
      <c r="E40" s="53">
        <v>1</v>
      </c>
      <c r="F40" s="8">
        <v>4724.49</v>
      </c>
      <c r="G40" s="9">
        <f t="shared" si="1"/>
        <v>3258.27</v>
      </c>
      <c r="H40" s="10">
        <f t="shared" si="2"/>
        <v>4724.49</v>
      </c>
      <c r="I40" s="42"/>
      <c r="J40" s="89">
        <f t="shared" si="0"/>
        <v>1</v>
      </c>
      <c r="K40" s="9">
        <f t="shared" si="3"/>
        <v>2362.25</v>
      </c>
      <c r="L40" s="9">
        <f t="shared" si="4"/>
        <v>2362.25</v>
      </c>
      <c r="M40" s="8" t="s">
        <v>84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2362.25</v>
      </c>
      <c r="T40" s="14">
        <f t="shared" si="6"/>
        <v>2362.25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>
        <v>7312553</v>
      </c>
      <c r="C41" s="4" t="s">
        <v>114</v>
      </c>
      <c r="D41" s="126"/>
      <c r="E41" s="54">
        <v>1</v>
      </c>
      <c r="F41" s="15">
        <v>415.79</v>
      </c>
      <c r="G41" s="38">
        <f t="shared" si="1"/>
        <v>286.75</v>
      </c>
      <c r="H41" s="39">
        <f t="shared" si="2"/>
        <v>415.79</v>
      </c>
      <c r="I41" s="42"/>
      <c r="J41" s="88">
        <f t="shared" si="0"/>
        <v>1</v>
      </c>
      <c r="K41" s="38">
        <f t="shared" si="3"/>
        <v>207.9</v>
      </c>
      <c r="L41" s="38">
        <f t="shared" si="4"/>
        <v>207.9</v>
      </c>
      <c r="M41" s="129" t="s">
        <v>84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207.9</v>
      </c>
      <c r="T41" s="52">
        <f t="shared" si="6"/>
        <v>207.9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>
        <v>7485369</v>
      </c>
      <c r="C42" s="6" t="s">
        <v>115</v>
      </c>
      <c r="D42" s="127"/>
      <c r="E42" s="53">
        <v>4</v>
      </c>
      <c r="F42" s="8">
        <v>1626.49</v>
      </c>
      <c r="G42" s="9">
        <f t="shared" si="1"/>
        <v>1121.72</v>
      </c>
      <c r="H42" s="10">
        <f t="shared" si="2"/>
        <v>6505.96</v>
      </c>
      <c r="I42" s="42"/>
      <c r="J42" s="89">
        <f t="shared" si="0"/>
        <v>4</v>
      </c>
      <c r="K42" s="9">
        <f t="shared" si="3"/>
        <v>1138.54</v>
      </c>
      <c r="L42" s="9">
        <f t="shared" si="4"/>
        <v>4554.16</v>
      </c>
      <c r="M42" s="8" t="s">
        <v>84</v>
      </c>
      <c r="N42" s="12">
        <v>0.3</v>
      </c>
      <c r="O42" s="51"/>
      <c r="P42" s="3"/>
      <c r="Q42" s="13"/>
      <c r="R42" s="14">
        <f t="shared" si="9"/>
        <v>0</v>
      </c>
      <c r="S42" s="14">
        <f t="shared" si="5"/>
        <v>1138.54</v>
      </c>
      <c r="T42" s="14">
        <f t="shared" si="6"/>
        <v>4554.16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84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84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84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36</v>
      </c>
      <c r="F49" s="78">
        <f>SUM(F18:F48)</f>
        <v>27229.739999999994</v>
      </c>
      <c r="G49" s="79">
        <f>SUM(G18:G48)</f>
        <v>18779.12</v>
      </c>
      <c r="H49" s="80">
        <f>SUM(H18:H48)</f>
        <v>42034.079999999994</v>
      </c>
      <c r="I49" s="81"/>
      <c r="J49" s="82">
        <f>SUM(J18:J48)</f>
        <v>36</v>
      </c>
      <c r="K49" s="79">
        <f>SUM(K18:K48)</f>
        <v>14282.239999999998</v>
      </c>
      <c r="L49" s="80">
        <f>SUM(L18:L48)</f>
        <v>22980.93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14282.239999999998</v>
      </c>
      <c r="T49" s="80">
        <f>SUM(T18:T48)</f>
        <v>22980.93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M18:M48" xr:uid="{1CFE7C98-9D7C-41DB-8925-02A67303D578}">
      <formula1>$Y$31:$Y$32</formula1>
    </dataValidation>
    <dataValidation type="list" showInputMessage="1" showErrorMessage="1" sqref="D18:D48" xr:uid="{EFEF0B59-56AD-473F-88AA-239598ADF67A}">
      <formula1>$Z$18:$Z$29</formula1>
    </dataValidation>
    <dataValidation type="list" allowBlank="1" showInputMessage="1" showErrorMessage="1" sqref="I13" xr:uid="{C7133168-3EEB-460A-8F6F-208C41F7611B}">
      <formula1>$K$9:$K$9</formula1>
    </dataValidation>
    <dataValidation type="list" allowBlank="1" showInputMessage="1" showErrorMessage="1" sqref="H13" xr:uid="{F07B8F65-D49B-4EF1-9CF2-5DCD994B5E6C}">
      <formula1>$Y$13:$Y$14</formula1>
    </dataValidation>
    <dataValidation type="list" allowBlank="1" showInputMessage="1" showErrorMessage="1" sqref="F17 K17 Q17 Q14" xr:uid="{F4B495C0-7CAC-4020-A2C1-E95CB876074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AD5C-5F0B-4840-A99F-04908C386C8C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32" t="s">
        <v>117</v>
      </c>
      <c r="G2" s="133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40586.009999999995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30">
        <v>2017</v>
      </c>
      <c r="G3" s="131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21869.789999999997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30" t="s">
        <v>118</v>
      </c>
      <c r="G4" s="131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18716.219999999998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30" t="s">
        <v>218</v>
      </c>
      <c r="G5" s="131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0.46114954389455876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30" t="s">
        <v>119</v>
      </c>
      <c r="G6" s="131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21869.789999999997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/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217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21869.789999999997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23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/>
      <c r="C18" s="5" t="s">
        <v>120</v>
      </c>
      <c r="D18" s="125"/>
      <c r="E18" s="53"/>
      <c r="F18" s="8"/>
      <c r="G18" s="9">
        <f>ROUND(IF($F$17="USD $", F18*$E$15,F18*$D$15),2)</f>
        <v>0</v>
      </c>
      <c r="H18" s="10">
        <f>ROUND(IF($H$17=$G$17,E18*G18,E18*F18),2)</f>
        <v>0</v>
      </c>
      <c r="I18" s="11"/>
      <c r="J18" s="89">
        <f t="shared" ref="J18:J48" si="0">E18</f>
        <v>0</v>
      </c>
      <c r="K18" s="9">
        <f>IFERROR(IF(M18="OEM DISC %",ROUND(IF($K$17=$F$17,F18*(1-N18),G18*(1-N18)),2),IF(M18="MARKUP %",ROUND(R18/J18*(1+N18),2))),0)</f>
        <v>0</v>
      </c>
      <c r="L18" s="9">
        <f>ROUND((J18*K18),2)</f>
        <v>0</v>
      </c>
      <c r="M18" s="8" t="s">
        <v>84</v>
      </c>
      <c r="N18" s="36"/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0</v>
      </c>
      <c r="T18" s="14">
        <f>ROUND(L18-R18,2)</f>
        <v>0</v>
      </c>
      <c r="U18" s="29">
        <f>IFERROR(((K18-(R18/J18))/(R18/J18)),0)</f>
        <v>0</v>
      </c>
      <c r="V18" s="29">
        <f>IFERROR(((K18-(R18/J18))/K18),0)</f>
        <v>0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6678233</v>
      </c>
      <c r="C19" s="4" t="s">
        <v>83</v>
      </c>
      <c r="D19" s="126"/>
      <c r="E19" s="54">
        <v>1</v>
      </c>
      <c r="F19" s="15">
        <v>20.14</v>
      </c>
      <c r="G19" s="38">
        <f t="shared" ref="G19:G48" si="1">ROUND(IF($F$17="USD $", F19*$E$15,F19*$D$15),2)</f>
        <v>13.89</v>
      </c>
      <c r="H19" s="39">
        <f t="shared" ref="H19:H48" si="2">ROUND(IF($H$17=$G$17,E19*G19,E19*F19),2)</f>
        <v>20.14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10.07</v>
      </c>
      <c r="L19" s="38">
        <f t="shared" ref="L19:L48" si="4">ROUND((J19*K19),2)</f>
        <v>10.07</v>
      </c>
      <c r="M19" s="129" t="s">
        <v>84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10.07</v>
      </c>
      <c r="T19" s="52">
        <f t="shared" ref="T19:T48" si="6">ROUND(L19-R19,2)</f>
        <v>10.07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>
        <v>7400454</v>
      </c>
      <c r="C20" s="6" t="s">
        <v>121</v>
      </c>
      <c r="D20" s="127"/>
      <c r="E20" s="53">
        <v>1</v>
      </c>
      <c r="F20" s="8">
        <v>135.49</v>
      </c>
      <c r="G20" s="9">
        <f t="shared" si="1"/>
        <v>93.44</v>
      </c>
      <c r="H20" s="10">
        <f t="shared" si="2"/>
        <v>135.49</v>
      </c>
      <c r="I20" s="42"/>
      <c r="J20" s="89">
        <f t="shared" si="0"/>
        <v>1</v>
      </c>
      <c r="K20" s="9">
        <f t="shared" si="3"/>
        <v>67.75</v>
      </c>
      <c r="L20" s="9">
        <f t="shared" si="4"/>
        <v>67.75</v>
      </c>
      <c r="M20" s="8" t="s">
        <v>84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67.75</v>
      </c>
      <c r="T20" s="14">
        <f t="shared" si="6"/>
        <v>67.75</v>
      </c>
      <c r="U20" s="29">
        <f t="shared" si="7"/>
        <v>0</v>
      </c>
      <c r="V20" s="29">
        <f t="shared" si="8"/>
        <v>1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/>
      <c r="C21" s="4" t="s">
        <v>122</v>
      </c>
      <c r="D21" s="126"/>
      <c r="E21" s="54"/>
      <c r="F21" s="15"/>
      <c r="G21" s="38">
        <f t="shared" si="1"/>
        <v>0</v>
      </c>
      <c r="H21" s="39">
        <f t="shared" si="2"/>
        <v>0</v>
      </c>
      <c r="I21" s="42"/>
      <c r="J21" s="88">
        <f t="shared" si="0"/>
        <v>0</v>
      </c>
      <c r="K21" s="38">
        <f t="shared" si="3"/>
        <v>0</v>
      </c>
      <c r="L21" s="38">
        <f t="shared" si="4"/>
        <v>0</v>
      </c>
      <c r="M21" s="129" t="s">
        <v>84</v>
      </c>
      <c r="N21" s="16"/>
      <c r="O21" s="51"/>
      <c r="P21" s="1"/>
      <c r="Q21" s="15"/>
      <c r="R21" s="40">
        <f t="shared" si="9"/>
        <v>0</v>
      </c>
      <c r="S21" s="52">
        <f t="shared" si="5"/>
        <v>0</v>
      </c>
      <c r="T21" s="52">
        <f t="shared" si="6"/>
        <v>0</v>
      </c>
      <c r="U21" s="41">
        <f t="shared" si="7"/>
        <v>0</v>
      </c>
      <c r="V21" s="41">
        <f t="shared" si="8"/>
        <v>0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>
        <v>7012314</v>
      </c>
      <c r="C22" s="6" t="s">
        <v>123</v>
      </c>
      <c r="D22" s="127"/>
      <c r="E22" s="53">
        <v>1</v>
      </c>
      <c r="F22" s="8">
        <v>138.99</v>
      </c>
      <c r="G22" s="9">
        <f t="shared" si="1"/>
        <v>95.86</v>
      </c>
      <c r="H22" s="10">
        <f t="shared" si="2"/>
        <v>138.99</v>
      </c>
      <c r="I22" s="42"/>
      <c r="J22" s="89">
        <f t="shared" si="0"/>
        <v>1</v>
      </c>
      <c r="K22" s="9">
        <f t="shared" si="3"/>
        <v>69.5</v>
      </c>
      <c r="L22" s="9">
        <f t="shared" si="4"/>
        <v>69.5</v>
      </c>
      <c r="M22" s="8" t="s">
        <v>84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69.5</v>
      </c>
      <c r="T22" s="14">
        <f t="shared" si="6"/>
        <v>69.5</v>
      </c>
      <c r="U22" s="29">
        <f t="shared" si="7"/>
        <v>0</v>
      </c>
      <c r="V22" s="29">
        <f t="shared" si="8"/>
        <v>1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/>
      <c r="C23" s="4" t="s">
        <v>123</v>
      </c>
      <c r="D23" s="126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29" t="s">
        <v>84</v>
      </c>
      <c r="N23" s="16"/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>
        <v>7231496</v>
      </c>
      <c r="C24" s="6" t="s">
        <v>124</v>
      </c>
      <c r="D24" s="127"/>
      <c r="E24" s="53">
        <v>1</v>
      </c>
      <c r="F24" s="8">
        <v>162.49</v>
      </c>
      <c r="G24" s="9">
        <f t="shared" si="1"/>
        <v>112.06</v>
      </c>
      <c r="H24" s="10">
        <f t="shared" si="2"/>
        <v>162.49</v>
      </c>
      <c r="I24" s="42"/>
      <c r="J24" s="89">
        <f t="shared" si="0"/>
        <v>1</v>
      </c>
      <c r="K24" s="9">
        <f t="shared" si="3"/>
        <v>105.62</v>
      </c>
      <c r="L24" s="9">
        <f t="shared" si="4"/>
        <v>105.62</v>
      </c>
      <c r="M24" s="8" t="s">
        <v>84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105.62</v>
      </c>
      <c r="T24" s="14">
        <f t="shared" si="6"/>
        <v>105.62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>
        <v>7176099</v>
      </c>
      <c r="C25" s="4" t="s">
        <v>124</v>
      </c>
      <c r="D25" s="126"/>
      <c r="E25" s="54">
        <v>1</v>
      </c>
      <c r="F25" s="15">
        <v>52.11</v>
      </c>
      <c r="G25" s="38">
        <f t="shared" si="1"/>
        <v>35.94</v>
      </c>
      <c r="H25" s="39">
        <f t="shared" si="2"/>
        <v>52.11</v>
      </c>
      <c r="I25" s="42"/>
      <c r="J25" s="88">
        <f t="shared" si="0"/>
        <v>1</v>
      </c>
      <c r="K25" s="38">
        <f t="shared" si="3"/>
        <v>33.869999999999997</v>
      </c>
      <c r="L25" s="38">
        <f t="shared" si="4"/>
        <v>33.869999999999997</v>
      </c>
      <c r="M25" s="129" t="s">
        <v>84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33.869999999999997</v>
      </c>
      <c r="T25" s="52">
        <f t="shared" si="6"/>
        <v>33.869999999999997</v>
      </c>
      <c r="U25" s="41">
        <f t="shared" si="7"/>
        <v>0</v>
      </c>
      <c r="V25" s="41">
        <f t="shared" si="8"/>
        <v>1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>
        <v>7286652</v>
      </c>
      <c r="C26" s="6" t="s">
        <v>125</v>
      </c>
      <c r="D26" s="127"/>
      <c r="E26" s="53">
        <v>1</v>
      </c>
      <c r="F26" s="8">
        <v>140.99</v>
      </c>
      <c r="G26" s="9">
        <f t="shared" si="1"/>
        <v>97.23</v>
      </c>
      <c r="H26" s="10">
        <f t="shared" si="2"/>
        <v>140.99</v>
      </c>
      <c r="I26" s="42"/>
      <c r="J26" s="89">
        <f t="shared" si="0"/>
        <v>1</v>
      </c>
      <c r="K26" s="9">
        <f t="shared" si="3"/>
        <v>91.64</v>
      </c>
      <c r="L26" s="9">
        <f t="shared" si="4"/>
        <v>91.64</v>
      </c>
      <c r="M26" s="8" t="s">
        <v>84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91.64</v>
      </c>
      <c r="T26" s="14">
        <f t="shared" si="6"/>
        <v>91.64</v>
      </c>
      <c r="U26" s="29">
        <f t="shared" si="7"/>
        <v>0</v>
      </c>
      <c r="V26" s="29">
        <f t="shared" si="8"/>
        <v>1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>
        <v>7010031</v>
      </c>
      <c r="C27" s="4" t="s">
        <v>126</v>
      </c>
      <c r="D27" s="126"/>
      <c r="E27" s="54">
        <v>1</v>
      </c>
      <c r="F27" s="15">
        <v>103.99</v>
      </c>
      <c r="G27" s="38">
        <f t="shared" si="1"/>
        <v>71.72</v>
      </c>
      <c r="H27" s="39">
        <f t="shared" si="2"/>
        <v>103.99</v>
      </c>
      <c r="I27" s="42"/>
      <c r="J27" s="88">
        <f t="shared" si="0"/>
        <v>1</v>
      </c>
      <c r="K27" s="38">
        <f t="shared" si="3"/>
        <v>67.59</v>
      </c>
      <c r="L27" s="38">
        <f t="shared" si="4"/>
        <v>67.59</v>
      </c>
      <c r="M27" s="129" t="s">
        <v>84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67.59</v>
      </c>
      <c r="T27" s="52">
        <f t="shared" si="6"/>
        <v>67.59</v>
      </c>
      <c r="U27" s="41">
        <f t="shared" si="7"/>
        <v>0</v>
      </c>
      <c r="V27" s="41">
        <f t="shared" si="8"/>
        <v>1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/>
      <c r="C28" s="6" t="s">
        <v>127</v>
      </c>
      <c r="D28" s="127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84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>
        <v>7024315</v>
      </c>
      <c r="C29" s="4" t="s">
        <v>128</v>
      </c>
      <c r="D29" s="126"/>
      <c r="E29" s="54">
        <v>1</v>
      </c>
      <c r="F29" s="15">
        <v>4626.99</v>
      </c>
      <c r="G29" s="38">
        <f>ROUND(IF($F$17="USD $", F29*$E$15,F29*$D$15),2)</f>
        <v>3191.03</v>
      </c>
      <c r="H29" s="39">
        <f>ROUND(IF($H$17=$G$17,E29*G29,E29*F29),2)</f>
        <v>4626.99</v>
      </c>
      <c r="I29" s="42"/>
      <c r="J29" s="88">
        <f t="shared" si="0"/>
        <v>1</v>
      </c>
      <c r="K29" s="38">
        <f t="shared" si="3"/>
        <v>2313.5</v>
      </c>
      <c r="L29" s="38">
        <f>ROUND((J29*K29),2)</f>
        <v>2313.5</v>
      </c>
      <c r="M29" s="129" t="s">
        <v>84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2313.5</v>
      </c>
      <c r="T29" s="52">
        <f t="shared" si="6"/>
        <v>2313.5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>
        <v>7267887</v>
      </c>
      <c r="C30" s="6" t="s">
        <v>129</v>
      </c>
      <c r="D30" s="127"/>
      <c r="E30" s="53">
        <v>1</v>
      </c>
      <c r="F30" s="8">
        <v>804.49</v>
      </c>
      <c r="G30" s="9">
        <f t="shared" si="1"/>
        <v>554.82000000000005</v>
      </c>
      <c r="H30" s="10">
        <f t="shared" si="2"/>
        <v>804.49</v>
      </c>
      <c r="I30" s="42"/>
      <c r="J30" s="89">
        <f t="shared" si="0"/>
        <v>1</v>
      </c>
      <c r="K30" s="9">
        <f t="shared" si="3"/>
        <v>402.25</v>
      </c>
      <c r="L30" s="9">
        <f t="shared" si="4"/>
        <v>402.25</v>
      </c>
      <c r="M30" s="8" t="s">
        <v>84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402.25</v>
      </c>
      <c r="T30" s="14">
        <f t="shared" si="6"/>
        <v>402.25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84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/>
      <c r="C32" s="6" t="s">
        <v>130</v>
      </c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84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/>
      <c r="C33" s="4" t="s">
        <v>131</v>
      </c>
      <c r="D33" s="126"/>
      <c r="E33" s="54">
        <v>1</v>
      </c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1</v>
      </c>
      <c r="K33" s="38">
        <f t="shared" si="3"/>
        <v>0</v>
      </c>
      <c r="L33" s="38">
        <f t="shared" si="4"/>
        <v>0</v>
      </c>
      <c r="M33" s="129" t="s">
        <v>84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7183366</v>
      </c>
      <c r="C34" s="6" t="s">
        <v>132</v>
      </c>
      <c r="D34" s="127"/>
      <c r="E34" s="53">
        <v>1</v>
      </c>
      <c r="F34" s="8">
        <v>1746.99</v>
      </c>
      <c r="G34" s="9">
        <f t="shared" si="1"/>
        <v>1204.82</v>
      </c>
      <c r="H34" s="10">
        <f t="shared" si="2"/>
        <v>1746.99</v>
      </c>
      <c r="I34" s="42"/>
      <c r="J34" s="89">
        <f t="shared" si="0"/>
        <v>1</v>
      </c>
      <c r="K34" s="9">
        <f t="shared" si="3"/>
        <v>873.5</v>
      </c>
      <c r="L34" s="9">
        <f t="shared" si="4"/>
        <v>873.5</v>
      </c>
      <c r="M34" s="8" t="s">
        <v>84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873.5</v>
      </c>
      <c r="T34" s="14">
        <f t="shared" si="6"/>
        <v>873.5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84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 t="s">
        <v>133</v>
      </c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84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134</v>
      </c>
      <c r="C37" s="4" t="s">
        <v>135</v>
      </c>
      <c r="D37" s="126"/>
      <c r="E37" s="54">
        <v>1</v>
      </c>
      <c r="F37" s="15">
        <v>1033.98</v>
      </c>
      <c r="G37" s="38">
        <f t="shared" si="1"/>
        <v>713.09</v>
      </c>
      <c r="H37" s="39">
        <f t="shared" si="2"/>
        <v>1033.98</v>
      </c>
      <c r="I37" s="42"/>
      <c r="J37" s="88">
        <f t="shared" si="0"/>
        <v>1</v>
      </c>
      <c r="K37" s="38">
        <f t="shared" si="3"/>
        <v>516.99</v>
      </c>
      <c r="L37" s="38">
        <f t="shared" si="4"/>
        <v>516.99</v>
      </c>
      <c r="M37" s="129" t="s">
        <v>84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516.99</v>
      </c>
      <c r="T37" s="52">
        <f t="shared" si="6"/>
        <v>516.99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>
        <v>7256747</v>
      </c>
      <c r="C38" s="6" t="s">
        <v>136</v>
      </c>
      <c r="D38" s="127"/>
      <c r="E38" s="53">
        <v>1</v>
      </c>
      <c r="F38" s="8">
        <v>1242.49</v>
      </c>
      <c r="G38" s="9">
        <f t="shared" si="1"/>
        <v>856.89</v>
      </c>
      <c r="H38" s="10">
        <f t="shared" si="2"/>
        <v>1242.49</v>
      </c>
      <c r="I38" s="42"/>
      <c r="J38" s="89">
        <f t="shared" si="0"/>
        <v>1</v>
      </c>
      <c r="K38" s="9">
        <f t="shared" si="3"/>
        <v>621.25</v>
      </c>
      <c r="L38" s="9">
        <f t="shared" si="4"/>
        <v>621.25</v>
      </c>
      <c r="M38" s="8" t="s">
        <v>84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621.25</v>
      </c>
      <c r="T38" s="14">
        <f t="shared" si="6"/>
        <v>621.25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>
        <v>7024264</v>
      </c>
      <c r="C39" s="4" t="s">
        <v>137</v>
      </c>
      <c r="D39" s="126"/>
      <c r="E39" s="54">
        <v>1</v>
      </c>
      <c r="F39" s="15">
        <v>6916.49</v>
      </c>
      <c r="G39" s="38">
        <f t="shared" si="1"/>
        <v>4769.99</v>
      </c>
      <c r="H39" s="39">
        <f t="shared" si="2"/>
        <v>6916.49</v>
      </c>
      <c r="I39" s="42"/>
      <c r="J39" s="88">
        <f t="shared" si="0"/>
        <v>1</v>
      </c>
      <c r="K39" s="38">
        <f t="shared" si="3"/>
        <v>3458.25</v>
      </c>
      <c r="L39" s="38">
        <f t="shared" si="4"/>
        <v>3458.25</v>
      </c>
      <c r="M39" s="129" t="s">
        <v>84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3458.25</v>
      </c>
      <c r="T39" s="52">
        <f t="shared" si="6"/>
        <v>3458.25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7024384</v>
      </c>
      <c r="C40" s="6" t="s">
        <v>112</v>
      </c>
      <c r="D40" s="127"/>
      <c r="E40" s="53">
        <v>1</v>
      </c>
      <c r="F40" s="8">
        <v>2400.4899999999998</v>
      </c>
      <c r="G40" s="9">
        <f t="shared" si="1"/>
        <v>1655.51</v>
      </c>
      <c r="H40" s="10">
        <f t="shared" si="2"/>
        <v>2400.4899999999998</v>
      </c>
      <c r="I40" s="42"/>
      <c r="J40" s="89">
        <f t="shared" si="0"/>
        <v>1</v>
      </c>
      <c r="K40" s="9">
        <f t="shared" si="3"/>
        <v>1200.25</v>
      </c>
      <c r="L40" s="9">
        <f t="shared" si="4"/>
        <v>1200.25</v>
      </c>
      <c r="M40" s="8" t="s">
        <v>84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1200.25</v>
      </c>
      <c r="T40" s="14">
        <f t="shared" si="6"/>
        <v>1200.25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>
        <v>7024308</v>
      </c>
      <c r="C41" s="4" t="s">
        <v>138</v>
      </c>
      <c r="D41" s="126"/>
      <c r="E41" s="54">
        <v>1</v>
      </c>
      <c r="F41" s="15">
        <v>4724.49</v>
      </c>
      <c r="G41" s="38">
        <f t="shared" si="1"/>
        <v>3258.27</v>
      </c>
      <c r="H41" s="39">
        <f t="shared" si="2"/>
        <v>4724.49</v>
      </c>
      <c r="I41" s="42"/>
      <c r="J41" s="88">
        <f t="shared" si="0"/>
        <v>1</v>
      </c>
      <c r="K41" s="38">
        <f t="shared" si="3"/>
        <v>2362.25</v>
      </c>
      <c r="L41" s="38">
        <f t="shared" si="4"/>
        <v>2362.25</v>
      </c>
      <c r="M41" s="129" t="s">
        <v>84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2362.25</v>
      </c>
      <c r="T41" s="52">
        <f t="shared" si="6"/>
        <v>2362.25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>
        <v>7485369</v>
      </c>
      <c r="C42" s="6" t="s">
        <v>139</v>
      </c>
      <c r="D42" s="127"/>
      <c r="E42" s="53">
        <v>4</v>
      </c>
      <c r="F42" s="8">
        <v>1626.49</v>
      </c>
      <c r="G42" s="9">
        <f t="shared" si="1"/>
        <v>1121.72</v>
      </c>
      <c r="H42" s="10">
        <f t="shared" si="2"/>
        <v>6505.96</v>
      </c>
      <c r="I42" s="42"/>
      <c r="J42" s="89">
        <f t="shared" si="0"/>
        <v>4</v>
      </c>
      <c r="K42" s="9">
        <f t="shared" si="3"/>
        <v>1138.54</v>
      </c>
      <c r="L42" s="9">
        <f t="shared" si="4"/>
        <v>4554.16</v>
      </c>
      <c r="M42" s="8" t="s">
        <v>84</v>
      </c>
      <c r="N42" s="12">
        <v>0.3</v>
      </c>
      <c r="O42" s="51"/>
      <c r="P42" s="3"/>
      <c r="Q42" s="13"/>
      <c r="R42" s="14">
        <f t="shared" si="9"/>
        <v>0</v>
      </c>
      <c r="S42" s="14">
        <f t="shared" si="5"/>
        <v>1138.54</v>
      </c>
      <c r="T42" s="14">
        <f t="shared" si="6"/>
        <v>4554.16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84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 t="s">
        <v>140</v>
      </c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>
        <v>7326129</v>
      </c>
      <c r="C45" s="4" t="s">
        <v>141</v>
      </c>
      <c r="D45" s="126"/>
      <c r="E45" s="54">
        <v>1</v>
      </c>
      <c r="F45" s="15">
        <v>4132.46</v>
      </c>
      <c r="G45" s="38">
        <f t="shared" si="1"/>
        <v>2849.97</v>
      </c>
      <c r="H45" s="39">
        <f t="shared" si="2"/>
        <v>4132.46</v>
      </c>
      <c r="I45" s="42"/>
      <c r="J45" s="88">
        <f t="shared" si="0"/>
        <v>1</v>
      </c>
      <c r="K45" s="38">
        <f t="shared" si="3"/>
        <v>2272.85</v>
      </c>
      <c r="L45" s="38">
        <f t="shared" si="4"/>
        <v>2272.85</v>
      </c>
      <c r="M45" s="129" t="s">
        <v>84</v>
      </c>
      <c r="N45" s="16">
        <v>0.45</v>
      </c>
      <c r="O45" s="51"/>
      <c r="P45" s="1"/>
      <c r="Q45" s="15"/>
      <c r="R45" s="40">
        <f t="shared" si="9"/>
        <v>0</v>
      </c>
      <c r="S45" s="52">
        <f t="shared" si="5"/>
        <v>2272.85</v>
      </c>
      <c r="T45" s="52">
        <f t="shared" si="6"/>
        <v>2272.85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>
        <v>7316763</v>
      </c>
      <c r="C47" s="4" t="s">
        <v>142</v>
      </c>
      <c r="D47" s="126"/>
      <c r="E47" s="54">
        <v>2</v>
      </c>
      <c r="F47" s="15">
        <v>2848.49</v>
      </c>
      <c r="G47" s="38">
        <f t="shared" si="1"/>
        <v>1964.48</v>
      </c>
      <c r="H47" s="39">
        <f t="shared" si="2"/>
        <v>5696.98</v>
      </c>
      <c r="I47" s="42"/>
      <c r="J47" s="88">
        <f t="shared" si="0"/>
        <v>2</v>
      </c>
      <c r="K47" s="38">
        <f t="shared" si="3"/>
        <v>1424.25</v>
      </c>
      <c r="L47" s="38">
        <f t="shared" si="4"/>
        <v>2848.5</v>
      </c>
      <c r="M47" s="129" t="s">
        <v>84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1424.25</v>
      </c>
      <c r="T47" s="52">
        <f t="shared" si="6"/>
        <v>2848.5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23</v>
      </c>
      <c r="F49" s="78">
        <f>SUM(F18:F48)</f>
        <v>32858.049999999996</v>
      </c>
      <c r="G49" s="79">
        <f>SUM(G18:G48)</f>
        <v>22660.73</v>
      </c>
      <c r="H49" s="80">
        <f>SUM(H18:H48)</f>
        <v>40586.009999999995</v>
      </c>
      <c r="I49" s="81"/>
      <c r="J49" s="82">
        <f>SUM(J18:J48)</f>
        <v>23</v>
      </c>
      <c r="K49" s="79">
        <f>SUM(K18:K48)</f>
        <v>17029.919999999998</v>
      </c>
      <c r="L49" s="80">
        <f>SUM(L18:L48)</f>
        <v>21869.789999999997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17029.919999999998</v>
      </c>
      <c r="T49" s="80">
        <f>SUM(T18:T48)</f>
        <v>21869.789999999997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1">
    <mergeCell ref="U2:V2"/>
    <mergeCell ref="B1:C1"/>
    <mergeCell ref="D1:G1"/>
    <mergeCell ref="H1:K1"/>
    <mergeCell ref="L1:O1"/>
    <mergeCell ref="P1:R1"/>
    <mergeCell ref="S1:W1"/>
    <mergeCell ref="D2:E2"/>
    <mergeCell ref="H2:J2"/>
    <mergeCell ref="L2:N2"/>
    <mergeCell ref="P2:R2"/>
    <mergeCell ref="S2:T2"/>
    <mergeCell ref="U4:V4"/>
    <mergeCell ref="D3:E3"/>
    <mergeCell ref="H3:J3"/>
    <mergeCell ref="L3:N3"/>
    <mergeCell ref="P3:R3"/>
    <mergeCell ref="S3:T3"/>
    <mergeCell ref="U3:V3"/>
    <mergeCell ref="D4:E4"/>
    <mergeCell ref="H4:J4"/>
    <mergeCell ref="L4:N4"/>
    <mergeCell ref="P4:R4"/>
    <mergeCell ref="S4:T4"/>
    <mergeCell ref="U6:V6"/>
    <mergeCell ref="D5:E5"/>
    <mergeCell ref="H5:J5"/>
    <mergeCell ref="L5:N5"/>
    <mergeCell ref="P5:R5"/>
    <mergeCell ref="S5:T5"/>
    <mergeCell ref="U5:V5"/>
    <mergeCell ref="D6:E6"/>
    <mergeCell ref="H6:J6"/>
    <mergeCell ref="L6:N6"/>
    <mergeCell ref="P6:R6"/>
    <mergeCell ref="S6:T6"/>
    <mergeCell ref="U7:V7"/>
    <mergeCell ref="D8:E8"/>
    <mergeCell ref="F8:G8"/>
    <mergeCell ref="H8:J8"/>
    <mergeCell ref="L8:N8"/>
    <mergeCell ref="P8:R8"/>
    <mergeCell ref="D7:E7"/>
    <mergeCell ref="F7:G7"/>
    <mergeCell ref="H7:J7"/>
    <mergeCell ref="L7:N7"/>
    <mergeCell ref="P7:R7"/>
    <mergeCell ref="S7:T7"/>
    <mergeCell ref="D9:E9"/>
    <mergeCell ref="F9:G9"/>
    <mergeCell ref="L9:N9"/>
    <mergeCell ref="P9:R9"/>
    <mergeCell ref="S9:S10"/>
    <mergeCell ref="B11:C15"/>
    <mergeCell ref="D11:E13"/>
    <mergeCell ref="F11:H12"/>
    <mergeCell ref="J11:N13"/>
    <mergeCell ref="P11:V13"/>
    <mergeCell ref="P15:V15"/>
    <mergeCell ref="U9:U10"/>
    <mergeCell ref="V9:V10"/>
    <mergeCell ref="W9:W10"/>
    <mergeCell ref="L10:N10"/>
    <mergeCell ref="P10:R10"/>
    <mergeCell ref="T9:T10"/>
    <mergeCell ref="F13:G13"/>
    <mergeCell ref="F14:H14"/>
    <mergeCell ref="J14:K15"/>
    <mergeCell ref="L14:N15"/>
    <mergeCell ref="F15:H15"/>
    <mergeCell ref="P16:P17"/>
    <mergeCell ref="K17:L17"/>
    <mergeCell ref="R17:V17"/>
    <mergeCell ref="B16:B17"/>
    <mergeCell ref="C16:C17"/>
    <mergeCell ref="D16:D17"/>
    <mergeCell ref="E16:E17"/>
    <mergeCell ref="F16:G16"/>
    <mergeCell ref="J16:J17"/>
    <mergeCell ref="M16:M17"/>
    <mergeCell ref="N16:N17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M18:M48" xr:uid="{43ECF10B-574E-4241-93B3-40C225217E3C}">
      <formula1>$Y$31:$Y$32</formula1>
    </dataValidation>
    <dataValidation type="list" showInputMessage="1" showErrorMessage="1" sqref="D18:D48" xr:uid="{B05E092E-8614-4754-906A-F25F3E64795E}">
      <formula1>$Z$18:$Z$29</formula1>
    </dataValidation>
    <dataValidation type="list" allowBlank="1" showInputMessage="1" showErrorMessage="1" sqref="I13" xr:uid="{7129F63F-67E9-46F5-B254-59BA2D69B89F}">
      <formula1>$K$9:$K$9</formula1>
    </dataValidation>
    <dataValidation type="list" allowBlank="1" showInputMessage="1" showErrorMessage="1" sqref="H13" xr:uid="{AFD554BE-FC02-4237-B38A-DE85511DEF48}">
      <formula1>$Y$13:$Y$14</formula1>
    </dataValidation>
    <dataValidation type="list" allowBlank="1" showInputMessage="1" showErrorMessage="1" sqref="F17 K17 Q17 Q14" xr:uid="{CE04C69A-7A2E-4F55-A664-FEDFCACF4982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AE1E-88BF-4DBA-94AB-C698286C95B8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32" t="s">
        <v>117</v>
      </c>
      <c r="G2" s="133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35023.37999999999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30">
        <v>2017</v>
      </c>
      <c r="G3" s="131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18850.080000000002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30" t="s">
        <v>118</v>
      </c>
      <c r="G4" s="131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16173.299999999988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30" t="s">
        <v>218</v>
      </c>
      <c r="G5" s="131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0.4617858127913409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30" t="s">
        <v>119</v>
      </c>
      <c r="G6" s="131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18850.080000000002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/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217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18850.080000000002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23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/>
      <c r="C18" s="5" t="s">
        <v>120</v>
      </c>
      <c r="D18" s="125"/>
      <c r="E18" s="53"/>
      <c r="F18" s="8"/>
      <c r="G18" s="9">
        <f>ROUND(IF($F$17="USD $", F18*$E$15,F18*$D$15),2)</f>
        <v>0</v>
      </c>
      <c r="H18" s="10">
        <f>ROUND(IF($H$17=$G$17,E18*G18,E18*F18),2)</f>
        <v>0</v>
      </c>
      <c r="I18" s="11"/>
      <c r="J18" s="89">
        <f t="shared" ref="J18:J48" si="0">E18</f>
        <v>0</v>
      </c>
      <c r="K18" s="9">
        <f>IFERROR(IF(M18="OEM DISC %",ROUND(IF($K$17=$F$17,F18*(1-N18),G18*(1-N18)),2),IF(M18="MARKUP %",ROUND(R18/J18*(1+N18),2))),0)</f>
        <v>0</v>
      </c>
      <c r="L18" s="9">
        <f>ROUND((J18*K18),2)</f>
        <v>0</v>
      </c>
      <c r="M18" s="8" t="s">
        <v>84</v>
      </c>
      <c r="N18" s="36"/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0</v>
      </c>
      <c r="T18" s="14">
        <f>ROUND(L18-R18,2)</f>
        <v>0</v>
      </c>
      <c r="U18" s="29">
        <f>IFERROR(((K18-(R18/J18))/(R18/J18)),0)</f>
        <v>0</v>
      </c>
      <c r="V18" s="29">
        <f>IFERROR(((K18-(R18/J18))/K18),0)</f>
        <v>0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7343102</v>
      </c>
      <c r="C19" s="4" t="s">
        <v>83</v>
      </c>
      <c r="D19" s="126"/>
      <c r="E19" s="54">
        <v>1</v>
      </c>
      <c r="F19" s="15">
        <v>43.99</v>
      </c>
      <c r="G19" s="38">
        <f t="shared" ref="G19:G48" si="1">ROUND(IF($F$17="USD $", F19*$E$15,F19*$D$15),2)</f>
        <v>30.34</v>
      </c>
      <c r="H19" s="39">
        <f t="shared" ref="H19:H48" si="2">ROUND(IF($H$17=$G$17,E19*G19,E19*F19),2)</f>
        <v>43.99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22</v>
      </c>
      <c r="L19" s="38">
        <f t="shared" ref="L19:L48" si="4">ROUND((J19*K19),2)</f>
        <v>22</v>
      </c>
      <c r="M19" s="129" t="s">
        <v>84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22</v>
      </c>
      <c r="T19" s="52">
        <f t="shared" ref="T19:T48" si="6">ROUND(L19-R19,2)</f>
        <v>22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>
        <v>7400454</v>
      </c>
      <c r="C20" s="6" t="s">
        <v>121</v>
      </c>
      <c r="D20" s="127"/>
      <c r="E20" s="53">
        <v>1</v>
      </c>
      <c r="F20" s="8">
        <v>135.49</v>
      </c>
      <c r="G20" s="9">
        <f t="shared" si="1"/>
        <v>93.44</v>
      </c>
      <c r="H20" s="10">
        <f t="shared" si="2"/>
        <v>135.49</v>
      </c>
      <c r="I20" s="42"/>
      <c r="J20" s="89">
        <f t="shared" si="0"/>
        <v>1</v>
      </c>
      <c r="K20" s="9">
        <f t="shared" si="3"/>
        <v>67.75</v>
      </c>
      <c r="L20" s="9">
        <f t="shared" si="4"/>
        <v>67.75</v>
      </c>
      <c r="M20" s="8" t="s">
        <v>84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67.75</v>
      </c>
      <c r="T20" s="14">
        <f t="shared" si="6"/>
        <v>67.75</v>
      </c>
      <c r="U20" s="29">
        <f t="shared" si="7"/>
        <v>0</v>
      </c>
      <c r="V20" s="29">
        <f t="shared" si="8"/>
        <v>1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/>
      <c r="C21" s="4" t="s">
        <v>122</v>
      </c>
      <c r="D21" s="126"/>
      <c r="E21" s="54"/>
      <c r="F21" s="15"/>
      <c r="G21" s="38">
        <f t="shared" si="1"/>
        <v>0</v>
      </c>
      <c r="H21" s="39">
        <f t="shared" si="2"/>
        <v>0</v>
      </c>
      <c r="I21" s="42"/>
      <c r="J21" s="88">
        <f t="shared" si="0"/>
        <v>0</v>
      </c>
      <c r="K21" s="38">
        <f t="shared" si="3"/>
        <v>0</v>
      </c>
      <c r="L21" s="38">
        <f t="shared" si="4"/>
        <v>0</v>
      </c>
      <c r="M21" s="129" t="s">
        <v>84</v>
      </c>
      <c r="N21" s="16"/>
      <c r="O21" s="51"/>
      <c r="P21" s="1"/>
      <c r="Q21" s="15"/>
      <c r="R21" s="40">
        <f t="shared" si="9"/>
        <v>0</v>
      </c>
      <c r="S21" s="52">
        <f t="shared" si="5"/>
        <v>0</v>
      </c>
      <c r="T21" s="52">
        <f t="shared" si="6"/>
        <v>0</v>
      </c>
      <c r="U21" s="41">
        <f t="shared" si="7"/>
        <v>0</v>
      </c>
      <c r="V21" s="41">
        <f t="shared" si="8"/>
        <v>0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>
        <v>7414582</v>
      </c>
      <c r="C22" s="6" t="s">
        <v>123</v>
      </c>
      <c r="D22" s="127"/>
      <c r="E22" s="53">
        <v>1</v>
      </c>
      <c r="F22" s="8">
        <v>117.99</v>
      </c>
      <c r="G22" s="9">
        <f t="shared" si="1"/>
        <v>81.37</v>
      </c>
      <c r="H22" s="10">
        <f t="shared" si="2"/>
        <v>117.99</v>
      </c>
      <c r="I22" s="42"/>
      <c r="J22" s="89">
        <f t="shared" si="0"/>
        <v>1</v>
      </c>
      <c r="K22" s="9">
        <f t="shared" si="3"/>
        <v>59</v>
      </c>
      <c r="L22" s="9">
        <f t="shared" si="4"/>
        <v>59</v>
      </c>
      <c r="M22" s="8" t="s">
        <v>84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59</v>
      </c>
      <c r="T22" s="14">
        <f t="shared" si="6"/>
        <v>59</v>
      </c>
      <c r="U22" s="29">
        <f t="shared" si="7"/>
        <v>0</v>
      </c>
      <c r="V22" s="29">
        <f t="shared" si="8"/>
        <v>1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/>
      <c r="C23" s="4" t="s">
        <v>123</v>
      </c>
      <c r="D23" s="126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29" t="s">
        <v>84</v>
      </c>
      <c r="N23" s="16"/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>
        <v>7231496</v>
      </c>
      <c r="C24" s="6" t="s">
        <v>124</v>
      </c>
      <c r="D24" s="127"/>
      <c r="E24" s="53">
        <v>1</v>
      </c>
      <c r="F24" s="8">
        <v>162.49</v>
      </c>
      <c r="G24" s="9">
        <f t="shared" si="1"/>
        <v>112.06</v>
      </c>
      <c r="H24" s="10">
        <f t="shared" si="2"/>
        <v>162.49</v>
      </c>
      <c r="I24" s="42"/>
      <c r="J24" s="89">
        <f t="shared" si="0"/>
        <v>1</v>
      </c>
      <c r="K24" s="9">
        <f t="shared" si="3"/>
        <v>105.62</v>
      </c>
      <c r="L24" s="9">
        <f t="shared" si="4"/>
        <v>105.62</v>
      </c>
      <c r="M24" s="8" t="s">
        <v>84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105.62</v>
      </c>
      <c r="T24" s="14">
        <f t="shared" si="6"/>
        <v>105.62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>
        <v>7176099</v>
      </c>
      <c r="C25" s="4" t="s">
        <v>124</v>
      </c>
      <c r="D25" s="126"/>
      <c r="E25" s="54">
        <v>1</v>
      </c>
      <c r="F25" s="15">
        <v>52.11</v>
      </c>
      <c r="G25" s="38">
        <f t="shared" si="1"/>
        <v>35.94</v>
      </c>
      <c r="H25" s="39">
        <f t="shared" si="2"/>
        <v>52.11</v>
      </c>
      <c r="I25" s="42"/>
      <c r="J25" s="88">
        <f t="shared" si="0"/>
        <v>1</v>
      </c>
      <c r="K25" s="38">
        <f t="shared" si="3"/>
        <v>33.869999999999997</v>
      </c>
      <c r="L25" s="38">
        <f t="shared" si="4"/>
        <v>33.869999999999997</v>
      </c>
      <c r="M25" s="129" t="s">
        <v>84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33.869999999999997</v>
      </c>
      <c r="T25" s="52">
        <f t="shared" si="6"/>
        <v>33.869999999999997</v>
      </c>
      <c r="U25" s="41">
        <f t="shared" si="7"/>
        <v>0</v>
      </c>
      <c r="V25" s="41">
        <f t="shared" si="8"/>
        <v>1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>
        <v>7286652</v>
      </c>
      <c r="C26" s="6" t="s">
        <v>125</v>
      </c>
      <c r="D26" s="127"/>
      <c r="E26" s="53">
        <v>1</v>
      </c>
      <c r="F26" s="8">
        <v>140.99</v>
      </c>
      <c r="G26" s="9">
        <f t="shared" si="1"/>
        <v>97.23</v>
      </c>
      <c r="H26" s="10">
        <f t="shared" si="2"/>
        <v>140.99</v>
      </c>
      <c r="I26" s="42"/>
      <c r="J26" s="89">
        <f t="shared" si="0"/>
        <v>1</v>
      </c>
      <c r="K26" s="9">
        <f t="shared" si="3"/>
        <v>91.64</v>
      </c>
      <c r="L26" s="9">
        <f t="shared" si="4"/>
        <v>91.64</v>
      </c>
      <c r="M26" s="8" t="s">
        <v>84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91.64</v>
      </c>
      <c r="T26" s="14">
        <f t="shared" si="6"/>
        <v>91.64</v>
      </c>
      <c r="U26" s="29">
        <f t="shared" si="7"/>
        <v>0</v>
      </c>
      <c r="V26" s="29">
        <f t="shared" si="8"/>
        <v>1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>
        <v>7010031</v>
      </c>
      <c r="C27" s="4" t="s">
        <v>126</v>
      </c>
      <c r="D27" s="126"/>
      <c r="E27" s="54">
        <v>1</v>
      </c>
      <c r="F27" s="15">
        <v>103.99</v>
      </c>
      <c r="G27" s="38">
        <f t="shared" si="1"/>
        <v>71.72</v>
      </c>
      <c r="H27" s="39">
        <f t="shared" si="2"/>
        <v>103.99</v>
      </c>
      <c r="I27" s="42"/>
      <c r="J27" s="88">
        <f t="shared" si="0"/>
        <v>1</v>
      </c>
      <c r="K27" s="38">
        <f t="shared" si="3"/>
        <v>67.59</v>
      </c>
      <c r="L27" s="38">
        <f t="shared" si="4"/>
        <v>67.59</v>
      </c>
      <c r="M27" s="129" t="s">
        <v>84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67.59</v>
      </c>
      <c r="T27" s="52">
        <f t="shared" si="6"/>
        <v>67.59</v>
      </c>
      <c r="U27" s="41">
        <f t="shared" si="7"/>
        <v>0</v>
      </c>
      <c r="V27" s="41">
        <f t="shared" si="8"/>
        <v>1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/>
      <c r="C28" s="6" t="s">
        <v>127</v>
      </c>
      <c r="D28" s="127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84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>
        <v>7220662</v>
      </c>
      <c r="C29" s="4" t="s">
        <v>128</v>
      </c>
      <c r="D29" s="126"/>
      <c r="E29" s="54">
        <v>1</v>
      </c>
      <c r="F29" s="15">
        <v>2988.99</v>
      </c>
      <c r="G29" s="38">
        <f>ROUND(IF($F$17="USD $", F29*$E$15,F29*$D$15),2)</f>
        <v>2061.37</v>
      </c>
      <c r="H29" s="39">
        <f>ROUND(IF($H$17=$G$17,E29*G29,E29*F29),2)</f>
        <v>2988.99</v>
      </c>
      <c r="I29" s="42"/>
      <c r="J29" s="88">
        <f t="shared" si="0"/>
        <v>1</v>
      </c>
      <c r="K29" s="38">
        <f t="shared" si="3"/>
        <v>1494.5</v>
      </c>
      <c r="L29" s="38">
        <f>ROUND((J29*K29),2)</f>
        <v>1494.5</v>
      </c>
      <c r="M29" s="129" t="s">
        <v>84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1494.5</v>
      </c>
      <c r="T29" s="52">
        <f t="shared" si="6"/>
        <v>1494.5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>
        <v>7311062</v>
      </c>
      <c r="C30" s="6" t="s">
        <v>143</v>
      </c>
      <c r="D30" s="127"/>
      <c r="E30" s="53">
        <v>1</v>
      </c>
      <c r="F30" s="8">
        <v>192.49</v>
      </c>
      <c r="G30" s="9">
        <f t="shared" si="1"/>
        <v>132.75</v>
      </c>
      <c r="H30" s="10">
        <f t="shared" si="2"/>
        <v>192.49</v>
      </c>
      <c r="I30" s="42"/>
      <c r="J30" s="89">
        <f t="shared" si="0"/>
        <v>1</v>
      </c>
      <c r="K30" s="9">
        <f t="shared" si="3"/>
        <v>96.25</v>
      </c>
      <c r="L30" s="9">
        <f t="shared" si="4"/>
        <v>96.25</v>
      </c>
      <c r="M30" s="8" t="s">
        <v>84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96.25</v>
      </c>
      <c r="T30" s="14">
        <f t="shared" si="6"/>
        <v>96.25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84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/>
      <c r="C32" s="6" t="s">
        <v>130</v>
      </c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84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/>
      <c r="C33" s="4" t="s">
        <v>131</v>
      </c>
      <c r="D33" s="126"/>
      <c r="E33" s="54">
        <v>1</v>
      </c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1</v>
      </c>
      <c r="K33" s="38">
        <f t="shared" si="3"/>
        <v>0</v>
      </c>
      <c r="L33" s="38">
        <f t="shared" si="4"/>
        <v>0</v>
      </c>
      <c r="M33" s="129" t="s">
        <v>84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7183366</v>
      </c>
      <c r="C34" s="6" t="s">
        <v>132</v>
      </c>
      <c r="D34" s="127"/>
      <c r="E34" s="53">
        <v>1</v>
      </c>
      <c r="F34" s="8">
        <v>1746.99</v>
      </c>
      <c r="G34" s="9">
        <f t="shared" si="1"/>
        <v>1204.82</v>
      </c>
      <c r="H34" s="10">
        <f t="shared" si="2"/>
        <v>1746.99</v>
      </c>
      <c r="I34" s="42"/>
      <c r="J34" s="89">
        <f t="shared" si="0"/>
        <v>1</v>
      </c>
      <c r="K34" s="9">
        <f t="shared" si="3"/>
        <v>873.5</v>
      </c>
      <c r="L34" s="9">
        <f t="shared" si="4"/>
        <v>873.5</v>
      </c>
      <c r="M34" s="8" t="s">
        <v>84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873.5</v>
      </c>
      <c r="T34" s="14">
        <f t="shared" si="6"/>
        <v>873.5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84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 t="s">
        <v>133</v>
      </c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84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 t="s">
        <v>135</v>
      </c>
      <c r="D37" s="126"/>
      <c r="E37" s="54">
        <v>1</v>
      </c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1</v>
      </c>
      <c r="K37" s="38">
        <f t="shared" si="3"/>
        <v>0</v>
      </c>
      <c r="L37" s="38">
        <f t="shared" si="4"/>
        <v>0</v>
      </c>
      <c r="M37" s="129" t="s">
        <v>84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>
        <v>7256747</v>
      </c>
      <c r="C38" s="6" t="s">
        <v>136</v>
      </c>
      <c r="D38" s="127"/>
      <c r="E38" s="53">
        <v>1</v>
      </c>
      <c r="F38" s="8">
        <v>1242.49</v>
      </c>
      <c r="G38" s="9">
        <f t="shared" si="1"/>
        <v>856.89</v>
      </c>
      <c r="H38" s="10">
        <f t="shared" si="2"/>
        <v>1242.49</v>
      </c>
      <c r="I38" s="42"/>
      <c r="J38" s="89">
        <f t="shared" si="0"/>
        <v>1</v>
      </c>
      <c r="K38" s="9">
        <f t="shared" si="3"/>
        <v>621.25</v>
      </c>
      <c r="L38" s="9">
        <f t="shared" si="4"/>
        <v>621.25</v>
      </c>
      <c r="M38" s="8" t="s">
        <v>84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621.25</v>
      </c>
      <c r="T38" s="14">
        <f t="shared" si="6"/>
        <v>621.25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>
        <v>7256752</v>
      </c>
      <c r="C39" s="4" t="s">
        <v>137</v>
      </c>
      <c r="D39" s="126"/>
      <c r="E39" s="54">
        <v>1</v>
      </c>
      <c r="F39" s="15">
        <v>3891.49</v>
      </c>
      <c r="G39" s="38">
        <f t="shared" si="1"/>
        <v>2683.79</v>
      </c>
      <c r="H39" s="39">
        <f t="shared" si="2"/>
        <v>3891.49</v>
      </c>
      <c r="I39" s="42"/>
      <c r="J39" s="88">
        <f t="shared" si="0"/>
        <v>1</v>
      </c>
      <c r="K39" s="38">
        <f t="shared" si="3"/>
        <v>1945.75</v>
      </c>
      <c r="L39" s="38">
        <f t="shared" si="4"/>
        <v>1945.75</v>
      </c>
      <c r="M39" s="129" t="s">
        <v>84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1945.75</v>
      </c>
      <c r="T39" s="52">
        <f t="shared" si="6"/>
        <v>1945.75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7298788</v>
      </c>
      <c r="C40" s="6" t="s">
        <v>112</v>
      </c>
      <c r="D40" s="127"/>
      <c r="E40" s="53">
        <v>1</v>
      </c>
      <c r="F40" s="8">
        <v>5633.49</v>
      </c>
      <c r="G40" s="9">
        <f t="shared" si="1"/>
        <v>3885.17</v>
      </c>
      <c r="H40" s="10">
        <f t="shared" si="2"/>
        <v>5633.49</v>
      </c>
      <c r="I40" s="42"/>
      <c r="J40" s="89">
        <f t="shared" si="0"/>
        <v>1</v>
      </c>
      <c r="K40" s="9">
        <f t="shared" si="3"/>
        <v>2816.75</v>
      </c>
      <c r="L40" s="9">
        <f t="shared" si="4"/>
        <v>2816.75</v>
      </c>
      <c r="M40" s="8" t="s">
        <v>84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2816.75</v>
      </c>
      <c r="T40" s="14">
        <f t="shared" si="6"/>
        <v>2816.75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>
        <v>7256748</v>
      </c>
      <c r="C41" s="4" t="s">
        <v>138</v>
      </c>
      <c r="D41" s="126"/>
      <c r="E41" s="54">
        <v>1</v>
      </c>
      <c r="F41" s="15">
        <v>3426.99</v>
      </c>
      <c r="G41" s="38">
        <f t="shared" si="1"/>
        <v>2363.44</v>
      </c>
      <c r="H41" s="39">
        <f t="shared" si="2"/>
        <v>3426.99</v>
      </c>
      <c r="I41" s="42"/>
      <c r="J41" s="88">
        <f t="shared" si="0"/>
        <v>1</v>
      </c>
      <c r="K41" s="38">
        <f t="shared" si="3"/>
        <v>1713.5</v>
      </c>
      <c r="L41" s="38">
        <f t="shared" si="4"/>
        <v>1713.5</v>
      </c>
      <c r="M41" s="129" t="s">
        <v>84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1713.5</v>
      </c>
      <c r="T41" s="52">
        <f t="shared" si="6"/>
        <v>1713.5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>
        <v>7516846</v>
      </c>
      <c r="C42" s="6" t="s">
        <v>139</v>
      </c>
      <c r="D42" s="127"/>
      <c r="E42" s="53">
        <v>4</v>
      </c>
      <c r="F42" s="8">
        <v>1328.49</v>
      </c>
      <c r="G42" s="9">
        <f t="shared" si="1"/>
        <v>916.2</v>
      </c>
      <c r="H42" s="10">
        <f t="shared" si="2"/>
        <v>5313.96</v>
      </c>
      <c r="I42" s="42"/>
      <c r="J42" s="89">
        <f t="shared" si="0"/>
        <v>4</v>
      </c>
      <c r="K42" s="9">
        <f t="shared" si="3"/>
        <v>929.94</v>
      </c>
      <c r="L42" s="9">
        <f t="shared" si="4"/>
        <v>3719.76</v>
      </c>
      <c r="M42" s="8" t="s">
        <v>84</v>
      </c>
      <c r="N42" s="12">
        <v>0.3</v>
      </c>
      <c r="O42" s="51"/>
      <c r="P42" s="3"/>
      <c r="Q42" s="13"/>
      <c r="R42" s="14">
        <f t="shared" si="9"/>
        <v>0</v>
      </c>
      <c r="S42" s="14">
        <f t="shared" si="5"/>
        <v>929.94</v>
      </c>
      <c r="T42" s="14">
        <f t="shared" si="6"/>
        <v>3719.76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84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 t="s">
        <v>140</v>
      </c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>
        <v>7326129</v>
      </c>
      <c r="C45" s="4" t="s">
        <v>141</v>
      </c>
      <c r="D45" s="126"/>
      <c r="E45" s="54">
        <v>1</v>
      </c>
      <c r="F45" s="15">
        <v>4132.46</v>
      </c>
      <c r="G45" s="38">
        <f t="shared" si="1"/>
        <v>2849.97</v>
      </c>
      <c r="H45" s="39">
        <f t="shared" si="2"/>
        <v>4132.46</v>
      </c>
      <c r="I45" s="42"/>
      <c r="J45" s="88">
        <f t="shared" si="0"/>
        <v>1</v>
      </c>
      <c r="K45" s="38">
        <f t="shared" si="3"/>
        <v>2272.85</v>
      </c>
      <c r="L45" s="38">
        <f t="shared" si="4"/>
        <v>2272.85</v>
      </c>
      <c r="M45" s="129" t="s">
        <v>84</v>
      </c>
      <c r="N45" s="16">
        <v>0.45</v>
      </c>
      <c r="O45" s="51"/>
      <c r="P45" s="1"/>
      <c r="Q45" s="15"/>
      <c r="R45" s="40">
        <f t="shared" si="9"/>
        <v>0</v>
      </c>
      <c r="S45" s="52">
        <f t="shared" si="5"/>
        <v>2272.85</v>
      </c>
      <c r="T45" s="52">
        <f t="shared" si="6"/>
        <v>2272.85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>
        <v>7316763</v>
      </c>
      <c r="C47" s="4" t="s">
        <v>142</v>
      </c>
      <c r="D47" s="126"/>
      <c r="E47" s="54">
        <v>2</v>
      </c>
      <c r="F47" s="15">
        <v>2848.49</v>
      </c>
      <c r="G47" s="38">
        <f t="shared" si="1"/>
        <v>1964.48</v>
      </c>
      <c r="H47" s="39">
        <f t="shared" si="2"/>
        <v>5696.98</v>
      </c>
      <c r="I47" s="42"/>
      <c r="J47" s="88">
        <f t="shared" si="0"/>
        <v>2</v>
      </c>
      <c r="K47" s="38">
        <f t="shared" si="3"/>
        <v>1424.25</v>
      </c>
      <c r="L47" s="38">
        <f t="shared" si="4"/>
        <v>2848.5</v>
      </c>
      <c r="M47" s="129" t="s">
        <v>84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1424.25</v>
      </c>
      <c r="T47" s="52">
        <f t="shared" si="6"/>
        <v>2848.5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23</v>
      </c>
      <c r="F49" s="78">
        <f>SUM(F18:F48)</f>
        <v>28189.42</v>
      </c>
      <c r="G49" s="79">
        <f>SUM(G18:G48)</f>
        <v>19440.98</v>
      </c>
      <c r="H49" s="80">
        <f>SUM(H18:H48)</f>
        <v>35023.37999999999</v>
      </c>
      <c r="I49" s="81"/>
      <c r="J49" s="82">
        <f>SUM(J18:J48)</f>
        <v>23</v>
      </c>
      <c r="K49" s="79">
        <f>SUM(K18:K48)</f>
        <v>14636.010000000002</v>
      </c>
      <c r="L49" s="80">
        <f>SUM(L18:L48)</f>
        <v>18850.080000000002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14636.010000000002</v>
      </c>
      <c r="T49" s="80">
        <f>SUM(T18:T48)</f>
        <v>18850.080000000002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1">
    <mergeCell ref="S1:W1"/>
    <mergeCell ref="B1:C1"/>
    <mergeCell ref="D1:G1"/>
    <mergeCell ref="H1:K1"/>
    <mergeCell ref="L1:O1"/>
    <mergeCell ref="P1:R1"/>
    <mergeCell ref="U2:V2"/>
    <mergeCell ref="D3:E3"/>
    <mergeCell ref="H3:J3"/>
    <mergeCell ref="L3:N3"/>
    <mergeCell ref="P3:R3"/>
    <mergeCell ref="S3:T3"/>
    <mergeCell ref="U3:V3"/>
    <mergeCell ref="D2:E2"/>
    <mergeCell ref="H2:J2"/>
    <mergeCell ref="L2:N2"/>
    <mergeCell ref="P2:R2"/>
    <mergeCell ref="S2:T2"/>
    <mergeCell ref="U4:V4"/>
    <mergeCell ref="D5:E5"/>
    <mergeCell ref="H5:J5"/>
    <mergeCell ref="L5:N5"/>
    <mergeCell ref="P5:R5"/>
    <mergeCell ref="S5:T5"/>
    <mergeCell ref="U5:V5"/>
    <mergeCell ref="D4:E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disablePrompts="1" count="5">
    <dataValidation type="list" allowBlank="1" showInputMessage="1" showErrorMessage="1" sqref="F17 K17 Q17 Q14" xr:uid="{0A19C8CE-6B2B-4D08-9332-E56CA91EE502}">
      <formula1>$Y$11:$Y$12</formula1>
    </dataValidation>
    <dataValidation type="list" allowBlank="1" showInputMessage="1" showErrorMessage="1" sqref="H13" xr:uid="{46C98CDF-0AF5-4B18-A987-7A6DA1064AE6}">
      <formula1>$Y$13:$Y$14</formula1>
    </dataValidation>
    <dataValidation type="list" allowBlank="1" showInputMessage="1" showErrorMessage="1" sqref="I13" xr:uid="{A620C9F7-94C6-4DB6-A50A-06BCD073E89C}">
      <formula1>$K$9:$K$9</formula1>
    </dataValidation>
    <dataValidation type="list" showInputMessage="1" showErrorMessage="1" sqref="D18:D48" xr:uid="{DDAC156C-2468-4095-82F3-0DE454D6F298}">
      <formula1>$Z$18:$Z$29</formula1>
    </dataValidation>
    <dataValidation type="list" allowBlank="1" showInputMessage="1" showErrorMessage="1" sqref="M18:M48" xr:uid="{3DE4E35D-E8B1-4B76-91BD-5C58F3EB7A6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410A-8E8E-48A4-8AE2-E9950D914E7E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59" t="s">
        <v>144</v>
      </c>
      <c r="G2" s="160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32871.099999999991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45"/>
      <c r="G3" s="146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17880.309999999998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45" t="s">
        <v>18</v>
      </c>
      <c r="G4" s="146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14990.789999999994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45" t="s">
        <v>145</v>
      </c>
      <c r="G5" s="146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0.45604771364511676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45" t="s">
        <v>146</v>
      </c>
      <c r="G6" s="146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17880.309999999998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/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217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17880.309999999998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36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83</v>
      </c>
      <c r="D18" s="125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10.07</v>
      </c>
      <c r="L18" s="9">
        <f>ROUND((J18*K18),2)</f>
        <v>10.07</v>
      </c>
      <c r="M18" s="8" t="s">
        <v>84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10.07</v>
      </c>
      <c r="T18" s="14">
        <f>ROUND(L18-R18,2)</f>
        <v>10.07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46825328</v>
      </c>
      <c r="C19" s="4" t="s">
        <v>85</v>
      </c>
      <c r="D19" s="126"/>
      <c r="E19" s="54">
        <v>1</v>
      </c>
      <c r="F19" s="15">
        <v>150.49</v>
      </c>
      <c r="G19" s="38">
        <f t="shared" ref="G19:G48" si="1">ROUND(IF($F$17="USD $", F19*$E$15,F19*$D$15),2)</f>
        <v>103.79</v>
      </c>
      <c r="H19" s="39">
        <f t="shared" ref="H19:H48" si="2">ROUND(IF($H$17=$G$17,E19*G19,E19*F19),2)</f>
        <v>150.49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75.25</v>
      </c>
      <c r="L19" s="38">
        <f t="shared" ref="L19:L48" si="4">ROUND((J19*K19),2)</f>
        <v>75.25</v>
      </c>
      <c r="M19" s="129" t="s">
        <v>84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75.25</v>
      </c>
      <c r="T19" s="52">
        <f t="shared" ref="T19:T48" si="6">ROUND(L19-R19,2)</f>
        <v>75.25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27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84</v>
      </c>
      <c r="N20" s="12"/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>
        <v>7414582</v>
      </c>
      <c r="C21" s="4" t="s">
        <v>88</v>
      </c>
      <c r="D21" s="126"/>
      <c r="E21" s="54">
        <v>1</v>
      </c>
      <c r="F21" s="15">
        <v>117.99</v>
      </c>
      <c r="G21" s="38">
        <f t="shared" si="1"/>
        <v>81.37</v>
      </c>
      <c r="H21" s="39">
        <f t="shared" si="2"/>
        <v>117.99</v>
      </c>
      <c r="I21" s="42"/>
      <c r="J21" s="88">
        <f t="shared" si="0"/>
        <v>1</v>
      </c>
      <c r="K21" s="38">
        <f t="shared" si="3"/>
        <v>59</v>
      </c>
      <c r="L21" s="38">
        <f t="shared" si="4"/>
        <v>59</v>
      </c>
      <c r="M21" s="129" t="s">
        <v>84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59</v>
      </c>
      <c r="T21" s="52">
        <f t="shared" si="6"/>
        <v>59</v>
      </c>
      <c r="U21" s="41">
        <f t="shared" si="7"/>
        <v>0</v>
      </c>
      <c r="V21" s="41">
        <f t="shared" si="8"/>
        <v>1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90</v>
      </c>
      <c r="D22" s="127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91.64</v>
      </c>
      <c r="L22" s="9">
        <f t="shared" si="4"/>
        <v>91.64</v>
      </c>
      <c r="M22" s="8" t="s">
        <v>84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91.64</v>
      </c>
      <c r="T22" s="14">
        <f t="shared" si="6"/>
        <v>91.64</v>
      </c>
      <c r="U22" s="29">
        <f t="shared" si="7"/>
        <v>0</v>
      </c>
      <c r="V22" s="29">
        <f t="shared" si="8"/>
        <v>1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92</v>
      </c>
      <c r="D23" s="126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67.59</v>
      </c>
      <c r="L23" s="38">
        <f t="shared" si="4"/>
        <v>67.59</v>
      </c>
      <c r="M23" s="129" t="s">
        <v>84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67.59</v>
      </c>
      <c r="T23" s="52">
        <f t="shared" si="6"/>
        <v>67.59</v>
      </c>
      <c r="U23" s="41">
        <f t="shared" si="7"/>
        <v>0</v>
      </c>
      <c r="V23" s="41">
        <f t="shared" si="8"/>
        <v>1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94</v>
      </c>
      <c r="D24" s="127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84</v>
      </c>
      <c r="N24" s="12"/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6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29" t="s">
        <v>84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97</v>
      </c>
      <c r="D26" s="127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306.62</v>
      </c>
      <c r="L26" s="9">
        <f t="shared" si="4"/>
        <v>613.24</v>
      </c>
      <c r="M26" s="8" t="s">
        <v>84</v>
      </c>
      <c r="N26" s="12">
        <v>0.45</v>
      </c>
      <c r="O26" s="51"/>
      <c r="P26" s="3"/>
      <c r="Q26" s="13"/>
      <c r="R26" s="14">
        <f t="shared" si="9"/>
        <v>0</v>
      </c>
      <c r="S26" s="14">
        <f t="shared" si="5"/>
        <v>306.62</v>
      </c>
      <c r="T26" s="14">
        <f t="shared" si="6"/>
        <v>613.24</v>
      </c>
      <c r="U26" s="29">
        <f t="shared" si="7"/>
        <v>0</v>
      </c>
      <c r="V26" s="29">
        <f t="shared" si="8"/>
        <v>1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6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29" t="s">
        <v>84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>
        <v>7326129</v>
      </c>
      <c r="C28" s="6" t="s">
        <v>100</v>
      </c>
      <c r="D28" s="127"/>
      <c r="E28" s="53">
        <v>1</v>
      </c>
      <c r="F28" s="8">
        <v>4132.46</v>
      </c>
      <c r="G28" s="9">
        <f t="shared" si="1"/>
        <v>2849.97</v>
      </c>
      <c r="H28" s="10">
        <f t="shared" si="2"/>
        <v>4132.46</v>
      </c>
      <c r="I28" s="42"/>
      <c r="J28" s="89">
        <f t="shared" si="0"/>
        <v>1</v>
      </c>
      <c r="K28" s="9">
        <f t="shared" si="3"/>
        <v>2272.85</v>
      </c>
      <c r="L28" s="9">
        <f t="shared" si="4"/>
        <v>2272.85</v>
      </c>
      <c r="M28" s="8" t="s">
        <v>84</v>
      </c>
      <c r="N28" s="12">
        <v>0.45</v>
      </c>
      <c r="O28" s="51"/>
      <c r="P28" s="3"/>
      <c r="Q28" s="13"/>
      <c r="R28" s="14">
        <f t="shared" si="9"/>
        <v>0</v>
      </c>
      <c r="S28" s="14">
        <f t="shared" si="5"/>
        <v>2272.85</v>
      </c>
      <c r="T28" s="14">
        <f t="shared" si="6"/>
        <v>2272.85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84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>
        <v>7240006</v>
      </c>
      <c r="C30" s="6" t="s">
        <v>104</v>
      </c>
      <c r="D30" s="127"/>
      <c r="E30" s="53">
        <v>2</v>
      </c>
      <c r="F30" s="8">
        <v>1001.99</v>
      </c>
      <c r="G30" s="9">
        <f t="shared" si="1"/>
        <v>691.03</v>
      </c>
      <c r="H30" s="10">
        <f t="shared" si="2"/>
        <v>2003.98</v>
      </c>
      <c r="I30" s="42"/>
      <c r="J30" s="89">
        <f t="shared" si="0"/>
        <v>2</v>
      </c>
      <c r="K30" s="9">
        <f t="shared" si="3"/>
        <v>551.09</v>
      </c>
      <c r="L30" s="9">
        <f t="shared" si="4"/>
        <v>1102.18</v>
      </c>
      <c r="M30" s="8" t="s">
        <v>84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551.09</v>
      </c>
      <c r="T30" s="14">
        <f t="shared" si="6"/>
        <v>1102.18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>
        <v>7233630</v>
      </c>
      <c r="C31" s="4" t="s">
        <v>105</v>
      </c>
      <c r="D31" s="126"/>
      <c r="E31" s="54">
        <v>2</v>
      </c>
      <c r="F31" s="15">
        <v>620.99</v>
      </c>
      <c r="G31" s="38">
        <f t="shared" si="1"/>
        <v>428.27</v>
      </c>
      <c r="H31" s="39">
        <f t="shared" si="2"/>
        <v>1241.98</v>
      </c>
      <c r="I31" s="42"/>
      <c r="J31" s="88">
        <f t="shared" si="0"/>
        <v>2</v>
      </c>
      <c r="K31" s="38">
        <f t="shared" si="3"/>
        <v>341.54</v>
      </c>
      <c r="L31" s="38">
        <f t="shared" si="4"/>
        <v>683.08</v>
      </c>
      <c r="M31" s="129" t="s">
        <v>84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341.54</v>
      </c>
      <c r="T31" s="52">
        <f t="shared" si="6"/>
        <v>683.08</v>
      </c>
      <c r="U31" s="41">
        <f t="shared" si="7"/>
        <v>0</v>
      </c>
      <c r="V31" s="41">
        <f t="shared" si="8"/>
        <v>1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>
        <v>7352427</v>
      </c>
      <c r="C32" s="6" t="s">
        <v>106</v>
      </c>
      <c r="D32" s="127"/>
      <c r="E32" s="53">
        <v>10</v>
      </c>
      <c r="F32" s="8">
        <v>437.99</v>
      </c>
      <c r="G32" s="9">
        <f t="shared" si="1"/>
        <v>302.06</v>
      </c>
      <c r="H32" s="10">
        <f t="shared" si="2"/>
        <v>4379.8999999999996</v>
      </c>
      <c r="I32" s="42"/>
      <c r="J32" s="89">
        <f t="shared" si="0"/>
        <v>10</v>
      </c>
      <c r="K32" s="9">
        <f t="shared" si="3"/>
        <v>240.89</v>
      </c>
      <c r="L32" s="9">
        <f t="shared" si="4"/>
        <v>2408.9</v>
      </c>
      <c r="M32" s="8" t="s">
        <v>84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240.89</v>
      </c>
      <c r="T32" s="14">
        <f t="shared" si="6"/>
        <v>2408.9</v>
      </c>
      <c r="U32" s="29">
        <f t="shared" si="7"/>
        <v>0</v>
      </c>
      <c r="V32" s="29">
        <f t="shared" si="8"/>
        <v>1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84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6678748</v>
      </c>
      <c r="C34" s="6" t="s">
        <v>108</v>
      </c>
      <c r="D34" s="127"/>
      <c r="E34" s="53">
        <v>2</v>
      </c>
      <c r="F34" s="8">
        <v>2953.99</v>
      </c>
      <c r="G34" s="9">
        <f t="shared" si="1"/>
        <v>2037.23</v>
      </c>
      <c r="H34" s="10">
        <f t="shared" si="2"/>
        <v>5907.98</v>
      </c>
      <c r="I34" s="42"/>
      <c r="J34" s="89">
        <f t="shared" si="0"/>
        <v>2</v>
      </c>
      <c r="K34" s="9">
        <f t="shared" si="3"/>
        <v>1477</v>
      </c>
      <c r="L34" s="9">
        <f t="shared" si="4"/>
        <v>2954</v>
      </c>
      <c r="M34" s="8" t="s">
        <v>84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1477</v>
      </c>
      <c r="T34" s="14">
        <f t="shared" si="6"/>
        <v>2954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84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 t="s">
        <v>109</v>
      </c>
      <c r="D36" s="127"/>
      <c r="E36" s="53">
        <v>1</v>
      </c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1</v>
      </c>
      <c r="K36" s="9">
        <f t="shared" si="3"/>
        <v>0</v>
      </c>
      <c r="L36" s="9">
        <f t="shared" si="4"/>
        <v>0</v>
      </c>
      <c r="M36" s="8" t="s">
        <v>84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 t="s">
        <v>110</v>
      </c>
      <c r="D37" s="126"/>
      <c r="E37" s="54">
        <v>1</v>
      </c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1</v>
      </c>
      <c r="K37" s="38">
        <f t="shared" si="3"/>
        <v>0</v>
      </c>
      <c r="L37" s="38">
        <f t="shared" si="4"/>
        <v>0</v>
      </c>
      <c r="M37" s="129" t="s">
        <v>84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>
        <v>7256752</v>
      </c>
      <c r="C38" s="6" t="s">
        <v>147</v>
      </c>
      <c r="D38" s="127"/>
      <c r="E38" s="53">
        <v>1</v>
      </c>
      <c r="F38" s="8">
        <v>2799.99</v>
      </c>
      <c r="G38" s="9">
        <f t="shared" si="1"/>
        <v>1931.03</v>
      </c>
      <c r="H38" s="10">
        <f t="shared" si="2"/>
        <v>2799.99</v>
      </c>
      <c r="I38" s="42"/>
      <c r="J38" s="89">
        <f t="shared" si="0"/>
        <v>1</v>
      </c>
      <c r="K38" s="9">
        <f t="shared" si="3"/>
        <v>1400</v>
      </c>
      <c r="L38" s="9">
        <f t="shared" si="4"/>
        <v>1400</v>
      </c>
      <c r="M38" s="8" t="s">
        <v>84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1400</v>
      </c>
      <c r="T38" s="14">
        <f t="shared" si="6"/>
        <v>1400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>
        <v>7298788</v>
      </c>
      <c r="C39" s="4" t="s">
        <v>112</v>
      </c>
      <c r="D39" s="126"/>
      <c r="E39" s="54">
        <v>1</v>
      </c>
      <c r="F39" s="15">
        <v>4052.99</v>
      </c>
      <c r="G39" s="38">
        <f t="shared" si="1"/>
        <v>2795.17</v>
      </c>
      <c r="H39" s="39">
        <f t="shared" si="2"/>
        <v>4052.99</v>
      </c>
      <c r="I39" s="42"/>
      <c r="J39" s="88">
        <f t="shared" si="0"/>
        <v>1</v>
      </c>
      <c r="K39" s="38">
        <f t="shared" si="3"/>
        <v>2026.5</v>
      </c>
      <c r="L39" s="38">
        <f t="shared" si="4"/>
        <v>2026.5</v>
      </c>
      <c r="M39" s="129" t="s">
        <v>84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2026.5</v>
      </c>
      <c r="T39" s="52">
        <f t="shared" si="6"/>
        <v>2026.5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7256748</v>
      </c>
      <c r="C40" s="6" t="s">
        <v>113</v>
      </c>
      <c r="D40" s="127"/>
      <c r="E40" s="53">
        <v>1</v>
      </c>
      <c r="F40" s="8">
        <v>2465.4899999999998</v>
      </c>
      <c r="G40" s="9">
        <f t="shared" si="1"/>
        <v>1700.34</v>
      </c>
      <c r="H40" s="10">
        <f t="shared" si="2"/>
        <v>2465.4899999999998</v>
      </c>
      <c r="I40" s="42"/>
      <c r="J40" s="89">
        <f t="shared" si="0"/>
        <v>1</v>
      </c>
      <c r="K40" s="9">
        <f t="shared" si="3"/>
        <v>1232.75</v>
      </c>
      <c r="L40" s="9">
        <f t="shared" si="4"/>
        <v>1232.75</v>
      </c>
      <c r="M40" s="8" t="s">
        <v>84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1232.75</v>
      </c>
      <c r="T40" s="14">
        <f t="shared" si="6"/>
        <v>1232.75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>
        <v>7312553</v>
      </c>
      <c r="C41" s="4" t="s">
        <v>114</v>
      </c>
      <c r="D41" s="126"/>
      <c r="E41" s="54">
        <v>1</v>
      </c>
      <c r="F41" s="15">
        <v>415.79</v>
      </c>
      <c r="G41" s="38">
        <f t="shared" si="1"/>
        <v>286.75</v>
      </c>
      <c r="H41" s="39">
        <f t="shared" si="2"/>
        <v>415.79</v>
      </c>
      <c r="I41" s="42"/>
      <c r="J41" s="88">
        <f t="shared" si="0"/>
        <v>1</v>
      </c>
      <c r="K41" s="38">
        <f t="shared" si="3"/>
        <v>207.9</v>
      </c>
      <c r="L41" s="38">
        <f t="shared" si="4"/>
        <v>207.9</v>
      </c>
      <c r="M41" s="129" t="s">
        <v>84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207.9</v>
      </c>
      <c r="T41" s="52">
        <f t="shared" si="6"/>
        <v>207.9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>
        <v>7516846</v>
      </c>
      <c r="C42" s="6" t="s">
        <v>115</v>
      </c>
      <c r="D42" s="127"/>
      <c r="E42" s="53">
        <v>4</v>
      </c>
      <c r="F42" s="8">
        <v>955.49</v>
      </c>
      <c r="G42" s="9">
        <f t="shared" si="1"/>
        <v>658.96</v>
      </c>
      <c r="H42" s="10">
        <f t="shared" si="2"/>
        <v>3821.96</v>
      </c>
      <c r="I42" s="42"/>
      <c r="J42" s="89">
        <f t="shared" si="0"/>
        <v>4</v>
      </c>
      <c r="K42" s="9">
        <f t="shared" si="3"/>
        <v>668.84</v>
      </c>
      <c r="L42" s="9">
        <f t="shared" si="4"/>
        <v>2675.36</v>
      </c>
      <c r="M42" s="8" t="s">
        <v>84</v>
      </c>
      <c r="N42" s="12">
        <v>0.3</v>
      </c>
      <c r="O42" s="51"/>
      <c r="P42" s="3"/>
      <c r="Q42" s="13"/>
      <c r="R42" s="14">
        <f t="shared" si="9"/>
        <v>0</v>
      </c>
      <c r="S42" s="14">
        <f t="shared" si="5"/>
        <v>668.84</v>
      </c>
      <c r="T42" s="14">
        <f t="shared" si="6"/>
        <v>2675.36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84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84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84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36</v>
      </c>
      <c r="F49" s="78">
        <f>SUM(F18:F48)</f>
        <v>20928.259999999998</v>
      </c>
      <c r="G49" s="79">
        <f>SUM(G18:G48)</f>
        <v>14433.29</v>
      </c>
      <c r="H49" s="80">
        <f>SUM(H18:H48)</f>
        <v>32871.099999999991</v>
      </c>
      <c r="I49" s="81"/>
      <c r="J49" s="82">
        <f>SUM(J18:J48)</f>
        <v>36</v>
      </c>
      <c r="K49" s="79">
        <f>SUM(K18:K48)</f>
        <v>11029.53</v>
      </c>
      <c r="L49" s="80">
        <f>SUM(L18:L48)</f>
        <v>17880.309999999998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11029.53</v>
      </c>
      <c r="T49" s="80">
        <f>SUM(T18:T48)</f>
        <v>17880.309999999998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F17 K17 Q17 Q14" xr:uid="{496C666B-DCFD-4F01-8491-8B474685E2F0}">
      <formula1>$Y$11:$Y$12</formula1>
    </dataValidation>
    <dataValidation type="list" allowBlank="1" showInputMessage="1" showErrorMessage="1" sqref="H13" xr:uid="{5D416E09-1AA4-4B34-AFEA-5A0F59715B5F}">
      <formula1>$Y$13:$Y$14</formula1>
    </dataValidation>
    <dataValidation type="list" allowBlank="1" showInputMessage="1" showErrorMessage="1" sqref="I13" xr:uid="{7729DBDB-AB79-4320-AA0A-E8895F90AD47}">
      <formula1>$K$9:$K$9</formula1>
    </dataValidation>
    <dataValidation type="list" showInputMessage="1" showErrorMessage="1" sqref="D18:D48" xr:uid="{39984FF5-01C1-497A-A387-104F2A02A780}">
      <formula1>$Z$18:$Z$29</formula1>
    </dataValidation>
    <dataValidation type="list" allowBlank="1" showInputMessage="1" showErrorMessage="1" sqref="M18:M48" xr:uid="{DDF0920C-D7B3-47AB-A7E4-B3E5D9AC4024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8E24-7FE9-4598-A1D1-F38397ECC16C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59" t="s">
        <v>148</v>
      </c>
      <c r="G2" s="160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32871.099999999991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45"/>
      <c r="G3" s="146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17880.309999999998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45" t="s">
        <v>18</v>
      </c>
      <c r="G4" s="146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14990.789999999994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45" t="s">
        <v>145</v>
      </c>
      <c r="G5" s="146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0.45604771364511676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45" t="s">
        <v>149</v>
      </c>
      <c r="G6" s="146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17880.309999999998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/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217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17880.309999999998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36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83</v>
      </c>
      <c r="D18" s="125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10.07</v>
      </c>
      <c r="L18" s="9">
        <f>ROUND((J18*K18),2)</f>
        <v>10.07</v>
      </c>
      <c r="M18" s="8" t="s">
        <v>84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10.07</v>
      </c>
      <c r="T18" s="14">
        <f>ROUND(L18-R18,2)</f>
        <v>10.07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46825328</v>
      </c>
      <c r="C19" s="4" t="s">
        <v>85</v>
      </c>
      <c r="D19" s="126"/>
      <c r="E19" s="54">
        <v>1</v>
      </c>
      <c r="F19" s="15">
        <v>150.49</v>
      </c>
      <c r="G19" s="38">
        <f t="shared" ref="G19:G48" si="1">ROUND(IF($F$17="USD $", F19*$E$15,F19*$D$15),2)</f>
        <v>103.79</v>
      </c>
      <c r="H19" s="39">
        <f t="shared" ref="H19:H48" si="2">ROUND(IF($H$17=$G$17,E19*G19,E19*F19),2)</f>
        <v>150.49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75.25</v>
      </c>
      <c r="L19" s="38">
        <f t="shared" ref="L19:L48" si="4">ROUND((J19*K19),2)</f>
        <v>75.25</v>
      </c>
      <c r="M19" s="129" t="s">
        <v>84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75.25</v>
      </c>
      <c r="T19" s="52">
        <f t="shared" ref="T19:T48" si="6">ROUND(L19-R19,2)</f>
        <v>75.25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27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84</v>
      </c>
      <c r="N20" s="12"/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>
        <v>7414582</v>
      </c>
      <c r="C21" s="4" t="s">
        <v>88</v>
      </c>
      <c r="D21" s="126"/>
      <c r="E21" s="54">
        <v>1</v>
      </c>
      <c r="F21" s="15">
        <v>117.99</v>
      </c>
      <c r="G21" s="38">
        <f t="shared" si="1"/>
        <v>81.37</v>
      </c>
      <c r="H21" s="39">
        <f t="shared" si="2"/>
        <v>117.99</v>
      </c>
      <c r="I21" s="42"/>
      <c r="J21" s="88">
        <f t="shared" si="0"/>
        <v>1</v>
      </c>
      <c r="K21" s="38">
        <f t="shared" si="3"/>
        <v>59</v>
      </c>
      <c r="L21" s="38">
        <f t="shared" si="4"/>
        <v>59</v>
      </c>
      <c r="M21" s="129" t="s">
        <v>84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59</v>
      </c>
      <c r="T21" s="52">
        <f t="shared" si="6"/>
        <v>59</v>
      </c>
      <c r="U21" s="41">
        <f t="shared" si="7"/>
        <v>0</v>
      </c>
      <c r="V21" s="41">
        <f t="shared" si="8"/>
        <v>1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90</v>
      </c>
      <c r="D22" s="127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91.64</v>
      </c>
      <c r="L22" s="9">
        <f t="shared" si="4"/>
        <v>91.64</v>
      </c>
      <c r="M22" s="8" t="s">
        <v>84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91.64</v>
      </c>
      <c r="T22" s="14">
        <f t="shared" si="6"/>
        <v>91.64</v>
      </c>
      <c r="U22" s="29">
        <f t="shared" si="7"/>
        <v>0</v>
      </c>
      <c r="V22" s="29">
        <f t="shared" si="8"/>
        <v>1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92</v>
      </c>
      <c r="D23" s="126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67.59</v>
      </c>
      <c r="L23" s="38">
        <f t="shared" si="4"/>
        <v>67.59</v>
      </c>
      <c r="M23" s="129" t="s">
        <v>84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67.59</v>
      </c>
      <c r="T23" s="52">
        <f t="shared" si="6"/>
        <v>67.59</v>
      </c>
      <c r="U23" s="41">
        <f t="shared" si="7"/>
        <v>0</v>
      </c>
      <c r="V23" s="41">
        <f t="shared" si="8"/>
        <v>1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94</v>
      </c>
      <c r="D24" s="127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84</v>
      </c>
      <c r="N24" s="12"/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6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29" t="s">
        <v>84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97</v>
      </c>
      <c r="D26" s="127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306.62</v>
      </c>
      <c r="L26" s="9">
        <f t="shared" si="4"/>
        <v>613.24</v>
      </c>
      <c r="M26" s="8" t="s">
        <v>84</v>
      </c>
      <c r="N26" s="12">
        <v>0.45</v>
      </c>
      <c r="O26" s="51"/>
      <c r="P26" s="3"/>
      <c r="Q26" s="13"/>
      <c r="R26" s="14">
        <f t="shared" si="9"/>
        <v>0</v>
      </c>
      <c r="S26" s="14">
        <f t="shared" si="5"/>
        <v>306.62</v>
      </c>
      <c r="T26" s="14">
        <f t="shared" si="6"/>
        <v>613.24</v>
      </c>
      <c r="U26" s="29">
        <f t="shared" si="7"/>
        <v>0</v>
      </c>
      <c r="V26" s="29">
        <f t="shared" si="8"/>
        <v>1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6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29" t="s">
        <v>84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>
        <v>7326129</v>
      </c>
      <c r="C28" s="6" t="s">
        <v>100</v>
      </c>
      <c r="D28" s="127"/>
      <c r="E28" s="53">
        <v>1</v>
      </c>
      <c r="F28" s="8">
        <v>4132.46</v>
      </c>
      <c r="G28" s="9">
        <f t="shared" si="1"/>
        <v>2849.97</v>
      </c>
      <c r="H28" s="10">
        <f t="shared" si="2"/>
        <v>4132.46</v>
      </c>
      <c r="I28" s="42"/>
      <c r="J28" s="89">
        <f t="shared" si="0"/>
        <v>1</v>
      </c>
      <c r="K28" s="9">
        <f t="shared" si="3"/>
        <v>2272.85</v>
      </c>
      <c r="L28" s="9">
        <f t="shared" si="4"/>
        <v>2272.85</v>
      </c>
      <c r="M28" s="8" t="s">
        <v>84</v>
      </c>
      <c r="N28" s="12">
        <v>0.45</v>
      </c>
      <c r="O28" s="51"/>
      <c r="P28" s="3"/>
      <c r="Q28" s="13"/>
      <c r="R28" s="14">
        <f t="shared" si="9"/>
        <v>0</v>
      </c>
      <c r="S28" s="14">
        <f t="shared" si="5"/>
        <v>2272.85</v>
      </c>
      <c r="T28" s="14">
        <f t="shared" si="6"/>
        <v>2272.85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84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>
        <v>7240006</v>
      </c>
      <c r="C30" s="6" t="s">
        <v>104</v>
      </c>
      <c r="D30" s="127"/>
      <c r="E30" s="53">
        <v>2</v>
      </c>
      <c r="F30" s="8">
        <v>1001.99</v>
      </c>
      <c r="G30" s="9">
        <f t="shared" si="1"/>
        <v>691.03</v>
      </c>
      <c r="H30" s="10">
        <f t="shared" si="2"/>
        <v>2003.98</v>
      </c>
      <c r="I30" s="42"/>
      <c r="J30" s="89">
        <f t="shared" si="0"/>
        <v>2</v>
      </c>
      <c r="K30" s="9">
        <f t="shared" si="3"/>
        <v>551.09</v>
      </c>
      <c r="L30" s="9">
        <f t="shared" si="4"/>
        <v>1102.18</v>
      </c>
      <c r="M30" s="8" t="s">
        <v>84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551.09</v>
      </c>
      <c r="T30" s="14">
        <f t="shared" si="6"/>
        <v>1102.18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>
        <v>7233630</v>
      </c>
      <c r="C31" s="4" t="s">
        <v>105</v>
      </c>
      <c r="D31" s="126"/>
      <c r="E31" s="54">
        <v>2</v>
      </c>
      <c r="F31" s="15">
        <v>620.99</v>
      </c>
      <c r="G31" s="38">
        <f t="shared" si="1"/>
        <v>428.27</v>
      </c>
      <c r="H31" s="39">
        <f t="shared" si="2"/>
        <v>1241.98</v>
      </c>
      <c r="I31" s="42"/>
      <c r="J31" s="88">
        <f t="shared" si="0"/>
        <v>2</v>
      </c>
      <c r="K31" s="38">
        <f t="shared" si="3"/>
        <v>341.54</v>
      </c>
      <c r="L31" s="38">
        <f t="shared" si="4"/>
        <v>683.08</v>
      </c>
      <c r="M31" s="129" t="s">
        <v>84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341.54</v>
      </c>
      <c r="T31" s="52">
        <f t="shared" si="6"/>
        <v>683.08</v>
      </c>
      <c r="U31" s="41">
        <f t="shared" si="7"/>
        <v>0</v>
      </c>
      <c r="V31" s="41">
        <f t="shared" si="8"/>
        <v>1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>
        <v>7352427</v>
      </c>
      <c r="C32" s="6" t="s">
        <v>106</v>
      </c>
      <c r="D32" s="127"/>
      <c r="E32" s="53">
        <v>10</v>
      </c>
      <c r="F32" s="8">
        <v>437.99</v>
      </c>
      <c r="G32" s="9">
        <f t="shared" si="1"/>
        <v>302.06</v>
      </c>
      <c r="H32" s="10">
        <f t="shared" si="2"/>
        <v>4379.8999999999996</v>
      </c>
      <c r="I32" s="42"/>
      <c r="J32" s="89">
        <f t="shared" si="0"/>
        <v>10</v>
      </c>
      <c r="K32" s="9">
        <f t="shared" si="3"/>
        <v>240.89</v>
      </c>
      <c r="L32" s="9">
        <f t="shared" si="4"/>
        <v>2408.9</v>
      </c>
      <c r="M32" s="8" t="s">
        <v>84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240.89</v>
      </c>
      <c r="T32" s="14">
        <f t="shared" si="6"/>
        <v>2408.9</v>
      </c>
      <c r="U32" s="29">
        <f t="shared" si="7"/>
        <v>0</v>
      </c>
      <c r="V32" s="29">
        <f t="shared" si="8"/>
        <v>1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84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6678748</v>
      </c>
      <c r="C34" s="6" t="s">
        <v>108</v>
      </c>
      <c r="D34" s="127"/>
      <c r="E34" s="53">
        <v>2</v>
      </c>
      <c r="F34" s="8">
        <v>2953.99</v>
      </c>
      <c r="G34" s="9">
        <f t="shared" si="1"/>
        <v>2037.23</v>
      </c>
      <c r="H34" s="10">
        <f t="shared" si="2"/>
        <v>5907.98</v>
      </c>
      <c r="I34" s="42"/>
      <c r="J34" s="89">
        <f t="shared" si="0"/>
        <v>2</v>
      </c>
      <c r="K34" s="9">
        <f t="shared" si="3"/>
        <v>1477</v>
      </c>
      <c r="L34" s="9">
        <f t="shared" si="4"/>
        <v>2954</v>
      </c>
      <c r="M34" s="8" t="s">
        <v>84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1477</v>
      </c>
      <c r="T34" s="14">
        <f t="shared" si="6"/>
        <v>2954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84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 t="s">
        <v>109</v>
      </c>
      <c r="D36" s="127"/>
      <c r="E36" s="53">
        <v>1</v>
      </c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1</v>
      </c>
      <c r="K36" s="9">
        <f t="shared" si="3"/>
        <v>0</v>
      </c>
      <c r="L36" s="9">
        <f t="shared" si="4"/>
        <v>0</v>
      </c>
      <c r="M36" s="8" t="s">
        <v>84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 t="s">
        <v>110</v>
      </c>
      <c r="D37" s="126"/>
      <c r="E37" s="54">
        <v>1</v>
      </c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1</v>
      </c>
      <c r="K37" s="38">
        <f t="shared" si="3"/>
        <v>0</v>
      </c>
      <c r="L37" s="38">
        <f t="shared" si="4"/>
        <v>0</v>
      </c>
      <c r="M37" s="129" t="s">
        <v>84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>
        <v>7256752</v>
      </c>
      <c r="C38" s="6" t="s">
        <v>147</v>
      </c>
      <c r="D38" s="127"/>
      <c r="E38" s="53">
        <v>1</v>
      </c>
      <c r="F38" s="8">
        <v>2799.99</v>
      </c>
      <c r="G38" s="9">
        <f t="shared" si="1"/>
        <v>1931.03</v>
      </c>
      <c r="H38" s="10">
        <f t="shared" si="2"/>
        <v>2799.99</v>
      </c>
      <c r="I38" s="42"/>
      <c r="J38" s="89">
        <f t="shared" si="0"/>
        <v>1</v>
      </c>
      <c r="K38" s="9">
        <f t="shared" si="3"/>
        <v>1400</v>
      </c>
      <c r="L38" s="9">
        <f t="shared" si="4"/>
        <v>1400</v>
      </c>
      <c r="M38" s="8" t="s">
        <v>84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1400</v>
      </c>
      <c r="T38" s="14">
        <f t="shared" si="6"/>
        <v>1400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>
        <v>7298788</v>
      </c>
      <c r="C39" s="4" t="s">
        <v>112</v>
      </c>
      <c r="D39" s="126"/>
      <c r="E39" s="54">
        <v>1</v>
      </c>
      <c r="F39" s="15">
        <v>4052.99</v>
      </c>
      <c r="G39" s="38">
        <f t="shared" si="1"/>
        <v>2795.17</v>
      </c>
      <c r="H39" s="39">
        <f t="shared" si="2"/>
        <v>4052.99</v>
      </c>
      <c r="I39" s="42"/>
      <c r="J39" s="88">
        <f t="shared" si="0"/>
        <v>1</v>
      </c>
      <c r="K39" s="38">
        <f t="shared" si="3"/>
        <v>2026.5</v>
      </c>
      <c r="L39" s="38">
        <f t="shared" si="4"/>
        <v>2026.5</v>
      </c>
      <c r="M39" s="129" t="s">
        <v>84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2026.5</v>
      </c>
      <c r="T39" s="52">
        <f t="shared" si="6"/>
        <v>2026.5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7256748</v>
      </c>
      <c r="C40" s="6" t="s">
        <v>113</v>
      </c>
      <c r="D40" s="127"/>
      <c r="E40" s="53">
        <v>1</v>
      </c>
      <c r="F40" s="8">
        <v>2465.4899999999998</v>
      </c>
      <c r="G40" s="9">
        <f t="shared" si="1"/>
        <v>1700.34</v>
      </c>
      <c r="H40" s="10">
        <f t="shared" si="2"/>
        <v>2465.4899999999998</v>
      </c>
      <c r="I40" s="42"/>
      <c r="J40" s="89">
        <f t="shared" si="0"/>
        <v>1</v>
      </c>
      <c r="K40" s="9">
        <f t="shared" si="3"/>
        <v>1232.75</v>
      </c>
      <c r="L40" s="9">
        <f t="shared" si="4"/>
        <v>1232.75</v>
      </c>
      <c r="M40" s="8" t="s">
        <v>84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1232.75</v>
      </c>
      <c r="T40" s="14">
        <f t="shared" si="6"/>
        <v>1232.75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>
        <v>7312553</v>
      </c>
      <c r="C41" s="4" t="s">
        <v>114</v>
      </c>
      <c r="D41" s="126"/>
      <c r="E41" s="54">
        <v>1</v>
      </c>
      <c r="F41" s="15">
        <v>415.79</v>
      </c>
      <c r="G41" s="38">
        <f t="shared" si="1"/>
        <v>286.75</v>
      </c>
      <c r="H41" s="39">
        <f t="shared" si="2"/>
        <v>415.79</v>
      </c>
      <c r="I41" s="42"/>
      <c r="J41" s="88">
        <f t="shared" si="0"/>
        <v>1</v>
      </c>
      <c r="K41" s="38">
        <f t="shared" si="3"/>
        <v>207.9</v>
      </c>
      <c r="L41" s="38">
        <f t="shared" si="4"/>
        <v>207.9</v>
      </c>
      <c r="M41" s="129" t="s">
        <v>84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207.9</v>
      </c>
      <c r="T41" s="52">
        <f t="shared" si="6"/>
        <v>207.9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>
        <v>7516846</v>
      </c>
      <c r="C42" s="6" t="s">
        <v>115</v>
      </c>
      <c r="D42" s="127"/>
      <c r="E42" s="53">
        <v>4</v>
      </c>
      <c r="F42" s="8">
        <v>955.49</v>
      </c>
      <c r="G42" s="9">
        <f t="shared" si="1"/>
        <v>658.96</v>
      </c>
      <c r="H42" s="10">
        <f t="shared" si="2"/>
        <v>3821.96</v>
      </c>
      <c r="I42" s="42"/>
      <c r="J42" s="89">
        <f t="shared" si="0"/>
        <v>4</v>
      </c>
      <c r="K42" s="9">
        <f t="shared" si="3"/>
        <v>668.84</v>
      </c>
      <c r="L42" s="9">
        <f t="shared" si="4"/>
        <v>2675.36</v>
      </c>
      <c r="M42" s="8" t="s">
        <v>84</v>
      </c>
      <c r="N42" s="12">
        <v>0.3</v>
      </c>
      <c r="O42" s="51"/>
      <c r="P42" s="3"/>
      <c r="Q42" s="13"/>
      <c r="R42" s="14">
        <f t="shared" si="9"/>
        <v>0</v>
      </c>
      <c r="S42" s="14">
        <f t="shared" si="5"/>
        <v>668.84</v>
      </c>
      <c r="T42" s="14">
        <f t="shared" si="6"/>
        <v>2675.36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84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84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84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36</v>
      </c>
      <c r="F49" s="78">
        <f>SUM(F18:F48)</f>
        <v>20928.259999999998</v>
      </c>
      <c r="G49" s="79">
        <f>SUM(G18:G48)</f>
        <v>14433.29</v>
      </c>
      <c r="H49" s="80">
        <f>SUM(H18:H48)</f>
        <v>32871.099999999991</v>
      </c>
      <c r="I49" s="81"/>
      <c r="J49" s="82">
        <f>SUM(J18:J48)</f>
        <v>36</v>
      </c>
      <c r="K49" s="79">
        <f>SUM(K18:K48)</f>
        <v>11029.53</v>
      </c>
      <c r="L49" s="80">
        <f>SUM(L18:L48)</f>
        <v>17880.309999999998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11029.53</v>
      </c>
      <c r="T49" s="80">
        <f>SUM(T18:T48)</f>
        <v>17880.309999999998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M18:M48" xr:uid="{3DA64557-5E94-4A5A-AB22-AE34994C0A49}">
      <formula1>$Y$31:$Y$32</formula1>
    </dataValidation>
    <dataValidation type="list" showInputMessage="1" showErrorMessage="1" sqref="D18:D48" xr:uid="{5720F449-C89B-48B3-93B3-7018F37E9BC2}">
      <formula1>$Z$18:$Z$29</formula1>
    </dataValidation>
    <dataValidation type="list" allowBlank="1" showInputMessage="1" showErrorMessage="1" sqref="I13" xr:uid="{F591DC81-BD2D-467C-89B4-58BD4B57545E}">
      <formula1>$K$9:$K$9</formula1>
    </dataValidation>
    <dataValidation type="list" allowBlank="1" showInputMessage="1" showErrorMessage="1" sqref="H13" xr:uid="{843D2168-1D38-4A51-B6E3-17E3B2C7362A}">
      <formula1>$Y$13:$Y$14</formula1>
    </dataValidation>
    <dataValidation type="list" allowBlank="1" showInputMessage="1" showErrorMessage="1" sqref="F17 K17 Q17 Q14" xr:uid="{E266112F-A800-4871-A2A0-A3834D5CBB7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030D-D015-4535-8778-9860ECD185F8}">
  <sheetPr>
    <pageSetUpPr fitToPage="1"/>
  </sheetPr>
  <dimension ref="A1:AB51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59" t="s">
        <v>177</v>
      </c>
      <c r="G2" s="160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101780.31000000001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45"/>
      <c r="G3" s="146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55449.47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45" t="s">
        <v>151</v>
      </c>
      <c r="G4" s="146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46330.840000000011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45">
        <v>589</v>
      </c>
      <c r="G5" s="146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0.45520435141138799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45" t="s">
        <v>178</v>
      </c>
      <c r="G6" s="146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55449.47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/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219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55449.47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18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152</v>
      </c>
      <c r="C18" s="5" t="s">
        <v>153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84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154</v>
      </c>
      <c r="C19" s="4" t="s">
        <v>155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84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 t="s">
        <v>156</v>
      </c>
      <c r="C20" s="6" t="s">
        <v>157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84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 t="s">
        <v>158</v>
      </c>
      <c r="C21" s="4" t="s">
        <v>159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84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 t="s">
        <v>160</v>
      </c>
      <c r="C22" s="6" t="s">
        <v>161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84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 t="s">
        <v>162</v>
      </c>
      <c r="C23" s="4" t="s">
        <v>163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84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 t="s">
        <v>164</v>
      </c>
      <c r="C24" s="6" t="s">
        <v>165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84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 t="s">
        <v>166</v>
      </c>
      <c r="C25" s="4" t="s">
        <v>163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84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 t="s">
        <v>167</v>
      </c>
      <c r="C26" s="6" t="s">
        <v>168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84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 t="s">
        <v>169</v>
      </c>
      <c r="C27" s="4" t="s">
        <v>170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84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 t="s">
        <v>171</v>
      </c>
      <c r="C28" s="6" t="s">
        <v>172</v>
      </c>
      <c r="D28" s="127" t="s">
        <v>102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84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 t="s">
        <v>173</v>
      </c>
      <c r="C29" s="4" t="s">
        <v>174</v>
      </c>
      <c r="D29" s="126" t="s">
        <v>102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84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84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175</v>
      </c>
      <c r="C31" s="4" t="s">
        <v>176</v>
      </c>
      <c r="D31" s="126" t="s">
        <v>102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84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84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84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84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84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84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84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84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84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84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84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107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84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84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84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M18:M48" xr:uid="{2CD0855B-3A6B-42BF-9951-9D081F211965}">
      <formula1>$Y$31:$Y$32</formula1>
    </dataValidation>
    <dataValidation type="list" showInputMessage="1" showErrorMessage="1" sqref="D18:D48" xr:uid="{08717EB8-7B8C-4CEE-95A0-F9940402ADE7}">
      <formula1>$Z$18:$Z$29</formula1>
    </dataValidation>
    <dataValidation type="list" allowBlank="1" showInputMessage="1" showErrorMessage="1" sqref="I13" xr:uid="{8CD58E2D-DD06-44AA-A93D-26B8B9BED852}">
      <formula1>$K$9:$K$9</formula1>
    </dataValidation>
    <dataValidation type="list" allowBlank="1" showInputMessage="1" showErrorMessage="1" sqref="H13" xr:uid="{D010C316-89B0-43D1-865B-BCCF4812B8EF}">
      <formula1>$Y$13:$Y$14</formula1>
    </dataValidation>
    <dataValidation type="list" allowBlank="1" showInputMessage="1" showErrorMessage="1" sqref="F17 K17 Q17 Q14" xr:uid="{F4FA15C3-4364-46E4-A1CA-A1FA87B0676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1706-6E04-4AF0-8DA1-E2D49928A9AC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59" t="s">
        <v>179</v>
      </c>
      <c r="G2" s="160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37930.07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45"/>
      <c r="G3" s="146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20490.760000000002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45" t="s">
        <v>180</v>
      </c>
      <c r="G4" s="146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17439.309999999998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45" t="s">
        <v>181</v>
      </c>
      <c r="G5" s="146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0.45977531810513395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45" t="s">
        <v>182</v>
      </c>
      <c r="G6" s="146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20490.760000000002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/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216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20490.760000000002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20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/>
      <c r="C18" s="5" t="s">
        <v>120</v>
      </c>
      <c r="D18" s="125"/>
      <c r="E18" s="53"/>
      <c r="F18" s="8"/>
      <c r="G18" s="9">
        <f>ROUND(IF($F$17="USD $", F18*$E$15,F18*$D$15),2)</f>
        <v>0</v>
      </c>
      <c r="H18" s="10">
        <f>ROUND(IF($H$17=$G$17,E18*G18,E18*F18),2)</f>
        <v>0</v>
      </c>
      <c r="I18" s="11"/>
      <c r="J18" s="89">
        <f t="shared" ref="J18:J48" si="0">E18</f>
        <v>0</v>
      </c>
      <c r="K18" s="9">
        <f>IFERROR(IF(M18="OEM DISC %",ROUND(IF($K$17=$F$17,F18*(1-N18),G18*(1-N18)),2),IF(M18="MARKUP %",ROUND(R18/J18*(1+N18),2))),0)</f>
        <v>0</v>
      </c>
      <c r="L18" s="9">
        <f>ROUND((J18*K18),2)</f>
        <v>0</v>
      </c>
      <c r="M18" s="8" t="s">
        <v>84</v>
      </c>
      <c r="N18" s="36"/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0</v>
      </c>
      <c r="T18" s="14">
        <f>ROUND(L18-R18,2)</f>
        <v>0</v>
      </c>
      <c r="U18" s="29">
        <f>IFERROR(((K18-(R18/J18))/(R18/J18)),0)</f>
        <v>0</v>
      </c>
      <c r="V18" s="29">
        <f>IFERROR(((K18-(R18/J18))/K18),0)</f>
        <v>0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183</v>
      </c>
      <c r="C19" s="4" t="s">
        <v>83</v>
      </c>
      <c r="D19" s="126"/>
      <c r="E19" s="54">
        <v>1</v>
      </c>
      <c r="F19" s="15">
        <v>29.35</v>
      </c>
      <c r="G19" s="38">
        <f t="shared" ref="G19:G48" si="1">ROUND(IF($F$17="USD $", F19*$E$15,F19*$D$15),2)</f>
        <v>20.239999999999998</v>
      </c>
      <c r="H19" s="39">
        <f t="shared" ref="H19:H48" si="2">ROUND(IF($H$17=$G$17,E19*G19,E19*F19),2)</f>
        <v>29.35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14.68</v>
      </c>
      <c r="L19" s="38">
        <f t="shared" ref="L19:L48" si="4">ROUND((J19*K19),2)</f>
        <v>14.68</v>
      </c>
      <c r="M19" s="129" t="s">
        <v>84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14.68</v>
      </c>
      <c r="T19" s="52">
        <f t="shared" ref="T19:T48" si="6">ROUND(L19-R19,2)</f>
        <v>14.68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 t="s">
        <v>184</v>
      </c>
      <c r="C20" s="6" t="s">
        <v>150</v>
      </c>
      <c r="D20" s="127"/>
      <c r="E20" s="53">
        <v>1</v>
      </c>
      <c r="F20" s="8">
        <v>52.81</v>
      </c>
      <c r="G20" s="9">
        <f t="shared" si="1"/>
        <v>36.42</v>
      </c>
      <c r="H20" s="10">
        <f t="shared" si="2"/>
        <v>52.81</v>
      </c>
      <c r="I20" s="42"/>
      <c r="J20" s="89">
        <f t="shared" si="0"/>
        <v>1</v>
      </c>
      <c r="K20" s="9">
        <f t="shared" si="3"/>
        <v>26.41</v>
      </c>
      <c r="L20" s="9">
        <f t="shared" si="4"/>
        <v>26.41</v>
      </c>
      <c r="M20" s="8" t="s">
        <v>84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26.41</v>
      </c>
      <c r="T20" s="14">
        <f t="shared" si="6"/>
        <v>26.41</v>
      </c>
      <c r="U20" s="29">
        <f t="shared" si="7"/>
        <v>0</v>
      </c>
      <c r="V20" s="29">
        <f t="shared" si="8"/>
        <v>1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 t="s">
        <v>185</v>
      </c>
      <c r="C21" s="4" t="s">
        <v>186</v>
      </c>
      <c r="D21" s="126"/>
      <c r="E21" s="54">
        <v>1</v>
      </c>
      <c r="F21" s="15">
        <v>121.36</v>
      </c>
      <c r="G21" s="38">
        <f t="shared" si="1"/>
        <v>83.7</v>
      </c>
      <c r="H21" s="39">
        <f t="shared" si="2"/>
        <v>121.36</v>
      </c>
      <c r="I21" s="42"/>
      <c r="J21" s="88">
        <f t="shared" si="0"/>
        <v>1</v>
      </c>
      <c r="K21" s="38">
        <f t="shared" si="3"/>
        <v>60.68</v>
      </c>
      <c r="L21" s="38">
        <f t="shared" si="4"/>
        <v>60.68</v>
      </c>
      <c r="M21" s="129" t="s">
        <v>84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60.68</v>
      </c>
      <c r="T21" s="52">
        <f t="shared" si="6"/>
        <v>60.68</v>
      </c>
      <c r="U21" s="41">
        <f t="shared" si="7"/>
        <v>0</v>
      </c>
      <c r="V21" s="41">
        <f t="shared" si="8"/>
        <v>1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 t="s">
        <v>187</v>
      </c>
      <c r="C22" s="6" t="s">
        <v>123</v>
      </c>
      <c r="D22" s="127"/>
      <c r="E22" s="53">
        <v>1</v>
      </c>
      <c r="F22" s="8">
        <v>87.86</v>
      </c>
      <c r="G22" s="9">
        <f t="shared" si="1"/>
        <v>60.59</v>
      </c>
      <c r="H22" s="10">
        <f t="shared" si="2"/>
        <v>87.86</v>
      </c>
      <c r="I22" s="42"/>
      <c r="J22" s="89">
        <f t="shared" si="0"/>
        <v>1</v>
      </c>
      <c r="K22" s="9">
        <f t="shared" si="3"/>
        <v>43.93</v>
      </c>
      <c r="L22" s="9">
        <f t="shared" si="4"/>
        <v>43.93</v>
      </c>
      <c r="M22" s="8" t="s">
        <v>84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43.93</v>
      </c>
      <c r="T22" s="14">
        <f t="shared" si="6"/>
        <v>43.93</v>
      </c>
      <c r="U22" s="29">
        <f t="shared" si="7"/>
        <v>0</v>
      </c>
      <c r="V22" s="29">
        <f t="shared" si="8"/>
        <v>1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 t="s">
        <v>188</v>
      </c>
      <c r="C23" s="4" t="s">
        <v>125</v>
      </c>
      <c r="D23" s="126"/>
      <c r="E23" s="54">
        <v>1</v>
      </c>
      <c r="F23" s="15">
        <v>57.53</v>
      </c>
      <c r="G23" s="38">
        <f t="shared" si="1"/>
        <v>39.68</v>
      </c>
      <c r="H23" s="39">
        <f t="shared" si="2"/>
        <v>57.53</v>
      </c>
      <c r="I23" s="42"/>
      <c r="J23" s="88">
        <f t="shared" si="0"/>
        <v>1</v>
      </c>
      <c r="K23" s="38">
        <f t="shared" si="3"/>
        <v>28.77</v>
      </c>
      <c r="L23" s="38">
        <f t="shared" si="4"/>
        <v>28.77</v>
      </c>
      <c r="M23" s="129" t="s">
        <v>84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28.77</v>
      </c>
      <c r="T23" s="52">
        <f t="shared" si="6"/>
        <v>28.77</v>
      </c>
      <c r="U23" s="41">
        <f t="shared" si="7"/>
        <v>0</v>
      </c>
      <c r="V23" s="41">
        <f t="shared" si="8"/>
        <v>1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/>
      <c r="C24" s="6"/>
      <c r="D24" s="127"/>
      <c r="E24" s="53"/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0</v>
      </c>
      <c r="K24" s="9">
        <f t="shared" si="3"/>
        <v>0</v>
      </c>
      <c r="L24" s="9">
        <f t="shared" si="4"/>
        <v>0</v>
      </c>
      <c r="M24" s="8" t="s">
        <v>84</v>
      </c>
      <c r="N24" s="12"/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/>
      <c r="C25" s="4" t="s">
        <v>130</v>
      </c>
      <c r="D25" s="126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29" t="s">
        <v>84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 t="s">
        <v>189</v>
      </c>
      <c r="C26" s="6" t="s">
        <v>131</v>
      </c>
      <c r="D26" s="127"/>
      <c r="E26" s="53">
        <v>1</v>
      </c>
      <c r="F26" s="8"/>
      <c r="G26" s="9">
        <f t="shared" si="1"/>
        <v>0</v>
      </c>
      <c r="H26" s="10">
        <f t="shared" si="2"/>
        <v>0</v>
      </c>
      <c r="I26" s="42"/>
      <c r="J26" s="89">
        <f t="shared" si="0"/>
        <v>1</v>
      </c>
      <c r="K26" s="9">
        <f t="shared" si="3"/>
        <v>0</v>
      </c>
      <c r="L26" s="9">
        <f t="shared" si="4"/>
        <v>0</v>
      </c>
      <c r="M26" s="8" t="s">
        <v>84</v>
      </c>
      <c r="N26" s="12"/>
      <c r="O26" s="51"/>
      <c r="P26" s="3"/>
      <c r="Q26" s="13"/>
      <c r="R26" s="14">
        <f t="shared" si="9"/>
        <v>0</v>
      </c>
      <c r="S26" s="14">
        <f t="shared" si="5"/>
        <v>0</v>
      </c>
      <c r="T26" s="14">
        <f t="shared" si="6"/>
        <v>0</v>
      </c>
      <c r="U26" s="29">
        <f t="shared" si="7"/>
        <v>0</v>
      </c>
      <c r="V26" s="29">
        <f t="shared" si="8"/>
        <v>0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 t="s">
        <v>190</v>
      </c>
      <c r="C27" s="4" t="s">
        <v>132</v>
      </c>
      <c r="D27" s="126"/>
      <c r="E27" s="54">
        <v>1</v>
      </c>
      <c r="F27" s="15">
        <v>1566.06</v>
      </c>
      <c r="G27" s="38">
        <f t="shared" si="1"/>
        <v>1080.04</v>
      </c>
      <c r="H27" s="39">
        <f t="shared" si="2"/>
        <v>1566.06</v>
      </c>
      <c r="I27" s="42"/>
      <c r="J27" s="88">
        <f t="shared" si="0"/>
        <v>1</v>
      </c>
      <c r="K27" s="38">
        <f t="shared" si="3"/>
        <v>783.03</v>
      </c>
      <c r="L27" s="38">
        <f t="shared" si="4"/>
        <v>783.03</v>
      </c>
      <c r="M27" s="129" t="s">
        <v>84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783.03</v>
      </c>
      <c r="T27" s="52">
        <f t="shared" si="6"/>
        <v>783.03</v>
      </c>
      <c r="U27" s="41">
        <f t="shared" si="7"/>
        <v>0</v>
      </c>
      <c r="V27" s="41">
        <f t="shared" si="8"/>
        <v>1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/>
      <c r="C28" s="6"/>
      <c r="D28" s="127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84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/>
      <c r="C29" s="4" t="s">
        <v>133</v>
      </c>
      <c r="D29" s="126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84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 t="s">
        <v>191</v>
      </c>
      <c r="C30" s="6" t="s">
        <v>135</v>
      </c>
      <c r="D30" s="127"/>
      <c r="E30" s="53">
        <v>1</v>
      </c>
      <c r="F30" s="8">
        <v>872.79</v>
      </c>
      <c r="G30" s="9">
        <f t="shared" si="1"/>
        <v>601.91999999999996</v>
      </c>
      <c r="H30" s="10">
        <f t="shared" si="2"/>
        <v>872.79</v>
      </c>
      <c r="I30" s="42"/>
      <c r="J30" s="89">
        <f t="shared" si="0"/>
        <v>1</v>
      </c>
      <c r="K30" s="9">
        <f t="shared" si="3"/>
        <v>436.4</v>
      </c>
      <c r="L30" s="9">
        <f t="shared" si="4"/>
        <v>436.4</v>
      </c>
      <c r="M30" s="8" t="s">
        <v>84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436.4</v>
      </c>
      <c r="T30" s="14">
        <f t="shared" si="6"/>
        <v>436.4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192</v>
      </c>
      <c r="C31" s="4" t="s">
        <v>136</v>
      </c>
      <c r="D31" s="126"/>
      <c r="E31" s="54">
        <v>1</v>
      </c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1</v>
      </c>
      <c r="K31" s="38">
        <f t="shared" si="3"/>
        <v>0</v>
      </c>
      <c r="L31" s="38">
        <f t="shared" si="4"/>
        <v>0</v>
      </c>
      <c r="M31" s="129" t="s">
        <v>84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 t="s">
        <v>193</v>
      </c>
      <c r="C32" s="6" t="s">
        <v>137</v>
      </c>
      <c r="D32" s="127"/>
      <c r="E32" s="53">
        <v>1</v>
      </c>
      <c r="F32" s="8">
        <v>6117.58</v>
      </c>
      <c r="G32" s="9">
        <f t="shared" si="1"/>
        <v>4219.0200000000004</v>
      </c>
      <c r="H32" s="10">
        <f t="shared" si="2"/>
        <v>6117.58</v>
      </c>
      <c r="I32" s="42"/>
      <c r="J32" s="89">
        <f t="shared" si="0"/>
        <v>1</v>
      </c>
      <c r="K32" s="9">
        <f t="shared" si="3"/>
        <v>3058.79</v>
      </c>
      <c r="L32" s="9">
        <f t="shared" si="4"/>
        <v>3058.79</v>
      </c>
      <c r="M32" s="8" t="s">
        <v>84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3058.79</v>
      </c>
      <c r="T32" s="14">
        <f t="shared" si="6"/>
        <v>3058.79</v>
      </c>
      <c r="U32" s="29">
        <f t="shared" si="7"/>
        <v>0</v>
      </c>
      <c r="V32" s="29">
        <f t="shared" si="8"/>
        <v>1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 t="s">
        <v>194</v>
      </c>
      <c r="C33" s="4" t="s">
        <v>112</v>
      </c>
      <c r="D33" s="126"/>
      <c r="E33" s="54">
        <v>1</v>
      </c>
      <c r="F33" s="15">
        <v>2307.41</v>
      </c>
      <c r="G33" s="38">
        <f t="shared" si="1"/>
        <v>1591.32</v>
      </c>
      <c r="H33" s="39">
        <f t="shared" si="2"/>
        <v>2307.41</v>
      </c>
      <c r="I33" s="42"/>
      <c r="J33" s="88">
        <f t="shared" si="0"/>
        <v>1</v>
      </c>
      <c r="K33" s="38">
        <f t="shared" si="3"/>
        <v>1153.71</v>
      </c>
      <c r="L33" s="38">
        <f t="shared" si="4"/>
        <v>1153.71</v>
      </c>
      <c r="M33" s="129" t="s">
        <v>84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1153.71</v>
      </c>
      <c r="T33" s="52">
        <f t="shared" si="6"/>
        <v>1153.71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 t="s">
        <v>138</v>
      </c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84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195</v>
      </c>
      <c r="C35" s="4" t="s">
        <v>139</v>
      </c>
      <c r="D35" s="126"/>
      <c r="E35" s="54">
        <v>4</v>
      </c>
      <c r="F35" s="15">
        <v>1141.49</v>
      </c>
      <c r="G35" s="38">
        <f t="shared" si="1"/>
        <v>787.23</v>
      </c>
      <c r="H35" s="39">
        <f t="shared" si="2"/>
        <v>4565.96</v>
      </c>
      <c r="I35" s="42"/>
      <c r="J35" s="88">
        <f t="shared" si="0"/>
        <v>4</v>
      </c>
      <c r="K35" s="38">
        <f t="shared" si="3"/>
        <v>799.04</v>
      </c>
      <c r="L35" s="38">
        <f t="shared" si="4"/>
        <v>3196.16</v>
      </c>
      <c r="M35" s="129" t="s">
        <v>84</v>
      </c>
      <c r="N35" s="16">
        <v>0.3</v>
      </c>
      <c r="O35" s="51"/>
      <c r="P35" s="1"/>
      <c r="Q35" s="15"/>
      <c r="R35" s="40">
        <f t="shared" si="9"/>
        <v>0</v>
      </c>
      <c r="S35" s="52">
        <f t="shared" si="5"/>
        <v>799.04</v>
      </c>
      <c r="T35" s="52">
        <f t="shared" si="6"/>
        <v>3196.16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84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 t="s">
        <v>140</v>
      </c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84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196</v>
      </c>
      <c r="C38" s="6" t="s">
        <v>197</v>
      </c>
      <c r="D38" s="127"/>
      <c r="E38" s="53">
        <v>1</v>
      </c>
      <c r="F38" s="8">
        <v>179.57</v>
      </c>
      <c r="G38" s="9">
        <f t="shared" si="1"/>
        <v>123.84</v>
      </c>
      <c r="H38" s="10">
        <f t="shared" si="2"/>
        <v>179.57</v>
      </c>
      <c r="I38" s="42"/>
      <c r="J38" s="89">
        <f t="shared" si="0"/>
        <v>1</v>
      </c>
      <c r="K38" s="9">
        <f t="shared" si="3"/>
        <v>98.76</v>
      </c>
      <c r="L38" s="9">
        <f t="shared" si="4"/>
        <v>98.76</v>
      </c>
      <c r="M38" s="8" t="s">
        <v>84</v>
      </c>
      <c r="N38" s="12">
        <v>0.45</v>
      </c>
      <c r="O38" s="51"/>
      <c r="P38" s="3"/>
      <c r="Q38" s="13"/>
      <c r="R38" s="14">
        <f t="shared" si="9"/>
        <v>0</v>
      </c>
      <c r="S38" s="14">
        <f t="shared" si="5"/>
        <v>98.76</v>
      </c>
      <c r="T38" s="14">
        <f t="shared" si="6"/>
        <v>98.76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198</v>
      </c>
      <c r="C39" s="4" t="s">
        <v>199</v>
      </c>
      <c r="D39" s="126"/>
      <c r="E39" s="54">
        <v>1</v>
      </c>
      <c r="F39" s="15">
        <v>4224.7</v>
      </c>
      <c r="G39" s="38">
        <f t="shared" si="1"/>
        <v>2913.59</v>
      </c>
      <c r="H39" s="39">
        <f t="shared" si="2"/>
        <v>4224.7</v>
      </c>
      <c r="I39" s="42"/>
      <c r="J39" s="88">
        <f t="shared" si="0"/>
        <v>1</v>
      </c>
      <c r="K39" s="38">
        <f t="shared" si="3"/>
        <v>2323.59</v>
      </c>
      <c r="L39" s="38">
        <f t="shared" si="4"/>
        <v>2323.59</v>
      </c>
      <c r="M39" s="129" t="s">
        <v>84</v>
      </c>
      <c r="N39" s="16">
        <v>0.45</v>
      </c>
      <c r="O39" s="51"/>
      <c r="P39" s="1"/>
      <c r="Q39" s="15"/>
      <c r="R39" s="40">
        <f t="shared" si="9"/>
        <v>0</v>
      </c>
      <c r="S39" s="52">
        <f t="shared" si="5"/>
        <v>2323.59</v>
      </c>
      <c r="T39" s="52">
        <f t="shared" si="6"/>
        <v>2323.59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200</v>
      </c>
      <c r="C40" s="6" t="s">
        <v>201</v>
      </c>
      <c r="D40" s="127"/>
      <c r="E40" s="53">
        <v>1</v>
      </c>
      <c r="F40" s="8">
        <v>7845.87</v>
      </c>
      <c r="G40" s="9">
        <f t="shared" si="1"/>
        <v>5410.94</v>
      </c>
      <c r="H40" s="10">
        <f t="shared" si="2"/>
        <v>7845.87</v>
      </c>
      <c r="I40" s="42"/>
      <c r="J40" s="89">
        <f t="shared" si="0"/>
        <v>1</v>
      </c>
      <c r="K40" s="9">
        <f t="shared" si="3"/>
        <v>4315.2299999999996</v>
      </c>
      <c r="L40" s="9">
        <f t="shared" si="4"/>
        <v>4315.2299999999996</v>
      </c>
      <c r="M40" s="8" t="s">
        <v>84</v>
      </c>
      <c r="N40" s="12">
        <v>0.45</v>
      </c>
      <c r="O40" s="51"/>
      <c r="P40" s="3"/>
      <c r="Q40" s="13"/>
      <c r="R40" s="14">
        <f t="shared" si="9"/>
        <v>0</v>
      </c>
      <c r="S40" s="14">
        <f t="shared" si="5"/>
        <v>4315.2299999999996</v>
      </c>
      <c r="T40" s="14">
        <f t="shared" si="6"/>
        <v>4315.2299999999996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84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202</v>
      </c>
      <c r="C42" s="6" t="s">
        <v>203</v>
      </c>
      <c r="D42" s="127"/>
      <c r="E42" s="53">
        <v>2</v>
      </c>
      <c r="F42" s="8">
        <v>4950.6099999999997</v>
      </c>
      <c r="G42" s="9">
        <f t="shared" si="1"/>
        <v>3414.21</v>
      </c>
      <c r="H42" s="10">
        <f t="shared" si="2"/>
        <v>9901.2199999999993</v>
      </c>
      <c r="I42" s="42"/>
      <c r="J42" s="89">
        <f t="shared" si="0"/>
        <v>2</v>
      </c>
      <c r="K42" s="9">
        <f t="shared" si="3"/>
        <v>2475.31</v>
      </c>
      <c r="L42" s="9">
        <f t="shared" si="4"/>
        <v>4950.62</v>
      </c>
      <c r="M42" s="8" t="s">
        <v>84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2475.31</v>
      </c>
      <c r="T42" s="14">
        <f t="shared" si="6"/>
        <v>4950.62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84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84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84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20</v>
      </c>
      <c r="F49" s="78">
        <f>SUM(F18:F48)</f>
        <v>29554.989999999998</v>
      </c>
      <c r="G49" s="79">
        <f>SUM(G18:G48)</f>
        <v>20382.739999999998</v>
      </c>
      <c r="H49" s="80">
        <f>SUM(H18:H48)</f>
        <v>37930.07</v>
      </c>
      <c r="I49" s="81"/>
      <c r="J49" s="82">
        <f>SUM(J18:J48)</f>
        <v>20</v>
      </c>
      <c r="K49" s="79">
        <f>SUM(K18:K48)</f>
        <v>15618.33</v>
      </c>
      <c r="L49" s="80">
        <f>SUM(L18:L48)</f>
        <v>20490.760000000002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15618.33</v>
      </c>
      <c r="T49" s="80">
        <f>SUM(T18:T48)</f>
        <v>20490.760000000002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1U2qVF0ubaR6AUpRMyr4I8qRNVPmuYqCYcIzxiaH3095OLwd8MDg4RK1XsTDw2DnJEqSxH/W9ZqR/IkGvynUJw==" saltValue="Mzxjh/J/dQcLw07ihiq7r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M18:M48" xr:uid="{70DDB4CF-4E24-4C63-9F79-41338F4E4C3B}">
      <formula1>$Y$31:$Y$32</formula1>
    </dataValidation>
    <dataValidation type="list" showInputMessage="1" showErrorMessage="1" sqref="D18:D48" xr:uid="{3DDA4FD4-F300-41A3-BBB0-FFE7C38FF3A2}">
      <formula1>$Z$18:$Z$29</formula1>
    </dataValidation>
    <dataValidation type="list" allowBlank="1" showInputMessage="1" showErrorMessage="1" sqref="I13" xr:uid="{D5D9F54B-3DC5-4606-A6C9-3AA473D35B9F}">
      <formula1>$K$9:$K$9</formula1>
    </dataValidation>
    <dataValidation type="list" allowBlank="1" showInputMessage="1" showErrorMessage="1" sqref="H13" xr:uid="{9B06AA5C-8304-42A3-BCDC-1A3D7C3DB50A}">
      <formula1>$Y$13:$Y$14</formula1>
    </dataValidation>
    <dataValidation type="list" allowBlank="1" showInputMessage="1" showErrorMessage="1" sqref="F17 K17 Q17 Q14" xr:uid="{62036A66-E0EA-45B8-92F8-25E204700A2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1725-4C10-4FCF-BAA8-405E9F046F72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37" t="s">
        <v>0</v>
      </c>
      <c r="C1" s="134"/>
      <c r="D1" s="138" t="s">
        <v>1</v>
      </c>
      <c r="E1" s="135"/>
      <c r="F1" s="135"/>
      <c r="G1" s="136"/>
      <c r="H1" s="134" t="s">
        <v>2</v>
      </c>
      <c r="I1" s="135"/>
      <c r="J1" s="135"/>
      <c r="K1" s="136"/>
      <c r="L1" s="139" t="s">
        <v>3</v>
      </c>
      <c r="M1" s="140"/>
      <c r="N1" s="140"/>
      <c r="O1" s="140"/>
      <c r="P1" s="135" t="str">
        <f>K17</f>
        <v>CAD $</v>
      </c>
      <c r="Q1" s="135"/>
      <c r="R1" s="136"/>
      <c r="S1" s="134" t="s">
        <v>4</v>
      </c>
      <c r="T1" s="135"/>
      <c r="U1" s="135"/>
      <c r="V1" s="135"/>
      <c r="W1" s="136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5</v>
      </c>
      <c r="C2" s="33"/>
      <c r="D2" s="157" t="s">
        <v>6</v>
      </c>
      <c r="E2" s="158"/>
      <c r="F2" s="159" t="s">
        <v>204</v>
      </c>
      <c r="G2" s="160"/>
      <c r="H2" s="157" t="s">
        <v>8</v>
      </c>
      <c r="I2" s="161"/>
      <c r="J2" s="158"/>
      <c r="K2" s="34"/>
      <c r="L2" s="162" t="s">
        <v>9</v>
      </c>
      <c r="M2" s="163"/>
      <c r="N2" s="164"/>
      <c r="O2" s="120"/>
      <c r="P2" s="165">
        <f>H49</f>
        <v>12464.94</v>
      </c>
      <c r="Q2" s="165"/>
      <c r="R2" s="166"/>
      <c r="S2" s="167" t="s">
        <v>10</v>
      </c>
      <c r="T2" s="168"/>
      <c r="U2" s="141"/>
      <c r="V2" s="142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143" t="s">
        <v>12</v>
      </c>
      <c r="E3" s="144"/>
      <c r="F3" s="145"/>
      <c r="G3" s="146"/>
      <c r="H3" s="143" t="s">
        <v>13</v>
      </c>
      <c r="I3" s="147"/>
      <c r="J3" s="144"/>
      <c r="K3" s="32"/>
      <c r="L3" s="148" t="s">
        <v>14</v>
      </c>
      <c r="M3" s="149"/>
      <c r="N3" s="150"/>
      <c r="O3" s="120"/>
      <c r="P3" s="151">
        <f>L49</f>
        <v>6304.5599999999995</v>
      </c>
      <c r="Q3" s="151"/>
      <c r="R3" s="152"/>
      <c r="S3" s="153" t="s">
        <v>15</v>
      </c>
      <c r="T3" s="154"/>
      <c r="U3" s="155"/>
      <c r="V3" s="156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16</v>
      </c>
      <c r="C4" s="4"/>
      <c r="D4" s="143" t="s">
        <v>17</v>
      </c>
      <c r="E4" s="144"/>
      <c r="F4" s="145" t="s">
        <v>205</v>
      </c>
      <c r="G4" s="146"/>
      <c r="H4" s="143" t="s">
        <v>19</v>
      </c>
      <c r="I4" s="147"/>
      <c r="J4" s="144"/>
      <c r="K4" s="32"/>
      <c r="L4" s="148" t="s">
        <v>20</v>
      </c>
      <c r="M4" s="149"/>
      <c r="N4" s="150"/>
      <c r="O4" s="120"/>
      <c r="P4" s="151">
        <f>P2-P3</f>
        <v>6160.380000000001</v>
      </c>
      <c r="Q4" s="151"/>
      <c r="R4" s="152"/>
      <c r="S4" s="153" t="s">
        <v>21</v>
      </c>
      <c r="T4" s="154"/>
      <c r="U4" s="155"/>
      <c r="V4" s="156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22</v>
      </c>
      <c r="C5" s="4"/>
      <c r="D5" s="143" t="s">
        <v>23</v>
      </c>
      <c r="E5" s="144"/>
      <c r="F5" s="145" t="s">
        <v>206</v>
      </c>
      <c r="G5" s="146"/>
      <c r="H5" s="143" t="s">
        <v>25</v>
      </c>
      <c r="I5" s="147"/>
      <c r="J5" s="144"/>
      <c r="K5" s="32"/>
      <c r="L5" s="169" t="s">
        <v>26</v>
      </c>
      <c r="M5" s="170"/>
      <c r="N5" s="171"/>
      <c r="O5" s="120"/>
      <c r="P5" s="172">
        <f>IFERROR((P2-P3)/P2,"")</f>
        <v>0.49421657865982516</v>
      </c>
      <c r="Q5" s="172"/>
      <c r="R5" s="173"/>
      <c r="S5" s="153" t="s">
        <v>27</v>
      </c>
      <c r="T5" s="154"/>
      <c r="U5" s="155"/>
      <c r="V5" s="156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28</v>
      </c>
      <c r="C6" s="30"/>
      <c r="D6" s="143" t="s">
        <v>29</v>
      </c>
      <c r="E6" s="144"/>
      <c r="F6" s="145">
        <v>547983</v>
      </c>
      <c r="G6" s="146"/>
      <c r="H6" s="143" t="s">
        <v>31</v>
      </c>
      <c r="I6" s="147"/>
      <c r="J6" s="144"/>
      <c r="K6" s="32"/>
      <c r="L6" s="183" t="s">
        <v>32</v>
      </c>
      <c r="M6" s="184"/>
      <c r="N6" s="185"/>
      <c r="O6" s="120"/>
      <c r="P6" s="186">
        <f>T49</f>
        <v>6304.5599999999995</v>
      </c>
      <c r="Q6" s="186"/>
      <c r="R6" s="187"/>
      <c r="S6" s="153" t="s">
        <v>33</v>
      </c>
      <c r="T6" s="154"/>
      <c r="U6" s="155"/>
      <c r="V6" s="156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34</v>
      </c>
      <c r="C7" s="31"/>
      <c r="D7" s="143" t="s">
        <v>35</v>
      </c>
      <c r="E7" s="144"/>
      <c r="F7" s="145" t="s">
        <v>207</v>
      </c>
      <c r="G7" s="146"/>
      <c r="H7" s="143" t="s">
        <v>36</v>
      </c>
      <c r="I7" s="147"/>
      <c r="J7" s="144"/>
      <c r="K7" s="32"/>
      <c r="L7" s="174" t="s">
        <v>37</v>
      </c>
      <c r="M7" s="175"/>
      <c r="N7" s="176"/>
      <c r="O7" s="120"/>
      <c r="P7" s="177">
        <f>R49</f>
        <v>0</v>
      </c>
      <c r="Q7" s="177"/>
      <c r="R7" s="178"/>
      <c r="S7" s="179" t="s">
        <v>38</v>
      </c>
      <c r="T7" s="180"/>
      <c r="U7" s="181"/>
      <c r="V7" s="182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43" t="s">
        <v>39</v>
      </c>
      <c r="E8" s="144"/>
      <c r="F8" s="145"/>
      <c r="G8" s="146"/>
      <c r="H8" s="143" t="s">
        <v>40</v>
      </c>
      <c r="I8" s="147"/>
      <c r="J8" s="144"/>
      <c r="K8" s="32"/>
      <c r="L8" s="174" t="s">
        <v>41</v>
      </c>
      <c r="M8" s="175"/>
      <c r="N8" s="176"/>
      <c r="O8" s="120"/>
      <c r="P8" s="177">
        <f>IF(P1=Q14,R14,IF(Q14="CAD $",R14*D15,IF(Q14="USD $",R14*E15,0)))</f>
        <v>0</v>
      </c>
      <c r="Q8" s="177"/>
      <c r="R8" s="178"/>
      <c r="S8" s="108" t="s">
        <v>42</v>
      </c>
      <c r="T8" s="109" t="s">
        <v>43</v>
      </c>
      <c r="U8" s="109" t="s">
        <v>44</v>
      </c>
      <c r="V8" s="110" t="s">
        <v>45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43" t="s">
        <v>46</v>
      </c>
      <c r="E9" s="144"/>
      <c r="F9" s="145" t="s">
        <v>215</v>
      </c>
      <c r="G9" s="146"/>
      <c r="H9" s="111"/>
      <c r="I9" s="112"/>
      <c r="J9" s="112"/>
      <c r="K9" s="43"/>
      <c r="L9" s="174" t="s">
        <v>47</v>
      </c>
      <c r="M9" s="175"/>
      <c r="N9" s="176"/>
      <c r="O9" s="120"/>
      <c r="P9" s="191">
        <f>V14</f>
        <v>0</v>
      </c>
      <c r="Q9" s="191"/>
      <c r="R9" s="192"/>
      <c r="S9" s="193">
        <f>P7+P8+P9</f>
        <v>0</v>
      </c>
      <c r="T9" s="193">
        <f>P3-S9</f>
        <v>6304.5599999999995</v>
      </c>
      <c r="U9" s="195">
        <f>IFERROR(((P3-S9)/S9),0)</f>
        <v>0</v>
      </c>
      <c r="V9" s="195">
        <f>IFERROR(T9/P3,0)</f>
        <v>1</v>
      </c>
      <c r="W9" s="19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3" t="s">
        <v>48</v>
      </c>
      <c r="M10" s="188"/>
      <c r="N10" s="154"/>
      <c r="O10" s="120"/>
      <c r="P10" s="189">
        <f>E49</f>
        <v>16</v>
      </c>
      <c r="Q10" s="189"/>
      <c r="R10" s="190"/>
      <c r="S10" s="194"/>
      <c r="T10" s="194"/>
      <c r="U10" s="196"/>
      <c r="V10" s="196"/>
      <c r="W10" s="198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49</v>
      </c>
      <c r="E11" s="251"/>
      <c r="F11" s="254" t="s">
        <v>9</v>
      </c>
      <c r="G11" s="200"/>
      <c r="H11" s="255"/>
      <c r="I11" s="90"/>
      <c r="J11" s="259" t="s">
        <v>50</v>
      </c>
      <c r="K11" s="260"/>
      <c r="L11" s="260"/>
      <c r="M11" s="260"/>
      <c r="N11" s="261"/>
      <c r="O11" s="120"/>
      <c r="P11" s="199" t="s">
        <v>51</v>
      </c>
      <c r="Q11" s="200"/>
      <c r="R11" s="200"/>
      <c r="S11" s="200"/>
      <c r="T11" s="200"/>
      <c r="U11" s="200"/>
      <c r="V11" s="201"/>
      <c r="W11" s="22"/>
      <c r="X11" s="65"/>
      <c r="Y11" s="61" t="s">
        <v>52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262"/>
      <c r="K12" s="263"/>
      <c r="L12" s="263"/>
      <c r="M12" s="263"/>
      <c r="N12" s="264"/>
      <c r="O12" s="121"/>
      <c r="P12" s="202"/>
      <c r="Q12" s="203"/>
      <c r="R12" s="203"/>
      <c r="S12" s="203"/>
      <c r="T12" s="203"/>
      <c r="U12" s="203"/>
      <c r="V12" s="204"/>
      <c r="W12" s="23"/>
      <c r="X12" s="65"/>
      <c r="Y12" s="61" t="s">
        <v>53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212"/>
      <c r="E13" s="213"/>
      <c r="F13" s="205" t="s">
        <v>54</v>
      </c>
      <c r="G13" s="206"/>
      <c r="H13" s="44" t="s">
        <v>55</v>
      </c>
      <c r="I13" s="92"/>
      <c r="J13" s="265"/>
      <c r="K13" s="266"/>
      <c r="L13" s="266"/>
      <c r="M13" s="266"/>
      <c r="N13" s="267"/>
      <c r="O13" s="121"/>
      <c r="P13" s="202"/>
      <c r="Q13" s="203"/>
      <c r="R13" s="203"/>
      <c r="S13" s="203"/>
      <c r="T13" s="203"/>
      <c r="U13" s="203"/>
      <c r="V13" s="204"/>
      <c r="W13" s="24"/>
      <c r="X13" s="65"/>
      <c r="Y13" s="61" t="s">
        <v>55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56</v>
      </c>
      <c r="E14" s="107" t="s">
        <v>57</v>
      </c>
      <c r="F14" s="207" t="s">
        <v>58</v>
      </c>
      <c r="G14" s="208"/>
      <c r="H14" s="209"/>
      <c r="I14" s="93"/>
      <c r="J14" s="210" t="s">
        <v>59</v>
      </c>
      <c r="K14" s="211"/>
      <c r="L14" s="214" t="s">
        <v>60</v>
      </c>
      <c r="M14" s="215"/>
      <c r="N14" s="216"/>
      <c r="O14" s="122"/>
      <c r="P14" s="101" t="s">
        <v>61</v>
      </c>
      <c r="Q14" s="37" t="s">
        <v>53</v>
      </c>
      <c r="R14" s="45"/>
      <c r="S14" s="101" t="s">
        <v>62</v>
      </c>
      <c r="T14" s="46">
        <v>2.5000000000000001E-2</v>
      </c>
      <c r="U14" s="101" t="s">
        <v>63</v>
      </c>
      <c r="V14" s="100">
        <f>ROUND(R49*T14,2)</f>
        <v>0</v>
      </c>
      <c r="W14" s="25"/>
      <c r="X14" s="65"/>
      <c r="Y14" s="61" t="s">
        <v>64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220"/>
      <c r="G15" s="221"/>
      <c r="H15" s="222"/>
      <c r="I15" s="94"/>
      <c r="J15" s="212"/>
      <c r="K15" s="213"/>
      <c r="L15" s="217"/>
      <c r="M15" s="218"/>
      <c r="N15" s="219"/>
      <c r="O15" s="122"/>
      <c r="P15" s="228" t="s">
        <v>65</v>
      </c>
      <c r="Q15" s="229"/>
      <c r="R15" s="229"/>
      <c r="S15" s="229"/>
      <c r="T15" s="229"/>
      <c r="U15" s="229"/>
      <c r="V15" s="230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31" t="s">
        <v>66</v>
      </c>
      <c r="C16" s="233" t="s">
        <v>67</v>
      </c>
      <c r="D16" s="235" t="s">
        <v>68</v>
      </c>
      <c r="E16" s="237" t="s">
        <v>69</v>
      </c>
      <c r="F16" s="234" t="s">
        <v>70</v>
      </c>
      <c r="G16" s="239"/>
      <c r="H16" s="104" t="s">
        <v>71</v>
      </c>
      <c r="I16" s="95"/>
      <c r="J16" s="240" t="s">
        <v>69</v>
      </c>
      <c r="K16" s="102" t="s">
        <v>72</v>
      </c>
      <c r="L16" s="99" t="s">
        <v>73</v>
      </c>
      <c r="M16" s="242" t="s">
        <v>74</v>
      </c>
      <c r="N16" s="242" t="s">
        <v>75</v>
      </c>
      <c r="O16" s="123"/>
      <c r="P16" s="244" t="s">
        <v>76</v>
      </c>
      <c r="Q16" s="97" t="s">
        <v>77</v>
      </c>
      <c r="R16" s="97" t="s">
        <v>78</v>
      </c>
      <c r="S16" s="98" t="s">
        <v>79</v>
      </c>
      <c r="T16" s="98" t="s">
        <v>80</v>
      </c>
      <c r="U16" s="99" t="s">
        <v>81</v>
      </c>
      <c r="V16" s="99" t="s">
        <v>82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32"/>
      <c r="C17" s="234"/>
      <c r="D17" s="236"/>
      <c r="E17" s="238"/>
      <c r="F17" s="37" t="s">
        <v>52</v>
      </c>
      <c r="G17" s="105" t="str">
        <f>IF(F17="USD $", "CAD $", "USD $")</f>
        <v>USD $</v>
      </c>
      <c r="H17" s="103" t="str">
        <f>K17</f>
        <v>CAD $</v>
      </c>
      <c r="I17" s="96"/>
      <c r="J17" s="241"/>
      <c r="K17" s="223" t="s">
        <v>52</v>
      </c>
      <c r="L17" s="224"/>
      <c r="M17" s="243"/>
      <c r="N17" s="243"/>
      <c r="O17" s="124"/>
      <c r="P17" s="245"/>
      <c r="Q17" s="37" t="s">
        <v>53</v>
      </c>
      <c r="R17" s="225" t="str">
        <f>K17</f>
        <v>CAD $</v>
      </c>
      <c r="S17" s="226"/>
      <c r="T17" s="226"/>
      <c r="U17" s="226"/>
      <c r="V17" s="227"/>
      <c r="W17" s="20"/>
      <c r="X17" s="68"/>
      <c r="Y17" s="69"/>
      <c r="Z17" s="69"/>
      <c r="AA17" s="69"/>
      <c r="AB17" s="69"/>
    </row>
    <row r="18" spans="1:28" x14ac:dyDescent="0.25">
      <c r="A18" s="55"/>
      <c r="B18" s="2"/>
      <c r="C18" s="5" t="s">
        <v>120</v>
      </c>
      <c r="D18" s="125"/>
      <c r="E18" s="53"/>
      <c r="F18" s="8"/>
      <c r="G18" s="9">
        <f>ROUND(IF($F$17="USD $", F18*$E$15,F18*$D$15),2)</f>
        <v>0</v>
      </c>
      <c r="H18" s="10">
        <f>ROUND(IF($H$17=$G$17,E18*G18,E18*F18),2)</f>
        <v>0</v>
      </c>
      <c r="I18" s="11"/>
      <c r="J18" s="89">
        <f t="shared" ref="J18:J48" si="0">E18</f>
        <v>0</v>
      </c>
      <c r="K18" s="9">
        <f>IFERROR(IF(M18="OEM DISC %",ROUND(IF($K$17=$F$17,F18*(1-N18),G18*(1-N18)),2),IF(M18="MARKUP %",ROUND(R18/J18*(1+N18),2))),0)</f>
        <v>0</v>
      </c>
      <c r="L18" s="9">
        <f>ROUND((J18*K18),2)</f>
        <v>0</v>
      </c>
      <c r="M18" s="8" t="s">
        <v>84</v>
      </c>
      <c r="N18" s="36"/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0</v>
      </c>
      <c r="T18" s="14">
        <f>ROUND(L18-R18,2)</f>
        <v>0</v>
      </c>
      <c r="U18" s="29">
        <f>IFERROR(((K18-(R18/J18))/(R18/J18)),0)</f>
        <v>0</v>
      </c>
      <c r="V18" s="29">
        <f>IFERROR(((K18-(R18/J18))/K18),0)</f>
        <v>0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208</v>
      </c>
      <c r="C19" s="4" t="s">
        <v>83</v>
      </c>
      <c r="D19" s="126"/>
      <c r="E19" s="54">
        <v>1</v>
      </c>
      <c r="F19" s="15">
        <v>28.33</v>
      </c>
      <c r="G19" s="38">
        <f t="shared" ref="G19:G48" si="1">ROUND(IF($F$17="USD $", F19*$E$15,F19*$D$15),2)</f>
        <v>19.54</v>
      </c>
      <c r="H19" s="39">
        <f t="shared" ref="H19:H48" si="2">ROUND(IF($H$17=$G$17,E19*G19,E19*F19),2)</f>
        <v>28.33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14.17</v>
      </c>
      <c r="L19" s="38">
        <f t="shared" ref="L19:L48" si="4">ROUND((J19*K19),2)</f>
        <v>14.17</v>
      </c>
      <c r="M19" s="129" t="s">
        <v>84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14.17</v>
      </c>
      <c r="T19" s="52">
        <f t="shared" ref="T19:T48" si="6">ROUND(L19-R19,2)</f>
        <v>14.17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86</v>
      </c>
      <c r="Z19" s="61">
        <v>500</v>
      </c>
      <c r="AA19" s="61"/>
      <c r="AB19" s="61"/>
    </row>
    <row r="20" spans="1:28" x14ac:dyDescent="0.25">
      <c r="A20" s="55"/>
      <c r="B20" s="2"/>
      <c r="C20" s="6" t="s">
        <v>150</v>
      </c>
      <c r="D20" s="127"/>
      <c r="E20" s="53"/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0</v>
      </c>
      <c r="K20" s="9">
        <f t="shared" si="3"/>
        <v>0</v>
      </c>
      <c r="L20" s="9">
        <f t="shared" si="4"/>
        <v>0</v>
      </c>
      <c r="M20" s="8" t="s">
        <v>84</v>
      </c>
      <c r="N20" s="12"/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87</v>
      </c>
      <c r="Z20" s="61">
        <v>750</v>
      </c>
      <c r="AA20" s="61"/>
      <c r="AB20" s="61"/>
    </row>
    <row r="21" spans="1:28" x14ac:dyDescent="0.25">
      <c r="A21" s="55"/>
      <c r="B21" s="1" t="s">
        <v>209</v>
      </c>
      <c r="C21" s="4" t="s">
        <v>186</v>
      </c>
      <c r="D21" s="126"/>
      <c r="E21" s="54">
        <v>1</v>
      </c>
      <c r="F21" s="15">
        <v>147.30000000000001</v>
      </c>
      <c r="G21" s="38">
        <f t="shared" si="1"/>
        <v>101.59</v>
      </c>
      <c r="H21" s="39">
        <f t="shared" si="2"/>
        <v>147.30000000000001</v>
      </c>
      <c r="I21" s="42"/>
      <c r="J21" s="88">
        <f t="shared" si="0"/>
        <v>1</v>
      </c>
      <c r="K21" s="38">
        <f t="shared" si="3"/>
        <v>73.650000000000006</v>
      </c>
      <c r="L21" s="38">
        <f t="shared" si="4"/>
        <v>73.650000000000006</v>
      </c>
      <c r="M21" s="129" t="s">
        <v>84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73.650000000000006</v>
      </c>
      <c r="T21" s="52">
        <f t="shared" si="6"/>
        <v>73.650000000000006</v>
      </c>
      <c r="U21" s="41">
        <f t="shared" si="7"/>
        <v>0</v>
      </c>
      <c r="V21" s="41">
        <f t="shared" si="8"/>
        <v>1</v>
      </c>
      <c r="W21" s="28"/>
      <c r="X21" s="50"/>
      <c r="Y21" s="61" t="s">
        <v>89</v>
      </c>
      <c r="Z21" s="61">
        <v>1000</v>
      </c>
      <c r="AA21" s="61"/>
      <c r="AB21" s="61"/>
    </row>
    <row r="22" spans="1:28" x14ac:dyDescent="0.25">
      <c r="A22" s="55"/>
      <c r="B22" s="2"/>
      <c r="C22" s="6" t="s">
        <v>122</v>
      </c>
      <c r="D22" s="127"/>
      <c r="E22" s="53"/>
      <c r="F22" s="8"/>
      <c r="G22" s="9">
        <f t="shared" si="1"/>
        <v>0</v>
      </c>
      <c r="H22" s="10">
        <f t="shared" si="2"/>
        <v>0</v>
      </c>
      <c r="I22" s="42"/>
      <c r="J22" s="89">
        <f t="shared" si="0"/>
        <v>0</v>
      </c>
      <c r="K22" s="9">
        <f t="shared" si="3"/>
        <v>0</v>
      </c>
      <c r="L22" s="9">
        <f t="shared" si="4"/>
        <v>0</v>
      </c>
      <c r="M22" s="8" t="s">
        <v>84</v>
      </c>
      <c r="N22" s="12"/>
      <c r="O22" s="51"/>
      <c r="P22" s="3"/>
      <c r="Q22" s="13"/>
      <c r="R22" s="14">
        <f t="shared" si="9"/>
        <v>0</v>
      </c>
      <c r="S22" s="14">
        <f t="shared" si="5"/>
        <v>0</v>
      </c>
      <c r="T22" s="14">
        <f t="shared" si="6"/>
        <v>0</v>
      </c>
      <c r="U22" s="29">
        <f t="shared" si="7"/>
        <v>0</v>
      </c>
      <c r="V22" s="29">
        <f t="shared" si="8"/>
        <v>0</v>
      </c>
      <c r="W22" s="27"/>
      <c r="X22" s="50"/>
      <c r="Y22" s="61" t="s">
        <v>91</v>
      </c>
      <c r="Z22" s="61">
        <v>1200</v>
      </c>
      <c r="AA22" s="61"/>
      <c r="AB22" s="61"/>
    </row>
    <row r="23" spans="1:28" x14ac:dyDescent="0.25">
      <c r="A23" s="55"/>
      <c r="B23" s="1"/>
      <c r="C23" s="4" t="s">
        <v>123</v>
      </c>
      <c r="D23" s="126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29" t="s">
        <v>84</v>
      </c>
      <c r="N23" s="16"/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93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123</v>
      </c>
      <c r="D24" s="127"/>
      <c r="E24" s="53"/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0</v>
      </c>
      <c r="K24" s="9">
        <f t="shared" si="3"/>
        <v>0</v>
      </c>
      <c r="L24" s="9">
        <f t="shared" si="4"/>
        <v>0</v>
      </c>
      <c r="M24" s="8" t="s">
        <v>84</v>
      </c>
      <c r="N24" s="12"/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95</v>
      </c>
      <c r="Z24" s="61">
        <v>4000</v>
      </c>
      <c r="AA24" s="61"/>
      <c r="AB24" s="61"/>
    </row>
    <row r="25" spans="1:28" x14ac:dyDescent="0.25">
      <c r="A25" s="55"/>
      <c r="B25" s="1"/>
      <c r="C25" s="4" t="s">
        <v>124</v>
      </c>
      <c r="D25" s="126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29" t="s">
        <v>84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96</v>
      </c>
      <c r="Z25" s="61">
        <v>6000</v>
      </c>
      <c r="AA25" s="61"/>
      <c r="AB25" s="61"/>
    </row>
    <row r="26" spans="1:28" x14ac:dyDescent="0.25">
      <c r="A26" s="55"/>
      <c r="B26" s="2"/>
      <c r="C26" s="6" t="s">
        <v>124</v>
      </c>
      <c r="D26" s="127"/>
      <c r="E26" s="53"/>
      <c r="F26" s="8"/>
      <c r="G26" s="9">
        <f t="shared" si="1"/>
        <v>0</v>
      </c>
      <c r="H26" s="10">
        <f t="shared" si="2"/>
        <v>0</v>
      </c>
      <c r="I26" s="42"/>
      <c r="J26" s="89">
        <f t="shared" si="0"/>
        <v>0</v>
      </c>
      <c r="K26" s="9">
        <f t="shared" si="3"/>
        <v>0</v>
      </c>
      <c r="L26" s="9">
        <f t="shared" si="4"/>
        <v>0</v>
      </c>
      <c r="M26" s="8" t="s">
        <v>84</v>
      </c>
      <c r="N26" s="12"/>
      <c r="O26" s="51"/>
      <c r="P26" s="3"/>
      <c r="Q26" s="13"/>
      <c r="R26" s="14">
        <f t="shared" si="9"/>
        <v>0</v>
      </c>
      <c r="S26" s="14">
        <f t="shared" si="5"/>
        <v>0</v>
      </c>
      <c r="T26" s="14">
        <f t="shared" si="6"/>
        <v>0</v>
      </c>
      <c r="U26" s="29">
        <f t="shared" si="7"/>
        <v>0</v>
      </c>
      <c r="V26" s="29">
        <f t="shared" si="8"/>
        <v>0</v>
      </c>
      <c r="W26" s="27"/>
      <c r="X26" s="50"/>
      <c r="Y26" s="61" t="s">
        <v>98</v>
      </c>
      <c r="Z26" s="61">
        <v>8000</v>
      </c>
      <c r="AA26" s="61"/>
      <c r="AB26" s="61"/>
    </row>
    <row r="27" spans="1:28" x14ac:dyDescent="0.25">
      <c r="A27" s="55"/>
      <c r="B27" s="1" t="s">
        <v>210</v>
      </c>
      <c r="C27" s="4" t="s">
        <v>125</v>
      </c>
      <c r="D27" s="126"/>
      <c r="E27" s="54">
        <v>1</v>
      </c>
      <c r="F27" s="15">
        <v>379.24</v>
      </c>
      <c r="G27" s="38">
        <f t="shared" si="1"/>
        <v>261.54000000000002</v>
      </c>
      <c r="H27" s="39">
        <f t="shared" si="2"/>
        <v>379.24</v>
      </c>
      <c r="I27" s="42"/>
      <c r="J27" s="88">
        <f t="shared" si="0"/>
        <v>1</v>
      </c>
      <c r="K27" s="38">
        <f t="shared" si="3"/>
        <v>246.51</v>
      </c>
      <c r="L27" s="38">
        <f t="shared" si="4"/>
        <v>246.51</v>
      </c>
      <c r="M27" s="129" t="s">
        <v>84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246.51</v>
      </c>
      <c r="T27" s="52">
        <f t="shared" si="6"/>
        <v>246.51</v>
      </c>
      <c r="U27" s="41">
        <f t="shared" si="7"/>
        <v>0</v>
      </c>
      <c r="V27" s="41">
        <f t="shared" si="8"/>
        <v>1</v>
      </c>
      <c r="W27" s="28"/>
      <c r="X27" s="50"/>
      <c r="Y27" s="61" t="s">
        <v>99</v>
      </c>
      <c r="Z27" s="73">
        <v>10000</v>
      </c>
      <c r="AA27" s="61"/>
      <c r="AB27" s="61"/>
    </row>
    <row r="28" spans="1:28" x14ac:dyDescent="0.25">
      <c r="A28" s="55"/>
      <c r="B28" s="2" t="s">
        <v>211</v>
      </c>
      <c r="C28" s="6" t="s">
        <v>126</v>
      </c>
      <c r="D28" s="127"/>
      <c r="E28" s="53">
        <v>1</v>
      </c>
      <c r="F28" s="8">
        <v>101.23</v>
      </c>
      <c r="G28" s="9">
        <f t="shared" si="1"/>
        <v>69.81</v>
      </c>
      <c r="H28" s="10">
        <f t="shared" si="2"/>
        <v>101.23</v>
      </c>
      <c r="I28" s="42"/>
      <c r="J28" s="89">
        <f t="shared" si="0"/>
        <v>1</v>
      </c>
      <c r="K28" s="9">
        <f t="shared" si="3"/>
        <v>65.8</v>
      </c>
      <c r="L28" s="9">
        <f t="shared" si="4"/>
        <v>65.8</v>
      </c>
      <c r="M28" s="8" t="s">
        <v>84</v>
      </c>
      <c r="N28" s="12">
        <v>0.35</v>
      </c>
      <c r="O28" s="51"/>
      <c r="P28" s="3"/>
      <c r="Q28" s="13"/>
      <c r="R28" s="14">
        <f t="shared" si="9"/>
        <v>0</v>
      </c>
      <c r="S28" s="14">
        <f t="shared" si="5"/>
        <v>65.8</v>
      </c>
      <c r="T28" s="14">
        <f t="shared" si="6"/>
        <v>65.8</v>
      </c>
      <c r="U28" s="29">
        <f t="shared" si="7"/>
        <v>0</v>
      </c>
      <c r="V28" s="29">
        <f t="shared" si="8"/>
        <v>1</v>
      </c>
      <c r="W28" s="27"/>
      <c r="X28" s="50"/>
      <c r="Y28" s="61" t="s">
        <v>101</v>
      </c>
      <c r="Z28" s="61" t="s">
        <v>102</v>
      </c>
      <c r="AA28" s="61"/>
      <c r="AB28" s="61"/>
    </row>
    <row r="29" spans="1:28" x14ac:dyDescent="0.25">
      <c r="A29" s="55"/>
      <c r="B29" s="1"/>
      <c r="C29" s="4" t="s">
        <v>127</v>
      </c>
      <c r="D29" s="126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84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103</v>
      </c>
      <c r="Z29" s="61"/>
      <c r="AA29" s="61"/>
      <c r="AB29" s="61"/>
    </row>
    <row r="30" spans="1:28" x14ac:dyDescent="0.25">
      <c r="A30" s="55"/>
      <c r="B30" s="2">
        <v>3937743</v>
      </c>
      <c r="C30" s="6" t="s">
        <v>128</v>
      </c>
      <c r="D30" s="127"/>
      <c r="E30" s="53">
        <v>1</v>
      </c>
      <c r="F30" s="8">
        <v>18.87</v>
      </c>
      <c r="G30" s="9">
        <f t="shared" si="1"/>
        <v>13.01</v>
      </c>
      <c r="H30" s="10">
        <f t="shared" si="2"/>
        <v>18.87</v>
      </c>
      <c r="I30" s="42"/>
      <c r="J30" s="89">
        <f t="shared" si="0"/>
        <v>1</v>
      </c>
      <c r="K30" s="9">
        <f t="shared" si="3"/>
        <v>9.44</v>
      </c>
      <c r="L30" s="9">
        <f t="shared" si="4"/>
        <v>9.44</v>
      </c>
      <c r="M30" s="8" t="s">
        <v>84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9.44</v>
      </c>
      <c r="T30" s="14">
        <f t="shared" si="6"/>
        <v>9.44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 t="s">
        <v>212</v>
      </c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84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84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84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107</v>
      </c>
      <c r="Z32" s="61"/>
      <c r="AA32" s="61"/>
      <c r="AB32" s="61"/>
    </row>
    <row r="33" spans="1:28" x14ac:dyDescent="0.25">
      <c r="A33" s="55"/>
      <c r="B33" s="1"/>
      <c r="C33" s="4" t="s">
        <v>130</v>
      </c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84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 t="s">
        <v>131</v>
      </c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84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 t="s">
        <v>132</v>
      </c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84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84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 t="s">
        <v>133</v>
      </c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84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135</v>
      </c>
      <c r="D38" s="127"/>
      <c r="E38" s="53">
        <v>1</v>
      </c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1</v>
      </c>
      <c r="K38" s="9">
        <f t="shared" si="3"/>
        <v>0</v>
      </c>
      <c r="L38" s="9">
        <f t="shared" si="4"/>
        <v>0</v>
      </c>
      <c r="M38" s="8" t="s">
        <v>84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>
        <v>3979506</v>
      </c>
      <c r="C39" s="4" t="s">
        <v>136</v>
      </c>
      <c r="D39" s="126"/>
      <c r="E39" s="54">
        <v>1</v>
      </c>
      <c r="F39" s="15">
        <v>1152.33</v>
      </c>
      <c r="G39" s="38">
        <f t="shared" si="1"/>
        <v>794.71</v>
      </c>
      <c r="H39" s="39">
        <f t="shared" si="2"/>
        <v>1152.33</v>
      </c>
      <c r="I39" s="42"/>
      <c r="J39" s="88">
        <f t="shared" si="0"/>
        <v>1</v>
      </c>
      <c r="K39" s="38">
        <f t="shared" si="3"/>
        <v>576.16999999999996</v>
      </c>
      <c r="L39" s="38">
        <f t="shared" si="4"/>
        <v>576.16999999999996</v>
      </c>
      <c r="M39" s="129" t="s">
        <v>84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576.16999999999996</v>
      </c>
      <c r="T39" s="52">
        <f t="shared" si="6"/>
        <v>576.16999999999996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4934862</v>
      </c>
      <c r="C40" s="6" t="s">
        <v>137</v>
      </c>
      <c r="D40" s="127"/>
      <c r="E40" s="53">
        <v>1</v>
      </c>
      <c r="F40" s="8">
        <v>4972.76</v>
      </c>
      <c r="G40" s="9">
        <f t="shared" si="1"/>
        <v>3429.49</v>
      </c>
      <c r="H40" s="10">
        <f t="shared" si="2"/>
        <v>4972.76</v>
      </c>
      <c r="I40" s="42"/>
      <c r="J40" s="89">
        <f t="shared" si="0"/>
        <v>1</v>
      </c>
      <c r="K40" s="9">
        <f t="shared" si="3"/>
        <v>2486.38</v>
      </c>
      <c r="L40" s="9">
        <f t="shared" si="4"/>
        <v>2486.38</v>
      </c>
      <c r="M40" s="8" t="s">
        <v>84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2486.38</v>
      </c>
      <c r="T40" s="14">
        <f t="shared" si="6"/>
        <v>2486.38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>
        <v>4936081</v>
      </c>
      <c r="C41" s="4" t="s">
        <v>112</v>
      </c>
      <c r="D41" s="126"/>
      <c r="E41" s="54">
        <v>1</v>
      </c>
      <c r="F41" s="15">
        <v>5664.88</v>
      </c>
      <c r="G41" s="38">
        <f t="shared" si="1"/>
        <v>3906.81</v>
      </c>
      <c r="H41" s="39">
        <f t="shared" si="2"/>
        <v>5664.88</v>
      </c>
      <c r="I41" s="42"/>
      <c r="J41" s="88">
        <f t="shared" si="0"/>
        <v>1</v>
      </c>
      <c r="K41" s="38">
        <f t="shared" si="3"/>
        <v>2832.44</v>
      </c>
      <c r="L41" s="38">
        <f t="shared" si="4"/>
        <v>2832.44</v>
      </c>
      <c r="M41" s="129" t="s">
        <v>84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2832.44</v>
      </c>
      <c r="T41" s="52">
        <f t="shared" si="6"/>
        <v>2832.44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>
        <v>4033239</v>
      </c>
      <c r="C42" s="6" t="s">
        <v>138</v>
      </c>
      <c r="D42" s="127"/>
      <c r="E42" s="53">
        <v>1</v>
      </c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1</v>
      </c>
      <c r="K42" s="9">
        <f t="shared" si="3"/>
        <v>0</v>
      </c>
      <c r="L42" s="9">
        <f t="shared" si="4"/>
        <v>0</v>
      </c>
      <c r="M42" s="8" t="s">
        <v>107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>
        <v>4994543</v>
      </c>
      <c r="C43" s="4" t="s">
        <v>139</v>
      </c>
      <c r="D43" s="126"/>
      <c r="E43" s="54">
        <v>6</v>
      </c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6</v>
      </c>
      <c r="K43" s="38">
        <f t="shared" si="3"/>
        <v>0</v>
      </c>
      <c r="L43" s="38">
        <f t="shared" si="4"/>
        <v>0</v>
      </c>
      <c r="M43" s="129" t="s">
        <v>84</v>
      </c>
      <c r="N43" s="16">
        <v>0.3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84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84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214</v>
      </c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84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84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84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116</v>
      </c>
      <c r="E49" s="77">
        <f>SUM(E18:E48)</f>
        <v>16</v>
      </c>
      <c r="F49" s="78">
        <f>SUM(F18:F48)</f>
        <v>12464.94</v>
      </c>
      <c r="G49" s="79">
        <f>SUM(G18:G48)</f>
        <v>8596.5</v>
      </c>
      <c r="H49" s="80">
        <f>SUM(H18:H48)</f>
        <v>12464.94</v>
      </c>
      <c r="I49" s="81"/>
      <c r="J49" s="82">
        <f>SUM(J18:J48)</f>
        <v>16</v>
      </c>
      <c r="K49" s="79">
        <f>SUM(K18:K48)</f>
        <v>6304.5599999999995</v>
      </c>
      <c r="L49" s="80">
        <f>SUM(L18:L48)</f>
        <v>6304.5599999999995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6304.5599999999995</v>
      </c>
      <c r="T49" s="80">
        <f>SUM(T18:T48)</f>
        <v>6304.5599999999995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F17 K17 Q17 Q14" xr:uid="{21321C80-C886-4417-8FE1-CCBDA80107DD}">
      <formula1>$Y$11:$Y$12</formula1>
    </dataValidation>
    <dataValidation type="list" allowBlank="1" showInputMessage="1" showErrorMessage="1" sqref="H13" xr:uid="{00BED9D4-A030-426F-868F-6087115A5BEE}">
      <formula1>$Y$13:$Y$14</formula1>
    </dataValidation>
    <dataValidation type="list" allowBlank="1" showInputMessage="1" showErrorMessage="1" sqref="I13" xr:uid="{8E7FB141-3A87-4EEF-9D5C-D5F11E51EBE9}">
      <formula1>$K$9:$K$9</formula1>
    </dataValidation>
    <dataValidation type="list" showInputMessage="1" showErrorMessage="1" sqref="D18:D48" xr:uid="{0FCE9017-5FEC-4891-AC29-8F5E2B947EF1}">
      <formula1>$Z$18:$Z$29</formula1>
    </dataValidation>
    <dataValidation type="list" allowBlank="1" showInputMessage="1" showErrorMessage="1" sqref="M18:M48" xr:uid="{C7F017C8-FA0D-4B53-A524-AF59DECDBA5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BOBCAT T750 (ATF) (2)</vt:lpstr>
      <vt:lpstr>BOBCAT T750 (ATF)</vt:lpstr>
      <vt:lpstr>BOBCAT T770 (AN8)</vt:lpstr>
      <vt:lpstr>BOBCAT T770 (AT5)</vt:lpstr>
      <vt:lpstr>BOBCAT T770 (AT6)</vt:lpstr>
      <vt:lpstr>BOBCAT T770 (AT6) (2)</vt:lpstr>
      <vt:lpstr>CAT 589 (31Z)</vt:lpstr>
      <vt:lpstr>KUBOTA U55-5 (JKU)</vt:lpstr>
      <vt:lpstr>TADANO GR-750XL-2 Crane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Budgen</dc:creator>
  <cp:keywords/>
  <dc:description/>
  <cp:lastModifiedBy>Tska0734</cp:lastModifiedBy>
  <cp:revision/>
  <dcterms:created xsi:type="dcterms:W3CDTF">2024-03-27T02:49:14Z</dcterms:created>
  <dcterms:modified xsi:type="dcterms:W3CDTF">2025-12-03T14:14:59Z</dcterms:modified>
  <cp:category/>
  <cp:contentStatus/>
</cp:coreProperties>
</file>