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tables/table21.xml" ContentType="application/vnd.openxmlformats-officedocument.spreadsheetml.tab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tables/table22.xml" ContentType="application/vnd.openxmlformats-officedocument.spreadsheetml.table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tables/table23.xml" ContentType="application/vnd.openxmlformats-officedocument.spreadsheetml.table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tables/table24.xml" ContentType="application/vnd.openxmlformats-officedocument.spreadsheetml.table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8B821C5C-F5A7-4D09-962E-95407F41C6D5}" xr6:coauthVersionLast="47" xr6:coauthVersionMax="47" xr10:uidLastSave="{00000000-0000-0000-0000-000000000000}"/>
  <bookViews>
    <workbookView xWindow="-120" yWindow="-120" windowWidth="20640" windowHeight="11160" tabRatio="1000" activeTab="1" xr2:uid="{EAC116F2-D257-4308-B3E1-626B33CB1430}"/>
  </bookViews>
  <sheets>
    <sheet name="Product Type" sheetId="23" r:id="rId1"/>
    <sheet name="TIMBERJACK 450 SKIDDER" sheetId="79" r:id="rId2"/>
    <sheet name="TIGERCAT 870D BUNCHER" sheetId="70" r:id="rId3"/>
    <sheet name="TIGERCAT LX830D" sheetId="69" r:id="rId4"/>
    <sheet name="TIGERCAT LX830D (2)" sheetId="74" r:id="rId5"/>
    <sheet name="TIGERCAT LX830E" sheetId="75" r:id="rId6"/>
    <sheet name="TIGERCAT 875e LOADER" sheetId="93" r:id="rId7"/>
    <sheet name="TIGERCAT 875 LOADER" sheetId="80" r:id="rId8"/>
    <sheet name="TIGERCAT 875 LOADER (2)" sheetId="91" r:id="rId9"/>
    <sheet name="TIGERCAT 875 LOADER (3)" sheetId="92" r:id="rId10"/>
    <sheet name="TIGERCAT 880E LOADER (2)" sheetId="88" r:id="rId11"/>
    <sheet name="TIGERCAT 880D (3)" sheetId="97" r:id="rId12"/>
    <sheet name="TIGERCAT 880D (2)" sheetId="96" r:id="rId13"/>
    <sheet name="TIGERCAT 880D" sheetId="94" r:id="rId14"/>
    <sheet name="TIGERCAT 880E LOADER" sheetId="85" r:id="rId15"/>
    <sheet name="TIGERCAT 850E" sheetId="87" r:id="rId16"/>
    <sheet name="TIGERCAT LS855E (4)" sheetId="83" r:id="rId17"/>
    <sheet name="TIGERCAT LS855E (3)" sheetId="82" r:id="rId18"/>
    <sheet name="TIGERCAT LS855E (2)" sheetId="81" r:id="rId19"/>
    <sheet name="TIGERCAT LS855E" sheetId="78" r:id="rId20"/>
    <sheet name="TIGERCAT LSX877" sheetId="99" r:id="rId21"/>
    <sheet name="TIGERCAT LX877" sheetId="76" r:id="rId22"/>
    <sheet name="TIGERCAT 632E" sheetId="98" r:id="rId23"/>
    <sheet name="TIGERCAT 632H" sheetId="100" r:id="rId24"/>
    <sheet name="TIGERCAT 630E" sheetId="102" r:id="rId25"/>
    <sheet name="VOLVO EC300EL PROCESSOR" sheetId="67" r:id="rId26"/>
    <sheet name="JLG 450AJ" sheetId="51" r:id="rId27"/>
    <sheet name="CASE 440 SKID STEER" sheetId="65" r:id="rId28"/>
    <sheet name="SKYTRAK 6042 TELEHANDLER FRKLFT" sheetId="84" r:id="rId29"/>
    <sheet name="CAT 568FM LOG LOADER EXCAVATOR" sheetId="46" r:id="rId30"/>
    <sheet name="CAT D300 ARTICULATED TRUCK" sheetId="41" r:id="rId31"/>
    <sheet name="CAT D250 ARTICULATED TRUCK" sheetId="42" r:id="rId32"/>
    <sheet name="CAT 324 EXCAVATOR " sheetId="43" r:id="rId33"/>
    <sheet name="CAT 14H MOTOR GRADER" sheetId="26" r:id="rId34"/>
    <sheet name="CAT 14H MOTOR GRADER (2)" sheetId="27" r:id="rId35"/>
    <sheet name="CAT 14H NA MOTOR GRADER" sheetId="28" r:id="rId36"/>
    <sheet name="CAT 14G MOTOR GRADER" sheetId="30" r:id="rId37"/>
    <sheet name="CAT 14M MOTOR GRADER" sheetId="35" r:id="rId38"/>
    <sheet name="CAT 325D EXCAVATOR" sheetId="40" r:id="rId39"/>
    <sheet name="CAT 924G WHEEL LOADER " sheetId="31" r:id="rId40"/>
    <sheet name="CAT D8 DOZER" sheetId="37" r:id="rId41"/>
    <sheet name="CAT 980C LOG WHEEL LOADER" sheetId="34" r:id="rId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7" l="1"/>
  <c r="Q1" i="102"/>
  <c r="Q8" i="102"/>
  <c r="E15" i="102"/>
  <c r="H17" i="102"/>
  <c r="I17" i="102"/>
  <c r="S17" i="102"/>
  <c r="H18" i="102"/>
  <c r="I18" i="102"/>
  <c r="K18" i="102"/>
  <c r="L18" i="102"/>
  <c r="M18" i="102"/>
  <c r="S18" i="102"/>
  <c r="U18" i="102"/>
  <c r="T18" i="102" s="1"/>
  <c r="V18" i="102"/>
  <c r="W18" i="102"/>
  <c r="H19" i="102"/>
  <c r="I19" i="102"/>
  <c r="K19" i="102"/>
  <c r="L19" i="102"/>
  <c r="M19" i="102"/>
  <c r="S19" i="102"/>
  <c r="U19" i="102"/>
  <c r="T19" i="102" s="1"/>
  <c r="V19" i="102"/>
  <c r="W19" i="102"/>
  <c r="H20" i="102"/>
  <c r="I20" i="102"/>
  <c r="K20" i="102"/>
  <c r="L20" i="102"/>
  <c r="M20" i="102"/>
  <c r="S20" i="102"/>
  <c r="U20" i="102"/>
  <c r="T20" i="102" s="1"/>
  <c r="V20" i="102"/>
  <c r="W20" i="102"/>
  <c r="H21" i="102"/>
  <c r="I21" i="102"/>
  <c r="K21" i="102"/>
  <c r="L21" i="102"/>
  <c r="M21" i="102"/>
  <c r="S21" i="102"/>
  <c r="U21" i="102"/>
  <c r="T21" i="102" s="1"/>
  <c r="V21" i="102"/>
  <c r="W21" i="102"/>
  <c r="H22" i="102"/>
  <c r="I22" i="102"/>
  <c r="K22" i="102"/>
  <c r="L22" i="102"/>
  <c r="M22" i="102"/>
  <c r="S22" i="102"/>
  <c r="U22" i="102"/>
  <c r="T22" i="102" s="1"/>
  <c r="V22" i="102"/>
  <c r="W22" i="102"/>
  <c r="H23" i="102"/>
  <c r="I23" i="102"/>
  <c r="K23" i="102"/>
  <c r="L23" i="102"/>
  <c r="M23" i="102"/>
  <c r="S23" i="102"/>
  <c r="U23" i="102"/>
  <c r="T23" i="102" s="1"/>
  <c r="V23" i="102"/>
  <c r="W23" i="102"/>
  <c r="H24" i="102"/>
  <c r="I24" i="102"/>
  <c r="K24" i="102"/>
  <c r="L24" i="102"/>
  <c r="M24" i="102"/>
  <c r="S24" i="102"/>
  <c r="U24" i="102"/>
  <c r="T24" i="102" s="1"/>
  <c r="V24" i="102"/>
  <c r="W24" i="102"/>
  <c r="H25" i="102"/>
  <c r="I25" i="102"/>
  <c r="K25" i="102"/>
  <c r="L25" i="102"/>
  <c r="M25" i="102"/>
  <c r="S25" i="102"/>
  <c r="U25" i="102"/>
  <c r="T25" i="102" s="1"/>
  <c r="V25" i="102"/>
  <c r="W25" i="102"/>
  <c r="H26" i="102"/>
  <c r="I26" i="102"/>
  <c r="K26" i="102"/>
  <c r="L26" i="102"/>
  <c r="M26" i="102"/>
  <c r="S26" i="102"/>
  <c r="U26" i="102"/>
  <c r="T26" i="102" s="1"/>
  <c r="V26" i="102"/>
  <c r="W26" i="102"/>
  <c r="H27" i="102"/>
  <c r="I27" i="102"/>
  <c r="K27" i="102"/>
  <c r="L27" i="102"/>
  <c r="M27" i="102"/>
  <c r="S27" i="102"/>
  <c r="U27" i="102"/>
  <c r="T27" i="102" s="1"/>
  <c r="V27" i="102"/>
  <c r="W27" i="102"/>
  <c r="H28" i="102"/>
  <c r="I28" i="102"/>
  <c r="K28" i="102"/>
  <c r="L28" i="102"/>
  <c r="M28" i="102"/>
  <c r="S28" i="102"/>
  <c r="U28" i="102"/>
  <c r="T28" i="102" s="1"/>
  <c r="V28" i="102"/>
  <c r="W28" i="102"/>
  <c r="H29" i="102"/>
  <c r="I29" i="102"/>
  <c r="K29" i="102"/>
  <c r="L29" i="102"/>
  <c r="M29" i="102"/>
  <c r="S29" i="102"/>
  <c r="U29" i="102"/>
  <c r="T29" i="102" s="1"/>
  <c r="V29" i="102"/>
  <c r="W29" i="102"/>
  <c r="H30" i="102"/>
  <c r="I30" i="102"/>
  <c r="K30" i="102"/>
  <c r="L30" i="102"/>
  <c r="M30" i="102"/>
  <c r="S30" i="102"/>
  <c r="U30" i="102"/>
  <c r="T30" i="102" s="1"/>
  <c r="V30" i="102"/>
  <c r="W30" i="102"/>
  <c r="H31" i="102"/>
  <c r="I31" i="102"/>
  <c r="K31" i="102"/>
  <c r="L31" i="102"/>
  <c r="M31" i="102"/>
  <c r="S31" i="102"/>
  <c r="U31" i="102"/>
  <c r="T31" i="102" s="1"/>
  <c r="V31" i="102"/>
  <c r="W31" i="102"/>
  <c r="H32" i="102"/>
  <c r="I32" i="102"/>
  <c r="K32" i="102"/>
  <c r="L32" i="102"/>
  <c r="M32" i="102"/>
  <c r="S32" i="102"/>
  <c r="U32" i="102"/>
  <c r="T32" i="102" s="1"/>
  <c r="V32" i="102"/>
  <c r="W32" i="102"/>
  <c r="H33" i="102"/>
  <c r="I33" i="102"/>
  <c r="K33" i="102"/>
  <c r="L33" i="102"/>
  <c r="M33" i="102"/>
  <c r="S33" i="102"/>
  <c r="U33" i="102"/>
  <c r="T33" i="102" s="1"/>
  <c r="V33" i="102"/>
  <c r="W33" i="102"/>
  <c r="H34" i="102"/>
  <c r="I34" i="102"/>
  <c r="K34" i="102"/>
  <c r="L34" i="102"/>
  <c r="M34" i="102"/>
  <c r="S34" i="102"/>
  <c r="U34" i="102"/>
  <c r="T34" i="102" s="1"/>
  <c r="V34" i="102"/>
  <c r="W34" i="102"/>
  <c r="H35" i="102"/>
  <c r="I35" i="102"/>
  <c r="K35" i="102"/>
  <c r="L35" i="102"/>
  <c r="M35" i="102"/>
  <c r="S35" i="102"/>
  <c r="U35" i="102"/>
  <c r="T35" i="102" s="1"/>
  <c r="V35" i="102"/>
  <c r="W35" i="102"/>
  <c r="H36" i="102"/>
  <c r="I36" i="102"/>
  <c r="K36" i="102"/>
  <c r="L36" i="102"/>
  <c r="M36" i="102"/>
  <c r="S36" i="102"/>
  <c r="U36" i="102"/>
  <c r="T36" i="102" s="1"/>
  <c r="V36" i="102"/>
  <c r="W36" i="102"/>
  <c r="H37" i="102"/>
  <c r="I37" i="102"/>
  <c r="K37" i="102"/>
  <c r="L37" i="102"/>
  <c r="M37" i="102"/>
  <c r="S37" i="102"/>
  <c r="U37" i="102"/>
  <c r="T37" i="102" s="1"/>
  <c r="V37" i="102"/>
  <c r="W37" i="102"/>
  <c r="H38" i="102"/>
  <c r="I38" i="102"/>
  <c r="K38" i="102"/>
  <c r="L38" i="102"/>
  <c r="M38" i="102"/>
  <c r="S38" i="102"/>
  <c r="U38" i="102"/>
  <c r="T38" i="102" s="1"/>
  <c r="V38" i="102"/>
  <c r="W38" i="102"/>
  <c r="H39" i="102"/>
  <c r="I39" i="102"/>
  <c r="K39" i="102"/>
  <c r="L39" i="102"/>
  <c r="M39" i="102"/>
  <c r="S39" i="102"/>
  <c r="U39" i="102"/>
  <c r="T39" i="102" s="1"/>
  <c r="V39" i="102"/>
  <c r="W39" i="102"/>
  <c r="H40" i="102"/>
  <c r="I40" i="102"/>
  <c r="K40" i="102"/>
  <c r="L40" i="102"/>
  <c r="M40" i="102"/>
  <c r="S40" i="102"/>
  <c r="U40" i="102"/>
  <c r="T40" i="102" s="1"/>
  <c r="V40" i="102"/>
  <c r="W40" i="102"/>
  <c r="H41" i="102"/>
  <c r="I41" i="102"/>
  <c r="K41" i="102"/>
  <c r="L41" i="102"/>
  <c r="M41" i="102"/>
  <c r="S41" i="102"/>
  <c r="U41" i="102"/>
  <c r="T41" i="102" s="1"/>
  <c r="V41" i="102"/>
  <c r="W41" i="102"/>
  <c r="H42" i="102"/>
  <c r="I42" i="102"/>
  <c r="K42" i="102"/>
  <c r="L42" i="102"/>
  <c r="M42" i="102"/>
  <c r="S42" i="102"/>
  <c r="U42" i="102"/>
  <c r="T42" i="102" s="1"/>
  <c r="V42" i="102"/>
  <c r="W42" i="102"/>
  <c r="H43" i="102"/>
  <c r="I43" i="102"/>
  <c r="K43" i="102"/>
  <c r="L43" i="102"/>
  <c r="M43" i="102"/>
  <c r="S43" i="102"/>
  <c r="U43" i="102"/>
  <c r="T43" i="102" s="1"/>
  <c r="V43" i="102"/>
  <c r="W43" i="102"/>
  <c r="H44" i="102"/>
  <c r="I44" i="102"/>
  <c r="K44" i="102"/>
  <c r="L44" i="102"/>
  <c r="M44" i="102"/>
  <c r="S44" i="102"/>
  <c r="U44" i="102"/>
  <c r="T44" i="102" s="1"/>
  <c r="V44" i="102"/>
  <c r="W44" i="102"/>
  <c r="H45" i="102"/>
  <c r="I45" i="102"/>
  <c r="K45" i="102"/>
  <c r="L45" i="102"/>
  <c r="M45" i="102"/>
  <c r="S45" i="102"/>
  <c r="U45" i="102"/>
  <c r="T45" i="102" s="1"/>
  <c r="V45" i="102"/>
  <c r="W45" i="102"/>
  <c r="H46" i="102"/>
  <c r="I46" i="102"/>
  <c r="K46" i="102"/>
  <c r="L46" i="102"/>
  <c r="M46" i="102"/>
  <c r="S46" i="102"/>
  <c r="U46" i="102"/>
  <c r="T46" i="102" s="1"/>
  <c r="V46" i="102"/>
  <c r="W46" i="102"/>
  <c r="H47" i="102"/>
  <c r="I47" i="102"/>
  <c r="K47" i="102"/>
  <c r="L47" i="102"/>
  <c r="M47" i="102"/>
  <c r="S47" i="102"/>
  <c r="U47" i="102"/>
  <c r="T47" i="102" s="1"/>
  <c r="V47" i="102"/>
  <c r="W47" i="102"/>
  <c r="H48" i="102"/>
  <c r="I48" i="102"/>
  <c r="K48" i="102"/>
  <c r="L48" i="102"/>
  <c r="M48" i="102"/>
  <c r="S48" i="102"/>
  <c r="U48" i="102"/>
  <c r="T48" i="102" s="1"/>
  <c r="V48" i="102"/>
  <c r="W48" i="102"/>
  <c r="H49" i="102"/>
  <c r="I49" i="102"/>
  <c r="K49" i="102"/>
  <c r="L49" i="102"/>
  <c r="M49" i="102"/>
  <c r="S49" i="102"/>
  <c r="U49" i="102"/>
  <c r="T49" i="102" s="1"/>
  <c r="V49" i="102"/>
  <c r="W49" i="102"/>
  <c r="H50" i="102"/>
  <c r="I50" i="102"/>
  <c r="K50" i="102"/>
  <c r="L50" i="102"/>
  <c r="M50" i="102"/>
  <c r="S50" i="102"/>
  <c r="U50" i="102"/>
  <c r="T50" i="102" s="1"/>
  <c r="V50" i="102"/>
  <c r="W50" i="102"/>
  <c r="H51" i="102"/>
  <c r="I51" i="102"/>
  <c r="K51" i="102"/>
  <c r="L51" i="102"/>
  <c r="M51" i="102"/>
  <c r="S51" i="102"/>
  <c r="U51" i="102"/>
  <c r="T51" i="102" s="1"/>
  <c r="V51" i="102"/>
  <c r="W51" i="102"/>
  <c r="H52" i="102"/>
  <c r="I52" i="102"/>
  <c r="K52" i="102"/>
  <c r="L52" i="102"/>
  <c r="M52" i="102"/>
  <c r="S52" i="102"/>
  <c r="U52" i="102"/>
  <c r="T52" i="102" s="1"/>
  <c r="V52" i="102"/>
  <c r="W52" i="102"/>
  <c r="H53" i="102"/>
  <c r="I53" i="102"/>
  <c r="K53" i="102"/>
  <c r="L53" i="102"/>
  <c r="M53" i="102"/>
  <c r="S53" i="102"/>
  <c r="U53" i="102"/>
  <c r="T53" i="102" s="1"/>
  <c r="V53" i="102"/>
  <c r="W53" i="102"/>
  <c r="H54" i="102"/>
  <c r="I54" i="102"/>
  <c r="K54" i="102"/>
  <c r="L54" i="102"/>
  <c r="M54" i="102"/>
  <c r="S54" i="102"/>
  <c r="U54" i="102"/>
  <c r="T54" i="102" s="1"/>
  <c r="V54" i="102"/>
  <c r="W54" i="102"/>
  <c r="H55" i="102"/>
  <c r="I55" i="102"/>
  <c r="K55" i="102"/>
  <c r="L55" i="102"/>
  <c r="M55" i="102"/>
  <c r="S55" i="102"/>
  <c r="U55" i="102"/>
  <c r="T55" i="102" s="1"/>
  <c r="V55" i="102"/>
  <c r="W55" i="102"/>
  <c r="H56" i="102"/>
  <c r="I56" i="102"/>
  <c r="K56" i="102"/>
  <c r="L56" i="102"/>
  <c r="M56" i="102"/>
  <c r="S56" i="102"/>
  <c r="U56" i="102"/>
  <c r="T56" i="102" s="1"/>
  <c r="V56" i="102"/>
  <c r="W56" i="102"/>
  <c r="H57" i="102"/>
  <c r="I57" i="102"/>
  <c r="K57" i="102"/>
  <c r="L57" i="102"/>
  <c r="M57" i="102"/>
  <c r="S57" i="102"/>
  <c r="U57" i="102"/>
  <c r="T57" i="102" s="1"/>
  <c r="V57" i="102"/>
  <c r="W57" i="102"/>
  <c r="H58" i="102"/>
  <c r="I58" i="102"/>
  <c r="K58" i="102"/>
  <c r="L58" i="102"/>
  <c r="M58" i="102"/>
  <c r="S58" i="102"/>
  <c r="U58" i="102"/>
  <c r="T58" i="102" s="1"/>
  <c r="V58" i="102"/>
  <c r="W58" i="102"/>
  <c r="H59" i="102"/>
  <c r="I59" i="102"/>
  <c r="K59" i="102"/>
  <c r="L59" i="102"/>
  <c r="M59" i="102"/>
  <c r="S59" i="102"/>
  <c r="U59" i="102"/>
  <c r="T59" i="102" s="1"/>
  <c r="V59" i="102"/>
  <c r="W59" i="102"/>
  <c r="H60" i="102"/>
  <c r="I60" i="102"/>
  <c r="K60" i="102"/>
  <c r="L60" i="102"/>
  <c r="M60" i="102"/>
  <c r="S60" i="102"/>
  <c r="U60" i="102"/>
  <c r="T60" i="102" s="1"/>
  <c r="V60" i="102"/>
  <c r="W60" i="102"/>
  <c r="H61" i="102"/>
  <c r="I61" i="102"/>
  <c r="K61" i="102"/>
  <c r="L61" i="102"/>
  <c r="M61" i="102"/>
  <c r="S61" i="102"/>
  <c r="U61" i="102"/>
  <c r="T61" i="102" s="1"/>
  <c r="V61" i="102"/>
  <c r="W61" i="102"/>
  <c r="H62" i="102"/>
  <c r="I62" i="102"/>
  <c r="K62" i="102"/>
  <c r="L62" i="102"/>
  <c r="M62" i="102"/>
  <c r="S62" i="102"/>
  <c r="U62" i="102"/>
  <c r="T62" i="102" s="1"/>
  <c r="V62" i="102"/>
  <c r="W62" i="102"/>
  <c r="H63" i="102"/>
  <c r="I63" i="102"/>
  <c r="K63" i="102"/>
  <c r="L63" i="102"/>
  <c r="M63" i="102"/>
  <c r="S63" i="102"/>
  <c r="U63" i="102"/>
  <c r="T63" i="102" s="1"/>
  <c r="V63" i="102"/>
  <c r="W63" i="102"/>
  <c r="H64" i="102"/>
  <c r="I64" i="102"/>
  <c r="K64" i="102"/>
  <c r="L64" i="102"/>
  <c r="M64" i="102"/>
  <c r="S64" i="102"/>
  <c r="U64" i="102"/>
  <c r="T64" i="102" s="1"/>
  <c r="V64" i="102"/>
  <c r="W64" i="102"/>
  <c r="H65" i="102"/>
  <c r="I65" i="102"/>
  <c r="K65" i="102"/>
  <c r="L65" i="102"/>
  <c r="M65" i="102"/>
  <c r="S65" i="102"/>
  <c r="U65" i="102"/>
  <c r="T65" i="102" s="1"/>
  <c r="V65" i="102"/>
  <c r="W65" i="102"/>
  <c r="H66" i="102"/>
  <c r="I66" i="102"/>
  <c r="K66" i="102"/>
  <c r="L66" i="102"/>
  <c r="M66" i="102"/>
  <c r="S66" i="102"/>
  <c r="U66" i="102"/>
  <c r="T66" i="102" s="1"/>
  <c r="V66" i="102"/>
  <c r="W66" i="102"/>
  <c r="H67" i="102"/>
  <c r="I67" i="102"/>
  <c r="K67" i="102"/>
  <c r="L67" i="102"/>
  <c r="M67" i="102"/>
  <c r="S67" i="102"/>
  <c r="U67" i="102"/>
  <c r="T67" i="102" s="1"/>
  <c r="V67" i="102"/>
  <c r="W67" i="102"/>
  <c r="H68" i="102"/>
  <c r="I68" i="102"/>
  <c r="K68" i="102"/>
  <c r="L68" i="102"/>
  <c r="M68" i="102"/>
  <c r="S68" i="102"/>
  <c r="U68" i="102"/>
  <c r="T68" i="102" s="1"/>
  <c r="V68" i="102"/>
  <c r="W68" i="102"/>
  <c r="H69" i="102"/>
  <c r="I69" i="102"/>
  <c r="K69" i="102"/>
  <c r="L69" i="102"/>
  <c r="M69" i="102"/>
  <c r="S69" i="102"/>
  <c r="U69" i="102"/>
  <c r="T69" i="102" s="1"/>
  <c r="V69" i="102"/>
  <c r="W69" i="102"/>
  <c r="H70" i="102"/>
  <c r="I70" i="102"/>
  <c r="K70" i="102"/>
  <c r="L70" i="102"/>
  <c r="M70" i="102"/>
  <c r="S70" i="102"/>
  <c r="U70" i="102"/>
  <c r="T70" i="102" s="1"/>
  <c r="V70" i="102"/>
  <c r="W70" i="102"/>
  <c r="H71" i="102"/>
  <c r="I71" i="102"/>
  <c r="K71" i="102"/>
  <c r="L71" i="102"/>
  <c r="M71" i="102"/>
  <c r="S71" i="102"/>
  <c r="U71" i="102"/>
  <c r="T71" i="102" s="1"/>
  <c r="V71" i="102"/>
  <c r="W71" i="102"/>
  <c r="H72" i="102"/>
  <c r="I72" i="102"/>
  <c r="K72" i="102"/>
  <c r="L72" i="102"/>
  <c r="M72" i="102"/>
  <c r="S72" i="102"/>
  <c r="U72" i="102"/>
  <c r="T72" i="102" s="1"/>
  <c r="V72" i="102"/>
  <c r="W72" i="102"/>
  <c r="H73" i="102"/>
  <c r="I73" i="102"/>
  <c r="K73" i="102"/>
  <c r="L73" i="102"/>
  <c r="M73" i="102"/>
  <c r="S73" i="102"/>
  <c r="U73" i="102"/>
  <c r="T73" i="102" s="1"/>
  <c r="V73" i="102"/>
  <c r="W73" i="102"/>
  <c r="H74" i="102"/>
  <c r="I74" i="102"/>
  <c r="K74" i="102"/>
  <c r="L74" i="102"/>
  <c r="M74" i="102"/>
  <c r="S74" i="102"/>
  <c r="U74" i="102"/>
  <c r="T74" i="102" s="1"/>
  <c r="V74" i="102"/>
  <c r="W74" i="102"/>
  <c r="H75" i="102"/>
  <c r="I75" i="102"/>
  <c r="K75" i="102"/>
  <c r="L75" i="102"/>
  <c r="M75" i="102"/>
  <c r="S75" i="102"/>
  <c r="U75" i="102"/>
  <c r="T75" i="102" s="1"/>
  <c r="V75" i="102"/>
  <c r="W75" i="102"/>
  <c r="H76" i="102"/>
  <c r="I76" i="102"/>
  <c r="K76" i="102"/>
  <c r="L76" i="102"/>
  <c r="M76" i="102"/>
  <c r="S76" i="102"/>
  <c r="U76" i="102"/>
  <c r="T76" i="102" s="1"/>
  <c r="V76" i="102"/>
  <c r="W76" i="102"/>
  <c r="H77" i="102"/>
  <c r="I77" i="102"/>
  <c r="K77" i="102"/>
  <c r="L77" i="102"/>
  <c r="M77" i="102"/>
  <c r="S77" i="102"/>
  <c r="U77" i="102"/>
  <c r="T77" i="102" s="1"/>
  <c r="V77" i="102"/>
  <c r="W77" i="102"/>
  <c r="H78" i="102"/>
  <c r="I78" i="102"/>
  <c r="K78" i="102"/>
  <c r="L78" i="102"/>
  <c r="M78" i="102"/>
  <c r="S78" i="102"/>
  <c r="U78" i="102"/>
  <c r="T78" i="102" s="1"/>
  <c r="V78" i="102"/>
  <c r="W78" i="102"/>
  <c r="H79" i="102"/>
  <c r="I79" i="102"/>
  <c r="K79" i="102"/>
  <c r="L79" i="102"/>
  <c r="M79" i="102"/>
  <c r="S79" i="102"/>
  <c r="U79" i="102"/>
  <c r="T79" i="102" s="1"/>
  <c r="V79" i="102"/>
  <c r="W79" i="102"/>
  <c r="H80" i="102"/>
  <c r="I80" i="102"/>
  <c r="K80" i="102"/>
  <c r="L80" i="102"/>
  <c r="M80" i="102"/>
  <c r="S80" i="102"/>
  <c r="U80" i="102"/>
  <c r="T80" i="102" s="1"/>
  <c r="V80" i="102"/>
  <c r="W80" i="102"/>
  <c r="F81" i="102"/>
  <c r="Q10" i="102" s="1"/>
  <c r="G81" i="102"/>
  <c r="H81" i="102"/>
  <c r="I81" i="102"/>
  <c r="Q2" i="102" s="1"/>
  <c r="K81" i="102"/>
  <c r="L81" i="102"/>
  <c r="M81" i="102"/>
  <c r="Q3" i="102" s="1"/>
  <c r="R81" i="102"/>
  <c r="S81" i="102"/>
  <c r="T81" i="102"/>
  <c r="U81" i="102"/>
  <c r="Q6" i="102" s="1"/>
  <c r="Q1" i="100"/>
  <c r="Q8" i="100"/>
  <c r="E15" i="100"/>
  <c r="H17" i="100"/>
  <c r="I17" i="100"/>
  <c r="S17" i="100"/>
  <c r="H18" i="100"/>
  <c r="I18" i="100"/>
  <c r="K18" i="100"/>
  <c r="L18" i="100"/>
  <c r="M18" i="100"/>
  <c r="S18" i="100"/>
  <c r="U18" i="100"/>
  <c r="T18" i="100" s="1"/>
  <c r="V18" i="100"/>
  <c r="W18" i="100"/>
  <c r="H19" i="100"/>
  <c r="I19" i="100"/>
  <c r="K19" i="100"/>
  <c r="L19" i="100"/>
  <c r="M19" i="100"/>
  <c r="S19" i="100"/>
  <c r="U19" i="100"/>
  <c r="T19" i="100" s="1"/>
  <c r="V19" i="100"/>
  <c r="W19" i="100"/>
  <c r="H20" i="100"/>
  <c r="I20" i="100"/>
  <c r="K20" i="100"/>
  <c r="L20" i="100"/>
  <c r="M20" i="100"/>
  <c r="S20" i="100"/>
  <c r="U20" i="100"/>
  <c r="T20" i="100" s="1"/>
  <c r="V20" i="100"/>
  <c r="W20" i="100"/>
  <c r="H21" i="100"/>
  <c r="I21" i="100"/>
  <c r="K21" i="100"/>
  <c r="L21" i="100"/>
  <c r="M21" i="100"/>
  <c r="S21" i="100"/>
  <c r="U21" i="100"/>
  <c r="T21" i="100" s="1"/>
  <c r="V21" i="100"/>
  <c r="W21" i="100"/>
  <c r="H22" i="100"/>
  <c r="I22" i="100"/>
  <c r="K22" i="100"/>
  <c r="L22" i="100"/>
  <c r="M22" i="100"/>
  <c r="S22" i="100"/>
  <c r="U22" i="100"/>
  <c r="T22" i="100" s="1"/>
  <c r="V22" i="100"/>
  <c r="W22" i="100"/>
  <c r="H23" i="100"/>
  <c r="I23" i="100"/>
  <c r="K23" i="100"/>
  <c r="L23" i="100"/>
  <c r="M23" i="100"/>
  <c r="S23" i="100"/>
  <c r="U23" i="100"/>
  <c r="T23" i="100" s="1"/>
  <c r="V23" i="100"/>
  <c r="W23" i="100"/>
  <c r="H24" i="100"/>
  <c r="I24" i="100"/>
  <c r="K24" i="100"/>
  <c r="L24" i="100"/>
  <c r="M24" i="100"/>
  <c r="S24" i="100"/>
  <c r="U24" i="100"/>
  <c r="T24" i="100" s="1"/>
  <c r="V24" i="100"/>
  <c r="W24" i="100"/>
  <c r="H25" i="100"/>
  <c r="I25" i="100"/>
  <c r="K25" i="100"/>
  <c r="L25" i="100"/>
  <c r="M25" i="100"/>
  <c r="S25" i="100"/>
  <c r="U25" i="100"/>
  <c r="T25" i="100" s="1"/>
  <c r="V25" i="100"/>
  <c r="W25" i="100"/>
  <c r="H26" i="100"/>
  <c r="I26" i="100"/>
  <c r="K26" i="100"/>
  <c r="L26" i="100"/>
  <c r="M26" i="100"/>
  <c r="S26" i="100"/>
  <c r="U26" i="100"/>
  <c r="T26" i="100" s="1"/>
  <c r="V26" i="100"/>
  <c r="W26" i="100"/>
  <c r="H27" i="100"/>
  <c r="I27" i="100"/>
  <c r="K27" i="100"/>
  <c r="L27" i="100"/>
  <c r="M27" i="100"/>
  <c r="S27" i="100"/>
  <c r="U27" i="100"/>
  <c r="T27" i="100" s="1"/>
  <c r="V27" i="100"/>
  <c r="W27" i="100"/>
  <c r="H28" i="100"/>
  <c r="I28" i="100"/>
  <c r="K28" i="100"/>
  <c r="L28" i="100"/>
  <c r="M28" i="100"/>
  <c r="S28" i="100"/>
  <c r="U28" i="100"/>
  <c r="T28" i="100" s="1"/>
  <c r="V28" i="100"/>
  <c r="W28" i="100"/>
  <c r="H29" i="100"/>
  <c r="I29" i="100"/>
  <c r="K29" i="100"/>
  <c r="L29" i="100"/>
  <c r="M29" i="100"/>
  <c r="S29" i="100"/>
  <c r="U29" i="100"/>
  <c r="T29" i="100" s="1"/>
  <c r="V29" i="100"/>
  <c r="W29" i="100"/>
  <c r="H30" i="100"/>
  <c r="I30" i="100"/>
  <c r="K30" i="100"/>
  <c r="L30" i="100"/>
  <c r="M30" i="100"/>
  <c r="S30" i="100"/>
  <c r="U30" i="100"/>
  <c r="T30" i="100" s="1"/>
  <c r="V30" i="100"/>
  <c r="W30" i="100"/>
  <c r="H31" i="100"/>
  <c r="I31" i="100"/>
  <c r="K31" i="100"/>
  <c r="L31" i="100"/>
  <c r="M31" i="100"/>
  <c r="S31" i="100"/>
  <c r="U31" i="100"/>
  <c r="T31" i="100" s="1"/>
  <c r="V31" i="100"/>
  <c r="W31" i="100"/>
  <c r="H32" i="100"/>
  <c r="I32" i="100"/>
  <c r="K32" i="100"/>
  <c r="L32" i="100"/>
  <c r="M32" i="100"/>
  <c r="S32" i="100"/>
  <c r="U32" i="100"/>
  <c r="T32" i="100" s="1"/>
  <c r="V32" i="100"/>
  <c r="W32" i="100"/>
  <c r="H33" i="100"/>
  <c r="I33" i="100"/>
  <c r="K33" i="100"/>
  <c r="L33" i="100"/>
  <c r="M33" i="100"/>
  <c r="S33" i="100"/>
  <c r="U33" i="100"/>
  <c r="T33" i="100" s="1"/>
  <c r="V33" i="100"/>
  <c r="W33" i="100"/>
  <c r="H34" i="100"/>
  <c r="I34" i="100"/>
  <c r="K34" i="100"/>
  <c r="L34" i="100"/>
  <c r="M34" i="100"/>
  <c r="S34" i="100"/>
  <c r="U34" i="100"/>
  <c r="T34" i="100" s="1"/>
  <c r="V34" i="100"/>
  <c r="W34" i="100"/>
  <c r="H35" i="100"/>
  <c r="I35" i="100"/>
  <c r="K35" i="100"/>
  <c r="L35" i="100"/>
  <c r="M35" i="100"/>
  <c r="S35" i="100"/>
  <c r="U35" i="100"/>
  <c r="T35" i="100" s="1"/>
  <c r="V35" i="100"/>
  <c r="W35" i="100"/>
  <c r="H36" i="100"/>
  <c r="I36" i="100"/>
  <c r="K36" i="100"/>
  <c r="L36" i="100"/>
  <c r="M36" i="100"/>
  <c r="S36" i="100"/>
  <c r="U36" i="100"/>
  <c r="T36" i="100" s="1"/>
  <c r="V36" i="100"/>
  <c r="W36" i="100"/>
  <c r="H37" i="100"/>
  <c r="I37" i="100"/>
  <c r="K37" i="100"/>
  <c r="L37" i="100"/>
  <c r="M37" i="100"/>
  <c r="S37" i="100"/>
  <c r="U37" i="100"/>
  <c r="T37" i="100" s="1"/>
  <c r="V37" i="100"/>
  <c r="W37" i="100"/>
  <c r="H38" i="100"/>
  <c r="I38" i="100"/>
  <c r="K38" i="100"/>
  <c r="L38" i="100"/>
  <c r="M38" i="100"/>
  <c r="S38" i="100"/>
  <c r="U38" i="100"/>
  <c r="T38" i="100" s="1"/>
  <c r="V38" i="100"/>
  <c r="W38" i="100"/>
  <c r="H39" i="100"/>
  <c r="I39" i="100"/>
  <c r="K39" i="100"/>
  <c r="L39" i="100"/>
  <c r="M39" i="100"/>
  <c r="S39" i="100"/>
  <c r="U39" i="100"/>
  <c r="T39" i="100" s="1"/>
  <c r="V39" i="100"/>
  <c r="W39" i="100"/>
  <c r="H40" i="100"/>
  <c r="I40" i="100"/>
  <c r="K40" i="100"/>
  <c r="L40" i="100"/>
  <c r="M40" i="100"/>
  <c r="S40" i="100"/>
  <c r="U40" i="100"/>
  <c r="T40" i="100" s="1"/>
  <c r="V40" i="100"/>
  <c r="W40" i="100"/>
  <c r="H41" i="100"/>
  <c r="I41" i="100"/>
  <c r="K41" i="100"/>
  <c r="L41" i="100"/>
  <c r="M41" i="100"/>
  <c r="S41" i="100"/>
  <c r="U41" i="100"/>
  <c r="T41" i="100" s="1"/>
  <c r="V41" i="100"/>
  <c r="W41" i="100"/>
  <c r="H42" i="100"/>
  <c r="I42" i="100"/>
  <c r="K42" i="100"/>
  <c r="L42" i="100"/>
  <c r="M42" i="100"/>
  <c r="S42" i="100"/>
  <c r="U42" i="100"/>
  <c r="T42" i="100" s="1"/>
  <c r="V42" i="100"/>
  <c r="W42" i="100"/>
  <c r="H43" i="100"/>
  <c r="I43" i="100"/>
  <c r="K43" i="100"/>
  <c r="L43" i="100"/>
  <c r="M43" i="100"/>
  <c r="S43" i="100"/>
  <c r="U43" i="100"/>
  <c r="T43" i="100" s="1"/>
  <c r="V43" i="100"/>
  <c r="W43" i="100"/>
  <c r="H44" i="100"/>
  <c r="I44" i="100"/>
  <c r="K44" i="100"/>
  <c r="L44" i="100"/>
  <c r="M44" i="100"/>
  <c r="S44" i="100"/>
  <c r="U44" i="100"/>
  <c r="T44" i="100" s="1"/>
  <c r="V44" i="100"/>
  <c r="W44" i="100"/>
  <c r="H45" i="100"/>
  <c r="I45" i="100"/>
  <c r="K45" i="100"/>
  <c r="L45" i="100"/>
  <c r="M45" i="100"/>
  <c r="S45" i="100"/>
  <c r="U45" i="100"/>
  <c r="T45" i="100" s="1"/>
  <c r="V45" i="100"/>
  <c r="W45" i="100"/>
  <c r="H46" i="100"/>
  <c r="I46" i="100"/>
  <c r="K46" i="100"/>
  <c r="L46" i="100"/>
  <c r="M46" i="100"/>
  <c r="S46" i="100"/>
  <c r="U46" i="100"/>
  <c r="T46" i="100" s="1"/>
  <c r="V46" i="100"/>
  <c r="W46" i="100"/>
  <c r="H47" i="100"/>
  <c r="I47" i="100"/>
  <c r="K47" i="100"/>
  <c r="L47" i="100"/>
  <c r="M47" i="100"/>
  <c r="S47" i="100"/>
  <c r="U47" i="100"/>
  <c r="T47" i="100" s="1"/>
  <c r="V47" i="100"/>
  <c r="W47" i="100"/>
  <c r="H48" i="100"/>
  <c r="I48" i="100"/>
  <c r="K48" i="100"/>
  <c r="L48" i="100"/>
  <c r="M48" i="100"/>
  <c r="S48" i="100"/>
  <c r="U48" i="100"/>
  <c r="T48" i="100" s="1"/>
  <c r="V48" i="100"/>
  <c r="W48" i="100"/>
  <c r="H49" i="100"/>
  <c r="I49" i="100"/>
  <c r="K49" i="100"/>
  <c r="L49" i="100"/>
  <c r="M49" i="100"/>
  <c r="S49" i="100"/>
  <c r="U49" i="100"/>
  <c r="T49" i="100" s="1"/>
  <c r="V49" i="100"/>
  <c r="W49" i="100"/>
  <c r="H50" i="100"/>
  <c r="I50" i="100"/>
  <c r="K50" i="100"/>
  <c r="L50" i="100"/>
  <c r="M50" i="100"/>
  <c r="S50" i="100"/>
  <c r="U50" i="100"/>
  <c r="T50" i="100" s="1"/>
  <c r="V50" i="100"/>
  <c r="W50" i="100"/>
  <c r="H51" i="100"/>
  <c r="I51" i="100"/>
  <c r="K51" i="100"/>
  <c r="L51" i="100"/>
  <c r="M51" i="100"/>
  <c r="S51" i="100"/>
  <c r="U51" i="100"/>
  <c r="T51" i="100" s="1"/>
  <c r="V51" i="100"/>
  <c r="W51" i="100"/>
  <c r="H52" i="100"/>
  <c r="I52" i="100"/>
  <c r="K52" i="100"/>
  <c r="L52" i="100"/>
  <c r="M52" i="100"/>
  <c r="S52" i="100"/>
  <c r="U52" i="100"/>
  <c r="T52" i="100" s="1"/>
  <c r="V52" i="100"/>
  <c r="W52" i="100"/>
  <c r="H53" i="100"/>
  <c r="I53" i="100"/>
  <c r="K53" i="100"/>
  <c r="L53" i="100"/>
  <c r="M53" i="100"/>
  <c r="S53" i="100"/>
  <c r="U53" i="100"/>
  <c r="T53" i="100" s="1"/>
  <c r="V53" i="100"/>
  <c r="W53" i="100"/>
  <c r="H54" i="100"/>
  <c r="I54" i="100"/>
  <c r="K54" i="100"/>
  <c r="L54" i="100"/>
  <c r="M54" i="100"/>
  <c r="S54" i="100"/>
  <c r="U54" i="100"/>
  <c r="T54" i="100" s="1"/>
  <c r="V54" i="100"/>
  <c r="W54" i="100"/>
  <c r="H55" i="100"/>
  <c r="I55" i="100"/>
  <c r="K55" i="100"/>
  <c r="L55" i="100"/>
  <c r="M55" i="100"/>
  <c r="S55" i="100"/>
  <c r="U55" i="100"/>
  <c r="T55" i="100" s="1"/>
  <c r="V55" i="100"/>
  <c r="W55" i="100"/>
  <c r="H56" i="100"/>
  <c r="I56" i="100"/>
  <c r="K56" i="100"/>
  <c r="L56" i="100"/>
  <c r="M56" i="100"/>
  <c r="S56" i="100"/>
  <c r="U56" i="100"/>
  <c r="T56" i="100" s="1"/>
  <c r="V56" i="100"/>
  <c r="W56" i="100"/>
  <c r="H57" i="100"/>
  <c r="I57" i="100"/>
  <c r="K57" i="100"/>
  <c r="L57" i="100"/>
  <c r="M57" i="100"/>
  <c r="S57" i="100"/>
  <c r="U57" i="100"/>
  <c r="T57" i="100" s="1"/>
  <c r="V57" i="100"/>
  <c r="W57" i="100"/>
  <c r="H58" i="100"/>
  <c r="I58" i="100"/>
  <c r="K58" i="100"/>
  <c r="L58" i="100"/>
  <c r="M58" i="100"/>
  <c r="S58" i="100"/>
  <c r="U58" i="100"/>
  <c r="T58" i="100" s="1"/>
  <c r="V58" i="100"/>
  <c r="W58" i="100"/>
  <c r="H59" i="100"/>
  <c r="I59" i="100"/>
  <c r="K59" i="100"/>
  <c r="L59" i="100"/>
  <c r="M59" i="100"/>
  <c r="S59" i="100"/>
  <c r="U59" i="100"/>
  <c r="T59" i="100" s="1"/>
  <c r="V59" i="100"/>
  <c r="W59" i="100"/>
  <c r="H60" i="100"/>
  <c r="I60" i="100"/>
  <c r="K60" i="100"/>
  <c r="L60" i="100"/>
  <c r="M60" i="100"/>
  <c r="S60" i="100"/>
  <c r="U60" i="100"/>
  <c r="T60" i="100" s="1"/>
  <c r="V60" i="100"/>
  <c r="W60" i="100"/>
  <c r="H61" i="100"/>
  <c r="I61" i="100"/>
  <c r="K61" i="100"/>
  <c r="L61" i="100"/>
  <c r="M61" i="100"/>
  <c r="S61" i="100"/>
  <c r="U61" i="100"/>
  <c r="T61" i="100" s="1"/>
  <c r="V61" i="100"/>
  <c r="W61" i="100"/>
  <c r="H62" i="100"/>
  <c r="I62" i="100"/>
  <c r="K62" i="100"/>
  <c r="L62" i="100"/>
  <c r="M62" i="100"/>
  <c r="S62" i="100"/>
  <c r="U62" i="100"/>
  <c r="T62" i="100" s="1"/>
  <c r="V62" i="100"/>
  <c r="W62" i="100"/>
  <c r="H63" i="100"/>
  <c r="I63" i="100"/>
  <c r="K63" i="100"/>
  <c r="L63" i="100"/>
  <c r="M63" i="100"/>
  <c r="S63" i="100"/>
  <c r="U63" i="100"/>
  <c r="T63" i="100" s="1"/>
  <c r="V63" i="100"/>
  <c r="W63" i="100"/>
  <c r="H64" i="100"/>
  <c r="I64" i="100"/>
  <c r="K64" i="100"/>
  <c r="L64" i="100"/>
  <c r="M64" i="100"/>
  <c r="S64" i="100"/>
  <c r="U64" i="100"/>
  <c r="T64" i="100" s="1"/>
  <c r="V64" i="100"/>
  <c r="W64" i="100"/>
  <c r="H65" i="100"/>
  <c r="I65" i="100"/>
  <c r="K65" i="100"/>
  <c r="L65" i="100"/>
  <c r="M65" i="100"/>
  <c r="S65" i="100"/>
  <c r="U65" i="100"/>
  <c r="T65" i="100" s="1"/>
  <c r="V65" i="100"/>
  <c r="W65" i="100"/>
  <c r="H66" i="100"/>
  <c r="I66" i="100"/>
  <c r="K66" i="100"/>
  <c r="L66" i="100"/>
  <c r="M66" i="100"/>
  <c r="S66" i="100"/>
  <c r="U66" i="100"/>
  <c r="T66" i="100" s="1"/>
  <c r="V66" i="100"/>
  <c r="W66" i="100"/>
  <c r="H67" i="100"/>
  <c r="I67" i="100"/>
  <c r="K67" i="100"/>
  <c r="L67" i="100"/>
  <c r="M67" i="100"/>
  <c r="S67" i="100"/>
  <c r="U67" i="100"/>
  <c r="T67" i="100" s="1"/>
  <c r="V67" i="100"/>
  <c r="W67" i="100"/>
  <c r="H68" i="100"/>
  <c r="I68" i="100"/>
  <c r="K68" i="100"/>
  <c r="L68" i="100"/>
  <c r="M68" i="100"/>
  <c r="S68" i="100"/>
  <c r="U68" i="100"/>
  <c r="T68" i="100" s="1"/>
  <c r="V68" i="100"/>
  <c r="W68" i="100"/>
  <c r="H69" i="100"/>
  <c r="I69" i="100"/>
  <c r="K69" i="100"/>
  <c r="L69" i="100"/>
  <c r="M69" i="100"/>
  <c r="S69" i="100"/>
  <c r="U69" i="100"/>
  <c r="T69" i="100" s="1"/>
  <c r="V69" i="100"/>
  <c r="W69" i="100"/>
  <c r="H70" i="100"/>
  <c r="I70" i="100"/>
  <c r="K70" i="100"/>
  <c r="L70" i="100"/>
  <c r="M70" i="100"/>
  <c r="S70" i="100"/>
  <c r="U70" i="100"/>
  <c r="T70" i="100" s="1"/>
  <c r="V70" i="100"/>
  <c r="W70" i="100"/>
  <c r="H71" i="100"/>
  <c r="I71" i="100"/>
  <c r="K71" i="100"/>
  <c r="L71" i="100"/>
  <c r="M71" i="100"/>
  <c r="S71" i="100"/>
  <c r="U71" i="100"/>
  <c r="T71" i="100" s="1"/>
  <c r="V71" i="100"/>
  <c r="W71" i="100"/>
  <c r="H72" i="100"/>
  <c r="I72" i="100"/>
  <c r="K72" i="100"/>
  <c r="L72" i="100"/>
  <c r="M72" i="100"/>
  <c r="S72" i="100"/>
  <c r="U72" i="100"/>
  <c r="T72" i="100" s="1"/>
  <c r="V72" i="100"/>
  <c r="W72" i="100"/>
  <c r="H73" i="100"/>
  <c r="I73" i="100"/>
  <c r="K73" i="100"/>
  <c r="L73" i="100"/>
  <c r="M73" i="100"/>
  <c r="S73" i="100"/>
  <c r="U73" i="100"/>
  <c r="T73" i="100" s="1"/>
  <c r="V73" i="100"/>
  <c r="W73" i="100"/>
  <c r="H74" i="100"/>
  <c r="I74" i="100"/>
  <c r="K74" i="100"/>
  <c r="L74" i="100"/>
  <c r="M74" i="100"/>
  <c r="S74" i="100"/>
  <c r="U74" i="100"/>
  <c r="T74" i="100" s="1"/>
  <c r="V74" i="100"/>
  <c r="W74" i="100"/>
  <c r="H75" i="100"/>
  <c r="I75" i="100"/>
  <c r="K75" i="100"/>
  <c r="L75" i="100"/>
  <c r="M75" i="100"/>
  <c r="S75" i="100"/>
  <c r="U75" i="100"/>
  <c r="T75" i="100" s="1"/>
  <c r="V75" i="100"/>
  <c r="W75" i="100"/>
  <c r="H76" i="100"/>
  <c r="I76" i="100"/>
  <c r="K76" i="100"/>
  <c r="L76" i="100"/>
  <c r="M76" i="100"/>
  <c r="S76" i="100"/>
  <c r="U76" i="100"/>
  <c r="T76" i="100" s="1"/>
  <c r="V76" i="100"/>
  <c r="W76" i="100"/>
  <c r="H77" i="100"/>
  <c r="I77" i="100"/>
  <c r="K77" i="100"/>
  <c r="L77" i="100"/>
  <c r="M77" i="100"/>
  <c r="S77" i="100"/>
  <c r="U77" i="100"/>
  <c r="T77" i="100" s="1"/>
  <c r="V77" i="100"/>
  <c r="W77" i="100"/>
  <c r="H78" i="100"/>
  <c r="I78" i="100"/>
  <c r="K78" i="100"/>
  <c r="L78" i="100"/>
  <c r="M78" i="100"/>
  <c r="S78" i="100"/>
  <c r="U78" i="100"/>
  <c r="T78" i="100" s="1"/>
  <c r="V78" i="100"/>
  <c r="W78" i="100"/>
  <c r="H79" i="100"/>
  <c r="I79" i="100"/>
  <c r="K79" i="100"/>
  <c r="L79" i="100"/>
  <c r="M79" i="100"/>
  <c r="S79" i="100"/>
  <c r="U79" i="100"/>
  <c r="T79" i="100" s="1"/>
  <c r="V79" i="100"/>
  <c r="W79" i="100"/>
  <c r="H80" i="100"/>
  <c r="I80" i="100"/>
  <c r="K80" i="100"/>
  <c r="L80" i="100"/>
  <c r="M80" i="100"/>
  <c r="S80" i="100"/>
  <c r="U80" i="100"/>
  <c r="T80" i="100" s="1"/>
  <c r="V80" i="100"/>
  <c r="W80" i="100"/>
  <c r="F81" i="100"/>
  <c r="Q10" i="100" s="1"/>
  <c r="G81" i="100"/>
  <c r="H81" i="100"/>
  <c r="I81" i="100"/>
  <c r="Q2" i="100" s="1"/>
  <c r="K81" i="100"/>
  <c r="L81" i="100"/>
  <c r="M81" i="100"/>
  <c r="Q3" i="100" s="1"/>
  <c r="R81" i="100"/>
  <c r="S81" i="100"/>
  <c r="T81" i="100"/>
  <c r="U81" i="100"/>
  <c r="Q6" i="100" s="1"/>
  <c r="S17" i="99"/>
  <c r="H18" i="99"/>
  <c r="I18" i="99"/>
  <c r="K18" i="99"/>
  <c r="L18" i="99"/>
  <c r="M18" i="99"/>
  <c r="S18" i="99"/>
  <c r="U18" i="99"/>
  <c r="T18" i="99" s="1"/>
  <c r="V18" i="99"/>
  <c r="W18" i="99"/>
  <c r="I19" i="99"/>
  <c r="K19" i="99"/>
  <c r="L19" i="99"/>
  <c r="M19" i="99"/>
  <c r="S19" i="99"/>
  <c r="U19" i="99"/>
  <c r="T19" i="99" s="1"/>
  <c r="V19" i="99"/>
  <c r="W19" i="99"/>
  <c r="I20" i="99"/>
  <c r="K20" i="99"/>
  <c r="L20" i="99"/>
  <c r="M20" i="99"/>
  <c r="S20" i="99"/>
  <c r="U20" i="99"/>
  <c r="T20" i="99" s="1"/>
  <c r="V20" i="99"/>
  <c r="W20" i="99"/>
  <c r="I21" i="99"/>
  <c r="K21" i="99"/>
  <c r="L21" i="99"/>
  <c r="M21" i="99"/>
  <c r="S21" i="99"/>
  <c r="U21" i="99"/>
  <c r="T21" i="99" s="1"/>
  <c r="V21" i="99"/>
  <c r="W21" i="99"/>
  <c r="I22" i="99"/>
  <c r="K22" i="99"/>
  <c r="L22" i="99"/>
  <c r="M22" i="99"/>
  <c r="S22" i="99"/>
  <c r="U22" i="99"/>
  <c r="T22" i="99" s="1"/>
  <c r="V22" i="99"/>
  <c r="W22" i="99"/>
  <c r="I23" i="99"/>
  <c r="K23" i="99"/>
  <c r="L23" i="99"/>
  <c r="M23" i="99"/>
  <c r="S23" i="99"/>
  <c r="U23" i="99"/>
  <c r="T23" i="99" s="1"/>
  <c r="V23" i="99"/>
  <c r="W23" i="99"/>
  <c r="I24" i="99"/>
  <c r="K24" i="99"/>
  <c r="L24" i="99"/>
  <c r="M24" i="99"/>
  <c r="S24" i="99"/>
  <c r="U24" i="99"/>
  <c r="T24" i="99" s="1"/>
  <c r="V24" i="99"/>
  <c r="W24" i="99"/>
  <c r="I25" i="99"/>
  <c r="K25" i="99"/>
  <c r="L25" i="99"/>
  <c r="M25" i="99"/>
  <c r="S25" i="99"/>
  <c r="U25" i="99"/>
  <c r="T25" i="99" s="1"/>
  <c r="V25" i="99"/>
  <c r="W25" i="99"/>
  <c r="I26" i="99"/>
  <c r="K26" i="99"/>
  <c r="L26" i="99"/>
  <c r="M26" i="99"/>
  <c r="S26" i="99"/>
  <c r="U26" i="99"/>
  <c r="T26" i="99" s="1"/>
  <c r="V26" i="99"/>
  <c r="W26" i="99"/>
  <c r="I27" i="99"/>
  <c r="K27" i="99"/>
  <c r="L27" i="99"/>
  <c r="M27" i="99"/>
  <c r="S27" i="99"/>
  <c r="U27" i="99"/>
  <c r="T27" i="99" s="1"/>
  <c r="V27" i="99"/>
  <c r="W27" i="99"/>
  <c r="I28" i="99"/>
  <c r="K28" i="99"/>
  <c r="L28" i="99"/>
  <c r="M28" i="99"/>
  <c r="S28" i="99"/>
  <c r="U28" i="99"/>
  <c r="T28" i="99" s="1"/>
  <c r="V28" i="99"/>
  <c r="W28" i="99"/>
  <c r="I29" i="99"/>
  <c r="K29" i="99"/>
  <c r="L29" i="99"/>
  <c r="M29" i="99"/>
  <c r="S29" i="99"/>
  <c r="U29" i="99"/>
  <c r="T29" i="99" s="1"/>
  <c r="V29" i="99"/>
  <c r="W29" i="99"/>
  <c r="I30" i="99"/>
  <c r="K30" i="99"/>
  <c r="L30" i="99"/>
  <c r="M30" i="99"/>
  <c r="S30" i="99"/>
  <c r="U30" i="99"/>
  <c r="T30" i="99" s="1"/>
  <c r="V30" i="99"/>
  <c r="W30" i="99"/>
  <c r="I31" i="99"/>
  <c r="K31" i="99"/>
  <c r="L31" i="99"/>
  <c r="M31" i="99"/>
  <c r="S31" i="99"/>
  <c r="U31" i="99"/>
  <c r="T31" i="99" s="1"/>
  <c r="V31" i="99"/>
  <c r="W31" i="99"/>
  <c r="I32" i="99"/>
  <c r="K32" i="99"/>
  <c r="L32" i="99"/>
  <c r="M32" i="99"/>
  <c r="S32" i="99"/>
  <c r="U32" i="99"/>
  <c r="T32" i="99" s="1"/>
  <c r="V32" i="99"/>
  <c r="W32" i="99"/>
  <c r="I33" i="99"/>
  <c r="K33" i="99"/>
  <c r="L33" i="99"/>
  <c r="M33" i="99"/>
  <c r="S33" i="99"/>
  <c r="U33" i="99"/>
  <c r="T33" i="99" s="1"/>
  <c r="V33" i="99"/>
  <c r="W33" i="99"/>
  <c r="I34" i="99"/>
  <c r="K34" i="99"/>
  <c r="L34" i="99"/>
  <c r="M34" i="99"/>
  <c r="S34" i="99"/>
  <c r="U34" i="99"/>
  <c r="T34" i="99" s="1"/>
  <c r="V34" i="99"/>
  <c r="W34" i="99"/>
  <c r="I35" i="99"/>
  <c r="K35" i="99"/>
  <c r="L35" i="99"/>
  <c r="M35" i="99"/>
  <c r="S35" i="99"/>
  <c r="U35" i="99"/>
  <c r="T35" i="99" s="1"/>
  <c r="V35" i="99"/>
  <c r="W35" i="99"/>
  <c r="I36" i="99"/>
  <c r="K36" i="99"/>
  <c r="L36" i="99"/>
  <c r="M36" i="99"/>
  <c r="S36" i="99"/>
  <c r="U36" i="99"/>
  <c r="T36" i="99" s="1"/>
  <c r="V36" i="99"/>
  <c r="W36" i="99"/>
  <c r="I37" i="99"/>
  <c r="K37" i="99"/>
  <c r="L37" i="99"/>
  <c r="M37" i="99"/>
  <c r="S37" i="99"/>
  <c r="U37" i="99"/>
  <c r="T37" i="99" s="1"/>
  <c r="V37" i="99"/>
  <c r="W37" i="99"/>
  <c r="I38" i="99"/>
  <c r="K38" i="99"/>
  <c r="L38" i="99"/>
  <c r="M38" i="99"/>
  <c r="S38" i="99"/>
  <c r="U38" i="99"/>
  <c r="T38" i="99" s="1"/>
  <c r="V38" i="99"/>
  <c r="W38" i="99"/>
  <c r="I39" i="99"/>
  <c r="K39" i="99"/>
  <c r="L39" i="99"/>
  <c r="M39" i="99"/>
  <c r="S39" i="99"/>
  <c r="U39" i="99"/>
  <c r="T39" i="99" s="1"/>
  <c r="V39" i="99"/>
  <c r="W39" i="99"/>
  <c r="I40" i="99"/>
  <c r="K40" i="99"/>
  <c r="L40" i="99"/>
  <c r="M40" i="99"/>
  <c r="S40" i="99"/>
  <c r="U40" i="99"/>
  <c r="T40" i="99" s="1"/>
  <c r="V40" i="99"/>
  <c r="W40" i="99"/>
  <c r="I41" i="99"/>
  <c r="K41" i="99"/>
  <c r="L41" i="99"/>
  <c r="M41" i="99"/>
  <c r="S41" i="99"/>
  <c r="U41" i="99"/>
  <c r="T41" i="99" s="1"/>
  <c r="V41" i="99"/>
  <c r="W41" i="99"/>
  <c r="I42" i="99"/>
  <c r="K42" i="99"/>
  <c r="L42" i="99"/>
  <c r="M42" i="99"/>
  <c r="S42" i="99"/>
  <c r="U42" i="99"/>
  <c r="T42" i="99" s="1"/>
  <c r="V42" i="99"/>
  <c r="W42" i="99"/>
  <c r="I43" i="99"/>
  <c r="K43" i="99"/>
  <c r="L43" i="99"/>
  <c r="M43" i="99"/>
  <c r="S43" i="99"/>
  <c r="U43" i="99"/>
  <c r="T43" i="99" s="1"/>
  <c r="V43" i="99"/>
  <c r="W43" i="99"/>
  <c r="I44" i="99"/>
  <c r="K44" i="99"/>
  <c r="L44" i="99"/>
  <c r="M44" i="99"/>
  <c r="S44" i="99"/>
  <c r="U44" i="99"/>
  <c r="T44" i="99" s="1"/>
  <c r="V44" i="99"/>
  <c r="W44" i="99"/>
  <c r="I45" i="99"/>
  <c r="K45" i="99"/>
  <c r="L45" i="99"/>
  <c r="M45" i="99"/>
  <c r="S45" i="99"/>
  <c r="U45" i="99"/>
  <c r="T45" i="99" s="1"/>
  <c r="V45" i="99"/>
  <c r="W45" i="99"/>
  <c r="I46" i="99"/>
  <c r="K46" i="99"/>
  <c r="L46" i="99"/>
  <c r="M46" i="99"/>
  <c r="S46" i="99"/>
  <c r="U46" i="99"/>
  <c r="T46" i="99" s="1"/>
  <c r="V46" i="99"/>
  <c r="W46" i="99"/>
  <c r="I47" i="99"/>
  <c r="K47" i="99"/>
  <c r="L47" i="99"/>
  <c r="M47" i="99"/>
  <c r="S47" i="99"/>
  <c r="U47" i="99"/>
  <c r="T47" i="99" s="1"/>
  <c r="V47" i="99"/>
  <c r="W47" i="99"/>
  <c r="I48" i="99"/>
  <c r="K48" i="99"/>
  <c r="L48" i="99"/>
  <c r="M48" i="99"/>
  <c r="S48" i="99"/>
  <c r="U48" i="99"/>
  <c r="T48" i="99" s="1"/>
  <c r="V48" i="99"/>
  <c r="W48" i="99"/>
  <c r="I49" i="99"/>
  <c r="K49" i="99"/>
  <c r="L49" i="99"/>
  <c r="M49" i="99"/>
  <c r="S49" i="99"/>
  <c r="U49" i="99"/>
  <c r="T49" i="99" s="1"/>
  <c r="V49" i="99"/>
  <c r="W49" i="99"/>
  <c r="I50" i="99"/>
  <c r="K50" i="99"/>
  <c r="L50" i="99"/>
  <c r="M50" i="99"/>
  <c r="S50" i="99"/>
  <c r="U50" i="99"/>
  <c r="T50" i="99" s="1"/>
  <c r="V50" i="99"/>
  <c r="W50" i="99"/>
  <c r="I51" i="99"/>
  <c r="K51" i="99"/>
  <c r="L51" i="99"/>
  <c r="M51" i="99"/>
  <c r="S51" i="99"/>
  <c r="U51" i="99"/>
  <c r="T51" i="99" s="1"/>
  <c r="V51" i="99"/>
  <c r="W51" i="99"/>
  <c r="I52" i="99"/>
  <c r="K52" i="99"/>
  <c r="L52" i="99"/>
  <c r="M52" i="99"/>
  <c r="S52" i="99"/>
  <c r="U52" i="99"/>
  <c r="T52" i="99" s="1"/>
  <c r="V52" i="99"/>
  <c r="W52" i="99"/>
  <c r="I53" i="99"/>
  <c r="K53" i="99"/>
  <c r="L53" i="99"/>
  <c r="M53" i="99"/>
  <c r="S53" i="99"/>
  <c r="U53" i="99"/>
  <c r="T53" i="99" s="1"/>
  <c r="V53" i="99"/>
  <c r="W53" i="99"/>
  <c r="I54" i="99"/>
  <c r="K54" i="99"/>
  <c r="L54" i="99"/>
  <c r="M54" i="99"/>
  <c r="S54" i="99"/>
  <c r="U54" i="99"/>
  <c r="T54" i="99" s="1"/>
  <c r="V54" i="99"/>
  <c r="W54" i="99"/>
  <c r="I55" i="99"/>
  <c r="K55" i="99"/>
  <c r="L55" i="99"/>
  <c r="M55" i="99"/>
  <c r="S55" i="99"/>
  <c r="U55" i="99"/>
  <c r="T55" i="99" s="1"/>
  <c r="V55" i="99"/>
  <c r="W55" i="99"/>
  <c r="I56" i="99"/>
  <c r="K56" i="99"/>
  <c r="L56" i="99"/>
  <c r="M56" i="99"/>
  <c r="S56" i="99"/>
  <c r="U56" i="99"/>
  <c r="T56" i="99" s="1"/>
  <c r="V56" i="99"/>
  <c r="W56" i="99"/>
  <c r="I57" i="99"/>
  <c r="K57" i="99"/>
  <c r="L57" i="99"/>
  <c r="M57" i="99"/>
  <c r="S57" i="99"/>
  <c r="U57" i="99"/>
  <c r="T57" i="99" s="1"/>
  <c r="V57" i="99"/>
  <c r="W57" i="99"/>
  <c r="I58" i="99"/>
  <c r="K58" i="99"/>
  <c r="L58" i="99"/>
  <c r="M58" i="99"/>
  <c r="S58" i="99"/>
  <c r="U58" i="99"/>
  <c r="T58" i="99" s="1"/>
  <c r="V58" i="99"/>
  <c r="W58" i="99"/>
  <c r="I59" i="99"/>
  <c r="K59" i="99"/>
  <c r="L59" i="99"/>
  <c r="M59" i="99"/>
  <c r="S59" i="99"/>
  <c r="U59" i="99"/>
  <c r="T59" i="99" s="1"/>
  <c r="V59" i="99"/>
  <c r="W59" i="99"/>
  <c r="I60" i="99"/>
  <c r="K60" i="99"/>
  <c r="L60" i="99"/>
  <c r="M60" i="99"/>
  <c r="S60" i="99"/>
  <c r="U60" i="99"/>
  <c r="T60" i="99" s="1"/>
  <c r="V60" i="99"/>
  <c r="W60" i="99"/>
  <c r="I61" i="99"/>
  <c r="K61" i="99"/>
  <c r="L61" i="99"/>
  <c r="M61" i="99"/>
  <c r="S61" i="99"/>
  <c r="U61" i="99"/>
  <c r="T61" i="99" s="1"/>
  <c r="V61" i="99"/>
  <c r="W61" i="99"/>
  <c r="I62" i="99"/>
  <c r="K62" i="99"/>
  <c r="L62" i="99"/>
  <c r="M62" i="99"/>
  <c r="S62" i="99"/>
  <c r="U62" i="99"/>
  <c r="T62" i="99" s="1"/>
  <c r="V62" i="99"/>
  <c r="W62" i="99"/>
  <c r="I63" i="99"/>
  <c r="K63" i="99"/>
  <c r="L63" i="99"/>
  <c r="M63" i="99"/>
  <c r="S63" i="99"/>
  <c r="U63" i="99"/>
  <c r="T63" i="99" s="1"/>
  <c r="V63" i="99"/>
  <c r="W63" i="99"/>
  <c r="I64" i="99"/>
  <c r="K64" i="99"/>
  <c r="L64" i="99"/>
  <c r="M64" i="99"/>
  <c r="S64" i="99"/>
  <c r="U64" i="99"/>
  <c r="T64" i="99" s="1"/>
  <c r="V64" i="99"/>
  <c r="W64" i="99"/>
  <c r="I65" i="99"/>
  <c r="K65" i="99"/>
  <c r="L65" i="99"/>
  <c r="M65" i="99"/>
  <c r="S65" i="99"/>
  <c r="U65" i="99"/>
  <c r="T65" i="99" s="1"/>
  <c r="V65" i="99"/>
  <c r="W65" i="99"/>
  <c r="I66" i="99"/>
  <c r="K66" i="99"/>
  <c r="L66" i="99"/>
  <c r="M66" i="99"/>
  <c r="S66" i="99"/>
  <c r="U66" i="99"/>
  <c r="T66" i="99" s="1"/>
  <c r="V66" i="99"/>
  <c r="W66" i="99"/>
  <c r="I67" i="99"/>
  <c r="K67" i="99"/>
  <c r="L67" i="99"/>
  <c r="M67" i="99"/>
  <c r="S67" i="99"/>
  <c r="U67" i="99"/>
  <c r="T67" i="99" s="1"/>
  <c r="V67" i="99"/>
  <c r="W67" i="99"/>
  <c r="I68" i="99"/>
  <c r="K68" i="99"/>
  <c r="L68" i="99"/>
  <c r="M68" i="99"/>
  <c r="S68" i="99"/>
  <c r="U68" i="99"/>
  <c r="T68" i="99" s="1"/>
  <c r="V68" i="99"/>
  <c r="W68" i="99"/>
  <c r="I69" i="99"/>
  <c r="K69" i="99"/>
  <c r="L69" i="99"/>
  <c r="M69" i="99"/>
  <c r="S69" i="99"/>
  <c r="U69" i="99"/>
  <c r="T69" i="99" s="1"/>
  <c r="V69" i="99"/>
  <c r="W69" i="99"/>
  <c r="I70" i="99"/>
  <c r="K70" i="99"/>
  <c r="L70" i="99"/>
  <c r="M70" i="99"/>
  <c r="S70" i="99"/>
  <c r="U70" i="99"/>
  <c r="T70" i="99" s="1"/>
  <c r="V70" i="99"/>
  <c r="W70" i="99"/>
  <c r="I71" i="99"/>
  <c r="K71" i="99"/>
  <c r="L71" i="99"/>
  <c r="M71" i="99"/>
  <c r="S71" i="99"/>
  <c r="U71" i="99"/>
  <c r="T71" i="99" s="1"/>
  <c r="V71" i="99"/>
  <c r="W71" i="99"/>
  <c r="I72" i="99"/>
  <c r="K72" i="99"/>
  <c r="L72" i="99"/>
  <c r="M72" i="99"/>
  <c r="S72" i="99"/>
  <c r="U72" i="99"/>
  <c r="T72" i="99" s="1"/>
  <c r="V72" i="99"/>
  <c r="W72" i="99"/>
  <c r="I73" i="99"/>
  <c r="K73" i="99"/>
  <c r="L73" i="99"/>
  <c r="M73" i="99"/>
  <c r="S73" i="99"/>
  <c r="U73" i="99"/>
  <c r="T73" i="99" s="1"/>
  <c r="V73" i="99"/>
  <c r="W73" i="99"/>
  <c r="I74" i="99"/>
  <c r="K74" i="99"/>
  <c r="L74" i="99"/>
  <c r="M74" i="99"/>
  <c r="S74" i="99"/>
  <c r="U74" i="99"/>
  <c r="T74" i="99" s="1"/>
  <c r="V74" i="99"/>
  <c r="W74" i="99"/>
  <c r="I75" i="99"/>
  <c r="K75" i="99"/>
  <c r="L75" i="99"/>
  <c r="M75" i="99"/>
  <c r="S75" i="99"/>
  <c r="U75" i="99"/>
  <c r="T75" i="99" s="1"/>
  <c r="V75" i="99"/>
  <c r="W75" i="99"/>
  <c r="I76" i="99"/>
  <c r="K76" i="99"/>
  <c r="L76" i="99"/>
  <c r="M76" i="99"/>
  <c r="S76" i="99"/>
  <c r="U76" i="99"/>
  <c r="T76" i="99" s="1"/>
  <c r="V76" i="99"/>
  <c r="W76" i="99"/>
  <c r="I77" i="99"/>
  <c r="K77" i="99"/>
  <c r="L77" i="99"/>
  <c r="M77" i="99"/>
  <c r="S77" i="99"/>
  <c r="U77" i="99"/>
  <c r="T77" i="99" s="1"/>
  <c r="V77" i="99"/>
  <c r="W77" i="99"/>
  <c r="I78" i="99"/>
  <c r="K78" i="99"/>
  <c r="L78" i="99"/>
  <c r="M78" i="99"/>
  <c r="S78" i="99"/>
  <c r="U78" i="99"/>
  <c r="T78" i="99" s="1"/>
  <c r="V78" i="99"/>
  <c r="W78" i="99"/>
  <c r="I79" i="99"/>
  <c r="K79" i="99"/>
  <c r="L79" i="99"/>
  <c r="M79" i="99"/>
  <c r="S79" i="99"/>
  <c r="U79" i="99"/>
  <c r="T79" i="99" s="1"/>
  <c r="V79" i="99"/>
  <c r="W79" i="99"/>
  <c r="I80" i="99"/>
  <c r="K80" i="99"/>
  <c r="L80" i="99"/>
  <c r="M80" i="99"/>
  <c r="S80" i="99"/>
  <c r="U80" i="99"/>
  <c r="T80" i="99" s="1"/>
  <c r="V80" i="99"/>
  <c r="W80" i="99"/>
  <c r="I81" i="99"/>
  <c r="K81" i="99"/>
  <c r="L81" i="99"/>
  <c r="M81" i="99"/>
  <c r="R81" i="99"/>
  <c r="S81" i="99"/>
  <c r="T81" i="99"/>
  <c r="U81" i="99"/>
  <c r="F82" i="99"/>
  <c r="G82" i="99"/>
  <c r="I82" i="99"/>
  <c r="W14" i="99"/>
  <c r="E15" i="99"/>
  <c r="Q1" i="99"/>
  <c r="Q2" i="99"/>
  <c r="Q3" i="99"/>
  <c r="Q4" i="99"/>
  <c r="Q5" i="99"/>
  <c r="Q6" i="99"/>
  <c r="Q7" i="99"/>
  <c r="Q8" i="99"/>
  <c r="Q9" i="99"/>
  <c r="T9" i="99"/>
  <c r="U9" i="99"/>
  <c r="V9" i="99"/>
  <c r="W9" i="99"/>
  <c r="Q10" i="99"/>
  <c r="R81" i="98"/>
  <c r="G81" i="98"/>
  <c r="F81" i="98"/>
  <c r="K80" i="98"/>
  <c r="K79" i="98"/>
  <c r="K78" i="98"/>
  <c r="K77" i="98"/>
  <c r="K76" i="98"/>
  <c r="K75" i="98"/>
  <c r="K74" i="98"/>
  <c r="K73" i="98"/>
  <c r="K72" i="98"/>
  <c r="K71" i="98"/>
  <c r="K70" i="98"/>
  <c r="K69" i="98"/>
  <c r="K68" i="98"/>
  <c r="K67" i="98"/>
  <c r="K66" i="98"/>
  <c r="K65" i="98"/>
  <c r="K64" i="98"/>
  <c r="K63" i="98"/>
  <c r="K62" i="98"/>
  <c r="K61" i="98"/>
  <c r="K60" i="98"/>
  <c r="K59" i="98"/>
  <c r="K58" i="98"/>
  <c r="K57" i="98"/>
  <c r="K56" i="98"/>
  <c r="K55" i="98"/>
  <c r="K54" i="98"/>
  <c r="K53" i="98"/>
  <c r="K52" i="98"/>
  <c r="K51" i="98"/>
  <c r="K50" i="98"/>
  <c r="K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K18" i="98"/>
  <c r="S17" i="98"/>
  <c r="I17" i="98"/>
  <c r="H17" i="98"/>
  <c r="E15" i="98"/>
  <c r="Q10" i="98"/>
  <c r="Q1" i="98"/>
  <c r="Q8" i="98" s="1"/>
  <c r="S17" i="97"/>
  <c r="H18" i="97"/>
  <c r="I18" i="97"/>
  <c r="K18" i="97"/>
  <c r="L18" i="97"/>
  <c r="M18" i="97"/>
  <c r="S18" i="97"/>
  <c r="U18" i="97"/>
  <c r="T18" i="97" s="1"/>
  <c r="V18" i="97"/>
  <c r="W18" i="97"/>
  <c r="I19" i="97"/>
  <c r="K19" i="97"/>
  <c r="L19" i="97"/>
  <c r="M19" i="97"/>
  <c r="S19" i="97"/>
  <c r="U19" i="97"/>
  <c r="T19" i="97" s="1"/>
  <c r="V19" i="97"/>
  <c r="W19" i="97"/>
  <c r="I20" i="97"/>
  <c r="K20" i="97"/>
  <c r="L20" i="97"/>
  <c r="M20" i="97"/>
  <c r="S20" i="97"/>
  <c r="U20" i="97"/>
  <c r="T20" i="97" s="1"/>
  <c r="V20" i="97"/>
  <c r="W20" i="97"/>
  <c r="I21" i="97"/>
  <c r="K21" i="97"/>
  <c r="L21" i="97"/>
  <c r="M21" i="97"/>
  <c r="S21" i="97"/>
  <c r="U21" i="97"/>
  <c r="T21" i="97" s="1"/>
  <c r="V21" i="97"/>
  <c r="W21" i="97"/>
  <c r="I22" i="97"/>
  <c r="K22" i="97"/>
  <c r="L22" i="97"/>
  <c r="M22" i="97"/>
  <c r="S22" i="97"/>
  <c r="U22" i="97"/>
  <c r="T22" i="97" s="1"/>
  <c r="V22" i="97"/>
  <c r="W22" i="97"/>
  <c r="I23" i="97"/>
  <c r="K23" i="97"/>
  <c r="L23" i="97"/>
  <c r="M23" i="97"/>
  <c r="S23" i="97"/>
  <c r="U23" i="97"/>
  <c r="T23" i="97" s="1"/>
  <c r="V23" i="97"/>
  <c r="W23" i="97"/>
  <c r="I24" i="97"/>
  <c r="K24" i="97"/>
  <c r="L24" i="97"/>
  <c r="M24" i="97"/>
  <c r="S24" i="97"/>
  <c r="U24" i="97"/>
  <c r="T24" i="97" s="1"/>
  <c r="V24" i="97"/>
  <c r="W24" i="97"/>
  <c r="I25" i="97"/>
  <c r="K25" i="97"/>
  <c r="L25" i="97"/>
  <c r="M25" i="97"/>
  <c r="S25" i="97"/>
  <c r="U25" i="97"/>
  <c r="T25" i="97" s="1"/>
  <c r="V25" i="97"/>
  <c r="W25" i="97"/>
  <c r="I26" i="97"/>
  <c r="K26" i="97"/>
  <c r="L26" i="97"/>
  <c r="M26" i="97"/>
  <c r="S26" i="97"/>
  <c r="U26" i="97"/>
  <c r="T26" i="97" s="1"/>
  <c r="V26" i="97"/>
  <c r="W26" i="97"/>
  <c r="I27" i="97"/>
  <c r="K27" i="97"/>
  <c r="L27" i="97"/>
  <c r="M27" i="97"/>
  <c r="S27" i="97"/>
  <c r="U27" i="97"/>
  <c r="T27" i="97" s="1"/>
  <c r="V27" i="97"/>
  <c r="W27" i="97"/>
  <c r="I28" i="97"/>
  <c r="K28" i="97"/>
  <c r="L28" i="97"/>
  <c r="M28" i="97"/>
  <c r="S28" i="97"/>
  <c r="U28" i="97"/>
  <c r="T28" i="97" s="1"/>
  <c r="V28" i="97"/>
  <c r="W28" i="97"/>
  <c r="I29" i="97"/>
  <c r="K29" i="97"/>
  <c r="L29" i="97"/>
  <c r="M29" i="97"/>
  <c r="S29" i="97"/>
  <c r="U29" i="97"/>
  <c r="T29" i="97" s="1"/>
  <c r="V29" i="97"/>
  <c r="W29" i="97"/>
  <c r="I30" i="97"/>
  <c r="K30" i="97"/>
  <c r="L30" i="97"/>
  <c r="M30" i="97"/>
  <c r="S30" i="97"/>
  <c r="U30" i="97"/>
  <c r="T30" i="97" s="1"/>
  <c r="V30" i="97"/>
  <c r="W30" i="97"/>
  <c r="I31" i="97"/>
  <c r="K31" i="97"/>
  <c r="L31" i="97"/>
  <c r="M31" i="97"/>
  <c r="S31" i="97"/>
  <c r="U31" i="97"/>
  <c r="T31" i="97" s="1"/>
  <c r="V31" i="97"/>
  <c r="W31" i="97"/>
  <c r="I32" i="97"/>
  <c r="K32" i="97"/>
  <c r="L32" i="97"/>
  <c r="M32" i="97"/>
  <c r="S32" i="97"/>
  <c r="U32" i="97"/>
  <c r="T32" i="97" s="1"/>
  <c r="V32" i="97"/>
  <c r="W32" i="97"/>
  <c r="I33" i="97"/>
  <c r="K33" i="97"/>
  <c r="L33" i="97"/>
  <c r="M33" i="97"/>
  <c r="S33" i="97"/>
  <c r="U33" i="97"/>
  <c r="T33" i="97" s="1"/>
  <c r="V33" i="97"/>
  <c r="W33" i="97"/>
  <c r="I34" i="97"/>
  <c r="K34" i="97"/>
  <c r="L34" i="97"/>
  <c r="M34" i="97"/>
  <c r="S34" i="97"/>
  <c r="U34" i="97"/>
  <c r="T34" i="97" s="1"/>
  <c r="V34" i="97"/>
  <c r="W34" i="97"/>
  <c r="I35" i="97"/>
  <c r="K35" i="97"/>
  <c r="L35" i="97"/>
  <c r="M35" i="97"/>
  <c r="S35" i="97"/>
  <c r="U35" i="97"/>
  <c r="T35" i="97" s="1"/>
  <c r="V35" i="97"/>
  <c r="W35" i="97"/>
  <c r="I36" i="97"/>
  <c r="K36" i="97"/>
  <c r="L36" i="97"/>
  <c r="M36" i="97"/>
  <c r="S36" i="97"/>
  <c r="U36" i="97"/>
  <c r="T36" i="97" s="1"/>
  <c r="V36" i="97"/>
  <c r="W36" i="97"/>
  <c r="I37" i="97"/>
  <c r="K37" i="97"/>
  <c r="L37" i="97"/>
  <c r="M37" i="97"/>
  <c r="S37" i="97"/>
  <c r="U37" i="97"/>
  <c r="T37" i="97" s="1"/>
  <c r="V37" i="97"/>
  <c r="W37" i="97"/>
  <c r="I38" i="97"/>
  <c r="K38" i="97"/>
  <c r="L38" i="97"/>
  <c r="M38" i="97"/>
  <c r="S38" i="97"/>
  <c r="U38" i="97"/>
  <c r="T38" i="97" s="1"/>
  <c r="V38" i="97"/>
  <c r="W38" i="97"/>
  <c r="I39" i="97"/>
  <c r="K39" i="97"/>
  <c r="L39" i="97"/>
  <c r="M39" i="97"/>
  <c r="S39" i="97"/>
  <c r="U39" i="97"/>
  <c r="T39" i="97" s="1"/>
  <c r="V39" i="97"/>
  <c r="W39" i="97"/>
  <c r="I40" i="97"/>
  <c r="K40" i="97"/>
  <c r="L40" i="97"/>
  <c r="M40" i="97"/>
  <c r="S40" i="97"/>
  <c r="U40" i="97"/>
  <c r="T40" i="97" s="1"/>
  <c r="V40" i="97"/>
  <c r="W40" i="97"/>
  <c r="I41" i="97"/>
  <c r="K41" i="97"/>
  <c r="L41" i="97"/>
  <c r="M41" i="97"/>
  <c r="S41" i="97"/>
  <c r="U41" i="97"/>
  <c r="T41" i="97" s="1"/>
  <c r="V41" i="97"/>
  <c r="W41" i="97"/>
  <c r="I42" i="97"/>
  <c r="K42" i="97"/>
  <c r="L42" i="97"/>
  <c r="M42" i="97"/>
  <c r="S42" i="97"/>
  <c r="U42" i="97"/>
  <c r="T42" i="97" s="1"/>
  <c r="V42" i="97"/>
  <c r="W42" i="97"/>
  <c r="I43" i="97"/>
  <c r="K43" i="97"/>
  <c r="L43" i="97"/>
  <c r="M43" i="97"/>
  <c r="S43" i="97"/>
  <c r="U43" i="97"/>
  <c r="T43" i="97" s="1"/>
  <c r="V43" i="97"/>
  <c r="W43" i="97"/>
  <c r="I44" i="97"/>
  <c r="K44" i="97"/>
  <c r="L44" i="97"/>
  <c r="M44" i="97"/>
  <c r="S44" i="97"/>
  <c r="U44" i="97"/>
  <c r="T44" i="97" s="1"/>
  <c r="V44" i="97"/>
  <c r="W44" i="97"/>
  <c r="I45" i="97"/>
  <c r="K45" i="97"/>
  <c r="L45" i="97"/>
  <c r="M45" i="97"/>
  <c r="S45" i="97"/>
  <c r="U45" i="97"/>
  <c r="T45" i="97" s="1"/>
  <c r="V45" i="97"/>
  <c r="W45" i="97"/>
  <c r="I46" i="97"/>
  <c r="K46" i="97"/>
  <c r="L46" i="97"/>
  <c r="M46" i="97"/>
  <c r="S46" i="97"/>
  <c r="U46" i="97"/>
  <c r="T46" i="97" s="1"/>
  <c r="V46" i="97"/>
  <c r="W46" i="97"/>
  <c r="I47" i="97"/>
  <c r="K47" i="97"/>
  <c r="L47" i="97"/>
  <c r="M47" i="97"/>
  <c r="S47" i="97"/>
  <c r="U47" i="97"/>
  <c r="T47" i="97" s="1"/>
  <c r="V47" i="97"/>
  <c r="W47" i="97"/>
  <c r="I48" i="97"/>
  <c r="K48" i="97"/>
  <c r="L48" i="97"/>
  <c r="M48" i="97"/>
  <c r="S48" i="97"/>
  <c r="U48" i="97"/>
  <c r="T48" i="97" s="1"/>
  <c r="V48" i="97"/>
  <c r="W48" i="97"/>
  <c r="I49" i="97"/>
  <c r="K49" i="97"/>
  <c r="L49" i="97"/>
  <c r="M49" i="97"/>
  <c r="S49" i="97"/>
  <c r="U49" i="97"/>
  <c r="T49" i="97" s="1"/>
  <c r="V49" i="97"/>
  <c r="W49" i="97"/>
  <c r="I50" i="97"/>
  <c r="K50" i="97"/>
  <c r="L50" i="97"/>
  <c r="M50" i="97"/>
  <c r="S50" i="97"/>
  <c r="U50" i="97"/>
  <c r="T50" i="97" s="1"/>
  <c r="V50" i="97"/>
  <c r="W50" i="97"/>
  <c r="I51" i="97"/>
  <c r="K51" i="97"/>
  <c r="L51" i="97"/>
  <c r="M51" i="97"/>
  <c r="S51" i="97"/>
  <c r="U51" i="97"/>
  <c r="T51" i="97" s="1"/>
  <c r="V51" i="97"/>
  <c r="W51" i="97"/>
  <c r="I52" i="97"/>
  <c r="K52" i="97"/>
  <c r="L52" i="97"/>
  <c r="M52" i="97"/>
  <c r="S52" i="97"/>
  <c r="U52" i="97"/>
  <c r="T52" i="97" s="1"/>
  <c r="V52" i="97"/>
  <c r="W52" i="97"/>
  <c r="I53" i="97"/>
  <c r="K53" i="97"/>
  <c r="L53" i="97"/>
  <c r="M53" i="97"/>
  <c r="S53" i="97"/>
  <c r="U53" i="97"/>
  <c r="T53" i="97" s="1"/>
  <c r="V53" i="97"/>
  <c r="W53" i="97"/>
  <c r="I54" i="97"/>
  <c r="K54" i="97"/>
  <c r="L54" i="97"/>
  <c r="M54" i="97"/>
  <c r="S54" i="97"/>
  <c r="U54" i="97"/>
  <c r="T54" i="97" s="1"/>
  <c r="V54" i="97"/>
  <c r="W54" i="97"/>
  <c r="I55" i="97"/>
  <c r="K55" i="97"/>
  <c r="L55" i="97"/>
  <c r="M55" i="97"/>
  <c r="S55" i="97"/>
  <c r="U55" i="97"/>
  <c r="T55" i="97" s="1"/>
  <c r="V55" i="97"/>
  <c r="W55" i="97"/>
  <c r="I56" i="97"/>
  <c r="K56" i="97"/>
  <c r="L56" i="97"/>
  <c r="M56" i="97"/>
  <c r="S56" i="97"/>
  <c r="U56" i="97"/>
  <c r="T56" i="97" s="1"/>
  <c r="V56" i="97"/>
  <c r="W56" i="97"/>
  <c r="I57" i="97"/>
  <c r="K57" i="97"/>
  <c r="L57" i="97"/>
  <c r="M57" i="97"/>
  <c r="S57" i="97"/>
  <c r="U57" i="97"/>
  <c r="T57" i="97" s="1"/>
  <c r="V57" i="97"/>
  <c r="W57" i="97"/>
  <c r="I58" i="97"/>
  <c r="K58" i="97"/>
  <c r="L58" i="97"/>
  <c r="M58" i="97"/>
  <c r="S58" i="97"/>
  <c r="U58" i="97"/>
  <c r="T58" i="97" s="1"/>
  <c r="V58" i="97"/>
  <c r="W58" i="97"/>
  <c r="I59" i="97"/>
  <c r="K59" i="97"/>
  <c r="L59" i="97"/>
  <c r="M59" i="97"/>
  <c r="S59" i="97"/>
  <c r="U59" i="97"/>
  <c r="T59" i="97" s="1"/>
  <c r="V59" i="97"/>
  <c r="W59" i="97"/>
  <c r="I60" i="97"/>
  <c r="K60" i="97"/>
  <c r="L60" i="97"/>
  <c r="M60" i="97"/>
  <c r="S60" i="97"/>
  <c r="U60" i="97"/>
  <c r="T60" i="97" s="1"/>
  <c r="V60" i="97"/>
  <c r="W60" i="97"/>
  <c r="I61" i="97"/>
  <c r="K61" i="97"/>
  <c r="L61" i="97"/>
  <c r="M61" i="97"/>
  <c r="S61" i="97"/>
  <c r="U61" i="97"/>
  <c r="T61" i="97" s="1"/>
  <c r="V61" i="97"/>
  <c r="W61" i="97"/>
  <c r="I62" i="97"/>
  <c r="K62" i="97"/>
  <c r="L62" i="97"/>
  <c r="M62" i="97"/>
  <c r="S62" i="97"/>
  <c r="U62" i="97"/>
  <c r="T62" i="97" s="1"/>
  <c r="V62" i="97"/>
  <c r="W62" i="97"/>
  <c r="I63" i="97"/>
  <c r="K63" i="97"/>
  <c r="L63" i="97"/>
  <c r="M63" i="97"/>
  <c r="S63" i="97"/>
  <c r="U63" i="97"/>
  <c r="T63" i="97" s="1"/>
  <c r="V63" i="97"/>
  <c r="W63" i="97"/>
  <c r="I64" i="97"/>
  <c r="K64" i="97"/>
  <c r="L64" i="97"/>
  <c r="M64" i="97"/>
  <c r="S64" i="97"/>
  <c r="U64" i="97"/>
  <c r="T64" i="97" s="1"/>
  <c r="V64" i="97"/>
  <c r="W64" i="97"/>
  <c r="I65" i="97"/>
  <c r="K65" i="97"/>
  <c r="L65" i="97"/>
  <c r="M65" i="97"/>
  <c r="S65" i="97"/>
  <c r="U65" i="97"/>
  <c r="T65" i="97" s="1"/>
  <c r="V65" i="97"/>
  <c r="W65" i="97"/>
  <c r="I66" i="97"/>
  <c r="K66" i="97"/>
  <c r="L66" i="97"/>
  <c r="M66" i="97"/>
  <c r="S66" i="97"/>
  <c r="U66" i="97"/>
  <c r="T66" i="97" s="1"/>
  <c r="V66" i="97"/>
  <c r="W66" i="97"/>
  <c r="I67" i="97"/>
  <c r="K67" i="97"/>
  <c r="L67" i="97"/>
  <c r="M67" i="97"/>
  <c r="S67" i="97"/>
  <c r="U67" i="97"/>
  <c r="T67" i="97" s="1"/>
  <c r="V67" i="97"/>
  <c r="W67" i="97"/>
  <c r="I68" i="97"/>
  <c r="K68" i="97"/>
  <c r="L68" i="97"/>
  <c r="M68" i="97"/>
  <c r="S68" i="97"/>
  <c r="U68" i="97"/>
  <c r="T68" i="97" s="1"/>
  <c r="V68" i="97"/>
  <c r="W68" i="97"/>
  <c r="I69" i="97"/>
  <c r="K69" i="97"/>
  <c r="L69" i="97"/>
  <c r="M69" i="97"/>
  <c r="S69" i="97"/>
  <c r="U69" i="97"/>
  <c r="T69" i="97" s="1"/>
  <c r="V69" i="97"/>
  <c r="W69" i="97"/>
  <c r="I70" i="97"/>
  <c r="K70" i="97"/>
  <c r="L70" i="97"/>
  <c r="M70" i="97"/>
  <c r="S70" i="97"/>
  <c r="U70" i="97"/>
  <c r="T70" i="97" s="1"/>
  <c r="V70" i="97"/>
  <c r="W70" i="97"/>
  <c r="I71" i="97"/>
  <c r="K71" i="97"/>
  <c r="L71" i="97"/>
  <c r="M71" i="97"/>
  <c r="S71" i="97"/>
  <c r="U71" i="97"/>
  <c r="T71" i="97" s="1"/>
  <c r="V71" i="97"/>
  <c r="W71" i="97"/>
  <c r="I72" i="97"/>
  <c r="K72" i="97"/>
  <c r="L72" i="97"/>
  <c r="M72" i="97"/>
  <c r="S72" i="97"/>
  <c r="U72" i="97"/>
  <c r="T72" i="97" s="1"/>
  <c r="V72" i="97"/>
  <c r="W72" i="97"/>
  <c r="I73" i="97"/>
  <c r="K73" i="97"/>
  <c r="L73" i="97"/>
  <c r="M73" i="97"/>
  <c r="S73" i="97"/>
  <c r="U73" i="97"/>
  <c r="T73" i="97" s="1"/>
  <c r="V73" i="97"/>
  <c r="W73" i="97"/>
  <c r="I74" i="97"/>
  <c r="K74" i="97"/>
  <c r="L74" i="97"/>
  <c r="M74" i="97"/>
  <c r="S74" i="97"/>
  <c r="U74" i="97"/>
  <c r="T74" i="97" s="1"/>
  <c r="V74" i="97"/>
  <c r="W74" i="97"/>
  <c r="I75" i="97"/>
  <c r="K75" i="97"/>
  <c r="L75" i="97"/>
  <c r="M75" i="97"/>
  <c r="S75" i="97"/>
  <c r="U75" i="97"/>
  <c r="T75" i="97" s="1"/>
  <c r="V75" i="97"/>
  <c r="W75" i="97"/>
  <c r="I76" i="97"/>
  <c r="K76" i="97"/>
  <c r="L76" i="97"/>
  <c r="M76" i="97"/>
  <c r="S76" i="97"/>
  <c r="U76" i="97"/>
  <c r="T76" i="97" s="1"/>
  <c r="V76" i="97"/>
  <c r="W76" i="97"/>
  <c r="I77" i="97"/>
  <c r="K77" i="97"/>
  <c r="L77" i="97"/>
  <c r="M77" i="97"/>
  <c r="S77" i="97"/>
  <c r="U77" i="97"/>
  <c r="T77" i="97" s="1"/>
  <c r="V77" i="97"/>
  <c r="W77" i="97"/>
  <c r="I78" i="97"/>
  <c r="K78" i="97"/>
  <c r="L78" i="97"/>
  <c r="M78" i="97"/>
  <c r="S78" i="97"/>
  <c r="U78" i="97"/>
  <c r="T78" i="97" s="1"/>
  <c r="V78" i="97"/>
  <c r="W78" i="97"/>
  <c r="I79" i="97"/>
  <c r="K79" i="97"/>
  <c r="L79" i="97"/>
  <c r="M79" i="97"/>
  <c r="S79" i="97"/>
  <c r="U79" i="97"/>
  <c r="T79" i="97" s="1"/>
  <c r="V79" i="97"/>
  <c r="W79" i="97"/>
  <c r="I80" i="97"/>
  <c r="K80" i="97"/>
  <c r="L80" i="97"/>
  <c r="M80" i="97"/>
  <c r="S80" i="97"/>
  <c r="U80" i="97"/>
  <c r="T80" i="97" s="1"/>
  <c r="V80" i="97"/>
  <c r="W80" i="97"/>
  <c r="I81" i="97"/>
  <c r="K81" i="97"/>
  <c r="L81" i="97"/>
  <c r="M81" i="97"/>
  <c r="R81" i="97"/>
  <c r="S81" i="97"/>
  <c r="T81" i="97"/>
  <c r="U81" i="97"/>
  <c r="F82" i="97"/>
  <c r="G82" i="97"/>
  <c r="I82" i="97"/>
  <c r="W14" i="97"/>
  <c r="E15" i="97"/>
  <c r="Q1" i="97"/>
  <c r="Q2" i="97"/>
  <c r="Q3" i="97"/>
  <c r="Q4" i="97"/>
  <c r="Q5" i="97"/>
  <c r="Q6" i="97"/>
  <c r="Q7" i="97"/>
  <c r="Q8" i="97"/>
  <c r="Q9" i="97"/>
  <c r="T9" i="97"/>
  <c r="U9" i="97"/>
  <c r="V9" i="97"/>
  <c r="W9" i="97"/>
  <c r="Q10" i="97"/>
  <c r="S17" i="96"/>
  <c r="H18" i="96"/>
  <c r="I18" i="96"/>
  <c r="K18" i="96"/>
  <c r="L18" i="96"/>
  <c r="M18" i="96"/>
  <c r="S18" i="96"/>
  <c r="U18" i="96"/>
  <c r="T18" i="96" s="1"/>
  <c r="V18" i="96"/>
  <c r="W18" i="96"/>
  <c r="I19" i="96"/>
  <c r="K19" i="96"/>
  <c r="L19" i="96"/>
  <c r="M19" i="96"/>
  <c r="S19" i="96"/>
  <c r="U19" i="96"/>
  <c r="T19" i="96" s="1"/>
  <c r="V19" i="96"/>
  <c r="W19" i="96"/>
  <c r="I20" i="96"/>
  <c r="K20" i="96"/>
  <c r="L20" i="96"/>
  <c r="M20" i="96"/>
  <c r="S20" i="96"/>
  <c r="U20" i="96"/>
  <c r="T20" i="96" s="1"/>
  <c r="V20" i="96"/>
  <c r="W20" i="96"/>
  <c r="I21" i="96"/>
  <c r="K21" i="96"/>
  <c r="L21" i="96"/>
  <c r="M21" i="96"/>
  <c r="S21" i="96"/>
  <c r="U21" i="96"/>
  <c r="T21" i="96" s="1"/>
  <c r="V21" i="96"/>
  <c r="W21" i="96"/>
  <c r="I22" i="96"/>
  <c r="K22" i="96"/>
  <c r="L22" i="96"/>
  <c r="M22" i="96"/>
  <c r="S22" i="96"/>
  <c r="U22" i="96"/>
  <c r="T22" i="96" s="1"/>
  <c r="V22" i="96"/>
  <c r="W22" i="96"/>
  <c r="I23" i="96"/>
  <c r="K23" i="96"/>
  <c r="L23" i="96"/>
  <c r="M23" i="96"/>
  <c r="S23" i="96"/>
  <c r="U23" i="96"/>
  <c r="T23" i="96" s="1"/>
  <c r="V23" i="96"/>
  <c r="W23" i="96"/>
  <c r="I24" i="96"/>
  <c r="K24" i="96"/>
  <c r="L24" i="96"/>
  <c r="M24" i="96"/>
  <c r="S24" i="96"/>
  <c r="U24" i="96"/>
  <c r="T24" i="96" s="1"/>
  <c r="V24" i="96"/>
  <c r="W24" i="96"/>
  <c r="I25" i="96"/>
  <c r="K25" i="96"/>
  <c r="L25" i="96"/>
  <c r="M25" i="96"/>
  <c r="S25" i="96"/>
  <c r="U25" i="96"/>
  <c r="T25" i="96" s="1"/>
  <c r="V25" i="96"/>
  <c r="W25" i="96"/>
  <c r="I26" i="96"/>
  <c r="K26" i="96"/>
  <c r="L26" i="96"/>
  <c r="M26" i="96"/>
  <c r="S26" i="96"/>
  <c r="U26" i="96"/>
  <c r="T26" i="96" s="1"/>
  <c r="V26" i="96"/>
  <c r="W26" i="96"/>
  <c r="I27" i="96"/>
  <c r="K27" i="96"/>
  <c r="L27" i="96"/>
  <c r="M27" i="96"/>
  <c r="S27" i="96"/>
  <c r="U27" i="96"/>
  <c r="T27" i="96" s="1"/>
  <c r="V27" i="96"/>
  <c r="W27" i="96"/>
  <c r="I28" i="96"/>
  <c r="K28" i="96"/>
  <c r="L28" i="96"/>
  <c r="M28" i="96"/>
  <c r="S28" i="96"/>
  <c r="U28" i="96"/>
  <c r="T28" i="96" s="1"/>
  <c r="V28" i="96"/>
  <c r="W28" i="96"/>
  <c r="I29" i="96"/>
  <c r="K29" i="96"/>
  <c r="L29" i="96"/>
  <c r="M29" i="96"/>
  <c r="S29" i="96"/>
  <c r="U29" i="96"/>
  <c r="T29" i="96" s="1"/>
  <c r="V29" i="96"/>
  <c r="W29" i="96"/>
  <c r="I30" i="96"/>
  <c r="K30" i="96"/>
  <c r="L30" i="96"/>
  <c r="M30" i="96"/>
  <c r="S30" i="96"/>
  <c r="U30" i="96"/>
  <c r="T30" i="96" s="1"/>
  <c r="V30" i="96"/>
  <c r="W30" i="96"/>
  <c r="I31" i="96"/>
  <c r="K31" i="96"/>
  <c r="L31" i="96"/>
  <c r="M31" i="96"/>
  <c r="S31" i="96"/>
  <c r="U31" i="96"/>
  <c r="T31" i="96" s="1"/>
  <c r="V31" i="96"/>
  <c r="W31" i="96"/>
  <c r="I32" i="96"/>
  <c r="K32" i="96"/>
  <c r="L32" i="96"/>
  <c r="M32" i="96"/>
  <c r="S32" i="96"/>
  <c r="U32" i="96"/>
  <c r="T32" i="96" s="1"/>
  <c r="V32" i="96"/>
  <c r="W32" i="96"/>
  <c r="I33" i="96"/>
  <c r="K33" i="96"/>
  <c r="L33" i="96"/>
  <c r="M33" i="96"/>
  <c r="S33" i="96"/>
  <c r="U33" i="96"/>
  <c r="T33" i="96" s="1"/>
  <c r="V33" i="96"/>
  <c r="W33" i="96"/>
  <c r="I34" i="96"/>
  <c r="K34" i="96"/>
  <c r="L34" i="96"/>
  <c r="M34" i="96"/>
  <c r="S34" i="96"/>
  <c r="U34" i="96"/>
  <c r="T34" i="96" s="1"/>
  <c r="V34" i="96"/>
  <c r="W34" i="96"/>
  <c r="I35" i="96"/>
  <c r="K35" i="96"/>
  <c r="L35" i="96"/>
  <c r="M35" i="96"/>
  <c r="S35" i="96"/>
  <c r="U35" i="96"/>
  <c r="T35" i="96" s="1"/>
  <c r="V35" i="96"/>
  <c r="W35" i="96"/>
  <c r="I36" i="96"/>
  <c r="K36" i="96"/>
  <c r="L36" i="96"/>
  <c r="M36" i="96"/>
  <c r="S36" i="96"/>
  <c r="U36" i="96"/>
  <c r="T36" i="96" s="1"/>
  <c r="V36" i="96"/>
  <c r="W36" i="96"/>
  <c r="I37" i="96"/>
  <c r="K37" i="96"/>
  <c r="L37" i="96"/>
  <c r="M37" i="96"/>
  <c r="S37" i="96"/>
  <c r="U37" i="96"/>
  <c r="T37" i="96" s="1"/>
  <c r="V37" i="96"/>
  <c r="W37" i="96"/>
  <c r="I38" i="96"/>
  <c r="K38" i="96"/>
  <c r="L38" i="96"/>
  <c r="M38" i="96"/>
  <c r="S38" i="96"/>
  <c r="U38" i="96"/>
  <c r="T38" i="96" s="1"/>
  <c r="V38" i="96"/>
  <c r="W38" i="96"/>
  <c r="I39" i="96"/>
  <c r="K39" i="96"/>
  <c r="L39" i="96"/>
  <c r="M39" i="96"/>
  <c r="S39" i="96"/>
  <c r="U39" i="96"/>
  <c r="T39" i="96" s="1"/>
  <c r="V39" i="96"/>
  <c r="W39" i="96"/>
  <c r="I40" i="96"/>
  <c r="K40" i="96"/>
  <c r="L40" i="96"/>
  <c r="M40" i="96"/>
  <c r="S40" i="96"/>
  <c r="U40" i="96"/>
  <c r="T40" i="96" s="1"/>
  <c r="V40" i="96"/>
  <c r="W40" i="96"/>
  <c r="I41" i="96"/>
  <c r="K41" i="96"/>
  <c r="L41" i="96"/>
  <c r="M41" i="96"/>
  <c r="S41" i="96"/>
  <c r="U41" i="96"/>
  <c r="T41" i="96" s="1"/>
  <c r="V41" i="96"/>
  <c r="W41" i="96"/>
  <c r="I42" i="96"/>
  <c r="K42" i="96"/>
  <c r="L42" i="96"/>
  <c r="M42" i="96"/>
  <c r="S42" i="96"/>
  <c r="U42" i="96"/>
  <c r="T42" i="96" s="1"/>
  <c r="V42" i="96"/>
  <c r="W42" i="96"/>
  <c r="I43" i="96"/>
  <c r="K43" i="96"/>
  <c r="L43" i="96"/>
  <c r="M43" i="96"/>
  <c r="S43" i="96"/>
  <c r="U43" i="96"/>
  <c r="T43" i="96" s="1"/>
  <c r="V43" i="96"/>
  <c r="W43" i="96"/>
  <c r="I44" i="96"/>
  <c r="K44" i="96"/>
  <c r="L44" i="96"/>
  <c r="M44" i="96"/>
  <c r="S44" i="96"/>
  <c r="U44" i="96"/>
  <c r="T44" i="96" s="1"/>
  <c r="V44" i="96"/>
  <c r="W44" i="96"/>
  <c r="I45" i="96"/>
  <c r="K45" i="96"/>
  <c r="L45" i="96"/>
  <c r="M45" i="96"/>
  <c r="S45" i="96"/>
  <c r="U45" i="96"/>
  <c r="T45" i="96" s="1"/>
  <c r="V45" i="96"/>
  <c r="W45" i="96"/>
  <c r="I46" i="96"/>
  <c r="K46" i="96"/>
  <c r="L46" i="96"/>
  <c r="M46" i="96"/>
  <c r="S46" i="96"/>
  <c r="U46" i="96"/>
  <c r="T46" i="96" s="1"/>
  <c r="V46" i="96"/>
  <c r="W46" i="96"/>
  <c r="I47" i="96"/>
  <c r="K47" i="96"/>
  <c r="L47" i="96"/>
  <c r="M47" i="96"/>
  <c r="S47" i="96"/>
  <c r="U47" i="96"/>
  <c r="T47" i="96" s="1"/>
  <c r="V47" i="96"/>
  <c r="W47" i="96"/>
  <c r="I48" i="96"/>
  <c r="K48" i="96"/>
  <c r="L48" i="96"/>
  <c r="M48" i="96"/>
  <c r="S48" i="96"/>
  <c r="U48" i="96"/>
  <c r="T48" i="96" s="1"/>
  <c r="V48" i="96"/>
  <c r="W48" i="96"/>
  <c r="I49" i="96"/>
  <c r="K49" i="96"/>
  <c r="L49" i="96"/>
  <c r="M49" i="96"/>
  <c r="S49" i="96"/>
  <c r="U49" i="96"/>
  <c r="T49" i="96" s="1"/>
  <c r="V49" i="96"/>
  <c r="W49" i="96"/>
  <c r="I50" i="96"/>
  <c r="K50" i="96"/>
  <c r="L50" i="96"/>
  <c r="M50" i="96"/>
  <c r="S50" i="96"/>
  <c r="U50" i="96"/>
  <c r="T50" i="96" s="1"/>
  <c r="V50" i="96"/>
  <c r="W50" i="96"/>
  <c r="I51" i="96"/>
  <c r="K51" i="96"/>
  <c r="L51" i="96"/>
  <c r="M51" i="96"/>
  <c r="S51" i="96"/>
  <c r="U51" i="96"/>
  <c r="T51" i="96" s="1"/>
  <c r="V51" i="96"/>
  <c r="W51" i="96"/>
  <c r="I52" i="96"/>
  <c r="K52" i="96"/>
  <c r="L52" i="96"/>
  <c r="M52" i="96"/>
  <c r="S52" i="96"/>
  <c r="U52" i="96"/>
  <c r="T52" i="96" s="1"/>
  <c r="V52" i="96"/>
  <c r="W52" i="96"/>
  <c r="I53" i="96"/>
  <c r="K53" i="96"/>
  <c r="L53" i="96"/>
  <c r="M53" i="96"/>
  <c r="S53" i="96"/>
  <c r="U53" i="96"/>
  <c r="T53" i="96" s="1"/>
  <c r="V53" i="96"/>
  <c r="W53" i="96"/>
  <c r="I54" i="96"/>
  <c r="K54" i="96"/>
  <c r="L54" i="96"/>
  <c r="M54" i="96"/>
  <c r="S54" i="96"/>
  <c r="U54" i="96"/>
  <c r="T54" i="96" s="1"/>
  <c r="V54" i="96"/>
  <c r="W54" i="96"/>
  <c r="I55" i="96"/>
  <c r="K55" i="96"/>
  <c r="L55" i="96"/>
  <c r="M55" i="96"/>
  <c r="S55" i="96"/>
  <c r="U55" i="96"/>
  <c r="T55" i="96" s="1"/>
  <c r="V55" i="96"/>
  <c r="W55" i="96"/>
  <c r="I56" i="96"/>
  <c r="K56" i="96"/>
  <c r="L56" i="96"/>
  <c r="M56" i="96"/>
  <c r="S56" i="96"/>
  <c r="U56" i="96"/>
  <c r="T56" i="96" s="1"/>
  <c r="V56" i="96"/>
  <c r="W56" i="96"/>
  <c r="I57" i="96"/>
  <c r="K57" i="96"/>
  <c r="L57" i="96"/>
  <c r="M57" i="96"/>
  <c r="S57" i="96"/>
  <c r="U57" i="96"/>
  <c r="T57" i="96" s="1"/>
  <c r="V57" i="96"/>
  <c r="W57" i="96"/>
  <c r="I58" i="96"/>
  <c r="K58" i="96"/>
  <c r="L58" i="96"/>
  <c r="M58" i="96"/>
  <c r="S58" i="96"/>
  <c r="U58" i="96"/>
  <c r="T58" i="96" s="1"/>
  <c r="V58" i="96"/>
  <c r="W58" i="96"/>
  <c r="I59" i="96"/>
  <c r="K59" i="96"/>
  <c r="L59" i="96"/>
  <c r="M59" i="96"/>
  <c r="S59" i="96"/>
  <c r="U59" i="96"/>
  <c r="T59" i="96" s="1"/>
  <c r="V59" i="96"/>
  <c r="W59" i="96"/>
  <c r="I60" i="96"/>
  <c r="K60" i="96"/>
  <c r="L60" i="96"/>
  <c r="M60" i="96"/>
  <c r="S60" i="96"/>
  <c r="U60" i="96"/>
  <c r="T60" i="96" s="1"/>
  <c r="V60" i="96"/>
  <c r="W60" i="96"/>
  <c r="I61" i="96"/>
  <c r="K61" i="96"/>
  <c r="L61" i="96"/>
  <c r="M61" i="96"/>
  <c r="S61" i="96"/>
  <c r="U61" i="96"/>
  <c r="T61" i="96" s="1"/>
  <c r="V61" i="96"/>
  <c r="W61" i="96"/>
  <c r="I62" i="96"/>
  <c r="K62" i="96"/>
  <c r="L62" i="96"/>
  <c r="M62" i="96"/>
  <c r="S62" i="96"/>
  <c r="U62" i="96"/>
  <c r="T62" i="96" s="1"/>
  <c r="V62" i="96"/>
  <c r="W62" i="96"/>
  <c r="I63" i="96"/>
  <c r="K63" i="96"/>
  <c r="L63" i="96"/>
  <c r="M63" i="96"/>
  <c r="S63" i="96"/>
  <c r="U63" i="96"/>
  <c r="T63" i="96" s="1"/>
  <c r="V63" i="96"/>
  <c r="W63" i="96"/>
  <c r="I64" i="96"/>
  <c r="K64" i="96"/>
  <c r="L64" i="96"/>
  <c r="M64" i="96"/>
  <c r="S64" i="96"/>
  <c r="U64" i="96"/>
  <c r="T64" i="96" s="1"/>
  <c r="V64" i="96"/>
  <c r="W64" i="96"/>
  <c r="I65" i="96"/>
  <c r="K65" i="96"/>
  <c r="L65" i="96"/>
  <c r="M65" i="96"/>
  <c r="S65" i="96"/>
  <c r="U65" i="96"/>
  <c r="T65" i="96" s="1"/>
  <c r="V65" i="96"/>
  <c r="W65" i="96"/>
  <c r="I66" i="96"/>
  <c r="K66" i="96"/>
  <c r="L66" i="96"/>
  <c r="M66" i="96"/>
  <c r="S66" i="96"/>
  <c r="U66" i="96"/>
  <c r="T66" i="96" s="1"/>
  <c r="V66" i="96"/>
  <c r="W66" i="96"/>
  <c r="I67" i="96"/>
  <c r="K67" i="96"/>
  <c r="L67" i="96"/>
  <c r="M67" i="96"/>
  <c r="S67" i="96"/>
  <c r="U67" i="96"/>
  <c r="T67" i="96" s="1"/>
  <c r="V67" i="96"/>
  <c r="W67" i="96"/>
  <c r="I68" i="96"/>
  <c r="K68" i="96"/>
  <c r="L68" i="96"/>
  <c r="M68" i="96"/>
  <c r="S68" i="96"/>
  <c r="U68" i="96"/>
  <c r="T68" i="96" s="1"/>
  <c r="V68" i="96"/>
  <c r="W68" i="96"/>
  <c r="I69" i="96"/>
  <c r="K69" i="96"/>
  <c r="L69" i="96"/>
  <c r="M69" i="96"/>
  <c r="S69" i="96"/>
  <c r="U69" i="96"/>
  <c r="T69" i="96" s="1"/>
  <c r="V69" i="96"/>
  <c r="W69" i="96"/>
  <c r="I70" i="96"/>
  <c r="K70" i="96"/>
  <c r="L70" i="96"/>
  <c r="M70" i="96"/>
  <c r="S70" i="96"/>
  <c r="U70" i="96"/>
  <c r="T70" i="96" s="1"/>
  <c r="V70" i="96"/>
  <c r="W70" i="96"/>
  <c r="I71" i="96"/>
  <c r="K71" i="96"/>
  <c r="L71" i="96"/>
  <c r="M71" i="96"/>
  <c r="S71" i="96"/>
  <c r="U71" i="96"/>
  <c r="T71" i="96" s="1"/>
  <c r="V71" i="96"/>
  <c r="W71" i="96"/>
  <c r="I72" i="96"/>
  <c r="K72" i="96"/>
  <c r="L72" i="96"/>
  <c r="M72" i="96"/>
  <c r="S72" i="96"/>
  <c r="U72" i="96"/>
  <c r="T72" i="96" s="1"/>
  <c r="V72" i="96"/>
  <c r="W72" i="96"/>
  <c r="I73" i="96"/>
  <c r="K73" i="96"/>
  <c r="L73" i="96"/>
  <c r="M73" i="96"/>
  <c r="S73" i="96"/>
  <c r="U73" i="96"/>
  <c r="T73" i="96" s="1"/>
  <c r="V73" i="96"/>
  <c r="W73" i="96"/>
  <c r="I74" i="96"/>
  <c r="K74" i="96"/>
  <c r="L74" i="96"/>
  <c r="M74" i="96"/>
  <c r="S74" i="96"/>
  <c r="U74" i="96"/>
  <c r="T74" i="96" s="1"/>
  <c r="V74" i="96"/>
  <c r="W74" i="96"/>
  <c r="I75" i="96"/>
  <c r="K75" i="96"/>
  <c r="L75" i="96"/>
  <c r="M75" i="96"/>
  <c r="S75" i="96"/>
  <c r="U75" i="96"/>
  <c r="T75" i="96" s="1"/>
  <c r="V75" i="96"/>
  <c r="W75" i="96"/>
  <c r="I76" i="96"/>
  <c r="K76" i="96"/>
  <c r="L76" i="96"/>
  <c r="M76" i="96"/>
  <c r="S76" i="96"/>
  <c r="U76" i="96"/>
  <c r="T76" i="96" s="1"/>
  <c r="V76" i="96"/>
  <c r="W76" i="96"/>
  <c r="I77" i="96"/>
  <c r="K77" i="96"/>
  <c r="L77" i="96"/>
  <c r="M77" i="96"/>
  <c r="S77" i="96"/>
  <c r="U77" i="96"/>
  <c r="T77" i="96" s="1"/>
  <c r="V77" i="96"/>
  <c r="W77" i="96"/>
  <c r="I78" i="96"/>
  <c r="K78" i="96"/>
  <c r="L78" i="96"/>
  <c r="M78" i="96"/>
  <c r="S78" i="96"/>
  <c r="U78" i="96"/>
  <c r="T78" i="96" s="1"/>
  <c r="V78" i="96"/>
  <c r="W78" i="96"/>
  <c r="I79" i="96"/>
  <c r="K79" i="96"/>
  <c r="L79" i="96"/>
  <c r="M79" i="96"/>
  <c r="S79" i="96"/>
  <c r="U79" i="96"/>
  <c r="T79" i="96" s="1"/>
  <c r="V79" i="96"/>
  <c r="W79" i="96"/>
  <c r="I80" i="96"/>
  <c r="K80" i="96"/>
  <c r="L80" i="96"/>
  <c r="M80" i="96"/>
  <c r="S80" i="96"/>
  <c r="U80" i="96"/>
  <c r="T80" i="96" s="1"/>
  <c r="V80" i="96"/>
  <c r="W80" i="96"/>
  <c r="I81" i="96"/>
  <c r="K81" i="96"/>
  <c r="L81" i="96"/>
  <c r="M81" i="96"/>
  <c r="R81" i="96"/>
  <c r="S81" i="96"/>
  <c r="T81" i="96"/>
  <c r="U81" i="96"/>
  <c r="F82" i="96"/>
  <c r="G82" i="96"/>
  <c r="I82" i="96"/>
  <c r="W14" i="96"/>
  <c r="E15" i="96"/>
  <c r="Q1" i="96"/>
  <c r="Q2" i="96"/>
  <c r="Q3" i="96"/>
  <c r="Q4" i="96"/>
  <c r="Q5" i="96"/>
  <c r="Q6" i="96"/>
  <c r="Q7" i="96"/>
  <c r="Q8" i="96"/>
  <c r="Q9" i="96"/>
  <c r="T9" i="96"/>
  <c r="U9" i="96"/>
  <c r="V9" i="96"/>
  <c r="W9" i="96"/>
  <c r="Q10" i="96"/>
  <c r="G82" i="94"/>
  <c r="F82" i="94"/>
  <c r="R81" i="94"/>
  <c r="L80" i="94"/>
  <c r="K80" i="94"/>
  <c r="M80" i="94" s="1"/>
  <c r="L79" i="94"/>
  <c r="K79" i="94"/>
  <c r="M79" i="94" s="1"/>
  <c r="L78" i="94"/>
  <c r="K78" i="94"/>
  <c r="M78" i="94" s="1"/>
  <c r="L77" i="94"/>
  <c r="K77" i="94"/>
  <c r="M77" i="94" s="1"/>
  <c r="L76" i="94"/>
  <c r="K76" i="94"/>
  <c r="M76" i="94" s="1"/>
  <c r="L75" i="94"/>
  <c r="K75" i="94"/>
  <c r="M75" i="94" s="1"/>
  <c r="L74" i="94"/>
  <c r="K74" i="94"/>
  <c r="M74" i="94" s="1"/>
  <c r="L73" i="94"/>
  <c r="K73" i="94"/>
  <c r="M73" i="94" s="1"/>
  <c r="L72" i="94"/>
  <c r="K72" i="94"/>
  <c r="M72" i="94" s="1"/>
  <c r="L71" i="94"/>
  <c r="K71" i="94"/>
  <c r="M71" i="94" s="1"/>
  <c r="L70" i="94"/>
  <c r="K70" i="94"/>
  <c r="M70" i="94" s="1"/>
  <c r="L69" i="94"/>
  <c r="K69" i="94"/>
  <c r="M69" i="94" s="1"/>
  <c r="L68" i="94"/>
  <c r="K68" i="94"/>
  <c r="M68" i="94" s="1"/>
  <c r="L67" i="94"/>
  <c r="K67" i="94"/>
  <c r="M67" i="94" s="1"/>
  <c r="L66" i="94"/>
  <c r="K66" i="94"/>
  <c r="M66" i="94" s="1"/>
  <c r="L65" i="94"/>
  <c r="K65" i="94"/>
  <c r="M65" i="94" s="1"/>
  <c r="L64" i="94"/>
  <c r="K64" i="94"/>
  <c r="M64" i="94" s="1"/>
  <c r="L63" i="94"/>
  <c r="K63" i="94"/>
  <c r="M63" i="94" s="1"/>
  <c r="L62" i="94"/>
  <c r="K62" i="94"/>
  <c r="M62" i="94" s="1"/>
  <c r="L61" i="94"/>
  <c r="K61" i="94"/>
  <c r="M61" i="94" s="1"/>
  <c r="L60" i="94"/>
  <c r="K60" i="94"/>
  <c r="M60" i="94" s="1"/>
  <c r="L59" i="94"/>
  <c r="K59" i="94"/>
  <c r="M59" i="94" s="1"/>
  <c r="L58" i="94"/>
  <c r="K58" i="94"/>
  <c r="M58" i="94" s="1"/>
  <c r="L57" i="94"/>
  <c r="K57" i="94"/>
  <c r="M57" i="94" s="1"/>
  <c r="L56" i="94"/>
  <c r="K56" i="94"/>
  <c r="M56" i="94" s="1"/>
  <c r="L55" i="94"/>
  <c r="K55" i="94"/>
  <c r="M55" i="94" s="1"/>
  <c r="L54" i="94"/>
  <c r="K54" i="94"/>
  <c r="M54" i="94" s="1"/>
  <c r="L53" i="94"/>
  <c r="K53" i="94"/>
  <c r="M53" i="94" s="1"/>
  <c r="L52" i="94"/>
  <c r="K52" i="94"/>
  <c r="M52" i="94" s="1"/>
  <c r="L51" i="94"/>
  <c r="K51" i="94"/>
  <c r="M51" i="94" s="1"/>
  <c r="L50" i="94"/>
  <c r="K50" i="94"/>
  <c r="M50" i="94" s="1"/>
  <c r="L49" i="94"/>
  <c r="K49" i="94"/>
  <c r="M49" i="94" s="1"/>
  <c r="L48" i="94"/>
  <c r="K48" i="94"/>
  <c r="M48" i="94" s="1"/>
  <c r="L47" i="94"/>
  <c r="K47" i="94"/>
  <c r="M47" i="94" s="1"/>
  <c r="L46" i="94"/>
  <c r="K46" i="94"/>
  <c r="M46" i="94" s="1"/>
  <c r="L45" i="94"/>
  <c r="K45" i="94"/>
  <c r="M45" i="94" s="1"/>
  <c r="L44" i="94"/>
  <c r="K44" i="94"/>
  <c r="M44" i="94" s="1"/>
  <c r="L43" i="94"/>
  <c r="K43" i="94"/>
  <c r="M43" i="94" s="1"/>
  <c r="L42" i="94"/>
  <c r="K42" i="94"/>
  <c r="M42" i="94" s="1"/>
  <c r="L41" i="94"/>
  <c r="K41" i="94"/>
  <c r="M41" i="94" s="1"/>
  <c r="L40" i="94"/>
  <c r="K40" i="94"/>
  <c r="M40" i="94" s="1"/>
  <c r="L39" i="94"/>
  <c r="K39" i="94"/>
  <c r="M39" i="94" s="1"/>
  <c r="L38" i="94"/>
  <c r="K38" i="94"/>
  <c r="M38" i="94" s="1"/>
  <c r="L37" i="94"/>
  <c r="K37" i="94"/>
  <c r="M37" i="94" s="1"/>
  <c r="L36" i="94"/>
  <c r="K36" i="94"/>
  <c r="M36" i="94" s="1"/>
  <c r="L35" i="94"/>
  <c r="K35" i="94"/>
  <c r="M35" i="94" s="1"/>
  <c r="L34" i="94"/>
  <c r="K34" i="94"/>
  <c r="M34" i="94" s="1"/>
  <c r="L33" i="94"/>
  <c r="K33" i="94"/>
  <c r="M33" i="94" s="1"/>
  <c r="L32" i="94"/>
  <c r="K32" i="94"/>
  <c r="M32" i="94" s="1"/>
  <c r="L31" i="94"/>
  <c r="K31" i="94"/>
  <c r="M31" i="94" s="1"/>
  <c r="L30" i="94"/>
  <c r="K30" i="94"/>
  <c r="M30" i="94" s="1"/>
  <c r="L29" i="94"/>
  <c r="K29" i="94"/>
  <c r="M29" i="94" s="1"/>
  <c r="L28" i="94"/>
  <c r="K28" i="94"/>
  <c r="M28" i="94" s="1"/>
  <c r="L27" i="94"/>
  <c r="K27" i="94"/>
  <c r="M27" i="94" s="1"/>
  <c r="L26" i="94"/>
  <c r="K26" i="94"/>
  <c r="M26" i="94" s="1"/>
  <c r="L25" i="94"/>
  <c r="K25" i="94"/>
  <c r="M25" i="94" s="1"/>
  <c r="L24" i="94"/>
  <c r="K24" i="94"/>
  <c r="M24" i="94" s="1"/>
  <c r="L23" i="94"/>
  <c r="K23" i="94"/>
  <c r="M23" i="94" s="1"/>
  <c r="L22" i="94"/>
  <c r="K22" i="94"/>
  <c r="M22" i="94" s="1"/>
  <c r="L21" i="94"/>
  <c r="K21" i="94"/>
  <c r="M21" i="94" s="1"/>
  <c r="L20" i="94"/>
  <c r="K20" i="94"/>
  <c r="M20" i="94" s="1"/>
  <c r="L19" i="94"/>
  <c r="K19" i="94"/>
  <c r="M19" i="94" s="1"/>
  <c r="L18" i="94"/>
  <c r="K18" i="94"/>
  <c r="I18" i="94"/>
  <c r="H18" i="94"/>
  <c r="S17" i="94"/>
  <c r="E15" i="94"/>
  <c r="Q10" i="94"/>
  <c r="Q1" i="94"/>
  <c r="Q8" i="94" s="1"/>
  <c r="S17" i="93"/>
  <c r="H18" i="93"/>
  <c r="I18" i="93"/>
  <c r="K18" i="93"/>
  <c r="L18" i="93"/>
  <c r="M18" i="93"/>
  <c r="S18" i="93"/>
  <c r="U18" i="93"/>
  <c r="T18" i="93" s="1"/>
  <c r="V18" i="93"/>
  <c r="W18" i="93"/>
  <c r="I19" i="93"/>
  <c r="K19" i="93"/>
  <c r="L19" i="93"/>
  <c r="M19" i="93"/>
  <c r="S19" i="93"/>
  <c r="U19" i="93"/>
  <c r="T19" i="93" s="1"/>
  <c r="V19" i="93"/>
  <c r="W19" i="93"/>
  <c r="I20" i="93"/>
  <c r="K20" i="93"/>
  <c r="L20" i="93"/>
  <c r="M20" i="93"/>
  <c r="S20" i="93"/>
  <c r="U20" i="93"/>
  <c r="T20" i="93" s="1"/>
  <c r="V20" i="93"/>
  <c r="W20" i="93"/>
  <c r="I21" i="93"/>
  <c r="K21" i="93"/>
  <c r="L21" i="93"/>
  <c r="M21" i="93"/>
  <c r="S21" i="93"/>
  <c r="U21" i="93"/>
  <c r="T21" i="93" s="1"/>
  <c r="V21" i="93"/>
  <c r="W21" i="93"/>
  <c r="I22" i="93"/>
  <c r="K22" i="93"/>
  <c r="L22" i="93"/>
  <c r="M22" i="93"/>
  <c r="S22" i="93"/>
  <c r="U22" i="93"/>
  <c r="T22" i="93" s="1"/>
  <c r="V22" i="93"/>
  <c r="W22" i="93"/>
  <c r="I23" i="93"/>
  <c r="K23" i="93"/>
  <c r="L23" i="93"/>
  <c r="M23" i="93"/>
  <c r="S23" i="93"/>
  <c r="U23" i="93"/>
  <c r="T23" i="93" s="1"/>
  <c r="V23" i="93"/>
  <c r="W23" i="93"/>
  <c r="I24" i="93"/>
  <c r="K24" i="93"/>
  <c r="L24" i="93"/>
  <c r="M24" i="93"/>
  <c r="S24" i="93"/>
  <c r="U24" i="93"/>
  <c r="T24" i="93" s="1"/>
  <c r="V24" i="93"/>
  <c r="W24" i="93"/>
  <c r="I25" i="93"/>
  <c r="K25" i="93"/>
  <c r="L25" i="93"/>
  <c r="M25" i="93"/>
  <c r="S25" i="93"/>
  <c r="U25" i="93"/>
  <c r="T25" i="93" s="1"/>
  <c r="V25" i="93"/>
  <c r="W25" i="93"/>
  <c r="I26" i="93"/>
  <c r="K26" i="93"/>
  <c r="L26" i="93"/>
  <c r="M26" i="93"/>
  <c r="S26" i="93"/>
  <c r="U26" i="93"/>
  <c r="T26" i="93" s="1"/>
  <c r="V26" i="93"/>
  <c r="W26" i="93"/>
  <c r="I27" i="93"/>
  <c r="K27" i="93"/>
  <c r="L27" i="93"/>
  <c r="M27" i="93"/>
  <c r="S27" i="93"/>
  <c r="U27" i="93"/>
  <c r="T27" i="93" s="1"/>
  <c r="V27" i="93"/>
  <c r="W27" i="93"/>
  <c r="I28" i="93"/>
  <c r="K28" i="93"/>
  <c r="L28" i="93"/>
  <c r="M28" i="93"/>
  <c r="S28" i="93"/>
  <c r="U28" i="93"/>
  <c r="T28" i="93" s="1"/>
  <c r="V28" i="93"/>
  <c r="W28" i="93"/>
  <c r="I29" i="93"/>
  <c r="K29" i="93"/>
  <c r="L29" i="93"/>
  <c r="M29" i="93"/>
  <c r="S29" i="93"/>
  <c r="U29" i="93"/>
  <c r="T29" i="93" s="1"/>
  <c r="V29" i="93"/>
  <c r="W29" i="93"/>
  <c r="I30" i="93"/>
  <c r="K30" i="93"/>
  <c r="L30" i="93"/>
  <c r="M30" i="93"/>
  <c r="S30" i="93"/>
  <c r="U30" i="93"/>
  <c r="T30" i="93" s="1"/>
  <c r="V30" i="93"/>
  <c r="W30" i="93"/>
  <c r="I31" i="93"/>
  <c r="K31" i="93"/>
  <c r="L31" i="93"/>
  <c r="M31" i="93"/>
  <c r="S31" i="93"/>
  <c r="U31" i="93"/>
  <c r="T31" i="93" s="1"/>
  <c r="V31" i="93"/>
  <c r="W31" i="93"/>
  <c r="I32" i="93"/>
  <c r="K32" i="93"/>
  <c r="L32" i="93"/>
  <c r="M32" i="93"/>
  <c r="S32" i="93"/>
  <c r="U32" i="93"/>
  <c r="T32" i="93" s="1"/>
  <c r="V32" i="93"/>
  <c r="W32" i="93"/>
  <c r="I33" i="93"/>
  <c r="K33" i="93"/>
  <c r="L33" i="93"/>
  <c r="M33" i="93"/>
  <c r="S33" i="93"/>
  <c r="U33" i="93"/>
  <c r="T33" i="93" s="1"/>
  <c r="V33" i="93"/>
  <c r="W33" i="93"/>
  <c r="I34" i="93"/>
  <c r="K34" i="93"/>
  <c r="L34" i="93"/>
  <c r="M34" i="93"/>
  <c r="S34" i="93"/>
  <c r="U34" i="93"/>
  <c r="T34" i="93" s="1"/>
  <c r="V34" i="93"/>
  <c r="W34" i="93"/>
  <c r="I35" i="93"/>
  <c r="K35" i="93"/>
  <c r="L35" i="93"/>
  <c r="M35" i="93"/>
  <c r="S35" i="93"/>
  <c r="U35" i="93"/>
  <c r="T35" i="93" s="1"/>
  <c r="V35" i="93"/>
  <c r="W35" i="93"/>
  <c r="I36" i="93"/>
  <c r="K36" i="93"/>
  <c r="L36" i="93"/>
  <c r="M36" i="93"/>
  <c r="S36" i="93"/>
  <c r="U36" i="93"/>
  <c r="T36" i="93" s="1"/>
  <c r="V36" i="93"/>
  <c r="W36" i="93"/>
  <c r="I37" i="93"/>
  <c r="K37" i="93"/>
  <c r="L37" i="93"/>
  <c r="M37" i="93"/>
  <c r="S37" i="93"/>
  <c r="U37" i="93"/>
  <c r="T37" i="93" s="1"/>
  <c r="V37" i="93"/>
  <c r="W37" i="93"/>
  <c r="I38" i="93"/>
  <c r="K38" i="93"/>
  <c r="L38" i="93"/>
  <c r="M38" i="93"/>
  <c r="S38" i="93"/>
  <c r="U38" i="93"/>
  <c r="T38" i="93" s="1"/>
  <c r="V38" i="93"/>
  <c r="W38" i="93"/>
  <c r="I39" i="93"/>
  <c r="K39" i="93"/>
  <c r="L39" i="93"/>
  <c r="M39" i="93"/>
  <c r="S39" i="93"/>
  <c r="U39" i="93"/>
  <c r="T39" i="93" s="1"/>
  <c r="V39" i="93"/>
  <c r="W39" i="93"/>
  <c r="I40" i="93"/>
  <c r="K40" i="93"/>
  <c r="L40" i="93"/>
  <c r="M40" i="93"/>
  <c r="S40" i="93"/>
  <c r="U40" i="93"/>
  <c r="T40" i="93" s="1"/>
  <c r="V40" i="93"/>
  <c r="W40" i="93"/>
  <c r="I41" i="93"/>
  <c r="K41" i="93"/>
  <c r="L41" i="93"/>
  <c r="M41" i="93"/>
  <c r="S41" i="93"/>
  <c r="U41" i="93"/>
  <c r="T41" i="93" s="1"/>
  <c r="V41" i="93"/>
  <c r="W41" i="93"/>
  <c r="I42" i="93"/>
  <c r="K42" i="93"/>
  <c r="L42" i="93"/>
  <c r="M42" i="93"/>
  <c r="S42" i="93"/>
  <c r="U42" i="93"/>
  <c r="T42" i="93" s="1"/>
  <c r="V42" i="93"/>
  <c r="W42" i="93"/>
  <c r="I43" i="93"/>
  <c r="K43" i="93"/>
  <c r="L43" i="93"/>
  <c r="M43" i="93"/>
  <c r="S43" i="93"/>
  <c r="U43" i="93"/>
  <c r="T43" i="93" s="1"/>
  <c r="V43" i="93"/>
  <c r="W43" i="93"/>
  <c r="I44" i="93"/>
  <c r="K44" i="93"/>
  <c r="L44" i="93"/>
  <c r="M44" i="93"/>
  <c r="S44" i="93"/>
  <c r="U44" i="93"/>
  <c r="T44" i="93" s="1"/>
  <c r="V44" i="93"/>
  <c r="W44" i="93"/>
  <c r="I45" i="93"/>
  <c r="K45" i="93"/>
  <c r="L45" i="93"/>
  <c r="M45" i="93"/>
  <c r="S45" i="93"/>
  <c r="U45" i="93"/>
  <c r="T45" i="93" s="1"/>
  <c r="V45" i="93"/>
  <c r="W45" i="93"/>
  <c r="I46" i="93"/>
  <c r="K46" i="93"/>
  <c r="L46" i="93"/>
  <c r="M46" i="93"/>
  <c r="S46" i="93"/>
  <c r="U46" i="93"/>
  <c r="T46" i="93" s="1"/>
  <c r="V46" i="93"/>
  <c r="W46" i="93"/>
  <c r="I47" i="93"/>
  <c r="K47" i="93"/>
  <c r="L47" i="93"/>
  <c r="M47" i="93"/>
  <c r="S47" i="93"/>
  <c r="U47" i="93"/>
  <c r="T47" i="93" s="1"/>
  <c r="V47" i="93"/>
  <c r="W47" i="93"/>
  <c r="I48" i="93"/>
  <c r="K48" i="93"/>
  <c r="L48" i="93"/>
  <c r="M48" i="93"/>
  <c r="S48" i="93"/>
  <c r="U48" i="93"/>
  <c r="T48" i="93" s="1"/>
  <c r="V48" i="93"/>
  <c r="W48" i="93"/>
  <c r="I49" i="93"/>
  <c r="K49" i="93"/>
  <c r="L49" i="93"/>
  <c r="M49" i="93"/>
  <c r="S49" i="93"/>
  <c r="U49" i="93"/>
  <c r="T49" i="93" s="1"/>
  <c r="V49" i="93"/>
  <c r="W49" i="93"/>
  <c r="I50" i="93"/>
  <c r="K50" i="93"/>
  <c r="L50" i="93"/>
  <c r="M50" i="93"/>
  <c r="S50" i="93"/>
  <c r="U50" i="93"/>
  <c r="T50" i="93" s="1"/>
  <c r="V50" i="93"/>
  <c r="W50" i="93"/>
  <c r="I51" i="93"/>
  <c r="K51" i="93"/>
  <c r="L51" i="93"/>
  <c r="M51" i="93"/>
  <c r="S51" i="93"/>
  <c r="U51" i="93"/>
  <c r="T51" i="93" s="1"/>
  <c r="V51" i="93"/>
  <c r="W51" i="93"/>
  <c r="I52" i="93"/>
  <c r="K52" i="93"/>
  <c r="L52" i="93"/>
  <c r="M52" i="93"/>
  <c r="S52" i="93"/>
  <c r="U52" i="93"/>
  <c r="T52" i="93" s="1"/>
  <c r="V52" i="93"/>
  <c r="W52" i="93"/>
  <c r="I53" i="93"/>
  <c r="K53" i="93"/>
  <c r="L53" i="93"/>
  <c r="M53" i="93"/>
  <c r="S53" i="93"/>
  <c r="U53" i="93"/>
  <c r="T53" i="93" s="1"/>
  <c r="V53" i="93"/>
  <c r="W53" i="93"/>
  <c r="I54" i="93"/>
  <c r="K54" i="93"/>
  <c r="L54" i="93"/>
  <c r="M54" i="93"/>
  <c r="S54" i="93"/>
  <c r="U54" i="93"/>
  <c r="T54" i="93" s="1"/>
  <c r="V54" i="93"/>
  <c r="W54" i="93"/>
  <c r="I55" i="93"/>
  <c r="K55" i="93"/>
  <c r="L55" i="93"/>
  <c r="M55" i="93"/>
  <c r="S55" i="93"/>
  <c r="U55" i="93"/>
  <c r="T55" i="93" s="1"/>
  <c r="V55" i="93"/>
  <c r="W55" i="93"/>
  <c r="I56" i="93"/>
  <c r="K56" i="93"/>
  <c r="L56" i="93"/>
  <c r="M56" i="93"/>
  <c r="S56" i="93"/>
  <c r="U56" i="93"/>
  <c r="T56" i="93" s="1"/>
  <c r="V56" i="93"/>
  <c r="W56" i="93"/>
  <c r="I57" i="93"/>
  <c r="K57" i="93"/>
  <c r="L57" i="93"/>
  <c r="M57" i="93"/>
  <c r="S57" i="93"/>
  <c r="U57" i="93"/>
  <c r="T57" i="93" s="1"/>
  <c r="V57" i="93"/>
  <c r="W57" i="93"/>
  <c r="I58" i="93"/>
  <c r="K58" i="93"/>
  <c r="L58" i="93"/>
  <c r="M58" i="93"/>
  <c r="S58" i="93"/>
  <c r="U58" i="93"/>
  <c r="T58" i="93" s="1"/>
  <c r="V58" i="93"/>
  <c r="W58" i="93"/>
  <c r="I59" i="93"/>
  <c r="K59" i="93"/>
  <c r="L59" i="93"/>
  <c r="M59" i="93"/>
  <c r="S59" i="93"/>
  <c r="U59" i="93"/>
  <c r="T59" i="93" s="1"/>
  <c r="V59" i="93"/>
  <c r="W59" i="93"/>
  <c r="I60" i="93"/>
  <c r="K60" i="93"/>
  <c r="L60" i="93"/>
  <c r="M60" i="93"/>
  <c r="S60" i="93"/>
  <c r="U60" i="93"/>
  <c r="T60" i="93" s="1"/>
  <c r="V60" i="93"/>
  <c r="W60" i="93"/>
  <c r="I61" i="93"/>
  <c r="K61" i="93"/>
  <c r="L61" i="93"/>
  <c r="M61" i="93"/>
  <c r="S61" i="93"/>
  <c r="U61" i="93"/>
  <c r="T61" i="93" s="1"/>
  <c r="V61" i="93"/>
  <c r="W61" i="93"/>
  <c r="I62" i="93"/>
  <c r="K62" i="93"/>
  <c r="L62" i="93"/>
  <c r="M62" i="93"/>
  <c r="S62" i="93"/>
  <c r="U62" i="93"/>
  <c r="T62" i="93" s="1"/>
  <c r="V62" i="93"/>
  <c r="W62" i="93"/>
  <c r="I63" i="93"/>
  <c r="K63" i="93"/>
  <c r="L63" i="93"/>
  <c r="M63" i="93"/>
  <c r="S63" i="93"/>
  <c r="U63" i="93"/>
  <c r="T63" i="93" s="1"/>
  <c r="V63" i="93"/>
  <c r="W63" i="93"/>
  <c r="I64" i="93"/>
  <c r="K64" i="93"/>
  <c r="L64" i="93"/>
  <c r="M64" i="93"/>
  <c r="S64" i="93"/>
  <c r="U64" i="93"/>
  <c r="T64" i="93" s="1"/>
  <c r="V64" i="93"/>
  <c r="W64" i="93"/>
  <c r="I65" i="93"/>
  <c r="K65" i="93"/>
  <c r="L65" i="93"/>
  <c r="M65" i="93"/>
  <c r="S65" i="93"/>
  <c r="U65" i="93"/>
  <c r="T65" i="93" s="1"/>
  <c r="V65" i="93"/>
  <c r="W65" i="93"/>
  <c r="I66" i="93"/>
  <c r="K66" i="93"/>
  <c r="L66" i="93"/>
  <c r="M66" i="93"/>
  <c r="S66" i="93"/>
  <c r="U66" i="93"/>
  <c r="T66" i="93" s="1"/>
  <c r="V66" i="93"/>
  <c r="W66" i="93"/>
  <c r="I67" i="93"/>
  <c r="K67" i="93"/>
  <c r="L67" i="93"/>
  <c r="M67" i="93"/>
  <c r="S67" i="93"/>
  <c r="U67" i="93"/>
  <c r="T67" i="93" s="1"/>
  <c r="V67" i="93"/>
  <c r="W67" i="93"/>
  <c r="I68" i="93"/>
  <c r="K68" i="93"/>
  <c r="L68" i="93"/>
  <c r="M68" i="93"/>
  <c r="S68" i="93"/>
  <c r="U68" i="93"/>
  <c r="T68" i="93" s="1"/>
  <c r="V68" i="93"/>
  <c r="W68" i="93"/>
  <c r="I69" i="93"/>
  <c r="K69" i="93"/>
  <c r="L69" i="93"/>
  <c r="M69" i="93"/>
  <c r="S69" i="93"/>
  <c r="U69" i="93"/>
  <c r="T69" i="93" s="1"/>
  <c r="V69" i="93"/>
  <c r="W69" i="93"/>
  <c r="I70" i="93"/>
  <c r="K70" i="93"/>
  <c r="L70" i="93"/>
  <c r="M70" i="93"/>
  <c r="S70" i="93"/>
  <c r="U70" i="93"/>
  <c r="T70" i="93" s="1"/>
  <c r="V70" i="93"/>
  <c r="W70" i="93"/>
  <c r="I71" i="93"/>
  <c r="K71" i="93"/>
  <c r="L71" i="93"/>
  <c r="M71" i="93"/>
  <c r="S71" i="93"/>
  <c r="U71" i="93"/>
  <c r="T71" i="93" s="1"/>
  <c r="V71" i="93"/>
  <c r="W71" i="93"/>
  <c r="I72" i="93"/>
  <c r="K72" i="93"/>
  <c r="L72" i="93"/>
  <c r="M72" i="93"/>
  <c r="S72" i="93"/>
  <c r="U72" i="93"/>
  <c r="T72" i="93" s="1"/>
  <c r="V72" i="93"/>
  <c r="W72" i="93"/>
  <c r="I73" i="93"/>
  <c r="K73" i="93"/>
  <c r="L73" i="93"/>
  <c r="M73" i="93"/>
  <c r="S73" i="93"/>
  <c r="U73" i="93"/>
  <c r="T73" i="93" s="1"/>
  <c r="V73" i="93"/>
  <c r="W73" i="93"/>
  <c r="I74" i="93"/>
  <c r="K74" i="93"/>
  <c r="L74" i="93"/>
  <c r="M74" i="93"/>
  <c r="S74" i="93"/>
  <c r="U74" i="93"/>
  <c r="T74" i="93" s="1"/>
  <c r="V74" i="93"/>
  <c r="W74" i="93"/>
  <c r="I75" i="93"/>
  <c r="K75" i="93"/>
  <c r="L75" i="93"/>
  <c r="M75" i="93"/>
  <c r="S75" i="93"/>
  <c r="U75" i="93"/>
  <c r="T75" i="93" s="1"/>
  <c r="V75" i="93"/>
  <c r="W75" i="93"/>
  <c r="I76" i="93"/>
  <c r="K76" i="93"/>
  <c r="L76" i="93"/>
  <c r="M76" i="93"/>
  <c r="S76" i="93"/>
  <c r="U76" i="93"/>
  <c r="T76" i="93" s="1"/>
  <c r="V76" i="93"/>
  <c r="W76" i="93"/>
  <c r="I77" i="93"/>
  <c r="K77" i="93"/>
  <c r="L77" i="93"/>
  <c r="M77" i="93"/>
  <c r="S77" i="93"/>
  <c r="U77" i="93"/>
  <c r="T77" i="93" s="1"/>
  <c r="V77" i="93"/>
  <c r="W77" i="93"/>
  <c r="I78" i="93"/>
  <c r="K78" i="93"/>
  <c r="L78" i="93"/>
  <c r="M78" i="93"/>
  <c r="S78" i="93"/>
  <c r="U78" i="93"/>
  <c r="T78" i="93" s="1"/>
  <c r="V78" i="93"/>
  <c r="W78" i="93"/>
  <c r="I79" i="93"/>
  <c r="K79" i="93"/>
  <c r="L79" i="93"/>
  <c r="M79" i="93"/>
  <c r="S79" i="93"/>
  <c r="U79" i="93"/>
  <c r="T79" i="93" s="1"/>
  <c r="V79" i="93"/>
  <c r="W79" i="93"/>
  <c r="I80" i="93"/>
  <c r="K80" i="93"/>
  <c r="L80" i="93"/>
  <c r="M80" i="93"/>
  <c r="S80" i="93"/>
  <c r="U80" i="93"/>
  <c r="T80" i="93" s="1"/>
  <c r="V80" i="93"/>
  <c r="W80" i="93"/>
  <c r="I81" i="93"/>
  <c r="K81" i="93"/>
  <c r="L81" i="93"/>
  <c r="M81" i="93"/>
  <c r="R81" i="93"/>
  <c r="S81" i="93"/>
  <c r="T81" i="93"/>
  <c r="U81" i="93"/>
  <c r="F82" i="93"/>
  <c r="G82" i="93"/>
  <c r="I82" i="93"/>
  <c r="W14" i="93"/>
  <c r="E15" i="93"/>
  <c r="Q1" i="93"/>
  <c r="Q2" i="93"/>
  <c r="Q3" i="93"/>
  <c r="Q4" i="93"/>
  <c r="Q5" i="93"/>
  <c r="Q6" i="93"/>
  <c r="Q7" i="93"/>
  <c r="Q8" i="93"/>
  <c r="Q9" i="93"/>
  <c r="T9" i="93"/>
  <c r="U9" i="93"/>
  <c r="V9" i="93"/>
  <c r="W9" i="93"/>
  <c r="Q10" i="93"/>
  <c r="S17" i="92"/>
  <c r="H18" i="92"/>
  <c r="I18" i="92"/>
  <c r="K18" i="92"/>
  <c r="L18" i="92"/>
  <c r="M18" i="92"/>
  <c r="S18" i="92"/>
  <c r="U18" i="92"/>
  <c r="T18" i="92" s="1"/>
  <c r="V18" i="92"/>
  <c r="W18" i="92"/>
  <c r="I19" i="92"/>
  <c r="K19" i="92"/>
  <c r="L19" i="92"/>
  <c r="M19" i="92"/>
  <c r="S19" i="92"/>
  <c r="U19" i="92"/>
  <c r="T19" i="92" s="1"/>
  <c r="V19" i="92"/>
  <c r="W19" i="92"/>
  <c r="I20" i="92"/>
  <c r="K20" i="92"/>
  <c r="L20" i="92"/>
  <c r="M20" i="92"/>
  <c r="S20" i="92"/>
  <c r="U20" i="92"/>
  <c r="T20" i="92" s="1"/>
  <c r="V20" i="92"/>
  <c r="W20" i="92"/>
  <c r="I21" i="92"/>
  <c r="K21" i="92"/>
  <c r="L21" i="92"/>
  <c r="M21" i="92"/>
  <c r="S21" i="92"/>
  <c r="U21" i="92"/>
  <c r="T21" i="92" s="1"/>
  <c r="V21" i="92"/>
  <c r="W21" i="92"/>
  <c r="I22" i="92"/>
  <c r="K22" i="92"/>
  <c r="L22" i="92"/>
  <c r="M22" i="92"/>
  <c r="S22" i="92"/>
  <c r="U22" i="92"/>
  <c r="T22" i="92" s="1"/>
  <c r="V22" i="92"/>
  <c r="W22" i="92"/>
  <c r="I23" i="92"/>
  <c r="K23" i="92"/>
  <c r="L23" i="92"/>
  <c r="M23" i="92"/>
  <c r="S23" i="92"/>
  <c r="U23" i="92"/>
  <c r="T23" i="92" s="1"/>
  <c r="V23" i="92"/>
  <c r="W23" i="92"/>
  <c r="I24" i="92"/>
  <c r="K24" i="92"/>
  <c r="L24" i="92"/>
  <c r="M24" i="92"/>
  <c r="S24" i="92"/>
  <c r="U24" i="92"/>
  <c r="T24" i="92" s="1"/>
  <c r="V24" i="92"/>
  <c r="W24" i="92"/>
  <c r="I25" i="92"/>
  <c r="K25" i="92"/>
  <c r="L25" i="92"/>
  <c r="M25" i="92"/>
  <c r="S25" i="92"/>
  <c r="U25" i="92"/>
  <c r="T25" i="92" s="1"/>
  <c r="V25" i="92"/>
  <c r="W25" i="92"/>
  <c r="I26" i="92"/>
  <c r="K26" i="92"/>
  <c r="L26" i="92"/>
  <c r="M26" i="92"/>
  <c r="S26" i="92"/>
  <c r="U26" i="92"/>
  <c r="T26" i="92" s="1"/>
  <c r="V26" i="92"/>
  <c r="W26" i="92"/>
  <c r="I27" i="92"/>
  <c r="K27" i="92"/>
  <c r="L27" i="92"/>
  <c r="M27" i="92"/>
  <c r="S27" i="92"/>
  <c r="U27" i="92"/>
  <c r="T27" i="92" s="1"/>
  <c r="V27" i="92"/>
  <c r="W27" i="92"/>
  <c r="I28" i="92"/>
  <c r="K28" i="92"/>
  <c r="L28" i="92"/>
  <c r="M28" i="92"/>
  <c r="S28" i="92"/>
  <c r="U28" i="92"/>
  <c r="T28" i="92" s="1"/>
  <c r="V28" i="92"/>
  <c r="W28" i="92"/>
  <c r="I29" i="92"/>
  <c r="K29" i="92"/>
  <c r="L29" i="92"/>
  <c r="M29" i="92"/>
  <c r="S29" i="92"/>
  <c r="U29" i="92"/>
  <c r="T29" i="92" s="1"/>
  <c r="V29" i="92"/>
  <c r="W29" i="92"/>
  <c r="I30" i="92"/>
  <c r="K30" i="92"/>
  <c r="L30" i="92"/>
  <c r="M30" i="92"/>
  <c r="S30" i="92"/>
  <c r="U30" i="92"/>
  <c r="T30" i="92" s="1"/>
  <c r="V30" i="92"/>
  <c r="W30" i="92"/>
  <c r="I31" i="92"/>
  <c r="K31" i="92"/>
  <c r="L31" i="92"/>
  <c r="M31" i="92"/>
  <c r="S31" i="92"/>
  <c r="U31" i="92"/>
  <c r="T31" i="92" s="1"/>
  <c r="V31" i="92"/>
  <c r="W31" i="92"/>
  <c r="I32" i="92"/>
  <c r="K32" i="92"/>
  <c r="L32" i="92"/>
  <c r="M32" i="92"/>
  <c r="S32" i="92"/>
  <c r="U32" i="92"/>
  <c r="T32" i="92" s="1"/>
  <c r="V32" i="92"/>
  <c r="W32" i="92"/>
  <c r="I33" i="92"/>
  <c r="K33" i="92"/>
  <c r="L33" i="92"/>
  <c r="M33" i="92"/>
  <c r="S33" i="92"/>
  <c r="U33" i="92"/>
  <c r="T33" i="92" s="1"/>
  <c r="V33" i="92"/>
  <c r="W33" i="92"/>
  <c r="I34" i="92"/>
  <c r="K34" i="92"/>
  <c r="L34" i="92"/>
  <c r="M34" i="92"/>
  <c r="S34" i="92"/>
  <c r="U34" i="92"/>
  <c r="T34" i="92" s="1"/>
  <c r="V34" i="92"/>
  <c r="W34" i="92"/>
  <c r="I35" i="92"/>
  <c r="K35" i="92"/>
  <c r="L35" i="92"/>
  <c r="M35" i="92"/>
  <c r="S35" i="92"/>
  <c r="U35" i="92"/>
  <c r="T35" i="92" s="1"/>
  <c r="V35" i="92"/>
  <c r="W35" i="92"/>
  <c r="I36" i="92"/>
  <c r="K36" i="92"/>
  <c r="L36" i="92"/>
  <c r="M36" i="92"/>
  <c r="S36" i="92"/>
  <c r="U36" i="92"/>
  <c r="T36" i="92" s="1"/>
  <c r="V36" i="92"/>
  <c r="W36" i="92"/>
  <c r="I37" i="92"/>
  <c r="K37" i="92"/>
  <c r="L37" i="92"/>
  <c r="M37" i="92"/>
  <c r="S37" i="92"/>
  <c r="U37" i="92"/>
  <c r="T37" i="92" s="1"/>
  <c r="V37" i="92"/>
  <c r="W37" i="92"/>
  <c r="I38" i="92"/>
  <c r="K38" i="92"/>
  <c r="L38" i="92"/>
  <c r="M38" i="92"/>
  <c r="S38" i="92"/>
  <c r="U38" i="92"/>
  <c r="T38" i="92" s="1"/>
  <c r="V38" i="92"/>
  <c r="W38" i="92"/>
  <c r="I39" i="92"/>
  <c r="K39" i="92"/>
  <c r="L39" i="92"/>
  <c r="M39" i="92"/>
  <c r="S39" i="92"/>
  <c r="U39" i="92"/>
  <c r="T39" i="92" s="1"/>
  <c r="V39" i="92"/>
  <c r="W39" i="92"/>
  <c r="I40" i="92"/>
  <c r="K40" i="92"/>
  <c r="L40" i="92"/>
  <c r="M40" i="92"/>
  <c r="S40" i="92"/>
  <c r="U40" i="92"/>
  <c r="T40" i="92" s="1"/>
  <c r="V40" i="92"/>
  <c r="W40" i="92"/>
  <c r="I41" i="92"/>
  <c r="K41" i="92"/>
  <c r="L41" i="92"/>
  <c r="M41" i="92"/>
  <c r="S41" i="92"/>
  <c r="U41" i="92"/>
  <c r="T41" i="92" s="1"/>
  <c r="V41" i="92"/>
  <c r="W41" i="92"/>
  <c r="I42" i="92"/>
  <c r="K42" i="92"/>
  <c r="L42" i="92"/>
  <c r="M42" i="92"/>
  <c r="S42" i="92"/>
  <c r="U42" i="92"/>
  <c r="T42" i="92" s="1"/>
  <c r="V42" i="92"/>
  <c r="W42" i="92"/>
  <c r="I43" i="92"/>
  <c r="K43" i="92"/>
  <c r="L43" i="92"/>
  <c r="M43" i="92"/>
  <c r="S43" i="92"/>
  <c r="U43" i="92"/>
  <c r="T43" i="92" s="1"/>
  <c r="V43" i="92"/>
  <c r="W43" i="92"/>
  <c r="I44" i="92"/>
  <c r="K44" i="92"/>
  <c r="L44" i="92"/>
  <c r="M44" i="92"/>
  <c r="S44" i="92"/>
  <c r="U44" i="92"/>
  <c r="T44" i="92" s="1"/>
  <c r="V44" i="92"/>
  <c r="W44" i="92"/>
  <c r="I45" i="92"/>
  <c r="K45" i="92"/>
  <c r="L45" i="92"/>
  <c r="M45" i="92"/>
  <c r="S45" i="92"/>
  <c r="U45" i="92"/>
  <c r="T45" i="92" s="1"/>
  <c r="V45" i="92"/>
  <c r="W45" i="92"/>
  <c r="I46" i="92"/>
  <c r="K46" i="92"/>
  <c r="L46" i="92"/>
  <c r="M46" i="92"/>
  <c r="S46" i="92"/>
  <c r="U46" i="92"/>
  <c r="T46" i="92" s="1"/>
  <c r="V46" i="92"/>
  <c r="W46" i="92"/>
  <c r="I47" i="92"/>
  <c r="K47" i="92"/>
  <c r="L47" i="92"/>
  <c r="M47" i="92"/>
  <c r="S47" i="92"/>
  <c r="U47" i="92"/>
  <c r="T47" i="92" s="1"/>
  <c r="V47" i="92"/>
  <c r="W47" i="92"/>
  <c r="I48" i="92"/>
  <c r="K48" i="92"/>
  <c r="L48" i="92"/>
  <c r="M48" i="92"/>
  <c r="S48" i="92"/>
  <c r="U48" i="92"/>
  <c r="T48" i="92" s="1"/>
  <c r="V48" i="92"/>
  <c r="W48" i="92"/>
  <c r="I49" i="92"/>
  <c r="K49" i="92"/>
  <c r="L49" i="92"/>
  <c r="M49" i="92"/>
  <c r="S49" i="92"/>
  <c r="U49" i="92"/>
  <c r="T49" i="92" s="1"/>
  <c r="V49" i="92"/>
  <c r="W49" i="92"/>
  <c r="I50" i="92"/>
  <c r="K50" i="92"/>
  <c r="L50" i="92"/>
  <c r="M50" i="92"/>
  <c r="S50" i="92"/>
  <c r="U50" i="92"/>
  <c r="T50" i="92" s="1"/>
  <c r="V50" i="92"/>
  <c r="W50" i="92"/>
  <c r="I51" i="92"/>
  <c r="K51" i="92"/>
  <c r="L51" i="92"/>
  <c r="M51" i="92"/>
  <c r="S51" i="92"/>
  <c r="U51" i="92"/>
  <c r="T51" i="92" s="1"/>
  <c r="V51" i="92"/>
  <c r="W51" i="92"/>
  <c r="I52" i="92"/>
  <c r="K52" i="92"/>
  <c r="L52" i="92"/>
  <c r="M52" i="92"/>
  <c r="S52" i="92"/>
  <c r="U52" i="92"/>
  <c r="T52" i="92" s="1"/>
  <c r="V52" i="92"/>
  <c r="W52" i="92"/>
  <c r="I53" i="92"/>
  <c r="K53" i="92"/>
  <c r="L53" i="92"/>
  <c r="M53" i="92"/>
  <c r="S53" i="92"/>
  <c r="U53" i="92"/>
  <c r="T53" i="92" s="1"/>
  <c r="V53" i="92"/>
  <c r="W53" i="92"/>
  <c r="I54" i="92"/>
  <c r="K54" i="92"/>
  <c r="L54" i="92"/>
  <c r="M54" i="92"/>
  <c r="S54" i="92"/>
  <c r="U54" i="92"/>
  <c r="T54" i="92" s="1"/>
  <c r="V54" i="92"/>
  <c r="W54" i="92"/>
  <c r="I55" i="92"/>
  <c r="K55" i="92"/>
  <c r="L55" i="92"/>
  <c r="M55" i="92"/>
  <c r="S55" i="92"/>
  <c r="U55" i="92"/>
  <c r="T55" i="92" s="1"/>
  <c r="V55" i="92"/>
  <c r="W55" i="92"/>
  <c r="I56" i="92"/>
  <c r="K56" i="92"/>
  <c r="L56" i="92"/>
  <c r="M56" i="92"/>
  <c r="S56" i="92"/>
  <c r="U56" i="92"/>
  <c r="T56" i="92" s="1"/>
  <c r="V56" i="92"/>
  <c r="W56" i="92"/>
  <c r="I57" i="92"/>
  <c r="K57" i="92"/>
  <c r="L57" i="92"/>
  <c r="M57" i="92"/>
  <c r="S57" i="92"/>
  <c r="U57" i="92"/>
  <c r="T57" i="92" s="1"/>
  <c r="V57" i="92"/>
  <c r="W57" i="92"/>
  <c r="I58" i="92"/>
  <c r="K58" i="92"/>
  <c r="L58" i="92"/>
  <c r="M58" i="92"/>
  <c r="S58" i="92"/>
  <c r="U58" i="92"/>
  <c r="T58" i="92" s="1"/>
  <c r="V58" i="92"/>
  <c r="W58" i="92"/>
  <c r="I59" i="92"/>
  <c r="K59" i="92"/>
  <c r="L59" i="92"/>
  <c r="M59" i="92"/>
  <c r="S59" i="92"/>
  <c r="U59" i="92"/>
  <c r="T59" i="92" s="1"/>
  <c r="V59" i="92"/>
  <c r="W59" i="92"/>
  <c r="I60" i="92"/>
  <c r="K60" i="92"/>
  <c r="L60" i="92"/>
  <c r="M60" i="92"/>
  <c r="S60" i="92"/>
  <c r="U60" i="92"/>
  <c r="T60" i="92" s="1"/>
  <c r="V60" i="92"/>
  <c r="W60" i="92"/>
  <c r="I61" i="92"/>
  <c r="K61" i="92"/>
  <c r="L61" i="92"/>
  <c r="M61" i="92"/>
  <c r="S61" i="92"/>
  <c r="U61" i="92"/>
  <c r="T61" i="92" s="1"/>
  <c r="V61" i="92"/>
  <c r="W61" i="92"/>
  <c r="I62" i="92"/>
  <c r="K62" i="92"/>
  <c r="L62" i="92"/>
  <c r="M62" i="92"/>
  <c r="S62" i="92"/>
  <c r="U62" i="92"/>
  <c r="T62" i="92" s="1"/>
  <c r="V62" i="92"/>
  <c r="W62" i="92"/>
  <c r="I63" i="92"/>
  <c r="K63" i="92"/>
  <c r="L63" i="92"/>
  <c r="M63" i="92"/>
  <c r="S63" i="92"/>
  <c r="U63" i="92"/>
  <c r="T63" i="92" s="1"/>
  <c r="V63" i="92"/>
  <c r="W63" i="92"/>
  <c r="I64" i="92"/>
  <c r="K64" i="92"/>
  <c r="L64" i="92"/>
  <c r="M64" i="92"/>
  <c r="S64" i="92"/>
  <c r="U64" i="92"/>
  <c r="T64" i="92" s="1"/>
  <c r="V64" i="92"/>
  <c r="W64" i="92"/>
  <c r="I65" i="92"/>
  <c r="K65" i="92"/>
  <c r="L65" i="92"/>
  <c r="M65" i="92"/>
  <c r="S65" i="92"/>
  <c r="U65" i="92"/>
  <c r="T65" i="92" s="1"/>
  <c r="V65" i="92"/>
  <c r="W65" i="92"/>
  <c r="I66" i="92"/>
  <c r="K66" i="92"/>
  <c r="L66" i="92"/>
  <c r="M66" i="92"/>
  <c r="S66" i="92"/>
  <c r="U66" i="92"/>
  <c r="T66" i="92" s="1"/>
  <c r="V66" i="92"/>
  <c r="W66" i="92"/>
  <c r="I67" i="92"/>
  <c r="K67" i="92"/>
  <c r="L67" i="92"/>
  <c r="M67" i="92"/>
  <c r="S67" i="92"/>
  <c r="U67" i="92"/>
  <c r="T67" i="92" s="1"/>
  <c r="V67" i="92"/>
  <c r="W67" i="92"/>
  <c r="I68" i="92"/>
  <c r="K68" i="92"/>
  <c r="L68" i="92"/>
  <c r="M68" i="92"/>
  <c r="S68" i="92"/>
  <c r="U68" i="92"/>
  <c r="T68" i="92" s="1"/>
  <c r="V68" i="92"/>
  <c r="W68" i="92"/>
  <c r="I69" i="92"/>
  <c r="K69" i="92"/>
  <c r="L69" i="92"/>
  <c r="M69" i="92"/>
  <c r="S69" i="92"/>
  <c r="U69" i="92"/>
  <c r="T69" i="92" s="1"/>
  <c r="V69" i="92"/>
  <c r="W69" i="92"/>
  <c r="I70" i="92"/>
  <c r="K70" i="92"/>
  <c r="L70" i="92"/>
  <c r="M70" i="92"/>
  <c r="S70" i="92"/>
  <c r="U70" i="92"/>
  <c r="T70" i="92" s="1"/>
  <c r="V70" i="92"/>
  <c r="W70" i="92"/>
  <c r="I71" i="92"/>
  <c r="K71" i="92"/>
  <c r="L71" i="92"/>
  <c r="M71" i="92"/>
  <c r="S71" i="92"/>
  <c r="U71" i="92"/>
  <c r="T71" i="92" s="1"/>
  <c r="V71" i="92"/>
  <c r="W71" i="92"/>
  <c r="I72" i="92"/>
  <c r="K72" i="92"/>
  <c r="L72" i="92"/>
  <c r="M72" i="92"/>
  <c r="S72" i="92"/>
  <c r="U72" i="92"/>
  <c r="T72" i="92" s="1"/>
  <c r="V72" i="92"/>
  <c r="W72" i="92"/>
  <c r="I73" i="92"/>
  <c r="K73" i="92"/>
  <c r="L73" i="92"/>
  <c r="M73" i="92"/>
  <c r="S73" i="92"/>
  <c r="U73" i="92"/>
  <c r="T73" i="92" s="1"/>
  <c r="V73" i="92"/>
  <c r="W73" i="92"/>
  <c r="I74" i="92"/>
  <c r="K74" i="92"/>
  <c r="L74" i="92"/>
  <c r="M74" i="92"/>
  <c r="S74" i="92"/>
  <c r="U74" i="92"/>
  <c r="T74" i="92" s="1"/>
  <c r="V74" i="92"/>
  <c r="W74" i="92"/>
  <c r="I75" i="92"/>
  <c r="K75" i="92"/>
  <c r="L75" i="92"/>
  <c r="M75" i="92"/>
  <c r="S75" i="92"/>
  <c r="U75" i="92"/>
  <c r="T75" i="92" s="1"/>
  <c r="V75" i="92"/>
  <c r="W75" i="92"/>
  <c r="I76" i="92"/>
  <c r="K76" i="92"/>
  <c r="L76" i="92"/>
  <c r="M76" i="92"/>
  <c r="S76" i="92"/>
  <c r="U76" i="92"/>
  <c r="T76" i="92" s="1"/>
  <c r="V76" i="92"/>
  <c r="W76" i="92"/>
  <c r="I77" i="92"/>
  <c r="K77" i="92"/>
  <c r="L77" i="92"/>
  <c r="M77" i="92"/>
  <c r="S77" i="92"/>
  <c r="U77" i="92"/>
  <c r="T77" i="92" s="1"/>
  <c r="V77" i="92"/>
  <c r="W77" i="92"/>
  <c r="I78" i="92"/>
  <c r="K78" i="92"/>
  <c r="L78" i="92"/>
  <c r="M78" i="92"/>
  <c r="S78" i="92"/>
  <c r="U78" i="92"/>
  <c r="T78" i="92" s="1"/>
  <c r="V78" i="92"/>
  <c r="W78" i="92"/>
  <c r="I79" i="92"/>
  <c r="K79" i="92"/>
  <c r="L79" i="92"/>
  <c r="M79" i="92"/>
  <c r="S79" i="92"/>
  <c r="U79" i="92"/>
  <c r="T79" i="92" s="1"/>
  <c r="V79" i="92"/>
  <c r="W79" i="92"/>
  <c r="I80" i="92"/>
  <c r="K80" i="92"/>
  <c r="L80" i="92"/>
  <c r="M80" i="92"/>
  <c r="S80" i="92"/>
  <c r="U80" i="92"/>
  <c r="T80" i="92" s="1"/>
  <c r="V80" i="92"/>
  <c r="W80" i="92"/>
  <c r="I81" i="92"/>
  <c r="K81" i="92"/>
  <c r="L81" i="92"/>
  <c r="M81" i="92"/>
  <c r="R81" i="92"/>
  <c r="S81" i="92"/>
  <c r="T81" i="92"/>
  <c r="U81" i="92"/>
  <c r="F82" i="92"/>
  <c r="G82" i="92"/>
  <c r="I82" i="92"/>
  <c r="W14" i="92"/>
  <c r="E15" i="92"/>
  <c r="Q1" i="92"/>
  <c r="Q2" i="92"/>
  <c r="Q3" i="92"/>
  <c r="Q4" i="92"/>
  <c r="Q5" i="92"/>
  <c r="Q6" i="92"/>
  <c r="Q7" i="92"/>
  <c r="Q8" i="92"/>
  <c r="Q9" i="92"/>
  <c r="T9" i="92"/>
  <c r="U9" i="92"/>
  <c r="V9" i="92"/>
  <c r="W9" i="92"/>
  <c r="Q10" i="92"/>
  <c r="S17" i="91"/>
  <c r="H18" i="91"/>
  <c r="I18" i="91"/>
  <c r="K18" i="91"/>
  <c r="L18" i="91"/>
  <c r="M18" i="91"/>
  <c r="S18" i="91"/>
  <c r="U18" i="91"/>
  <c r="T18" i="91" s="1"/>
  <c r="V18" i="91"/>
  <c r="W18" i="91"/>
  <c r="I19" i="91"/>
  <c r="K19" i="91"/>
  <c r="L19" i="91"/>
  <c r="M19" i="91"/>
  <c r="S19" i="91"/>
  <c r="U19" i="91"/>
  <c r="T19" i="91" s="1"/>
  <c r="V19" i="91"/>
  <c r="W19" i="91"/>
  <c r="I20" i="91"/>
  <c r="K20" i="91"/>
  <c r="L20" i="91"/>
  <c r="M20" i="91"/>
  <c r="S20" i="91"/>
  <c r="U20" i="91"/>
  <c r="T20" i="91" s="1"/>
  <c r="V20" i="91"/>
  <c r="W20" i="91"/>
  <c r="I21" i="91"/>
  <c r="K21" i="91"/>
  <c r="L21" i="91"/>
  <c r="M21" i="91"/>
  <c r="S21" i="91"/>
  <c r="U21" i="91"/>
  <c r="T21" i="91" s="1"/>
  <c r="V21" i="91"/>
  <c r="W21" i="91"/>
  <c r="I22" i="91"/>
  <c r="K22" i="91"/>
  <c r="L22" i="91"/>
  <c r="M22" i="91"/>
  <c r="S22" i="91"/>
  <c r="U22" i="91"/>
  <c r="T22" i="91" s="1"/>
  <c r="V22" i="91"/>
  <c r="W22" i="91"/>
  <c r="I23" i="91"/>
  <c r="K23" i="91"/>
  <c r="L23" i="91"/>
  <c r="M23" i="91"/>
  <c r="S23" i="91"/>
  <c r="U23" i="91"/>
  <c r="T23" i="91" s="1"/>
  <c r="V23" i="91"/>
  <c r="W23" i="91"/>
  <c r="I24" i="91"/>
  <c r="K24" i="91"/>
  <c r="L24" i="91"/>
  <c r="M24" i="91"/>
  <c r="S24" i="91"/>
  <c r="U24" i="91"/>
  <c r="T24" i="91" s="1"/>
  <c r="V24" i="91"/>
  <c r="W24" i="91"/>
  <c r="I25" i="91"/>
  <c r="K25" i="91"/>
  <c r="L25" i="91"/>
  <c r="M25" i="91"/>
  <c r="S25" i="91"/>
  <c r="U25" i="91"/>
  <c r="T25" i="91" s="1"/>
  <c r="V25" i="91"/>
  <c r="W25" i="91"/>
  <c r="I26" i="91"/>
  <c r="K26" i="91"/>
  <c r="L26" i="91"/>
  <c r="M26" i="91"/>
  <c r="S26" i="91"/>
  <c r="U26" i="91"/>
  <c r="T26" i="91" s="1"/>
  <c r="V26" i="91"/>
  <c r="W26" i="91"/>
  <c r="I27" i="91"/>
  <c r="K27" i="91"/>
  <c r="L27" i="91"/>
  <c r="M27" i="91"/>
  <c r="S27" i="91"/>
  <c r="U27" i="91"/>
  <c r="T27" i="91" s="1"/>
  <c r="V27" i="91"/>
  <c r="W27" i="91"/>
  <c r="I28" i="91"/>
  <c r="K28" i="91"/>
  <c r="L28" i="91"/>
  <c r="M28" i="91"/>
  <c r="S28" i="91"/>
  <c r="U28" i="91"/>
  <c r="T28" i="91" s="1"/>
  <c r="V28" i="91"/>
  <c r="W28" i="91"/>
  <c r="I29" i="91"/>
  <c r="K29" i="91"/>
  <c r="L29" i="91"/>
  <c r="M29" i="91"/>
  <c r="S29" i="91"/>
  <c r="U29" i="91"/>
  <c r="T29" i="91" s="1"/>
  <c r="V29" i="91"/>
  <c r="W29" i="91"/>
  <c r="I30" i="91"/>
  <c r="K30" i="91"/>
  <c r="L30" i="91"/>
  <c r="M30" i="91"/>
  <c r="S30" i="91"/>
  <c r="U30" i="91"/>
  <c r="T30" i="91" s="1"/>
  <c r="V30" i="91"/>
  <c r="W30" i="91"/>
  <c r="I31" i="91"/>
  <c r="K31" i="91"/>
  <c r="L31" i="91"/>
  <c r="M31" i="91"/>
  <c r="S31" i="91"/>
  <c r="U31" i="91"/>
  <c r="T31" i="91" s="1"/>
  <c r="V31" i="91"/>
  <c r="W31" i="91"/>
  <c r="I32" i="91"/>
  <c r="K32" i="91"/>
  <c r="L32" i="91"/>
  <c r="M32" i="91"/>
  <c r="S32" i="91"/>
  <c r="U32" i="91"/>
  <c r="T32" i="91" s="1"/>
  <c r="V32" i="91"/>
  <c r="W32" i="91"/>
  <c r="I33" i="91"/>
  <c r="K33" i="91"/>
  <c r="L33" i="91"/>
  <c r="M33" i="91"/>
  <c r="S33" i="91"/>
  <c r="U33" i="91"/>
  <c r="T33" i="91" s="1"/>
  <c r="V33" i="91"/>
  <c r="W33" i="91"/>
  <c r="I34" i="91"/>
  <c r="K34" i="91"/>
  <c r="L34" i="91"/>
  <c r="M34" i="91"/>
  <c r="S34" i="91"/>
  <c r="U34" i="91"/>
  <c r="T34" i="91" s="1"/>
  <c r="V34" i="91"/>
  <c r="W34" i="91"/>
  <c r="I35" i="91"/>
  <c r="K35" i="91"/>
  <c r="L35" i="91"/>
  <c r="M35" i="91"/>
  <c r="S35" i="91"/>
  <c r="U35" i="91"/>
  <c r="T35" i="91" s="1"/>
  <c r="V35" i="91"/>
  <c r="W35" i="91"/>
  <c r="I36" i="91"/>
  <c r="K36" i="91"/>
  <c r="L36" i="91"/>
  <c r="M36" i="91"/>
  <c r="S36" i="91"/>
  <c r="U36" i="91"/>
  <c r="T36" i="91" s="1"/>
  <c r="V36" i="91"/>
  <c r="W36" i="91"/>
  <c r="I37" i="91"/>
  <c r="K37" i="91"/>
  <c r="L37" i="91"/>
  <c r="M37" i="91"/>
  <c r="S37" i="91"/>
  <c r="U37" i="91"/>
  <c r="T37" i="91" s="1"/>
  <c r="V37" i="91"/>
  <c r="W37" i="91"/>
  <c r="I38" i="91"/>
  <c r="K38" i="91"/>
  <c r="L38" i="91"/>
  <c r="M38" i="91"/>
  <c r="S38" i="91"/>
  <c r="U38" i="91"/>
  <c r="T38" i="91" s="1"/>
  <c r="V38" i="91"/>
  <c r="W38" i="91"/>
  <c r="I39" i="91"/>
  <c r="K39" i="91"/>
  <c r="L39" i="91"/>
  <c r="M39" i="91"/>
  <c r="S39" i="91"/>
  <c r="U39" i="91"/>
  <c r="T39" i="91" s="1"/>
  <c r="V39" i="91"/>
  <c r="W39" i="91"/>
  <c r="I40" i="91"/>
  <c r="K40" i="91"/>
  <c r="L40" i="91"/>
  <c r="M40" i="91"/>
  <c r="S40" i="91"/>
  <c r="U40" i="91"/>
  <c r="T40" i="91" s="1"/>
  <c r="V40" i="91"/>
  <c r="W40" i="91"/>
  <c r="I41" i="91"/>
  <c r="K41" i="91"/>
  <c r="L41" i="91"/>
  <c r="M41" i="91"/>
  <c r="S41" i="91"/>
  <c r="U41" i="91"/>
  <c r="T41" i="91" s="1"/>
  <c r="V41" i="91"/>
  <c r="W41" i="91"/>
  <c r="I42" i="91"/>
  <c r="K42" i="91"/>
  <c r="L42" i="91"/>
  <c r="M42" i="91"/>
  <c r="S42" i="91"/>
  <c r="U42" i="91"/>
  <c r="T42" i="91" s="1"/>
  <c r="V42" i="91"/>
  <c r="W42" i="91"/>
  <c r="I43" i="91"/>
  <c r="K43" i="91"/>
  <c r="L43" i="91"/>
  <c r="M43" i="91"/>
  <c r="S43" i="91"/>
  <c r="U43" i="91"/>
  <c r="T43" i="91" s="1"/>
  <c r="V43" i="91"/>
  <c r="W43" i="91"/>
  <c r="I44" i="91"/>
  <c r="K44" i="91"/>
  <c r="L44" i="91"/>
  <c r="M44" i="91"/>
  <c r="S44" i="91"/>
  <c r="U44" i="91"/>
  <c r="T44" i="91" s="1"/>
  <c r="V44" i="91"/>
  <c r="W44" i="91"/>
  <c r="I45" i="91"/>
  <c r="K45" i="91"/>
  <c r="L45" i="91"/>
  <c r="M45" i="91"/>
  <c r="S45" i="91"/>
  <c r="U45" i="91"/>
  <c r="T45" i="91" s="1"/>
  <c r="V45" i="91"/>
  <c r="W45" i="91"/>
  <c r="I46" i="91"/>
  <c r="K46" i="91"/>
  <c r="L46" i="91"/>
  <c r="M46" i="91"/>
  <c r="S46" i="91"/>
  <c r="U46" i="91"/>
  <c r="T46" i="91" s="1"/>
  <c r="V46" i="91"/>
  <c r="W46" i="91"/>
  <c r="I47" i="91"/>
  <c r="K47" i="91"/>
  <c r="L47" i="91"/>
  <c r="M47" i="91"/>
  <c r="S47" i="91"/>
  <c r="U47" i="91"/>
  <c r="T47" i="91" s="1"/>
  <c r="V47" i="91"/>
  <c r="W47" i="91"/>
  <c r="I48" i="91"/>
  <c r="K48" i="91"/>
  <c r="L48" i="91"/>
  <c r="M48" i="91"/>
  <c r="S48" i="91"/>
  <c r="U48" i="91"/>
  <c r="T48" i="91" s="1"/>
  <c r="V48" i="91"/>
  <c r="W48" i="91"/>
  <c r="I49" i="91"/>
  <c r="K49" i="91"/>
  <c r="L49" i="91"/>
  <c r="M49" i="91"/>
  <c r="S49" i="91"/>
  <c r="U49" i="91"/>
  <c r="T49" i="91" s="1"/>
  <c r="V49" i="91"/>
  <c r="W49" i="91"/>
  <c r="I50" i="91"/>
  <c r="K50" i="91"/>
  <c r="L50" i="91"/>
  <c r="M50" i="91"/>
  <c r="S50" i="91"/>
  <c r="U50" i="91"/>
  <c r="T50" i="91" s="1"/>
  <c r="V50" i="91"/>
  <c r="W50" i="91"/>
  <c r="I51" i="91"/>
  <c r="K51" i="91"/>
  <c r="L51" i="91"/>
  <c r="M51" i="91"/>
  <c r="S51" i="91"/>
  <c r="U51" i="91"/>
  <c r="T51" i="91" s="1"/>
  <c r="V51" i="91"/>
  <c r="W51" i="91"/>
  <c r="I52" i="91"/>
  <c r="K52" i="91"/>
  <c r="L52" i="91"/>
  <c r="M52" i="91"/>
  <c r="S52" i="91"/>
  <c r="U52" i="91"/>
  <c r="T52" i="91" s="1"/>
  <c r="V52" i="91"/>
  <c r="W52" i="91"/>
  <c r="I53" i="91"/>
  <c r="K53" i="91"/>
  <c r="L53" i="91"/>
  <c r="M53" i="91"/>
  <c r="S53" i="91"/>
  <c r="U53" i="91"/>
  <c r="T53" i="91" s="1"/>
  <c r="V53" i="91"/>
  <c r="W53" i="91"/>
  <c r="I54" i="91"/>
  <c r="K54" i="91"/>
  <c r="L54" i="91"/>
  <c r="M54" i="91"/>
  <c r="S54" i="91"/>
  <c r="U54" i="91"/>
  <c r="T54" i="91" s="1"/>
  <c r="V54" i="91"/>
  <c r="W54" i="91"/>
  <c r="I55" i="91"/>
  <c r="K55" i="91"/>
  <c r="L55" i="91"/>
  <c r="M55" i="91"/>
  <c r="S55" i="91"/>
  <c r="U55" i="91"/>
  <c r="T55" i="91" s="1"/>
  <c r="V55" i="91"/>
  <c r="W55" i="91"/>
  <c r="I56" i="91"/>
  <c r="K56" i="91"/>
  <c r="L56" i="91"/>
  <c r="M56" i="91"/>
  <c r="S56" i="91"/>
  <c r="U56" i="91"/>
  <c r="T56" i="91" s="1"/>
  <c r="V56" i="91"/>
  <c r="W56" i="91"/>
  <c r="I57" i="91"/>
  <c r="K57" i="91"/>
  <c r="L57" i="91"/>
  <c r="M57" i="91"/>
  <c r="S57" i="91"/>
  <c r="U57" i="91"/>
  <c r="T57" i="91" s="1"/>
  <c r="V57" i="91"/>
  <c r="W57" i="91"/>
  <c r="I58" i="91"/>
  <c r="K58" i="91"/>
  <c r="L58" i="91"/>
  <c r="M58" i="91"/>
  <c r="S58" i="91"/>
  <c r="U58" i="91"/>
  <c r="T58" i="91" s="1"/>
  <c r="V58" i="91"/>
  <c r="W58" i="91"/>
  <c r="I59" i="91"/>
  <c r="K59" i="91"/>
  <c r="L59" i="91"/>
  <c r="M59" i="91"/>
  <c r="S59" i="91"/>
  <c r="U59" i="91"/>
  <c r="T59" i="91" s="1"/>
  <c r="V59" i="91"/>
  <c r="W59" i="91"/>
  <c r="I60" i="91"/>
  <c r="K60" i="91"/>
  <c r="L60" i="91"/>
  <c r="M60" i="91"/>
  <c r="S60" i="91"/>
  <c r="U60" i="91"/>
  <c r="T60" i="91" s="1"/>
  <c r="V60" i="91"/>
  <c r="W60" i="91"/>
  <c r="I61" i="91"/>
  <c r="K61" i="91"/>
  <c r="L61" i="91"/>
  <c r="M61" i="91"/>
  <c r="S61" i="91"/>
  <c r="U61" i="91"/>
  <c r="T61" i="91" s="1"/>
  <c r="V61" i="91"/>
  <c r="W61" i="91"/>
  <c r="I62" i="91"/>
  <c r="K62" i="91"/>
  <c r="L62" i="91"/>
  <c r="M62" i="91"/>
  <c r="S62" i="91"/>
  <c r="U62" i="91"/>
  <c r="T62" i="91" s="1"/>
  <c r="V62" i="91"/>
  <c r="W62" i="91"/>
  <c r="I63" i="91"/>
  <c r="K63" i="91"/>
  <c r="L63" i="91"/>
  <c r="M63" i="91"/>
  <c r="S63" i="91"/>
  <c r="U63" i="91"/>
  <c r="T63" i="91" s="1"/>
  <c r="V63" i="91"/>
  <c r="W63" i="91"/>
  <c r="I64" i="91"/>
  <c r="K64" i="91"/>
  <c r="L64" i="91"/>
  <c r="M64" i="91"/>
  <c r="S64" i="91"/>
  <c r="U64" i="91"/>
  <c r="T64" i="91" s="1"/>
  <c r="V64" i="91"/>
  <c r="W64" i="91"/>
  <c r="I65" i="91"/>
  <c r="K65" i="91"/>
  <c r="L65" i="91"/>
  <c r="M65" i="91"/>
  <c r="S65" i="91"/>
  <c r="U65" i="91"/>
  <c r="T65" i="91" s="1"/>
  <c r="V65" i="91"/>
  <c r="W65" i="91"/>
  <c r="I66" i="91"/>
  <c r="K66" i="91"/>
  <c r="L66" i="91"/>
  <c r="M66" i="91"/>
  <c r="S66" i="91"/>
  <c r="U66" i="91"/>
  <c r="T66" i="91" s="1"/>
  <c r="V66" i="91"/>
  <c r="W66" i="91"/>
  <c r="I67" i="91"/>
  <c r="K67" i="91"/>
  <c r="L67" i="91"/>
  <c r="M67" i="91"/>
  <c r="S67" i="91"/>
  <c r="U67" i="91"/>
  <c r="T67" i="91" s="1"/>
  <c r="V67" i="91"/>
  <c r="W67" i="91"/>
  <c r="I68" i="91"/>
  <c r="K68" i="91"/>
  <c r="L68" i="91"/>
  <c r="M68" i="91"/>
  <c r="S68" i="91"/>
  <c r="U68" i="91"/>
  <c r="T68" i="91" s="1"/>
  <c r="V68" i="91"/>
  <c r="W68" i="91"/>
  <c r="I69" i="91"/>
  <c r="K69" i="91"/>
  <c r="L69" i="91"/>
  <c r="M69" i="91"/>
  <c r="S69" i="91"/>
  <c r="U69" i="91"/>
  <c r="T69" i="91" s="1"/>
  <c r="V69" i="91"/>
  <c r="W69" i="91"/>
  <c r="I70" i="91"/>
  <c r="K70" i="91"/>
  <c r="L70" i="91"/>
  <c r="M70" i="91"/>
  <c r="S70" i="91"/>
  <c r="U70" i="91"/>
  <c r="T70" i="91" s="1"/>
  <c r="V70" i="91"/>
  <c r="W70" i="91"/>
  <c r="I71" i="91"/>
  <c r="K71" i="91"/>
  <c r="L71" i="91"/>
  <c r="M71" i="91"/>
  <c r="S71" i="91"/>
  <c r="U71" i="91"/>
  <c r="T71" i="91" s="1"/>
  <c r="V71" i="91"/>
  <c r="W71" i="91"/>
  <c r="I72" i="91"/>
  <c r="K72" i="91"/>
  <c r="L72" i="91"/>
  <c r="M72" i="91"/>
  <c r="S72" i="91"/>
  <c r="U72" i="91"/>
  <c r="T72" i="91" s="1"/>
  <c r="V72" i="91"/>
  <c r="W72" i="91"/>
  <c r="I73" i="91"/>
  <c r="K73" i="91"/>
  <c r="L73" i="91"/>
  <c r="M73" i="91"/>
  <c r="S73" i="91"/>
  <c r="U73" i="91"/>
  <c r="T73" i="91" s="1"/>
  <c r="V73" i="91"/>
  <c r="W73" i="91"/>
  <c r="I74" i="91"/>
  <c r="K74" i="91"/>
  <c r="L74" i="91"/>
  <c r="M74" i="91"/>
  <c r="S74" i="91"/>
  <c r="U74" i="91"/>
  <c r="T74" i="91" s="1"/>
  <c r="V74" i="91"/>
  <c r="W74" i="91"/>
  <c r="I75" i="91"/>
  <c r="K75" i="91"/>
  <c r="L75" i="91"/>
  <c r="M75" i="91"/>
  <c r="S75" i="91"/>
  <c r="U75" i="91"/>
  <c r="T75" i="91" s="1"/>
  <c r="V75" i="91"/>
  <c r="W75" i="91"/>
  <c r="I76" i="91"/>
  <c r="K76" i="91"/>
  <c r="L76" i="91"/>
  <c r="M76" i="91"/>
  <c r="S76" i="91"/>
  <c r="U76" i="91"/>
  <c r="T76" i="91" s="1"/>
  <c r="V76" i="91"/>
  <c r="W76" i="91"/>
  <c r="I77" i="91"/>
  <c r="K77" i="91"/>
  <c r="L77" i="91"/>
  <c r="M77" i="91"/>
  <c r="S77" i="91"/>
  <c r="U77" i="91"/>
  <c r="T77" i="91" s="1"/>
  <c r="V77" i="91"/>
  <c r="W77" i="91"/>
  <c r="I78" i="91"/>
  <c r="K78" i="91"/>
  <c r="L78" i="91"/>
  <c r="M78" i="91"/>
  <c r="S78" i="91"/>
  <c r="U78" i="91"/>
  <c r="T78" i="91" s="1"/>
  <c r="V78" i="91"/>
  <c r="W78" i="91"/>
  <c r="I79" i="91"/>
  <c r="K79" i="91"/>
  <c r="L79" i="91"/>
  <c r="M79" i="91"/>
  <c r="S79" i="91"/>
  <c r="U79" i="91"/>
  <c r="T79" i="91" s="1"/>
  <c r="V79" i="91"/>
  <c r="W79" i="91"/>
  <c r="I80" i="91"/>
  <c r="K80" i="91"/>
  <c r="L80" i="91"/>
  <c r="M80" i="91"/>
  <c r="S80" i="91"/>
  <c r="U80" i="91"/>
  <c r="T80" i="91" s="1"/>
  <c r="V80" i="91"/>
  <c r="W80" i="91"/>
  <c r="I81" i="91"/>
  <c r="K81" i="91"/>
  <c r="L81" i="91"/>
  <c r="M81" i="91"/>
  <c r="R81" i="91"/>
  <c r="S81" i="91"/>
  <c r="T81" i="91"/>
  <c r="U81" i="91"/>
  <c r="F82" i="91"/>
  <c r="G82" i="91"/>
  <c r="I82" i="91"/>
  <c r="W14" i="91"/>
  <c r="E15" i="91"/>
  <c r="Q1" i="91"/>
  <c r="Q2" i="91"/>
  <c r="Q3" i="91"/>
  <c r="Q4" i="91"/>
  <c r="Q5" i="91"/>
  <c r="Q6" i="91"/>
  <c r="Q7" i="91"/>
  <c r="Q8" i="91"/>
  <c r="Q9" i="91"/>
  <c r="T9" i="91"/>
  <c r="U9" i="91"/>
  <c r="V9" i="91"/>
  <c r="W9" i="91"/>
  <c r="Q10" i="91"/>
  <c r="S17" i="88"/>
  <c r="H18" i="88"/>
  <c r="I18" i="88"/>
  <c r="K18" i="88"/>
  <c r="L18" i="88"/>
  <c r="M18" i="88"/>
  <c r="S18" i="88"/>
  <c r="U18" i="88"/>
  <c r="T18" i="88" s="1"/>
  <c r="V18" i="88"/>
  <c r="W18" i="88"/>
  <c r="I19" i="88"/>
  <c r="K19" i="88"/>
  <c r="L19" i="88"/>
  <c r="M19" i="88"/>
  <c r="S19" i="88"/>
  <c r="U19" i="88"/>
  <c r="T19" i="88" s="1"/>
  <c r="V19" i="88"/>
  <c r="W19" i="88"/>
  <c r="I20" i="88"/>
  <c r="K20" i="88"/>
  <c r="L20" i="88"/>
  <c r="M20" i="88"/>
  <c r="S20" i="88"/>
  <c r="U20" i="88"/>
  <c r="T20" i="88" s="1"/>
  <c r="V20" i="88"/>
  <c r="W20" i="88"/>
  <c r="I21" i="88"/>
  <c r="K21" i="88"/>
  <c r="L21" i="88"/>
  <c r="M21" i="88"/>
  <c r="S21" i="88"/>
  <c r="U21" i="88"/>
  <c r="T21" i="88" s="1"/>
  <c r="V21" i="88"/>
  <c r="W21" i="88"/>
  <c r="I22" i="88"/>
  <c r="K22" i="88"/>
  <c r="L22" i="88"/>
  <c r="M22" i="88"/>
  <c r="S22" i="88"/>
  <c r="U22" i="88"/>
  <c r="T22" i="88" s="1"/>
  <c r="V22" i="88"/>
  <c r="W22" i="88"/>
  <c r="I23" i="88"/>
  <c r="K23" i="88"/>
  <c r="L23" i="88"/>
  <c r="M23" i="88"/>
  <c r="S23" i="88"/>
  <c r="U23" i="88"/>
  <c r="T23" i="88" s="1"/>
  <c r="V23" i="88"/>
  <c r="W23" i="88"/>
  <c r="I24" i="88"/>
  <c r="K24" i="88"/>
  <c r="L24" i="88"/>
  <c r="M24" i="88"/>
  <c r="S24" i="88"/>
  <c r="U24" i="88"/>
  <c r="T24" i="88" s="1"/>
  <c r="V24" i="88"/>
  <c r="W24" i="88"/>
  <c r="I25" i="88"/>
  <c r="K25" i="88"/>
  <c r="L25" i="88"/>
  <c r="M25" i="88"/>
  <c r="S25" i="88"/>
  <c r="U25" i="88"/>
  <c r="T25" i="88" s="1"/>
  <c r="V25" i="88"/>
  <c r="W25" i="88"/>
  <c r="I26" i="88"/>
  <c r="K26" i="88"/>
  <c r="L26" i="88"/>
  <c r="M26" i="88"/>
  <c r="S26" i="88"/>
  <c r="U26" i="88"/>
  <c r="T26" i="88" s="1"/>
  <c r="V26" i="88"/>
  <c r="W26" i="88"/>
  <c r="I27" i="88"/>
  <c r="K27" i="88"/>
  <c r="L27" i="88"/>
  <c r="M27" i="88"/>
  <c r="S27" i="88"/>
  <c r="U27" i="88"/>
  <c r="T27" i="88" s="1"/>
  <c r="V27" i="88"/>
  <c r="W27" i="88"/>
  <c r="I28" i="88"/>
  <c r="K28" i="88"/>
  <c r="L28" i="88"/>
  <c r="M28" i="88"/>
  <c r="S28" i="88"/>
  <c r="U28" i="88"/>
  <c r="T28" i="88" s="1"/>
  <c r="V28" i="88"/>
  <c r="W28" i="88"/>
  <c r="I29" i="88"/>
  <c r="K29" i="88"/>
  <c r="L29" i="88"/>
  <c r="M29" i="88"/>
  <c r="S29" i="88"/>
  <c r="U29" i="88"/>
  <c r="T29" i="88" s="1"/>
  <c r="V29" i="88"/>
  <c r="W29" i="88"/>
  <c r="I30" i="88"/>
  <c r="K30" i="88"/>
  <c r="L30" i="88"/>
  <c r="M30" i="88"/>
  <c r="S30" i="88"/>
  <c r="U30" i="88"/>
  <c r="T30" i="88" s="1"/>
  <c r="V30" i="88"/>
  <c r="W30" i="88"/>
  <c r="I31" i="88"/>
  <c r="K31" i="88"/>
  <c r="L31" i="88"/>
  <c r="M31" i="88"/>
  <c r="S31" i="88"/>
  <c r="U31" i="88"/>
  <c r="T31" i="88" s="1"/>
  <c r="V31" i="88"/>
  <c r="W31" i="88"/>
  <c r="I32" i="88"/>
  <c r="K32" i="88"/>
  <c r="L32" i="88"/>
  <c r="M32" i="88"/>
  <c r="S32" i="88"/>
  <c r="U32" i="88"/>
  <c r="T32" i="88" s="1"/>
  <c r="V32" i="88"/>
  <c r="W32" i="88"/>
  <c r="I33" i="88"/>
  <c r="K33" i="88"/>
  <c r="L33" i="88"/>
  <c r="M33" i="88"/>
  <c r="S33" i="88"/>
  <c r="U33" i="88"/>
  <c r="T33" i="88" s="1"/>
  <c r="V33" i="88"/>
  <c r="W33" i="88"/>
  <c r="I34" i="88"/>
  <c r="K34" i="88"/>
  <c r="L34" i="88"/>
  <c r="M34" i="88"/>
  <c r="S34" i="88"/>
  <c r="U34" i="88"/>
  <c r="T34" i="88" s="1"/>
  <c r="V34" i="88"/>
  <c r="W34" i="88"/>
  <c r="I35" i="88"/>
  <c r="K35" i="88"/>
  <c r="L35" i="88"/>
  <c r="M35" i="88"/>
  <c r="S35" i="88"/>
  <c r="U35" i="88"/>
  <c r="T35" i="88" s="1"/>
  <c r="V35" i="88"/>
  <c r="W35" i="88"/>
  <c r="I36" i="88"/>
  <c r="K36" i="88"/>
  <c r="L36" i="88"/>
  <c r="M36" i="88"/>
  <c r="S36" i="88"/>
  <c r="U36" i="88"/>
  <c r="T36" i="88" s="1"/>
  <c r="V36" i="88"/>
  <c r="W36" i="88"/>
  <c r="I37" i="88"/>
  <c r="K37" i="88"/>
  <c r="L37" i="88"/>
  <c r="M37" i="88"/>
  <c r="S37" i="88"/>
  <c r="U37" i="88"/>
  <c r="T37" i="88" s="1"/>
  <c r="V37" i="88"/>
  <c r="W37" i="88"/>
  <c r="I38" i="88"/>
  <c r="K38" i="88"/>
  <c r="L38" i="88"/>
  <c r="M38" i="88"/>
  <c r="S38" i="88"/>
  <c r="U38" i="88"/>
  <c r="T38" i="88" s="1"/>
  <c r="V38" i="88"/>
  <c r="W38" i="88"/>
  <c r="I39" i="88"/>
  <c r="K39" i="88"/>
  <c r="L39" i="88"/>
  <c r="M39" i="88"/>
  <c r="S39" i="88"/>
  <c r="U39" i="88"/>
  <c r="T39" i="88" s="1"/>
  <c r="V39" i="88"/>
  <c r="W39" i="88"/>
  <c r="I40" i="88"/>
  <c r="K40" i="88"/>
  <c r="L40" i="88"/>
  <c r="M40" i="88"/>
  <c r="S40" i="88"/>
  <c r="U40" i="88"/>
  <c r="T40" i="88" s="1"/>
  <c r="V40" i="88"/>
  <c r="W40" i="88"/>
  <c r="I41" i="88"/>
  <c r="K41" i="88"/>
  <c r="L41" i="88"/>
  <c r="M41" i="88"/>
  <c r="S41" i="88"/>
  <c r="U41" i="88"/>
  <c r="T41" i="88" s="1"/>
  <c r="V41" i="88"/>
  <c r="W41" i="88"/>
  <c r="I42" i="88"/>
  <c r="K42" i="88"/>
  <c r="L42" i="88"/>
  <c r="M42" i="88"/>
  <c r="S42" i="88"/>
  <c r="U42" i="88"/>
  <c r="T42" i="88" s="1"/>
  <c r="V42" i="88"/>
  <c r="W42" i="88"/>
  <c r="I43" i="88"/>
  <c r="K43" i="88"/>
  <c r="L43" i="88"/>
  <c r="M43" i="88"/>
  <c r="S43" i="88"/>
  <c r="U43" i="88"/>
  <c r="T43" i="88" s="1"/>
  <c r="V43" i="88"/>
  <c r="W43" i="88"/>
  <c r="I44" i="88"/>
  <c r="K44" i="88"/>
  <c r="L44" i="88"/>
  <c r="M44" i="88"/>
  <c r="S44" i="88"/>
  <c r="U44" i="88"/>
  <c r="T44" i="88" s="1"/>
  <c r="V44" i="88"/>
  <c r="W44" i="88"/>
  <c r="I45" i="88"/>
  <c r="K45" i="88"/>
  <c r="L45" i="88"/>
  <c r="M45" i="88"/>
  <c r="S45" i="88"/>
  <c r="U45" i="88"/>
  <c r="T45" i="88" s="1"/>
  <c r="V45" i="88"/>
  <c r="W45" i="88"/>
  <c r="I46" i="88"/>
  <c r="K46" i="88"/>
  <c r="L46" i="88"/>
  <c r="M46" i="88"/>
  <c r="S46" i="88"/>
  <c r="U46" i="88"/>
  <c r="T46" i="88" s="1"/>
  <c r="V46" i="88"/>
  <c r="W46" i="88"/>
  <c r="I47" i="88"/>
  <c r="K47" i="88"/>
  <c r="L47" i="88"/>
  <c r="M47" i="88"/>
  <c r="S47" i="88"/>
  <c r="U47" i="88"/>
  <c r="T47" i="88" s="1"/>
  <c r="V47" i="88"/>
  <c r="W47" i="88"/>
  <c r="I48" i="88"/>
  <c r="K48" i="88"/>
  <c r="L48" i="88"/>
  <c r="M48" i="88"/>
  <c r="S48" i="88"/>
  <c r="U48" i="88"/>
  <c r="T48" i="88" s="1"/>
  <c r="V48" i="88"/>
  <c r="W48" i="88"/>
  <c r="I49" i="88"/>
  <c r="K49" i="88"/>
  <c r="L49" i="88"/>
  <c r="M49" i="88"/>
  <c r="S49" i="88"/>
  <c r="U49" i="88"/>
  <c r="T49" i="88" s="1"/>
  <c r="V49" i="88"/>
  <c r="W49" i="88"/>
  <c r="I50" i="88"/>
  <c r="K50" i="88"/>
  <c r="L50" i="88"/>
  <c r="M50" i="88"/>
  <c r="S50" i="88"/>
  <c r="U50" i="88"/>
  <c r="T50" i="88" s="1"/>
  <c r="V50" i="88"/>
  <c r="W50" i="88"/>
  <c r="I51" i="88"/>
  <c r="K51" i="88"/>
  <c r="L51" i="88"/>
  <c r="M51" i="88"/>
  <c r="S51" i="88"/>
  <c r="U51" i="88"/>
  <c r="T51" i="88" s="1"/>
  <c r="V51" i="88"/>
  <c r="W51" i="88"/>
  <c r="I52" i="88"/>
  <c r="K52" i="88"/>
  <c r="L52" i="88"/>
  <c r="M52" i="88"/>
  <c r="S52" i="88"/>
  <c r="U52" i="88"/>
  <c r="T52" i="88" s="1"/>
  <c r="V52" i="88"/>
  <c r="W52" i="88"/>
  <c r="I53" i="88"/>
  <c r="K53" i="88"/>
  <c r="L53" i="88"/>
  <c r="M53" i="88"/>
  <c r="S53" i="88"/>
  <c r="U53" i="88"/>
  <c r="T53" i="88" s="1"/>
  <c r="V53" i="88"/>
  <c r="W53" i="88"/>
  <c r="I54" i="88"/>
  <c r="K54" i="88"/>
  <c r="L54" i="88"/>
  <c r="M54" i="88"/>
  <c r="S54" i="88"/>
  <c r="U54" i="88"/>
  <c r="T54" i="88" s="1"/>
  <c r="V54" i="88"/>
  <c r="W54" i="88"/>
  <c r="I55" i="88"/>
  <c r="K55" i="88"/>
  <c r="L55" i="88"/>
  <c r="M55" i="88"/>
  <c r="S55" i="88"/>
  <c r="U55" i="88"/>
  <c r="T55" i="88" s="1"/>
  <c r="V55" i="88"/>
  <c r="W55" i="88"/>
  <c r="I56" i="88"/>
  <c r="K56" i="88"/>
  <c r="L56" i="88"/>
  <c r="M56" i="88"/>
  <c r="S56" i="88"/>
  <c r="U56" i="88"/>
  <c r="T56" i="88" s="1"/>
  <c r="V56" i="88"/>
  <c r="W56" i="88"/>
  <c r="I57" i="88"/>
  <c r="K57" i="88"/>
  <c r="L57" i="88"/>
  <c r="M57" i="88"/>
  <c r="S57" i="88"/>
  <c r="U57" i="88"/>
  <c r="T57" i="88" s="1"/>
  <c r="V57" i="88"/>
  <c r="W57" i="88"/>
  <c r="I58" i="88"/>
  <c r="K58" i="88"/>
  <c r="L58" i="88"/>
  <c r="M58" i="88"/>
  <c r="S58" i="88"/>
  <c r="U58" i="88"/>
  <c r="T58" i="88" s="1"/>
  <c r="V58" i="88"/>
  <c r="W58" i="88"/>
  <c r="I59" i="88"/>
  <c r="K59" i="88"/>
  <c r="L59" i="88"/>
  <c r="M59" i="88"/>
  <c r="S59" i="88"/>
  <c r="U59" i="88"/>
  <c r="T59" i="88" s="1"/>
  <c r="V59" i="88"/>
  <c r="W59" i="88"/>
  <c r="I60" i="88"/>
  <c r="K60" i="88"/>
  <c r="L60" i="88"/>
  <c r="M60" i="88"/>
  <c r="S60" i="88"/>
  <c r="U60" i="88"/>
  <c r="T60" i="88" s="1"/>
  <c r="V60" i="88"/>
  <c r="W60" i="88"/>
  <c r="I61" i="88"/>
  <c r="K61" i="88"/>
  <c r="L61" i="88"/>
  <c r="M61" i="88"/>
  <c r="S61" i="88"/>
  <c r="U61" i="88"/>
  <c r="T61" i="88" s="1"/>
  <c r="V61" i="88"/>
  <c r="W61" i="88"/>
  <c r="I62" i="88"/>
  <c r="K62" i="88"/>
  <c r="L62" i="88"/>
  <c r="M62" i="88"/>
  <c r="S62" i="88"/>
  <c r="U62" i="88"/>
  <c r="T62" i="88" s="1"/>
  <c r="V62" i="88"/>
  <c r="W62" i="88"/>
  <c r="I63" i="88"/>
  <c r="K63" i="88"/>
  <c r="L63" i="88"/>
  <c r="M63" i="88"/>
  <c r="S63" i="88"/>
  <c r="U63" i="88"/>
  <c r="T63" i="88" s="1"/>
  <c r="V63" i="88"/>
  <c r="W63" i="88"/>
  <c r="I64" i="88"/>
  <c r="K64" i="88"/>
  <c r="L64" i="88"/>
  <c r="M64" i="88"/>
  <c r="S64" i="88"/>
  <c r="U64" i="88"/>
  <c r="T64" i="88" s="1"/>
  <c r="V64" i="88"/>
  <c r="W64" i="88"/>
  <c r="I65" i="88"/>
  <c r="K65" i="88"/>
  <c r="L65" i="88"/>
  <c r="M65" i="88"/>
  <c r="S65" i="88"/>
  <c r="U65" i="88"/>
  <c r="T65" i="88" s="1"/>
  <c r="V65" i="88"/>
  <c r="W65" i="88"/>
  <c r="I66" i="88"/>
  <c r="K66" i="88"/>
  <c r="L66" i="88"/>
  <c r="M66" i="88"/>
  <c r="S66" i="88"/>
  <c r="U66" i="88"/>
  <c r="T66" i="88" s="1"/>
  <c r="V66" i="88"/>
  <c r="W66" i="88"/>
  <c r="I67" i="88"/>
  <c r="K67" i="88"/>
  <c r="L67" i="88"/>
  <c r="M67" i="88"/>
  <c r="S67" i="88"/>
  <c r="U67" i="88"/>
  <c r="T67" i="88" s="1"/>
  <c r="V67" i="88"/>
  <c r="W67" i="88"/>
  <c r="I68" i="88"/>
  <c r="K68" i="88"/>
  <c r="L68" i="88"/>
  <c r="M68" i="88"/>
  <c r="S68" i="88"/>
  <c r="U68" i="88"/>
  <c r="T68" i="88" s="1"/>
  <c r="V68" i="88"/>
  <c r="W68" i="88"/>
  <c r="I69" i="88"/>
  <c r="K69" i="88"/>
  <c r="L69" i="88"/>
  <c r="M69" i="88"/>
  <c r="S69" i="88"/>
  <c r="U69" i="88"/>
  <c r="T69" i="88" s="1"/>
  <c r="V69" i="88"/>
  <c r="W69" i="88"/>
  <c r="I70" i="88"/>
  <c r="K70" i="88"/>
  <c r="L70" i="88"/>
  <c r="M70" i="88"/>
  <c r="S70" i="88"/>
  <c r="U70" i="88"/>
  <c r="T70" i="88" s="1"/>
  <c r="V70" i="88"/>
  <c r="W70" i="88"/>
  <c r="I71" i="88"/>
  <c r="K71" i="88"/>
  <c r="L71" i="88"/>
  <c r="M71" i="88"/>
  <c r="S71" i="88"/>
  <c r="U71" i="88"/>
  <c r="T71" i="88" s="1"/>
  <c r="V71" i="88"/>
  <c r="W71" i="88"/>
  <c r="I72" i="88"/>
  <c r="K72" i="88"/>
  <c r="L72" i="88"/>
  <c r="M72" i="88"/>
  <c r="S72" i="88"/>
  <c r="U72" i="88"/>
  <c r="T72" i="88" s="1"/>
  <c r="V72" i="88"/>
  <c r="W72" i="88"/>
  <c r="I73" i="88"/>
  <c r="K73" i="88"/>
  <c r="L73" i="88"/>
  <c r="M73" i="88"/>
  <c r="S73" i="88"/>
  <c r="U73" i="88"/>
  <c r="T73" i="88" s="1"/>
  <c r="V73" i="88"/>
  <c r="W73" i="88"/>
  <c r="I74" i="88"/>
  <c r="K74" i="88"/>
  <c r="L74" i="88"/>
  <c r="M74" i="88"/>
  <c r="S74" i="88"/>
  <c r="U74" i="88"/>
  <c r="T74" i="88" s="1"/>
  <c r="V74" i="88"/>
  <c r="W74" i="88"/>
  <c r="I75" i="88"/>
  <c r="K75" i="88"/>
  <c r="L75" i="88"/>
  <c r="M75" i="88"/>
  <c r="S75" i="88"/>
  <c r="U75" i="88"/>
  <c r="T75" i="88" s="1"/>
  <c r="V75" i="88"/>
  <c r="W75" i="88"/>
  <c r="I76" i="88"/>
  <c r="K76" i="88"/>
  <c r="L76" i="88"/>
  <c r="M76" i="88"/>
  <c r="S76" i="88"/>
  <c r="U76" i="88"/>
  <c r="T76" i="88" s="1"/>
  <c r="V76" i="88"/>
  <c r="W76" i="88"/>
  <c r="I77" i="88"/>
  <c r="K77" i="88"/>
  <c r="L77" i="88"/>
  <c r="M77" i="88"/>
  <c r="S77" i="88"/>
  <c r="U77" i="88"/>
  <c r="T77" i="88" s="1"/>
  <c r="V77" i="88"/>
  <c r="W77" i="88"/>
  <c r="I78" i="88"/>
  <c r="K78" i="88"/>
  <c r="L78" i="88"/>
  <c r="M78" i="88"/>
  <c r="S78" i="88"/>
  <c r="U78" i="88"/>
  <c r="T78" i="88" s="1"/>
  <c r="V78" i="88"/>
  <c r="W78" i="88"/>
  <c r="I79" i="88"/>
  <c r="K79" i="88"/>
  <c r="L79" i="88"/>
  <c r="M79" i="88"/>
  <c r="S79" i="88"/>
  <c r="U79" i="88"/>
  <c r="T79" i="88" s="1"/>
  <c r="V79" i="88"/>
  <c r="W79" i="88"/>
  <c r="I80" i="88"/>
  <c r="K80" i="88"/>
  <c r="L80" i="88"/>
  <c r="M80" i="88"/>
  <c r="S80" i="88"/>
  <c r="U80" i="88"/>
  <c r="T80" i="88" s="1"/>
  <c r="V80" i="88"/>
  <c r="W80" i="88"/>
  <c r="I81" i="88"/>
  <c r="K81" i="88"/>
  <c r="L81" i="88"/>
  <c r="M81" i="88"/>
  <c r="R81" i="88"/>
  <c r="S81" i="88"/>
  <c r="T81" i="88"/>
  <c r="U81" i="88"/>
  <c r="F82" i="88"/>
  <c r="G82" i="88"/>
  <c r="I82" i="88"/>
  <c r="W14" i="88"/>
  <c r="E15" i="88"/>
  <c r="Q1" i="88"/>
  <c r="Q2" i="88"/>
  <c r="Q3" i="88"/>
  <c r="Q4" i="88"/>
  <c r="Q5" i="88"/>
  <c r="Q6" i="88"/>
  <c r="Q7" i="88"/>
  <c r="Q8" i="88"/>
  <c r="Q9" i="88"/>
  <c r="T9" i="88"/>
  <c r="U9" i="88"/>
  <c r="V9" i="88"/>
  <c r="W9" i="88"/>
  <c r="Q10" i="88"/>
  <c r="G82" i="87"/>
  <c r="F82" i="87"/>
  <c r="R81" i="87"/>
  <c r="L80" i="87"/>
  <c r="K80" i="87"/>
  <c r="M80" i="87" s="1"/>
  <c r="L79" i="87"/>
  <c r="K79" i="87"/>
  <c r="M79" i="87" s="1"/>
  <c r="L78" i="87"/>
  <c r="K78" i="87"/>
  <c r="M78" i="87" s="1"/>
  <c r="L77" i="87"/>
  <c r="K77" i="87"/>
  <c r="M77" i="87" s="1"/>
  <c r="L76" i="87"/>
  <c r="K76" i="87"/>
  <c r="M76" i="87" s="1"/>
  <c r="L75" i="87"/>
  <c r="K75" i="87"/>
  <c r="M75" i="87" s="1"/>
  <c r="L74" i="87"/>
  <c r="K74" i="87"/>
  <c r="M74" i="87" s="1"/>
  <c r="L73" i="87"/>
  <c r="K73" i="87"/>
  <c r="M73" i="87" s="1"/>
  <c r="L72" i="87"/>
  <c r="K72" i="87"/>
  <c r="M72" i="87" s="1"/>
  <c r="L71" i="87"/>
  <c r="K71" i="87"/>
  <c r="M71" i="87" s="1"/>
  <c r="L70" i="87"/>
  <c r="K70" i="87"/>
  <c r="M70" i="87" s="1"/>
  <c r="L69" i="87"/>
  <c r="K69" i="87"/>
  <c r="M69" i="87" s="1"/>
  <c r="L68" i="87"/>
  <c r="K68" i="87"/>
  <c r="M68" i="87" s="1"/>
  <c r="L67" i="87"/>
  <c r="K67" i="87"/>
  <c r="M67" i="87" s="1"/>
  <c r="L66" i="87"/>
  <c r="K66" i="87"/>
  <c r="M66" i="87" s="1"/>
  <c r="L65" i="87"/>
  <c r="K65" i="87"/>
  <c r="M65" i="87" s="1"/>
  <c r="L64" i="87"/>
  <c r="K64" i="87"/>
  <c r="M64" i="87" s="1"/>
  <c r="L63" i="87"/>
  <c r="K63" i="87"/>
  <c r="M63" i="87" s="1"/>
  <c r="L62" i="87"/>
  <c r="K62" i="87"/>
  <c r="M62" i="87" s="1"/>
  <c r="L61" i="87"/>
  <c r="K61" i="87"/>
  <c r="M61" i="87" s="1"/>
  <c r="L60" i="87"/>
  <c r="K60" i="87"/>
  <c r="M60" i="87" s="1"/>
  <c r="L59" i="87"/>
  <c r="K59" i="87"/>
  <c r="M59" i="87" s="1"/>
  <c r="L58" i="87"/>
  <c r="K58" i="87"/>
  <c r="M58" i="87" s="1"/>
  <c r="L57" i="87"/>
  <c r="K57" i="87"/>
  <c r="M57" i="87" s="1"/>
  <c r="L56" i="87"/>
  <c r="K56" i="87"/>
  <c r="M56" i="87" s="1"/>
  <c r="L55" i="87"/>
  <c r="K55" i="87"/>
  <c r="M55" i="87" s="1"/>
  <c r="L54" i="87"/>
  <c r="K54" i="87"/>
  <c r="M54" i="87" s="1"/>
  <c r="L53" i="87"/>
  <c r="K53" i="87"/>
  <c r="M53" i="87" s="1"/>
  <c r="L52" i="87"/>
  <c r="K52" i="87"/>
  <c r="M52" i="87" s="1"/>
  <c r="L51" i="87"/>
  <c r="K51" i="87"/>
  <c r="M51" i="87" s="1"/>
  <c r="L50" i="87"/>
  <c r="K50" i="87"/>
  <c r="M50" i="87" s="1"/>
  <c r="L49" i="87"/>
  <c r="K49" i="87"/>
  <c r="M49" i="87" s="1"/>
  <c r="L48" i="87"/>
  <c r="K48" i="87"/>
  <c r="M48" i="87" s="1"/>
  <c r="L47" i="87"/>
  <c r="K47" i="87"/>
  <c r="M47" i="87" s="1"/>
  <c r="L46" i="87"/>
  <c r="K46" i="87"/>
  <c r="M46" i="87" s="1"/>
  <c r="L45" i="87"/>
  <c r="K45" i="87"/>
  <c r="M45" i="87" s="1"/>
  <c r="L44" i="87"/>
  <c r="K44" i="87"/>
  <c r="M44" i="87" s="1"/>
  <c r="L43" i="87"/>
  <c r="K43" i="87"/>
  <c r="M43" i="87" s="1"/>
  <c r="L42" i="87"/>
  <c r="K42" i="87"/>
  <c r="M42" i="87" s="1"/>
  <c r="L41" i="87"/>
  <c r="K41" i="87"/>
  <c r="M41" i="87" s="1"/>
  <c r="L40" i="87"/>
  <c r="K40" i="87"/>
  <c r="M40" i="87" s="1"/>
  <c r="L39" i="87"/>
  <c r="K39" i="87"/>
  <c r="M39" i="87" s="1"/>
  <c r="L38" i="87"/>
  <c r="K38" i="87"/>
  <c r="M38" i="87" s="1"/>
  <c r="L37" i="87"/>
  <c r="K37" i="87"/>
  <c r="M37" i="87" s="1"/>
  <c r="L36" i="87"/>
  <c r="K36" i="87"/>
  <c r="M36" i="87" s="1"/>
  <c r="L35" i="87"/>
  <c r="K35" i="87"/>
  <c r="M35" i="87" s="1"/>
  <c r="L34" i="87"/>
  <c r="K34" i="87"/>
  <c r="M34" i="87" s="1"/>
  <c r="L33" i="87"/>
  <c r="K33" i="87"/>
  <c r="M33" i="87" s="1"/>
  <c r="L32" i="87"/>
  <c r="K32" i="87"/>
  <c r="M32" i="87" s="1"/>
  <c r="L31" i="87"/>
  <c r="K31" i="87"/>
  <c r="M31" i="87" s="1"/>
  <c r="L30" i="87"/>
  <c r="K30" i="87"/>
  <c r="M30" i="87" s="1"/>
  <c r="L29" i="87"/>
  <c r="K29" i="87"/>
  <c r="M29" i="87" s="1"/>
  <c r="L28" i="87"/>
  <c r="K28" i="87"/>
  <c r="M28" i="87" s="1"/>
  <c r="L27" i="87"/>
  <c r="K27" i="87"/>
  <c r="M27" i="87" s="1"/>
  <c r="L26" i="87"/>
  <c r="K26" i="87"/>
  <c r="M26" i="87" s="1"/>
  <c r="L25" i="87"/>
  <c r="K25" i="87"/>
  <c r="M25" i="87" s="1"/>
  <c r="L24" i="87"/>
  <c r="K24" i="87"/>
  <c r="M24" i="87" s="1"/>
  <c r="L23" i="87"/>
  <c r="K23" i="87"/>
  <c r="M23" i="87" s="1"/>
  <c r="L22" i="87"/>
  <c r="K22" i="87"/>
  <c r="M22" i="87" s="1"/>
  <c r="L21" i="87"/>
  <c r="K21" i="87"/>
  <c r="M21" i="87" s="1"/>
  <c r="L20" i="87"/>
  <c r="K20" i="87"/>
  <c r="M20" i="87" s="1"/>
  <c r="L19" i="87"/>
  <c r="K19" i="87"/>
  <c r="M19" i="87" s="1"/>
  <c r="L18" i="87"/>
  <c r="K18" i="87"/>
  <c r="I18" i="87"/>
  <c r="H18" i="87"/>
  <c r="S17" i="87"/>
  <c r="E15" i="87"/>
  <c r="Q10" i="87"/>
  <c r="Q1" i="87"/>
  <c r="Q8" i="87" s="1"/>
  <c r="H42" i="84"/>
  <c r="H43" i="84"/>
  <c r="H44" i="84"/>
  <c r="H45" i="84"/>
  <c r="G82" i="85"/>
  <c r="F82" i="85"/>
  <c r="R81" i="85"/>
  <c r="L80" i="85"/>
  <c r="K80" i="85"/>
  <c r="M80" i="85" s="1"/>
  <c r="L79" i="85"/>
  <c r="K79" i="85"/>
  <c r="M79" i="85" s="1"/>
  <c r="L78" i="85"/>
  <c r="K78" i="85"/>
  <c r="M78" i="85" s="1"/>
  <c r="L77" i="85"/>
  <c r="K77" i="85"/>
  <c r="M77" i="85" s="1"/>
  <c r="L76" i="85"/>
  <c r="K76" i="85"/>
  <c r="M76" i="85" s="1"/>
  <c r="L75" i="85"/>
  <c r="K75" i="85"/>
  <c r="M75" i="85" s="1"/>
  <c r="L74" i="85"/>
  <c r="K74" i="85"/>
  <c r="M74" i="85" s="1"/>
  <c r="L73" i="85"/>
  <c r="K73" i="85"/>
  <c r="M73" i="85" s="1"/>
  <c r="L72" i="85"/>
  <c r="K72" i="85"/>
  <c r="M72" i="85" s="1"/>
  <c r="L71" i="85"/>
  <c r="K71" i="85"/>
  <c r="M71" i="85" s="1"/>
  <c r="L70" i="85"/>
  <c r="K70" i="85"/>
  <c r="M70" i="85" s="1"/>
  <c r="L69" i="85"/>
  <c r="K69" i="85"/>
  <c r="M69" i="85" s="1"/>
  <c r="L68" i="85"/>
  <c r="K68" i="85"/>
  <c r="M68" i="85" s="1"/>
  <c r="L67" i="85"/>
  <c r="K67" i="85"/>
  <c r="M67" i="85" s="1"/>
  <c r="L66" i="85"/>
  <c r="K66" i="85"/>
  <c r="M66" i="85" s="1"/>
  <c r="L65" i="85"/>
  <c r="K65" i="85"/>
  <c r="M65" i="85" s="1"/>
  <c r="L64" i="85"/>
  <c r="K64" i="85"/>
  <c r="M64" i="85" s="1"/>
  <c r="L63" i="85"/>
  <c r="K63" i="85"/>
  <c r="M63" i="85" s="1"/>
  <c r="L62" i="85"/>
  <c r="K62" i="85"/>
  <c r="M62" i="85" s="1"/>
  <c r="L61" i="85"/>
  <c r="K61" i="85"/>
  <c r="M61" i="85" s="1"/>
  <c r="L60" i="85"/>
  <c r="K60" i="85"/>
  <c r="M60" i="85" s="1"/>
  <c r="L59" i="85"/>
  <c r="K59" i="85"/>
  <c r="M59" i="85" s="1"/>
  <c r="L58" i="85"/>
  <c r="K58" i="85"/>
  <c r="M58" i="85" s="1"/>
  <c r="L57" i="85"/>
  <c r="K57" i="85"/>
  <c r="M57" i="85" s="1"/>
  <c r="L56" i="85"/>
  <c r="K56" i="85"/>
  <c r="M56" i="85" s="1"/>
  <c r="L55" i="85"/>
  <c r="K55" i="85"/>
  <c r="M55" i="85" s="1"/>
  <c r="L54" i="85"/>
  <c r="K54" i="85"/>
  <c r="M54" i="85" s="1"/>
  <c r="L53" i="85"/>
  <c r="K53" i="85"/>
  <c r="M53" i="85" s="1"/>
  <c r="L52" i="85"/>
  <c r="K52" i="85"/>
  <c r="M52" i="85" s="1"/>
  <c r="L51" i="85"/>
  <c r="K51" i="85"/>
  <c r="M51" i="85" s="1"/>
  <c r="L50" i="85"/>
  <c r="K50" i="85"/>
  <c r="M50" i="85" s="1"/>
  <c r="L49" i="85"/>
  <c r="K49" i="85"/>
  <c r="M49" i="85" s="1"/>
  <c r="L48" i="85"/>
  <c r="K48" i="85"/>
  <c r="M48" i="85" s="1"/>
  <c r="L47" i="85"/>
  <c r="K47" i="85"/>
  <c r="M47" i="85" s="1"/>
  <c r="L46" i="85"/>
  <c r="K46" i="85"/>
  <c r="M46" i="85" s="1"/>
  <c r="L45" i="85"/>
  <c r="K45" i="85"/>
  <c r="M45" i="85" s="1"/>
  <c r="L44" i="85"/>
  <c r="K44" i="85"/>
  <c r="M44" i="85" s="1"/>
  <c r="L43" i="85"/>
  <c r="K43" i="85"/>
  <c r="M43" i="85" s="1"/>
  <c r="L42" i="85"/>
  <c r="K42" i="85"/>
  <c r="M42" i="85" s="1"/>
  <c r="L41" i="85"/>
  <c r="K41" i="85"/>
  <c r="M41" i="85" s="1"/>
  <c r="L40" i="85"/>
  <c r="K40" i="85"/>
  <c r="M40" i="85" s="1"/>
  <c r="L39" i="85"/>
  <c r="K39" i="85"/>
  <c r="M39" i="85" s="1"/>
  <c r="L38" i="85"/>
  <c r="K38" i="85"/>
  <c r="M38" i="85" s="1"/>
  <c r="L37" i="85"/>
  <c r="K37" i="85"/>
  <c r="M37" i="85" s="1"/>
  <c r="L36" i="85"/>
  <c r="K36" i="85"/>
  <c r="M36" i="85" s="1"/>
  <c r="L35" i="85"/>
  <c r="K35" i="85"/>
  <c r="M35" i="85" s="1"/>
  <c r="L34" i="85"/>
  <c r="K34" i="85"/>
  <c r="M34" i="85" s="1"/>
  <c r="L33" i="85"/>
  <c r="K33" i="85"/>
  <c r="M33" i="85" s="1"/>
  <c r="L32" i="85"/>
  <c r="K32" i="85"/>
  <c r="M32" i="85" s="1"/>
  <c r="L31" i="85"/>
  <c r="K31" i="85"/>
  <c r="M31" i="85" s="1"/>
  <c r="L30" i="85"/>
  <c r="K30" i="85"/>
  <c r="M30" i="85" s="1"/>
  <c r="L29" i="85"/>
  <c r="K29" i="85"/>
  <c r="M29" i="85" s="1"/>
  <c r="L28" i="85"/>
  <c r="K28" i="85"/>
  <c r="M28" i="85" s="1"/>
  <c r="L27" i="85"/>
  <c r="K27" i="85"/>
  <c r="M27" i="85" s="1"/>
  <c r="L26" i="85"/>
  <c r="K26" i="85"/>
  <c r="M26" i="85" s="1"/>
  <c r="L25" i="85"/>
  <c r="K25" i="85"/>
  <c r="M25" i="85" s="1"/>
  <c r="L24" i="85"/>
  <c r="K24" i="85"/>
  <c r="M24" i="85" s="1"/>
  <c r="L23" i="85"/>
  <c r="K23" i="85"/>
  <c r="M23" i="85" s="1"/>
  <c r="L22" i="85"/>
  <c r="K22" i="85"/>
  <c r="M22" i="85" s="1"/>
  <c r="L21" i="85"/>
  <c r="K21" i="85"/>
  <c r="M21" i="85" s="1"/>
  <c r="L20" i="85"/>
  <c r="K20" i="85"/>
  <c r="M20" i="85" s="1"/>
  <c r="L19" i="85"/>
  <c r="K19" i="85"/>
  <c r="M19" i="85" s="1"/>
  <c r="L18" i="85"/>
  <c r="K18" i="85"/>
  <c r="I18" i="85"/>
  <c r="H18" i="85"/>
  <c r="S17" i="85"/>
  <c r="E15" i="85"/>
  <c r="Q10" i="85"/>
  <c r="Q1" i="85"/>
  <c r="Q8" i="85" s="1"/>
  <c r="Q1" i="84"/>
  <c r="Q8" i="84"/>
  <c r="E15" i="84"/>
  <c r="H17" i="84"/>
  <c r="I17" i="84"/>
  <c r="S17" i="84"/>
  <c r="H18" i="84"/>
  <c r="I18" i="84"/>
  <c r="K18" i="84"/>
  <c r="L18" i="84"/>
  <c r="M18" i="84"/>
  <c r="S18" i="84"/>
  <c r="U18" i="84"/>
  <c r="T18" i="84" s="1"/>
  <c r="V18" i="84"/>
  <c r="W18" i="84"/>
  <c r="H19" i="84"/>
  <c r="I19" i="84"/>
  <c r="K19" i="84"/>
  <c r="L19" i="84"/>
  <c r="M19" i="84"/>
  <c r="S19" i="84"/>
  <c r="U19" i="84"/>
  <c r="T19" i="84" s="1"/>
  <c r="V19" i="84"/>
  <c r="W19" i="84"/>
  <c r="H20" i="84"/>
  <c r="I20" i="84"/>
  <c r="K20" i="84"/>
  <c r="L20" i="84"/>
  <c r="M20" i="84"/>
  <c r="S20" i="84"/>
  <c r="U20" i="84"/>
  <c r="T20" i="84" s="1"/>
  <c r="V20" i="84"/>
  <c r="W20" i="84"/>
  <c r="H21" i="84"/>
  <c r="I21" i="84"/>
  <c r="K21" i="84"/>
  <c r="L21" i="84"/>
  <c r="M21" i="84"/>
  <c r="S21" i="84"/>
  <c r="U21" i="84"/>
  <c r="T21" i="84" s="1"/>
  <c r="V21" i="84"/>
  <c r="W21" i="84"/>
  <c r="H22" i="84"/>
  <c r="I22" i="84"/>
  <c r="K22" i="84"/>
  <c r="L22" i="84"/>
  <c r="M22" i="84"/>
  <c r="S22" i="84"/>
  <c r="U22" i="84"/>
  <c r="T22" i="84" s="1"/>
  <c r="V22" i="84"/>
  <c r="W22" i="84"/>
  <c r="H23" i="84"/>
  <c r="I23" i="84"/>
  <c r="K23" i="84"/>
  <c r="L23" i="84"/>
  <c r="M23" i="84"/>
  <c r="S23" i="84"/>
  <c r="U23" i="84"/>
  <c r="T23" i="84" s="1"/>
  <c r="V23" i="84"/>
  <c r="W23" i="84"/>
  <c r="H24" i="84"/>
  <c r="I24" i="84"/>
  <c r="K24" i="84"/>
  <c r="L24" i="84"/>
  <c r="M24" i="84"/>
  <c r="S24" i="84"/>
  <c r="U24" i="84"/>
  <c r="T24" i="84" s="1"/>
  <c r="V24" i="84"/>
  <c r="W24" i="84"/>
  <c r="H25" i="84"/>
  <c r="I25" i="84"/>
  <c r="K25" i="84"/>
  <c r="L25" i="84"/>
  <c r="M25" i="84"/>
  <c r="S25" i="84"/>
  <c r="U25" i="84"/>
  <c r="T25" i="84" s="1"/>
  <c r="V25" i="84"/>
  <c r="W25" i="84"/>
  <c r="H26" i="84"/>
  <c r="I26" i="84"/>
  <c r="K26" i="84"/>
  <c r="L26" i="84"/>
  <c r="M26" i="84"/>
  <c r="S26" i="84"/>
  <c r="U26" i="84"/>
  <c r="T26" i="84" s="1"/>
  <c r="V26" i="84"/>
  <c r="W26" i="84"/>
  <c r="H27" i="84"/>
  <c r="I27" i="84"/>
  <c r="K27" i="84"/>
  <c r="L27" i="84"/>
  <c r="M27" i="84"/>
  <c r="S27" i="84"/>
  <c r="U27" i="84"/>
  <c r="T27" i="84" s="1"/>
  <c r="V27" i="84"/>
  <c r="W27" i="84"/>
  <c r="H28" i="84"/>
  <c r="I28" i="84"/>
  <c r="K28" i="84"/>
  <c r="L28" i="84"/>
  <c r="M28" i="84"/>
  <c r="S28" i="84"/>
  <c r="U28" i="84"/>
  <c r="T28" i="84" s="1"/>
  <c r="V28" i="84"/>
  <c r="W28" i="84"/>
  <c r="H29" i="84"/>
  <c r="I29" i="84"/>
  <c r="K29" i="84"/>
  <c r="L29" i="84"/>
  <c r="M29" i="84"/>
  <c r="S29" i="84"/>
  <c r="U29" i="84"/>
  <c r="T29" i="84" s="1"/>
  <c r="V29" i="84"/>
  <c r="W29" i="84"/>
  <c r="H30" i="84"/>
  <c r="I30" i="84"/>
  <c r="K30" i="84"/>
  <c r="L30" i="84"/>
  <c r="M30" i="84"/>
  <c r="S30" i="84"/>
  <c r="U30" i="84"/>
  <c r="T30" i="84" s="1"/>
  <c r="V30" i="84"/>
  <c r="W30" i="84"/>
  <c r="H31" i="84"/>
  <c r="I31" i="84"/>
  <c r="K31" i="84"/>
  <c r="L31" i="84"/>
  <c r="M31" i="84"/>
  <c r="S31" i="84"/>
  <c r="U31" i="84"/>
  <c r="T31" i="84" s="1"/>
  <c r="V31" i="84"/>
  <c r="W31" i="84"/>
  <c r="H32" i="84"/>
  <c r="I32" i="84"/>
  <c r="K32" i="84"/>
  <c r="L32" i="84"/>
  <c r="M32" i="84"/>
  <c r="S32" i="84"/>
  <c r="U32" i="84"/>
  <c r="T32" i="84" s="1"/>
  <c r="V32" i="84"/>
  <c r="W32" i="84"/>
  <c r="H33" i="84"/>
  <c r="I33" i="84"/>
  <c r="K33" i="84"/>
  <c r="L33" i="84"/>
  <c r="M33" i="84"/>
  <c r="S33" i="84"/>
  <c r="U33" i="84"/>
  <c r="T33" i="84" s="1"/>
  <c r="V33" i="84"/>
  <c r="W33" i="84"/>
  <c r="H34" i="84"/>
  <c r="I34" i="84"/>
  <c r="K34" i="84"/>
  <c r="L34" i="84"/>
  <c r="M34" i="84"/>
  <c r="S34" i="84"/>
  <c r="U34" i="84"/>
  <c r="T34" i="84" s="1"/>
  <c r="V34" i="84"/>
  <c r="W34" i="84"/>
  <c r="H35" i="84"/>
  <c r="I35" i="84"/>
  <c r="K35" i="84"/>
  <c r="L35" i="84"/>
  <c r="M35" i="84"/>
  <c r="S35" i="84"/>
  <c r="U35" i="84"/>
  <c r="T35" i="84" s="1"/>
  <c r="V35" i="84"/>
  <c r="W35" i="84"/>
  <c r="H36" i="84"/>
  <c r="I36" i="84"/>
  <c r="K36" i="84"/>
  <c r="L36" i="84"/>
  <c r="M36" i="84"/>
  <c r="S36" i="84"/>
  <c r="U36" i="84"/>
  <c r="T36" i="84" s="1"/>
  <c r="V36" i="84"/>
  <c r="W36" i="84"/>
  <c r="H37" i="84"/>
  <c r="I37" i="84"/>
  <c r="K37" i="84"/>
  <c r="L37" i="84"/>
  <c r="M37" i="84"/>
  <c r="S37" i="84"/>
  <c r="U37" i="84"/>
  <c r="T37" i="84" s="1"/>
  <c r="V37" i="84"/>
  <c r="W37" i="84"/>
  <c r="H38" i="84"/>
  <c r="I38" i="84"/>
  <c r="K38" i="84"/>
  <c r="L38" i="84"/>
  <c r="M38" i="84"/>
  <c r="S38" i="84"/>
  <c r="U38" i="84"/>
  <c r="T38" i="84" s="1"/>
  <c r="V38" i="84"/>
  <c r="W38" i="84"/>
  <c r="H39" i="84"/>
  <c r="I39" i="84"/>
  <c r="K39" i="84"/>
  <c r="L39" i="84"/>
  <c r="M39" i="84"/>
  <c r="S39" i="84"/>
  <c r="U39" i="84"/>
  <c r="T39" i="84" s="1"/>
  <c r="V39" i="84"/>
  <c r="W39" i="84"/>
  <c r="H40" i="84"/>
  <c r="I40" i="84"/>
  <c r="K40" i="84"/>
  <c r="L40" i="84"/>
  <c r="M40" i="84"/>
  <c r="S40" i="84"/>
  <c r="U40" i="84"/>
  <c r="T40" i="84" s="1"/>
  <c r="V40" i="84"/>
  <c r="W40" i="84"/>
  <c r="H41" i="84"/>
  <c r="I41" i="84"/>
  <c r="K41" i="84"/>
  <c r="L41" i="84"/>
  <c r="M41" i="84"/>
  <c r="S41" i="84"/>
  <c r="U41" i="84"/>
  <c r="T41" i="84" s="1"/>
  <c r="V41" i="84"/>
  <c r="W41" i="84"/>
  <c r="I42" i="84"/>
  <c r="K42" i="84"/>
  <c r="L42" i="84"/>
  <c r="M42" i="84"/>
  <c r="S42" i="84"/>
  <c r="U42" i="84"/>
  <c r="T42" i="84" s="1"/>
  <c r="V42" i="84"/>
  <c r="W42" i="84"/>
  <c r="I43" i="84"/>
  <c r="K43" i="84"/>
  <c r="L43" i="84"/>
  <c r="M43" i="84"/>
  <c r="S43" i="84"/>
  <c r="U43" i="84"/>
  <c r="T43" i="84" s="1"/>
  <c r="V43" i="84"/>
  <c r="W43" i="84"/>
  <c r="I44" i="84"/>
  <c r="K44" i="84"/>
  <c r="L44" i="84"/>
  <c r="M44" i="84"/>
  <c r="S44" i="84"/>
  <c r="U44" i="84"/>
  <c r="T44" i="84" s="1"/>
  <c r="V44" i="84"/>
  <c r="W44" i="84"/>
  <c r="I45" i="84"/>
  <c r="K45" i="84"/>
  <c r="L45" i="84"/>
  <c r="M45" i="84"/>
  <c r="S45" i="84"/>
  <c r="U45" i="84"/>
  <c r="T45" i="84" s="1"/>
  <c r="V45" i="84"/>
  <c r="W45" i="84"/>
  <c r="H46" i="84"/>
  <c r="I46" i="84"/>
  <c r="K46" i="84"/>
  <c r="L46" i="84"/>
  <c r="M46" i="84"/>
  <c r="S46" i="84"/>
  <c r="U46" i="84"/>
  <c r="T46" i="84" s="1"/>
  <c r="V46" i="84"/>
  <c r="W46" i="84"/>
  <c r="H47" i="84"/>
  <c r="I47" i="84"/>
  <c r="K47" i="84"/>
  <c r="L47" i="84"/>
  <c r="M47" i="84"/>
  <c r="S47" i="84"/>
  <c r="U47" i="84"/>
  <c r="T47" i="84" s="1"/>
  <c r="V47" i="84"/>
  <c r="W47" i="84"/>
  <c r="H48" i="84"/>
  <c r="I48" i="84"/>
  <c r="K48" i="84"/>
  <c r="L48" i="84"/>
  <c r="M48" i="84"/>
  <c r="S48" i="84"/>
  <c r="U48" i="84"/>
  <c r="T48" i="84" s="1"/>
  <c r="V48" i="84"/>
  <c r="W48" i="84"/>
  <c r="H49" i="84"/>
  <c r="I49" i="84"/>
  <c r="K49" i="84"/>
  <c r="L49" i="84"/>
  <c r="M49" i="84"/>
  <c r="S49" i="84"/>
  <c r="U49" i="84"/>
  <c r="T49" i="84" s="1"/>
  <c r="V49" i="84"/>
  <c r="W49" i="84"/>
  <c r="H50" i="84"/>
  <c r="I50" i="84"/>
  <c r="K50" i="84"/>
  <c r="L50" i="84"/>
  <c r="M50" i="84"/>
  <c r="S50" i="84"/>
  <c r="U50" i="84"/>
  <c r="T50" i="84" s="1"/>
  <c r="V50" i="84"/>
  <c r="W50" i="84"/>
  <c r="H51" i="84"/>
  <c r="I51" i="84"/>
  <c r="K51" i="84"/>
  <c r="L51" i="84"/>
  <c r="M51" i="84"/>
  <c r="S51" i="84"/>
  <c r="U51" i="84"/>
  <c r="T51" i="84" s="1"/>
  <c r="V51" i="84"/>
  <c r="W51" i="84"/>
  <c r="H52" i="84"/>
  <c r="I52" i="84"/>
  <c r="K52" i="84"/>
  <c r="L52" i="84"/>
  <c r="M52" i="84"/>
  <c r="S52" i="84"/>
  <c r="U52" i="84"/>
  <c r="T52" i="84" s="1"/>
  <c r="V52" i="84"/>
  <c r="W52" i="84"/>
  <c r="I53" i="84"/>
  <c r="K53" i="84"/>
  <c r="L53" i="84"/>
  <c r="M53" i="84"/>
  <c r="S53" i="84"/>
  <c r="U53" i="84"/>
  <c r="T53" i="84" s="1"/>
  <c r="V53" i="84"/>
  <c r="W53" i="84"/>
  <c r="I54" i="84"/>
  <c r="K54" i="84"/>
  <c r="L54" i="84"/>
  <c r="M54" i="84"/>
  <c r="S54" i="84"/>
  <c r="U54" i="84"/>
  <c r="T54" i="84" s="1"/>
  <c r="V54" i="84"/>
  <c r="W54" i="84"/>
  <c r="I55" i="84"/>
  <c r="K55" i="84"/>
  <c r="L55" i="84"/>
  <c r="M55" i="84"/>
  <c r="S55" i="84"/>
  <c r="U55" i="84"/>
  <c r="T55" i="84" s="1"/>
  <c r="V55" i="84"/>
  <c r="W55" i="84"/>
  <c r="I56" i="84"/>
  <c r="K56" i="84"/>
  <c r="L56" i="84"/>
  <c r="M56" i="84"/>
  <c r="S56" i="84"/>
  <c r="U56" i="84"/>
  <c r="T56" i="84" s="1"/>
  <c r="V56" i="84"/>
  <c r="W56" i="84"/>
  <c r="I57" i="84"/>
  <c r="K57" i="84"/>
  <c r="L57" i="84"/>
  <c r="M57" i="84"/>
  <c r="S57" i="84"/>
  <c r="U57" i="84"/>
  <c r="T57" i="84" s="1"/>
  <c r="V57" i="84"/>
  <c r="W57" i="84"/>
  <c r="H58" i="84"/>
  <c r="I58" i="84"/>
  <c r="K58" i="84"/>
  <c r="L58" i="84"/>
  <c r="M58" i="84"/>
  <c r="S58" i="84"/>
  <c r="U58" i="84"/>
  <c r="T58" i="84" s="1"/>
  <c r="V58" i="84"/>
  <c r="W58" i="84"/>
  <c r="H59" i="84"/>
  <c r="I59" i="84"/>
  <c r="K59" i="84"/>
  <c r="L59" i="84"/>
  <c r="M59" i="84"/>
  <c r="S59" i="84"/>
  <c r="U59" i="84"/>
  <c r="T59" i="84" s="1"/>
  <c r="V59" i="84"/>
  <c r="W59" i="84"/>
  <c r="H60" i="84"/>
  <c r="I60" i="84"/>
  <c r="K60" i="84"/>
  <c r="L60" i="84"/>
  <c r="M60" i="84"/>
  <c r="S60" i="84"/>
  <c r="U60" i="84"/>
  <c r="T60" i="84" s="1"/>
  <c r="V60" i="84"/>
  <c r="W60" i="84"/>
  <c r="H61" i="84"/>
  <c r="I61" i="84"/>
  <c r="K61" i="84"/>
  <c r="L61" i="84"/>
  <c r="M61" i="84"/>
  <c r="S61" i="84"/>
  <c r="U61" i="84"/>
  <c r="T61" i="84" s="1"/>
  <c r="V61" i="84"/>
  <c r="W61" i="84"/>
  <c r="H62" i="84"/>
  <c r="I62" i="84"/>
  <c r="K62" i="84"/>
  <c r="L62" i="84"/>
  <c r="M62" i="84"/>
  <c r="S62" i="84"/>
  <c r="U62" i="84"/>
  <c r="T62" i="84" s="1"/>
  <c r="V62" i="84"/>
  <c r="W62" i="84"/>
  <c r="H63" i="84"/>
  <c r="I63" i="84"/>
  <c r="K63" i="84"/>
  <c r="L63" i="84"/>
  <c r="M63" i="84"/>
  <c r="S63" i="84"/>
  <c r="U63" i="84"/>
  <c r="T63" i="84" s="1"/>
  <c r="V63" i="84"/>
  <c r="W63" i="84"/>
  <c r="H64" i="84"/>
  <c r="I64" i="84"/>
  <c r="K64" i="84"/>
  <c r="L64" i="84"/>
  <c r="M64" i="84"/>
  <c r="S64" i="84"/>
  <c r="U64" i="84"/>
  <c r="T64" i="84" s="1"/>
  <c r="V64" i="84"/>
  <c r="W64" i="84"/>
  <c r="H65" i="84"/>
  <c r="I65" i="84"/>
  <c r="K65" i="84"/>
  <c r="L65" i="84"/>
  <c r="M65" i="84"/>
  <c r="S65" i="84"/>
  <c r="U65" i="84"/>
  <c r="T65" i="84" s="1"/>
  <c r="V65" i="84"/>
  <c r="W65" i="84"/>
  <c r="H66" i="84"/>
  <c r="I66" i="84"/>
  <c r="K66" i="84"/>
  <c r="L66" i="84"/>
  <c r="M66" i="84"/>
  <c r="S66" i="84"/>
  <c r="U66" i="84"/>
  <c r="T66" i="84" s="1"/>
  <c r="V66" i="84"/>
  <c r="W66" i="84"/>
  <c r="H67" i="84"/>
  <c r="I67" i="84"/>
  <c r="K67" i="84"/>
  <c r="L67" i="84"/>
  <c r="M67" i="84"/>
  <c r="S67" i="84"/>
  <c r="U67" i="84"/>
  <c r="T67" i="84" s="1"/>
  <c r="V67" i="84"/>
  <c r="W67" i="84"/>
  <c r="H68" i="84"/>
  <c r="I68" i="84"/>
  <c r="K68" i="84"/>
  <c r="L68" i="84"/>
  <c r="M68" i="84"/>
  <c r="S68" i="84"/>
  <c r="U68" i="84"/>
  <c r="T68" i="84" s="1"/>
  <c r="V68" i="84"/>
  <c r="W68" i="84"/>
  <c r="H69" i="84"/>
  <c r="I69" i="84"/>
  <c r="K69" i="84"/>
  <c r="L69" i="84"/>
  <c r="M69" i="84"/>
  <c r="S69" i="84"/>
  <c r="U69" i="84"/>
  <c r="T69" i="84" s="1"/>
  <c r="V69" i="84"/>
  <c r="W69" i="84"/>
  <c r="H70" i="84"/>
  <c r="I70" i="84"/>
  <c r="K70" i="84"/>
  <c r="L70" i="84"/>
  <c r="M70" i="84"/>
  <c r="S70" i="84"/>
  <c r="U70" i="84"/>
  <c r="T70" i="84" s="1"/>
  <c r="V70" i="84"/>
  <c r="W70" i="84"/>
  <c r="H71" i="84"/>
  <c r="I71" i="84"/>
  <c r="K71" i="84"/>
  <c r="L71" i="84"/>
  <c r="M71" i="84"/>
  <c r="S71" i="84"/>
  <c r="U71" i="84"/>
  <c r="T71" i="84" s="1"/>
  <c r="V71" i="84"/>
  <c r="W71" i="84"/>
  <c r="H72" i="84"/>
  <c r="I72" i="84"/>
  <c r="K72" i="84"/>
  <c r="L72" i="84"/>
  <c r="M72" i="84"/>
  <c r="S72" i="84"/>
  <c r="U72" i="84"/>
  <c r="T72" i="84" s="1"/>
  <c r="V72" i="84"/>
  <c r="W72" i="84"/>
  <c r="H73" i="84"/>
  <c r="I73" i="84"/>
  <c r="K73" i="84"/>
  <c r="L73" i="84"/>
  <c r="M73" i="84"/>
  <c r="S73" i="84"/>
  <c r="U73" i="84"/>
  <c r="T73" i="84" s="1"/>
  <c r="V73" i="84"/>
  <c r="W73" i="84"/>
  <c r="H74" i="84"/>
  <c r="I74" i="84"/>
  <c r="K74" i="84"/>
  <c r="L74" i="84"/>
  <c r="M74" i="84"/>
  <c r="S74" i="84"/>
  <c r="U74" i="84"/>
  <c r="T74" i="84" s="1"/>
  <c r="V74" i="84"/>
  <c r="W74" i="84"/>
  <c r="H75" i="84"/>
  <c r="I75" i="84"/>
  <c r="K75" i="84"/>
  <c r="L75" i="84"/>
  <c r="M75" i="84"/>
  <c r="S75" i="84"/>
  <c r="U75" i="84"/>
  <c r="T75" i="84" s="1"/>
  <c r="V75" i="84"/>
  <c r="W75" i="84"/>
  <c r="H76" i="84"/>
  <c r="I76" i="84"/>
  <c r="K76" i="84"/>
  <c r="L76" i="84"/>
  <c r="M76" i="84"/>
  <c r="S76" i="84"/>
  <c r="U76" i="84"/>
  <c r="T76" i="84" s="1"/>
  <c r="V76" i="84"/>
  <c r="W76" i="84"/>
  <c r="H77" i="84"/>
  <c r="I77" i="84"/>
  <c r="K77" i="84"/>
  <c r="L77" i="84"/>
  <c r="M77" i="84"/>
  <c r="S77" i="84"/>
  <c r="U77" i="84"/>
  <c r="T77" i="84" s="1"/>
  <c r="V77" i="84"/>
  <c r="W77" i="84"/>
  <c r="H78" i="84"/>
  <c r="I78" i="84"/>
  <c r="K78" i="84"/>
  <c r="L78" i="84"/>
  <c r="M78" i="84"/>
  <c r="S78" i="84"/>
  <c r="U78" i="84"/>
  <c r="T78" i="84" s="1"/>
  <c r="V78" i="84"/>
  <c r="W78" i="84"/>
  <c r="H79" i="84"/>
  <c r="I79" i="84"/>
  <c r="K79" i="84"/>
  <c r="L79" i="84"/>
  <c r="M79" i="84"/>
  <c r="S79" i="84"/>
  <c r="U79" i="84"/>
  <c r="T79" i="84" s="1"/>
  <c r="V79" i="84"/>
  <c r="W79" i="84"/>
  <c r="H80" i="84"/>
  <c r="I80" i="84"/>
  <c r="K80" i="84"/>
  <c r="L80" i="84"/>
  <c r="M80" i="84"/>
  <c r="S80" i="84"/>
  <c r="U80" i="84"/>
  <c r="T80" i="84" s="1"/>
  <c r="V80" i="84"/>
  <c r="W80" i="84"/>
  <c r="F81" i="84"/>
  <c r="Q10" i="84" s="1"/>
  <c r="G81" i="84"/>
  <c r="H81" i="84"/>
  <c r="I81" i="84"/>
  <c r="Q2" i="84" s="1"/>
  <c r="K81" i="84"/>
  <c r="L81" i="84"/>
  <c r="M81" i="84"/>
  <c r="Q3" i="84" s="1"/>
  <c r="R81" i="84"/>
  <c r="S81" i="84"/>
  <c r="T81" i="84"/>
  <c r="U81" i="84"/>
  <c r="Q6" i="84" s="1"/>
  <c r="S17" i="83"/>
  <c r="H18" i="83"/>
  <c r="I18" i="83"/>
  <c r="K18" i="83"/>
  <c r="L18" i="83"/>
  <c r="M18" i="83"/>
  <c r="S18" i="83"/>
  <c r="U18" i="83"/>
  <c r="T18" i="83" s="1"/>
  <c r="V18" i="83"/>
  <c r="W18" i="83"/>
  <c r="I19" i="83"/>
  <c r="K19" i="83"/>
  <c r="L19" i="83"/>
  <c r="M19" i="83"/>
  <c r="S19" i="83"/>
  <c r="U19" i="83"/>
  <c r="T19" i="83" s="1"/>
  <c r="V19" i="83"/>
  <c r="W19" i="83"/>
  <c r="I20" i="83"/>
  <c r="K20" i="83"/>
  <c r="L20" i="83"/>
  <c r="M20" i="83"/>
  <c r="S20" i="83"/>
  <c r="U20" i="83"/>
  <c r="T20" i="83" s="1"/>
  <c r="V20" i="83"/>
  <c r="W20" i="83"/>
  <c r="I21" i="83"/>
  <c r="K21" i="83"/>
  <c r="L21" i="83"/>
  <c r="M21" i="83"/>
  <c r="S21" i="83"/>
  <c r="U21" i="83"/>
  <c r="T21" i="83" s="1"/>
  <c r="V21" i="83"/>
  <c r="W21" i="83"/>
  <c r="I22" i="83"/>
  <c r="K22" i="83"/>
  <c r="L22" i="83"/>
  <c r="M22" i="83"/>
  <c r="S22" i="83"/>
  <c r="U22" i="83"/>
  <c r="T22" i="83" s="1"/>
  <c r="V22" i="83"/>
  <c r="W22" i="83"/>
  <c r="I23" i="83"/>
  <c r="K23" i="83"/>
  <c r="L23" i="83"/>
  <c r="M23" i="83"/>
  <c r="S23" i="83"/>
  <c r="U23" i="83"/>
  <c r="T23" i="83" s="1"/>
  <c r="V23" i="83"/>
  <c r="W23" i="83"/>
  <c r="I24" i="83"/>
  <c r="K24" i="83"/>
  <c r="L24" i="83"/>
  <c r="M24" i="83"/>
  <c r="S24" i="83"/>
  <c r="U24" i="83"/>
  <c r="T24" i="83" s="1"/>
  <c r="V24" i="83"/>
  <c r="W24" i="83"/>
  <c r="I25" i="83"/>
  <c r="K25" i="83"/>
  <c r="L25" i="83"/>
  <c r="M25" i="83"/>
  <c r="S25" i="83"/>
  <c r="U25" i="83"/>
  <c r="T25" i="83" s="1"/>
  <c r="V25" i="83"/>
  <c r="W25" i="83"/>
  <c r="I26" i="83"/>
  <c r="K26" i="83"/>
  <c r="L26" i="83"/>
  <c r="M26" i="83"/>
  <c r="S26" i="83"/>
  <c r="U26" i="83"/>
  <c r="T26" i="83" s="1"/>
  <c r="V26" i="83"/>
  <c r="W26" i="83"/>
  <c r="I27" i="83"/>
  <c r="K27" i="83"/>
  <c r="L27" i="83"/>
  <c r="M27" i="83"/>
  <c r="S27" i="83"/>
  <c r="U27" i="83"/>
  <c r="T27" i="83" s="1"/>
  <c r="V27" i="83"/>
  <c r="W27" i="83"/>
  <c r="I28" i="83"/>
  <c r="K28" i="83"/>
  <c r="L28" i="83"/>
  <c r="M28" i="83"/>
  <c r="S28" i="83"/>
  <c r="U28" i="83"/>
  <c r="T28" i="83" s="1"/>
  <c r="V28" i="83"/>
  <c r="W28" i="83"/>
  <c r="I29" i="83"/>
  <c r="K29" i="83"/>
  <c r="L29" i="83"/>
  <c r="M29" i="83"/>
  <c r="S29" i="83"/>
  <c r="U29" i="83"/>
  <c r="T29" i="83" s="1"/>
  <c r="V29" i="83"/>
  <c r="W29" i="83"/>
  <c r="I30" i="83"/>
  <c r="K30" i="83"/>
  <c r="L30" i="83"/>
  <c r="M30" i="83"/>
  <c r="S30" i="83"/>
  <c r="U30" i="83"/>
  <c r="T30" i="83" s="1"/>
  <c r="V30" i="83"/>
  <c r="W30" i="83"/>
  <c r="I31" i="83"/>
  <c r="K31" i="83"/>
  <c r="L31" i="83"/>
  <c r="M31" i="83"/>
  <c r="S31" i="83"/>
  <c r="U31" i="83"/>
  <c r="T31" i="83" s="1"/>
  <c r="V31" i="83"/>
  <c r="W31" i="83"/>
  <c r="I32" i="83"/>
  <c r="K32" i="83"/>
  <c r="L32" i="83"/>
  <c r="M32" i="83"/>
  <c r="S32" i="83"/>
  <c r="U32" i="83"/>
  <c r="T32" i="83" s="1"/>
  <c r="V32" i="83"/>
  <c r="W32" i="83"/>
  <c r="I33" i="83"/>
  <c r="K33" i="83"/>
  <c r="L33" i="83"/>
  <c r="M33" i="83"/>
  <c r="S33" i="83"/>
  <c r="U33" i="83"/>
  <c r="T33" i="83" s="1"/>
  <c r="V33" i="83"/>
  <c r="W33" i="83"/>
  <c r="I34" i="83"/>
  <c r="K34" i="83"/>
  <c r="L34" i="83"/>
  <c r="M34" i="83"/>
  <c r="S34" i="83"/>
  <c r="U34" i="83"/>
  <c r="T34" i="83" s="1"/>
  <c r="V34" i="83"/>
  <c r="W34" i="83"/>
  <c r="I35" i="83"/>
  <c r="K35" i="83"/>
  <c r="L35" i="83"/>
  <c r="M35" i="83"/>
  <c r="S35" i="83"/>
  <c r="U35" i="83"/>
  <c r="T35" i="83" s="1"/>
  <c r="V35" i="83"/>
  <c r="W35" i="83"/>
  <c r="I36" i="83"/>
  <c r="K36" i="83"/>
  <c r="L36" i="83"/>
  <c r="M36" i="83"/>
  <c r="S36" i="83"/>
  <c r="U36" i="83"/>
  <c r="T36" i="83" s="1"/>
  <c r="V36" i="83"/>
  <c r="W36" i="83"/>
  <c r="I37" i="83"/>
  <c r="K37" i="83"/>
  <c r="L37" i="83"/>
  <c r="M37" i="83"/>
  <c r="S37" i="83"/>
  <c r="U37" i="83"/>
  <c r="T37" i="83" s="1"/>
  <c r="V37" i="83"/>
  <c r="W37" i="83"/>
  <c r="I38" i="83"/>
  <c r="K38" i="83"/>
  <c r="L38" i="83"/>
  <c r="M38" i="83"/>
  <c r="S38" i="83"/>
  <c r="U38" i="83"/>
  <c r="T38" i="83" s="1"/>
  <c r="V38" i="83"/>
  <c r="W38" i="83"/>
  <c r="I39" i="83"/>
  <c r="K39" i="83"/>
  <c r="L39" i="83"/>
  <c r="M39" i="83"/>
  <c r="S39" i="83"/>
  <c r="U39" i="83"/>
  <c r="T39" i="83" s="1"/>
  <c r="V39" i="83"/>
  <c r="W39" i="83"/>
  <c r="I40" i="83"/>
  <c r="K40" i="83"/>
  <c r="L40" i="83"/>
  <c r="M40" i="83"/>
  <c r="S40" i="83"/>
  <c r="U40" i="83"/>
  <c r="T40" i="83" s="1"/>
  <c r="V40" i="83"/>
  <c r="W40" i="83"/>
  <c r="I41" i="83"/>
  <c r="K41" i="83"/>
  <c r="L41" i="83"/>
  <c r="M41" i="83"/>
  <c r="S41" i="83"/>
  <c r="U41" i="83"/>
  <c r="T41" i="83" s="1"/>
  <c r="V41" i="83"/>
  <c r="W41" i="83"/>
  <c r="I42" i="83"/>
  <c r="K42" i="83"/>
  <c r="L42" i="83"/>
  <c r="M42" i="83"/>
  <c r="S42" i="83"/>
  <c r="U42" i="83"/>
  <c r="T42" i="83" s="1"/>
  <c r="V42" i="83"/>
  <c r="W42" i="83"/>
  <c r="I43" i="83"/>
  <c r="K43" i="83"/>
  <c r="L43" i="83"/>
  <c r="M43" i="83"/>
  <c r="S43" i="83"/>
  <c r="U43" i="83"/>
  <c r="T43" i="83" s="1"/>
  <c r="V43" i="83"/>
  <c r="W43" i="83"/>
  <c r="I44" i="83"/>
  <c r="K44" i="83"/>
  <c r="L44" i="83"/>
  <c r="M44" i="83"/>
  <c r="S44" i="83"/>
  <c r="U44" i="83"/>
  <c r="T44" i="83" s="1"/>
  <c r="V44" i="83"/>
  <c r="W44" i="83"/>
  <c r="I45" i="83"/>
  <c r="K45" i="83"/>
  <c r="L45" i="83"/>
  <c r="M45" i="83"/>
  <c r="S45" i="83"/>
  <c r="U45" i="83"/>
  <c r="T45" i="83" s="1"/>
  <c r="V45" i="83"/>
  <c r="W45" i="83"/>
  <c r="I46" i="83"/>
  <c r="K46" i="83"/>
  <c r="L46" i="83"/>
  <c r="M46" i="83"/>
  <c r="S46" i="83"/>
  <c r="U46" i="83"/>
  <c r="T46" i="83" s="1"/>
  <c r="V46" i="83"/>
  <c r="W46" i="83"/>
  <c r="I47" i="83"/>
  <c r="K47" i="83"/>
  <c r="L47" i="83"/>
  <c r="M47" i="83"/>
  <c r="S47" i="83"/>
  <c r="U47" i="83"/>
  <c r="T47" i="83" s="1"/>
  <c r="V47" i="83"/>
  <c r="W47" i="83"/>
  <c r="I48" i="83"/>
  <c r="K48" i="83"/>
  <c r="L48" i="83"/>
  <c r="M48" i="83"/>
  <c r="S48" i="83"/>
  <c r="U48" i="83"/>
  <c r="T48" i="83" s="1"/>
  <c r="V48" i="83"/>
  <c r="W48" i="83"/>
  <c r="I49" i="83"/>
  <c r="K49" i="83"/>
  <c r="L49" i="83"/>
  <c r="M49" i="83"/>
  <c r="S49" i="83"/>
  <c r="U49" i="83"/>
  <c r="T49" i="83" s="1"/>
  <c r="V49" i="83"/>
  <c r="W49" i="83"/>
  <c r="I50" i="83"/>
  <c r="K50" i="83"/>
  <c r="L50" i="83"/>
  <c r="M50" i="83"/>
  <c r="S50" i="83"/>
  <c r="U50" i="83"/>
  <c r="T50" i="83" s="1"/>
  <c r="V50" i="83"/>
  <c r="W50" i="83"/>
  <c r="I51" i="83"/>
  <c r="K51" i="83"/>
  <c r="L51" i="83"/>
  <c r="M51" i="83"/>
  <c r="S51" i="83"/>
  <c r="U51" i="83"/>
  <c r="T51" i="83" s="1"/>
  <c r="V51" i="83"/>
  <c r="W51" i="83"/>
  <c r="I52" i="83"/>
  <c r="K52" i="83"/>
  <c r="L52" i="83"/>
  <c r="M52" i="83"/>
  <c r="S52" i="83"/>
  <c r="U52" i="83"/>
  <c r="T52" i="83" s="1"/>
  <c r="V52" i="83"/>
  <c r="W52" i="83"/>
  <c r="I53" i="83"/>
  <c r="K53" i="83"/>
  <c r="L53" i="83"/>
  <c r="M53" i="83"/>
  <c r="S53" i="83"/>
  <c r="U53" i="83"/>
  <c r="T53" i="83" s="1"/>
  <c r="V53" i="83"/>
  <c r="W53" i="83"/>
  <c r="I54" i="83"/>
  <c r="K54" i="83"/>
  <c r="L54" i="83"/>
  <c r="M54" i="83"/>
  <c r="S54" i="83"/>
  <c r="U54" i="83"/>
  <c r="T54" i="83" s="1"/>
  <c r="V54" i="83"/>
  <c r="W54" i="83"/>
  <c r="I55" i="83"/>
  <c r="K55" i="83"/>
  <c r="L55" i="83"/>
  <c r="M55" i="83"/>
  <c r="S55" i="83"/>
  <c r="U55" i="83"/>
  <c r="T55" i="83" s="1"/>
  <c r="V55" i="83"/>
  <c r="W55" i="83"/>
  <c r="I56" i="83"/>
  <c r="K56" i="83"/>
  <c r="L56" i="83"/>
  <c r="M56" i="83"/>
  <c r="S56" i="83"/>
  <c r="U56" i="83"/>
  <c r="T56" i="83" s="1"/>
  <c r="V56" i="83"/>
  <c r="W56" i="83"/>
  <c r="I57" i="83"/>
  <c r="K57" i="83"/>
  <c r="L57" i="83"/>
  <c r="M57" i="83"/>
  <c r="S57" i="83"/>
  <c r="U57" i="83"/>
  <c r="T57" i="83" s="1"/>
  <c r="V57" i="83"/>
  <c r="W57" i="83"/>
  <c r="I58" i="83"/>
  <c r="K58" i="83"/>
  <c r="L58" i="83"/>
  <c r="M58" i="83"/>
  <c r="S58" i="83"/>
  <c r="U58" i="83"/>
  <c r="T58" i="83" s="1"/>
  <c r="V58" i="83"/>
  <c r="W58" i="83"/>
  <c r="I59" i="83"/>
  <c r="K59" i="83"/>
  <c r="L59" i="83"/>
  <c r="M59" i="83"/>
  <c r="S59" i="83"/>
  <c r="U59" i="83"/>
  <c r="T59" i="83" s="1"/>
  <c r="V59" i="83"/>
  <c r="W59" i="83"/>
  <c r="I60" i="83"/>
  <c r="K60" i="83"/>
  <c r="L60" i="83"/>
  <c r="M60" i="83"/>
  <c r="S60" i="83"/>
  <c r="U60" i="83"/>
  <c r="T60" i="83" s="1"/>
  <c r="V60" i="83"/>
  <c r="W60" i="83"/>
  <c r="I61" i="83"/>
  <c r="K61" i="83"/>
  <c r="L61" i="83"/>
  <c r="M61" i="83"/>
  <c r="S61" i="83"/>
  <c r="U61" i="83"/>
  <c r="T61" i="83" s="1"/>
  <c r="V61" i="83"/>
  <c r="W61" i="83"/>
  <c r="I62" i="83"/>
  <c r="K62" i="83"/>
  <c r="L62" i="83"/>
  <c r="M62" i="83"/>
  <c r="S62" i="83"/>
  <c r="U62" i="83"/>
  <c r="T62" i="83" s="1"/>
  <c r="V62" i="83"/>
  <c r="W62" i="83"/>
  <c r="I63" i="83"/>
  <c r="K63" i="83"/>
  <c r="L63" i="83"/>
  <c r="M63" i="83"/>
  <c r="S63" i="83"/>
  <c r="U63" i="83"/>
  <c r="T63" i="83" s="1"/>
  <c r="V63" i="83"/>
  <c r="W63" i="83"/>
  <c r="I64" i="83"/>
  <c r="K64" i="83"/>
  <c r="L64" i="83"/>
  <c r="M64" i="83"/>
  <c r="S64" i="83"/>
  <c r="U64" i="83"/>
  <c r="T64" i="83" s="1"/>
  <c r="V64" i="83"/>
  <c r="W64" i="83"/>
  <c r="I65" i="83"/>
  <c r="K65" i="83"/>
  <c r="L65" i="83"/>
  <c r="M65" i="83"/>
  <c r="S65" i="83"/>
  <c r="U65" i="83"/>
  <c r="T65" i="83" s="1"/>
  <c r="V65" i="83"/>
  <c r="W65" i="83"/>
  <c r="I66" i="83"/>
  <c r="K66" i="83"/>
  <c r="L66" i="83"/>
  <c r="M66" i="83"/>
  <c r="S66" i="83"/>
  <c r="U66" i="83"/>
  <c r="T66" i="83" s="1"/>
  <c r="V66" i="83"/>
  <c r="W66" i="83"/>
  <c r="I67" i="83"/>
  <c r="K67" i="83"/>
  <c r="L67" i="83"/>
  <c r="M67" i="83"/>
  <c r="S67" i="83"/>
  <c r="U67" i="83"/>
  <c r="T67" i="83" s="1"/>
  <c r="V67" i="83"/>
  <c r="W67" i="83"/>
  <c r="I68" i="83"/>
  <c r="K68" i="83"/>
  <c r="L68" i="83"/>
  <c r="M68" i="83"/>
  <c r="S68" i="83"/>
  <c r="U68" i="83"/>
  <c r="T68" i="83" s="1"/>
  <c r="V68" i="83"/>
  <c r="W68" i="83"/>
  <c r="I69" i="83"/>
  <c r="K69" i="83"/>
  <c r="L69" i="83"/>
  <c r="M69" i="83"/>
  <c r="S69" i="83"/>
  <c r="U69" i="83"/>
  <c r="T69" i="83" s="1"/>
  <c r="V69" i="83"/>
  <c r="W69" i="83"/>
  <c r="I70" i="83"/>
  <c r="K70" i="83"/>
  <c r="L70" i="83"/>
  <c r="M70" i="83"/>
  <c r="S70" i="83"/>
  <c r="U70" i="83"/>
  <c r="T70" i="83" s="1"/>
  <c r="V70" i="83"/>
  <c r="W70" i="83"/>
  <c r="I71" i="83"/>
  <c r="K71" i="83"/>
  <c r="L71" i="83"/>
  <c r="M71" i="83"/>
  <c r="S71" i="83"/>
  <c r="U71" i="83"/>
  <c r="T71" i="83" s="1"/>
  <c r="V71" i="83"/>
  <c r="W71" i="83"/>
  <c r="I72" i="83"/>
  <c r="K72" i="83"/>
  <c r="L72" i="83"/>
  <c r="M72" i="83"/>
  <c r="S72" i="83"/>
  <c r="U72" i="83"/>
  <c r="T72" i="83" s="1"/>
  <c r="V72" i="83"/>
  <c r="W72" i="83"/>
  <c r="I73" i="83"/>
  <c r="K73" i="83"/>
  <c r="L73" i="83"/>
  <c r="M73" i="83"/>
  <c r="S73" i="83"/>
  <c r="U73" i="83"/>
  <c r="T73" i="83" s="1"/>
  <c r="V73" i="83"/>
  <c r="W73" i="83"/>
  <c r="I74" i="83"/>
  <c r="K74" i="83"/>
  <c r="L74" i="83"/>
  <c r="M74" i="83"/>
  <c r="S74" i="83"/>
  <c r="U74" i="83"/>
  <c r="T74" i="83" s="1"/>
  <c r="V74" i="83"/>
  <c r="W74" i="83"/>
  <c r="I75" i="83"/>
  <c r="K75" i="83"/>
  <c r="L75" i="83"/>
  <c r="M75" i="83"/>
  <c r="S75" i="83"/>
  <c r="U75" i="83"/>
  <c r="T75" i="83" s="1"/>
  <c r="V75" i="83"/>
  <c r="W75" i="83"/>
  <c r="I76" i="83"/>
  <c r="K76" i="83"/>
  <c r="L76" i="83"/>
  <c r="M76" i="83"/>
  <c r="S76" i="83"/>
  <c r="U76" i="83"/>
  <c r="T76" i="83" s="1"/>
  <c r="V76" i="83"/>
  <c r="W76" i="83"/>
  <c r="I77" i="83"/>
  <c r="K77" i="83"/>
  <c r="L77" i="83"/>
  <c r="M77" i="83"/>
  <c r="S77" i="83"/>
  <c r="U77" i="83"/>
  <c r="T77" i="83" s="1"/>
  <c r="V77" i="83"/>
  <c r="W77" i="83"/>
  <c r="I78" i="83"/>
  <c r="K78" i="83"/>
  <c r="L78" i="83"/>
  <c r="M78" i="83"/>
  <c r="S78" i="83"/>
  <c r="U78" i="83"/>
  <c r="T78" i="83" s="1"/>
  <c r="V78" i="83"/>
  <c r="W78" i="83"/>
  <c r="I79" i="83"/>
  <c r="K79" i="83"/>
  <c r="L79" i="83"/>
  <c r="M79" i="83"/>
  <c r="S79" i="83"/>
  <c r="U79" i="83"/>
  <c r="T79" i="83" s="1"/>
  <c r="V79" i="83"/>
  <c r="W79" i="83"/>
  <c r="I80" i="83"/>
  <c r="K80" i="83"/>
  <c r="L80" i="83"/>
  <c r="M80" i="83"/>
  <c r="S80" i="83"/>
  <c r="U80" i="83"/>
  <c r="T80" i="83" s="1"/>
  <c r="V80" i="83"/>
  <c r="W80" i="83"/>
  <c r="I81" i="83"/>
  <c r="K81" i="83"/>
  <c r="L81" i="83"/>
  <c r="M81" i="83"/>
  <c r="R81" i="83"/>
  <c r="S81" i="83"/>
  <c r="T81" i="83"/>
  <c r="U81" i="83"/>
  <c r="F82" i="83"/>
  <c r="G82" i="83"/>
  <c r="I82" i="83"/>
  <c r="W14" i="83"/>
  <c r="E15" i="83"/>
  <c r="Q1" i="83"/>
  <c r="Q2" i="83"/>
  <c r="Q3" i="83"/>
  <c r="Q4" i="83"/>
  <c r="Q5" i="83"/>
  <c r="Q6" i="83"/>
  <c r="Q7" i="83"/>
  <c r="Q8" i="83"/>
  <c r="Q9" i="83"/>
  <c r="T9" i="83"/>
  <c r="U9" i="83"/>
  <c r="V9" i="83"/>
  <c r="W9" i="83"/>
  <c r="Q10" i="83"/>
  <c r="S17" i="82"/>
  <c r="H18" i="82"/>
  <c r="I18" i="82"/>
  <c r="K18" i="82"/>
  <c r="L18" i="82"/>
  <c r="M18" i="82"/>
  <c r="S18" i="82"/>
  <c r="U18" i="82"/>
  <c r="T18" i="82" s="1"/>
  <c r="V18" i="82"/>
  <c r="W18" i="82"/>
  <c r="I19" i="82"/>
  <c r="K19" i="82"/>
  <c r="L19" i="82"/>
  <c r="M19" i="82"/>
  <c r="S19" i="82"/>
  <c r="U19" i="82"/>
  <c r="T19" i="82" s="1"/>
  <c r="V19" i="82"/>
  <c r="W19" i="82"/>
  <c r="I20" i="82"/>
  <c r="K20" i="82"/>
  <c r="L20" i="82"/>
  <c r="M20" i="82"/>
  <c r="S20" i="82"/>
  <c r="U20" i="82"/>
  <c r="T20" i="82" s="1"/>
  <c r="V20" i="82"/>
  <c r="W20" i="82"/>
  <c r="I21" i="82"/>
  <c r="K21" i="82"/>
  <c r="L21" i="82"/>
  <c r="M21" i="82"/>
  <c r="S21" i="82"/>
  <c r="U21" i="82"/>
  <c r="T21" i="82" s="1"/>
  <c r="V21" i="82"/>
  <c r="W21" i="82"/>
  <c r="I22" i="82"/>
  <c r="K22" i="82"/>
  <c r="L22" i="82"/>
  <c r="M22" i="82"/>
  <c r="S22" i="82"/>
  <c r="U22" i="82"/>
  <c r="T22" i="82" s="1"/>
  <c r="V22" i="82"/>
  <c r="W22" i="82"/>
  <c r="I23" i="82"/>
  <c r="K23" i="82"/>
  <c r="L23" i="82"/>
  <c r="M23" i="82"/>
  <c r="S23" i="82"/>
  <c r="U23" i="82"/>
  <c r="T23" i="82" s="1"/>
  <c r="V23" i="82"/>
  <c r="W23" i="82"/>
  <c r="I24" i="82"/>
  <c r="K24" i="82"/>
  <c r="L24" i="82"/>
  <c r="M24" i="82"/>
  <c r="S24" i="82"/>
  <c r="U24" i="82"/>
  <c r="T24" i="82" s="1"/>
  <c r="V24" i="82"/>
  <c r="W24" i="82"/>
  <c r="I25" i="82"/>
  <c r="K25" i="82"/>
  <c r="L25" i="82"/>
  <c r="M25" i="82"/>
  <c r="S25" i="82"/>
  <c r="U25" i="82"/>
  <c r="T25" i="82" s="1"/>
  <c r="V25" i="82"/>
  <c r="W25" i="82"/>
  <c r="I26" i="82"/>
  <c r="K26" i="82"/>
  <c r="L26" i="82"/>
  <c r="M26" i="82"/>
  <c r="S26" i="82"/>
  <c r="U26" i="82"/>
  <c r="T26" i="82" s="1"/>
  <c r="V26" i="82"/>
  <c r="W26" i="82"/>
  <c r="I27" i="82"/>
  <c r="K27" i="82"/>
  <c r="L27" i="82"/>
  <c r="M27" i="82"/>
  <c r="S27" i="82"/>
  <c r="U27" i="82"/>
  <c r="T27" i="82" s="1"/>
  <c r="V27" i="82"/>
  <c r="W27" i="82"/>
  <c r="I28" i="82"/>
  <c r="K28" i="82"/>
  <c r="L28" i="82"/>
  <c r="M28" i="82"/>
  <c r="S28" i="82"/>
  <c r="U28" i="82"/>
  <c r="T28" i="82" s="1"/>
  <c r="V28" i="82"/>
  <c r="W28" i="82"/>
  <c r="I29" i="82"/>
  <c r="K29" i="82"/>
  <c r="L29" i="82"/>
  <c r="M29" i="82"/>
  <c r="S29" i="82"/>
  <c r="U29" i="82"/>
  <c r="T29" i="82" s="1"/>
  <c r="V29" i="82"/>
  <c r="W29" i="82"/>
  <c r="I30" i="82"/>
  <c r="K30" i="82"/>
  <c r="L30" i="82"/>
  <c r="M30" i="82"/>
  <c r="S30" i="82"/>
  <c r="U30" i="82"/>
  <c r="T30" i="82" s="1"/>
  <c r="V30" i="82"/>
  <c r="W30" i="82"/>
  <c r="I31" i="82"/>
  <c r="K31" i="82"/>
  <c r="L31" i="82"/>
  <c r="M31" i="82"/>
  <c r="S31" i="82"/>
  <c r="U31" i="82"/>
  <c r="T31" i="82" s="1"/>
  <c r="V31" i="82"/>
  <c r="W31" i="82"/>
  <c r="I32" i="82"/>
  <c r="K32" i="82"/>
  <c r="L32" i="82"/>
  <c r="M32" i="82"/>
  <c r="S32" i="82"/>
  <c r="U32" i="82"/>
  <c r="T32" i="82" s="1"/>
  <c r="V32" i="82"/>
  <c r="W32" i="82"/>
  <c r="I33" i="82"/>
  <c r="K33" i="82"/>
  <c r="L33" i="82"/>
  <c r="M33" i="82"/>
  <c r="S33" i="82"/>
  <c r="U33" i="82"/>
  <c r="T33" i="82" s="1"/>
  <c r="V33" i="82"/>
  <c r="W33" i="82"/>
  <c r="I34" i="82"/>
  <c r="K34" i="82"/>
  <c r="L34" i="82"/>
  <c r="M34" i="82"/>
  <c r="S34" i="82"/>
  <c r="U34" i="82"/>
  <c r="T34" i="82" s="1"/>
  <c r="V34" i="82"/>
  <c r="W34" i="82"/>
  <c r="I35" i="82"/>
  <c r="K35" i="82"/>
  <c r="L35" i="82"/>
  <c r="M35" i="82"/>
  <c r="S35" i="82"/>
  <c r="U35" i="82"/>
  <c r="T35" i="82" s="1"/>
  <c r="V35" i="82"/>
  <c r="W35" i="82"/>
  <c r="I36" i="82"/>
  <c r="K36" i="82"/>
  <c r="L36" i="82"/>
  <c r="M36" i="82"/>
  <c r="S36" i="82"/>
  <c r="U36" i="82"/>
  <c r="T36" i="82" s="1"/>
  <c r="V36" i="82"/>
  <c r="W36" i="82"/>
  <c r="I37" i="82"/>
  <c r="K37" i="82"/>
  <c r="L37" i="82"/>
  <c r="M37" i="82"/>
  <c r="S37" i="82"/>
  <c r="U37" i="82"/>
  <c r="T37" i="82" s="1"/>
  <c r="V37" i="82"/>
  <c r="W37" i="82"/>
  <c r="I38" i="82"/>
  <c r="K38" i="82"/>
  <c r="L38" i="82"/>
  <c r="M38" i="82"/>
  <c r="S38" i="82"/>
  <c r="U38" i="82"/>
  <c r="T38" i="82" s="1"/>
  <c r="V38" i="82"/>
  <c r="W38" i="82"/>
  <c r="I39" i="82"/>
  <c r="K39" i="82"/>
  <c r="L39" i="82"/>
  <c r="M39" i="82"/>
  <c r="S39" i="82"/>
  <c r="U39" i="82"/>
  <c r="T39" i="82" s="1"/>
  <c r="V39" i="82"/>
  <c r="W39" i="82"/>
  <c r="I40" i="82"/>
  <c r="K40" i="82"/>
  <c r="L40" i="82"/>
  <c r="M40" i="82"/>
  <c r="S40" i="82"/>
  <c r="U40" i="82"/>
  <c r="T40" i="82" s="1"/>
  <c r="V40" i="82"/>
  <c r="W40" i="82"/>
  <c r="I41" i="82"/>
  <c r="K41" i="82"/>
  <c r="L41" i="82"/>
  <c r="M41" i="82"/>
  <c r="S41" i="82"/>
  <c r="U41" i="82"/>
  <c r="T41" i="82" s="1"/>
  <c r="V41" i="82"/>
  <c r="W41" i="82"/>
  <c r="I42" i="82"/>
  <c r="K42" i="82"/>
  <c r="L42" i="82"/>
  <c r="M42" i="82"/>
  <c r="S42" i="82"/>
  <c r="U42" i="82"/>
  <c r="T42" i="82" s="1"/>
  <c r="V42" i="82"/>
  <c r="W42" i="82"/>
  <c r="I43" i="82"/>
  <c r="K43" i="82"/>
  <c r="L43" i="82"/>
  <c r="M43" i="82"/>
  <c r="S43" i="82"/>
  <c r="U43" i="82"/>
  <c r="T43" i="82" s="1"/>
  <c r="V43" i="82"/>
  <c r="W43" i="82"/>
  <c r="I44" i="82"/>
  <c r="K44" i="82"/>
  <c r="L44" i="82"/>
  <c r="M44" i="82"/>
  <c r="S44" i="82"/>
  <c r="U44" i="82"/>
  <c r="T44" i="82" s="1"/>
  <c r="V44" i="82"/>
  <c r="W44" i="82"/>
  <c r="I45" i="82"/>
  <c r="K45" i="82"/>
  <c r="L45" i="82"/>
  <c r="M45" i="82"/>
  <c r="S45" i="82"/>
  <c r="U45" i="82"/>
  <c r="T45" i="82" s="1"/>
  <c r="V45" i="82"/>
  <c r="W45" i="82"/>
  <c r="I46" i="82"/>
  <c r="K46" i="82"/>
  <c r="L46" i="82"/>
  <c r="M46" i="82"/>
  <c r="S46" i="82"/>
  <c r="U46" i="82"/>
  <c r="T46" i="82" s="1"/>
  <c r="V46" i="82"/>
  <c r="W46" i="82"/>
  <c r="I47" i="82"/>
  <c r="K47" i="82"/>
  <c r="L47" i="82"/>
  <c r="M47" i="82"/>
  <c r="S47" i="82"/>
  <c r="U47" i="82"/>
  <c r="T47" i="82" s="1"/>
  <c r="V47" i="82"/>
  <c r="W47" i="82"/>
  <c r="I48" i="82"/>
  <c r="K48" i="82"/>
  <c r="L48" i="82"/>
  <c r="M48" i="82"/>
  <c r="S48" i="82"/>
  <c r="U48" i="82"/>
  <c r="T48" i="82" s="1"/>
  <c r="V48" i="82"/>
  <c r="W48" i="82"/>
  <c r="I49" i="82"/>
  <c r="K49" i="82"/>
  <c r="L49" i="82"/>
  <c r="M49" i="82"/>
  <c r="S49" i="82"/>
  <c r="U49" i="82"/>
  <c r="T49" i="82" s="1"/>
  <c r="V49" i="82"/>
  <c r="W49" i="82"/>
  <c r="I50" i="82"/>
  <c r="K50" i="82"/>
  <c r="L50" i="82"/>
  <c r="M50" i="82"/>
  <c r="S50" i="82"/>
  <c r="U50" i="82"/>
  <c r="T50" i="82" s="1"/>
  <c r="V50" i="82"/>
  <c r="W50" i="82"/>
  <c r="I51" i="82"/>
  <c r="K51" i="82"/>
  <c r="L51" i="82"/>
  <c r="M51" i="82"/>
  <c r="S51" i="82"/>
  <c r="U51" i="82"/>
  <c r="T51" i="82" s="1"/>
  <c r="V51" i="82"/>
  <c r="W51" i="82"/>
  <c r="I52" i="82"/>
  <c r="K52" i="82"/>
  <c r="L52" i="82"/>
  <c r="M52" i="82"/>
  <c r="S52" i="82"/>
  <c r="U52" i="82"/>
  <c r="T52" i="82" s="1"/>
  <c r="V52" i="82"/>
  <c r="W52" i="82"/>
  <c r="I53" i="82"/>
  <c r="K53" i="82"/>
  <c r="L53" i="82"/>
  <c r="M53" i="82"/>
  <c r="S53" i="82"/>
  <c r="U53" i="82"/>
  <c r="T53" i="82" s="1"/>
  <c r="V53" i="82"/>
  <c r="W53" i="82"/>
  <c r="I54" i="82"/>
  <c r="K54" i="82"/>
  <c r="L54" i="82"/>
  <c r="M54" i="82"/>
  <c r="S54" i="82"/>
  <c r="U54" i="82"/>
  <c r="T54" i="82" s="1"/>
  <c r="V54" i="82"/>
  <c r="W54" i="82"/>
  <c r="I55" i="82"/>
  <c r="K55" i="82"/>
  <c r="L55" i="82"/>
  <c r="M55" i="82"/>
  <c r="S55" i="82"/>
  <c r="U55" i="82"/>
  <c r="T55" i="82" s="1"/>
  <c r="V55" i="82"/>
  <c r="W55" i="82"/>
  <c r="I56" i="82"/>
  <c r="K56" i="82"/>
  <c r="L56" i="82"/>
  <c r="M56" i="82"/>
  <c r="S56" i="82"/>
  <c r="U56" i="82"/>
  <c r="T56" i="82" s="1"/>
  <c r="V56" i="82"/>
  <c r="W56" i="82"/>
  <c r="I57" i="82"/>
  <c r="K57" i="82"/>
  <c r="L57" i="82"/>
  <c r="M57" i="82"/>
  <c r="S57" i="82"/>
  <c r="U57" i="82"/>
  <c r="T57" i="82" s="1"/>
  <c r="V57" i="82"/>
  <c r="W57" i="82"/>
  <c r="I58" i="82"/>
  <c r="K58" i="82"/>
  <c r="L58" i="82"/>
  <c r="M58" i="82"/>
  <c r="S58" i="82"/>
  <c r="U58" i="82"/>
  <c r="T58" i="82" s="1"/>
  <c r="V58" i="82"/>
  <c r="W58" i="82"/>
  <c r="I59" i="82"/>
  <c r="K59" i="82"/>
  <c r="L59" i="82"/>
  <c r="M59" i="82"/>
  <c r="S59" i="82"/>
  <c r="U59" i="82"/>
  <c r="T59" i="82" s="1"/>
  <c r="V59" i="82"/>
  <c r="W59" i="82"/>
  <c r="I60" i="82"/>
  <c r="K60" i="82"/>
  <c r="L60" i="82"/>
  <c r="M60" i="82"/>
  <c r="S60" i="82"/>
  <c r="U60" i="82"/>
  <c r="T60" i="82" s="1"/>
  <c r="V60" i="82"/>
  <c r="W60" i="82"/>
  <c r="I61" i="82"/>
  <c r="K61" i="82"/>
  <c r="L61" i="82"/>
  <c r="M61" i="82"/>
  <c r="S61" i="82"/>
  <c r="U61" i="82"/>
  <c r="T61" i="82" s="1"/>
  <c r="V61" i="82"/>
  <c r="W61" i="82"/>
  <c r="I62" i="82"/>
  <c r="K62" i="82"/>
  <c r="L62" i="82"/>
  <c r="M62" i="82"/>
  <c r="S62" i="82"/>
  <c r="U62" i="82"/>
  <c r="T62" i="82" s="1"/>
  <c r="V62" i="82"/>
  <c r="W62" i="82"/>
  <c r="I63" i="82"/>
  <c r="K63" i="82"/>
  <c r="L63" i="82"/>
  <c r="M63" i="82"/>
  <c r="S63" i="82"/>
  <c r="U63" i="82"/>
  <c r="T63" i="82" s="1"/>
  <c r="V63" i="82"/>
  <c r="W63" i="82"/>
  <c r="I64" i="82"/>
  <c r="K64" i="82"/>
  <c r="L64" i="82"/>
  <c r="M64" i="82"/>
  <c r="S64" i="82"/>
  <c r="U64" i="82"/>
  <c r="T64" i="82" s="1"/>
  <c r="V64" i="82"/>
  <c r="W64" i="82"/>
  <c r="I65" i="82"/>
  <c r="K65" i="82"/>
  <c r="L65" i="82"/>
  <c r="M65" i="82"/>
  <c r="S65" i="82"/>
  <c r="U65" i="82"/>
  <c r="T65" i="82" s="1"/>
  <c r="V65" i="82"/>
  <c r="W65" i="82"/>
  <c r="I66" i="82"/>
  <c r="K66" i="82"/>
  <c r="L66" i="82"/>
  <c r="M66" i="82"/>
  <c r="S66" i="82"/>
  <c r="U66" i="82"/>
  <c r="T66" i="82" s="1"/>
  <c r="V66" i="82"/>
  <c r="W66" i="82"/>
  <c r="I67" i="82"/>
  <c r="K67" i="82"/>
  <c r="L67" i="82"/>
  <c r="M67" i="82"/>
  <c r="S67" i="82"/>
  <c r="U67" i="82"/>
  <c r="T67" i="82" s="1"/>
  <c r="V67" i="82"/>
  <c r="W67" i="82"/>
  <c r="I68" i="82"/>
  <c r="K68" i="82"/>
  <c r="L68" i="82"/>
  <c r="M68" i="82"/>
  <c r="S68" i="82"/>
  <c r="U68" i="82"/>
  <c r="T68" i="82" s="1"/>
  <c r="V68" i="82"/>
  <c r="W68" i="82"/>
  <c r="I69" i="82"/>
  <c r="K69" i="82"/>
  <c r="L69" i="82"/>
  <c r="M69" i="82"/>
  <c r="S69" i="82"/>
  <c r="U69" i="82"/>
  <c r="T69" i="82" s="1"/>
  <c r="V69" i="82"/>
  <c r="W69" i="82"/>
  <c r="I70" i="82"/>
  <c r="K70" i="82"/>
  <c r="L70" i="82"/>
  <c r="M70" i="82"/>
  <c r="S70" i="82"/>
  <c r="U70" i="82"/>
  <c r="T70" i="82" s="1"/>
  <c r="V70" i="82"/>
  <c r="W70" i="82"/>
  <c r="I71" i="82"/>
  <c r="K71" i="82"/>
  <c r="L71" i="82"/>
  <c r="M71" i="82"/>
  <c r="S71" i="82"/>
  <c r="U71" i="82"/>
  <c r="T71" i="82" s="1"/>
  <c r="V71" i="82"/>
  <c r="W71" i="82"/>
  <c r="I72" i="82"/>
  <c r="K72" i="82"/>
  <c r="L72" i="82"/>
  <c r="M72" i="82"/>
  <c r="S72" i="82"/>
  <c r="U72" i="82"/>
  <c r="T72" i="82" s="1"/>
  <c r="V72" i="82"/>
  <c r="W72" i="82"/>
  <c r="I73" i="82"/>
  <c r="K73" i="82"/>
  <c r="L73" i="82"/>
  <c r="M73" i="82"/>
  <c r="S73" i="82"/>
  <c r="U73" i="82"/>
  <c r="T73" i="82" s="1"/>
  <c r="V73" i="82"/>
  <c r="W73" i="82"/>
  <c r="I74" i="82"/>
  <c r="K74" i="82"/>
  <c r="L74" i="82"/>
  <c r="M74" i="82"/>
  <c r="S74" i="82"/>
  <c r="U74" i="82"/>
  <c r="T74" i="82" s="1"/>
  <c r="V74" i="82"/>
  <c r="W74" i="82"/>
  <c r="I75" i="82"/>
  <c r="K75" i="82"/>
  <c r="L75" i="82"/>
  <c r="M75" i="82"/>
  <c r="S75" i="82"/>
  <c r="U75" i="82"/>
  <c r="T75" i="82" s="1"/>
  <c r="V75" i="82"/>
  <c r="W75" i="82"/>
  <c r="I76" i="82"/>
  <c r="K76" i="82"/>
  <c r="L76" i="82"/>
  <c r="M76" i="82"/>
  <c r="S76" i="82"/>
  <c r="U76" i="82"/>
  <c r="T76" i="82" s="1"/>
  <c r="V76" i="82"/>
  <c r="W76" i="82"/>
  <c r="I77" i="82"/>
  <c r="K77" i="82"/>
  <c r="L77" i="82"/>
  <c r="M77" i="82"/>
  <c r="S77" i="82"/>
  <c r="U77" i="82"/>
  <c r="T77" i="82" s="1"/>
  <c r="V77" i="82"/>
  <c r="W77" i="82"/>
  <c r="I78" i="82"/>
  <c r="K78" i="82"/>
  <c r="L78" i="82"/>
  <c r="M78" i="82"/>
  <c r="S78" i="82"/>
  <c r="U78" i="82"/>
  <c r="T78" i="82" s="1"/>
  <c r="V78" i="82"/>
  <c r="W78" i="82"/>
  <c r="I79" i="82"/>
  <c r="K79" i="82"/>
  <c r="L79" i="82"/>
  <c r="M79" i="82"/>
  <c r="S79" i="82"/>
  <c r="U79" i="82"/>
  <c r="T79" i="82" s="1"/>
  <c r="V79" i="82"/>
  <c r="W79" i="82"/>
  <c r="I80" i="82"/>
  <c r="K80" i="82"/>
  <c r="L80" i="82"/>
  <c r="M80" i="82"/>
  <c r="S80" i="82"/>
  <c r="U80" i="82"/>
  <c r="T80" i="82" s="1"/>
  <c r="V80" i="82"/>
  <c r="W80" i="82"/>
  <c r="I81" i="82"/>
  <c r="K81" i="82"/>
  <c r="L81" i="82"/>
  <c r="M81" i="82"/>
  <c r="R81" i="82"/>
  <c r="S81" i="82"/>
  <c r="T81" i="82"/>
  <c r="U81" i="82"/>
  <c r="F82" i="82"/>
  <c r="G82" i="82"/>
  <c r="I82" i="82"/>
  <c r="W14" i="82"/>
  <c r="E15" i="82"/>
  <c r="Q1" i="82"/>
  <c r="Q2" i="82"/>
  <c r="Q3" i="82"/>
  <c r="Q4" i="82"/>
  <c r="Q5" i="82"/>
  <c r="Q6" i="82"/>
  <c r="Q7" i="82"/>
  <c r="Q8" i="82"/>
  <c r="Q9" i="82"/>
  <c r="T9" i="82"/>
  <c r="U9" i="82"/>
  <c r="V9" i="82"/>
  <c r="W9" i="82"/>
  <c r="Q10" i="82"/>
  <c r="S17" i="81"/>
  <c r="H18" i="81"/>
  <c r="I18" i="81"/>
  <c r="K18" i="81"/>
  <c r="L18" i="81"/>
  <c r="M18" i="81"/>
  <c r="S18" i="81"/>
  <c r="U18" i="81"/>
  <c r="T18" i="81" s="1"/>
  <c r="V18" i="81"/>
  <c r="W18" i="81"/>
  <c r="I19" i="81"/>
  <c r="K19" i="81"/>
  <c r="L19" i="81"/>
  <c r="M19" i="81"/>
  <c r="S19" i="81"/>
  <c r="U19" i="81"/>
  <c r="T19" i="81" s="1"/>
  <c r="V19" i="81"/>
  <c r="W19" i="81"/>
  <c r="I20" i="81"/>
  <c r="K20" i="81"/>
  <c r="L20" i="81"/>
  <c r="M20" i="81"/>
  <c r="S20" i="81"/>
  <c r="U20" i="81"/>
  <c r="T20" i="81" s="1"/>
  <c r="V20" i="81"/>
  <c r="W20" i="81"/>
  <c r="I21" i="81"/>
  <c r="K21" i="81"/>
  <c r="L21" i="81"/>
  <c r="M21" i="81"/>
  <c r="S21" i="81"/>
  <c r="U21" i="81"/>
  <c r="T21" i="81" s="1"/>
  <c r="V21" i="81"/>
  <c r="W21" i="81"/>
  <c r="I22" i="81"/>
  <c r="K22" i="81"/>
  <c r="L22" i="81"/>
  <c r="M22" i="81"/>
  <c r="S22" i="81"/>
  <c r="U22" i="81"/>
  <c r="T22" i="81" s="1"/>
  <c r="V22" i="81"/>
  <c r="W22" i="81"/>
  <c r="I23" i="81"/>
  <c r="K23" i="81"/>
  <c r="L23" i="81"/>
  <c r="M23" i="81"/>
  <c r="S23" i="81"/>
  <c r="U23" i="81"/>
  <c r="T23" i="81" s="1"/>
  <c r="V23" i="81"/>
  <c r="W23" i="81"/>
  <c r="I24" i="81"/>
  <c r="K24" i="81"/>
  <c r="L24" i="81"/>
  <c r="M24" i="81"/>
  <c r="S24" i="81"/>
  <c r="U24" i="81"/>
  <c r="T24" i="81" s="1"/>
  <c r="V24" i="81"/>
  <c r="W24" i="81"/>
  <c r="I25" i="81"/>
  <c r="K25" i="81"/>
  <c r="L25" i="81"/>
  <c r="M25" i="81"/>
  <c r="S25" i="81"/>
  <c r="U25" i="81"/>
  <c r="T25" i="81" s="1"/>
  <c r="V25" i="81"/>
  <c r="W25" i="81"/>
  <c r="I26" i="81"/>
  <c r="K26" i="81"/>
  <c r="L26" i="81"/>
  <c r="M26" i="81"/>
  <c r="S26" i="81"/>
  <c r="U26" i="81"/>
  <c r="T26" i="81" s="1"/>
  <c r="V26" i="81"/>
  <c r="W26" i="81"/>
  <c r="I27" i="81"/>
  <c r="K27" i="81"/>
  <c r="L27" i="81"/>
  <c r="M27" i="81"/>
  <c r="S27" i="81"/>
  <c r="U27" i="81"/>
  <c r="T27" i="81" s="1"/>
  <c r="V27" i="81"/>
  <c r="W27" i="81"/>
  <c r="I28" i="81"/>
  <c r="K28" i="81"/>
  <c r="L28" i="81"/>
  <c r="M28" i="81"/>
  <c r="S28" i="81"/>
  <c r="U28" i="81"/>
  <c r="T28" i="81" s="1"/>
  <c r="V28" i="81"/>
  <c r="W28" i="81"/>
  <c r="I29" i="81"/>
  <c r="K29" i="81"/>
  <c r="L29" i="81"/>
  <c r="M29" i="81"/>
  <c r="S29" i="81"/>
  <c r="U29" i="81"/>
  <c r="T29" i="81" s="1"/>
  <c r="V29" i="81"/>
  <c r="W29" i="81"/>
  <c r="I30" i="81"/>
  <c r="K30" i="81"/>
  <c r="L30" i="81"/>
  <c r="M30" i="81"/>
  <c r="S30" i="81"/>
  <c r="U30" i="81"/>
  <c r="T30" i="81" s="1"/>
  <c r="V30" i="81"/>
  <c r="W30" i="81"/>
  <c r="I31" i="81"/>
  <c r="K31" i="81"/>
  <c r="L31" i="81"/>
  <c r="M31" i="81"/>
  <c r="S31" i="81"/>
  <c r="U31" i="81"/>
  <c r="T31" i="81" s="1"/>
  <c r="V31" i="81"/>
  <c r="W31" i="81"/>
  <c r="I32" i="81"/>
  <c r="K32" i="81"/>
  <c r="L32" i="81"/>
  <c r="M32" i="81"/>
  <c r="S32" i="81"/>
  <c r="U32" i="81"/>
  <c r="T32" i="81" s="1"/>
  <c r="V32" i="81"/>
  <c r="W32" i="81"/>
  <c r="I33" i="81"/>
  <c r="K33" i="81"/>
  <c r="L33" i="81"/>
  <c r="M33" i="81"/>
  <c r="S33" i="81"/>
  <c r="U33" i="81"/>
  <c r="T33" i="81" s="1"/>
  <c r="V33" i="81"/>
  <c r="W33" i="81"/>
  <c r="I34" i="81"/>
  <c r="K34" i="81"/>
  <c r="L34" i="81"/>
  <c r="M34" i="81"/>
  <c r="S34" i="81"/>
  <c r="U34" i="81"/>
  <c r="T34" i="81" s="1"/>
  <c r="V34" i="81"/>
  <c r="W34" i="81"/>
  <c r="I35" i="81"/>
  <c r="K35" i="81"/>
  <c r="L35" i="81"/>
  <c r="M35" i="81"/>
  <c r="S35" i="81"/>
  <c r="U35" i="81"/>
  <c r="T35" i="81" s="1"/>
  <c r="V35" i="81"/>
  <c r="W35" i="81"/>
  <c r="I36" i="81"/>
  <c r="K36" i="81"/>
  <c r="L36" i="81"/>
  <c r="M36" i="81"/>
  <c r="S36" i="81"/>
  <c r="U36" i="81"/>
  <c r="T36" i="81" s="1"/>
  <c r="V36" i="81"/>
  <c r="W36" i="81"/>
  <c r="I37" i="81"/>
  <c r="K37" i="81"/>
  <c r="L37" i="81"/>
  <c r="M37" i="81"/>
  <c r="S37" i="81"/>
  <c r="U37" i="81"/>
  <c r="T37" i="81" s="1"/>
  <c r="V37" i="81"/>
  <c r="W37" i="81"/>
  <c r="I38" i="81"/>
  <c r="K38" i="81"/>
  <c r="L38" i="81"/>
  <c r="M38" i="81"/>
  <c r="S38" i="81"/>
  <c r="U38" i="81"/>
  <c r="T38" i="81" s="1"/>
  <c r="V38" i="81"/>
  <c r="W38" i="81"/>
  <c r="I39" i="81"/>
  <c r="K39" i="81"/>
  <c r="L39" i="81"/>
  <c r="M39" i="81"/>
  <c r="S39" i="81"/>
  <c r="U39" i="81"/>
  <c r="T39" i="81" s="1"/>
  <c r="V39" i="81"/>
  <c r="W39" i="81"/>
  <c r="I40" i="81"/>
  <c r="K40" i="81"/>
  <c r="L40" i="81"/>
  <c r="M40" i="81"/>
  <c r="S40" i="81"/>
  <c r="U40" i="81"/>
  <c r="T40" i="81" s="1"/>
  <c r="V40" i="81"/>
  <c r="W40" i="81"/>
  <c r="I41" i="81"/>
  <c r="K41" i="81"/>
  <c r="L41" i="81"/>
  <c r="M41" i="81"/>
  <c r="S41" i="81"/>
  <c r="U41" i="81"/>
  <c r="T41" i="81" s="1"/>
  <c r="V41" i="81"/>
  <c r="W41" i="81"/>
  <c r="I42" i="81"/>
  <c r="K42" i="81"/>
  <c r="L42" i="81"/>
  <c r="M42" i="81"/>
  <c r="S42" i="81"/>
  <c r="U42" i="81"/>
  <c r="T42" i="81" s="1"/>
  <c r="V42" i="81"/>
  <c r="W42" i="81"/>
  <c r="I43" i="81"/>
  <c r="K43" i="81"/>
  <c r="L43" i="81"/>
  <c r="M43" i="81"/>
  <c r="S43" i="81"/>
  <c r="U43" i="81"/>
  <c r="T43" i="81" s="1"/>
  <c r="V43" i="81"/>
  <c r="W43" i="81"/>
  <c r="I44" i="81"/>
  <c r="K44" i="81"/>
  <c r="L44" i="81"/>
  <c r="M44" i="81"/>
  <c r="S44" i="81"/>
  <c r="U44" i="81"/>
  <c r="T44" i="81" s="1"/>
  <c r="V44" i="81"/>
  <c r="W44" i="81"/>
  <c r="I45" i="81"/>
  <c r="K45" i="81"/>
  <c r="L45" i="81"/>
  <c r="M45" i="81"/>
  <c r="S45" i="81"/>
  <c r="U45" i="81"/>
  <c r="T45" i="81" s="1"/>
  <c r="V45" i="81"/>
  <c r="W45" i="81"/>
  <c r="I46" i="81"/>
  <c r="K46" i="81"/>
  <c r="L46" i="81"/>
  <c r="M46" i="81"/>
  <c r="S46" i="81"/>
  <c r="U46" i="81"/>
  <c r="T46" i="81" s="1"/>
  <c r="V46" i="81"/>
  <c r="W46" i="81"/>
  <c r="I47" i="81"/>
  <c r="K47" i="81"/>
  <c r="L47" i="81"/>
  <c r="M47" i="81"/>
  <c r="S47" i="81"/>
  <c r="U47" i="81"/>
  <c r="T47" i="81" s="1"/>
  <c r="V47" i="81"/>
  <c r="W47" i="81"/>
  <c r="I48" i="81"/>
  <c r="K48" i="81"/>
  <c r="L48" i="81"/>
  <c r="M48" i="81"/>
  <c r="S48" i="81"/>
  <c r="U48" i="81"/>
  <c r="T48" i="81" s="1"/>
  <c r="V48" i="81"/>
  <c r="W48" i="81"/>
  <c r="I49" i="81"/>
  <c r="K49" i="81"/>
  <c r="L49" i="81"/>
  <c r="M49" i="81"/>
  <c r="S49" i="81"/>
  <c r="U49" i="81"/>
  <c r="T49" i="81" s="1"/>
  <c r="V49" i="81"/>
  <c r="W49" i="81"/>
  <c r="I50" i="81"/>
  <c r="K50" i="81"/>
  <c r="L50" i="81"/>
  <c r="M50" i="81"/>
  <c r="S50" i="81"/>
  <c r="U50" i="81"/>
  <c r="T50" i="81" s="1"/>
  <c r="V50" i="81"/>
  <c r="W50" i="81"/>
  <c r="I51" i="81"/>
  <c r="K51" i="81"/>
  <c r="L51" i="81"/>
  <c r="M51" i="81"/>
  <c r="S51" i="81"/>
  <c r="U51" i="81"/>
  <c r="T51" i="81" s="1"/>
  <c r="V51" i="81"/>
  <c r="W51" i="81"/>
  <c r="I52" i="81"/>
  <c r="K52" i="81"/>
  <c r="L52" i="81"/>
  <c r="M52" i="81"/>
  <c r="S52" i="81"/>
  <c r="U52" i="81"/>
  <c r="T52" i="81" s="1"/>
  <c r="V52" i="81"/>
  <c r="W52" i="81"/>
  <c r="I53" i="81"/>
  <c r="K53" i="81"/>
  <c r="L53" i="81"/>
  <c r="M53" i="81"/>
  <c r="S53" i="81"/>
  <c r="U53" i="81"/>
  <c r="T53" i="81" s="1"/>
  <c r="V53" i="81"/>
  <c r="W53" i="81"/>
  <c r="I54" i="81"/>
  <c r="K54" i="81"/>
  <c r="L54" i="81"/>
  <c r="M54" i="81"/>
  <c r="S54" i="81"/>
  <c r="U54" i="81"/>
  <c r="T54" i="81" s="1"/>
  <c r="V54" i="81"/>
  <c r="W54" i="81"/>
  <c r="I55" i="81"/>
  <c r="K55" i="81"/>
  <c r="L55" i="81"/>
  <c r="M55" i="81"/>
  <c r="S55" i="81"/>
  <c r="U55" i="81"/>
  <c r="T55" i="81" s="1"/>
  <c r="V55" i="81"/>
  <c r="W55" i="81"/>
  <c r="I56" i="81"/>
  <c r="K56" i="81"/>
  <c r="L56" i="81"/>
  <c r="M56" i="81"/>
  <c r="S56" i="81"/>
  <c r="U56" i="81"/>
  <c r="T56" i="81" s="1"/>
  <c r="V56" i="81"/>
  <c r="W56" i="81"/>
  <c r="I57" i="81"/>
  <c r="K57" i="81"/>
  <c r="L57" i="81"/>
  <c r="M57" i="81"/>
  <c r="S57" i="81"/>
  <c r="U57" i="81"/>
  <c r="T57" i="81" s="1"/>
  <c r="V57" i="81"/>
  <c r="W57" i="81"/>
  <c r="I58" i="81"/>
  <c r="K58" i="81"/>
  <c r="L58" i="81"/>
  <c r="M58" i="81"/>
  <c r="S58" i="81"/>
  <c r="U58" i="81"/>
  <c r="T58" i="81" s="1"/>
  <c r="V58" i="81"/>
  <c r="W58" i="81"/>
  <c r="I59" i="81"/>
  <c r="K59" i="81"/>
  <c r="L59" i="81"/>
  <c r="M59" i="81"/>
  <c r="S59" i="81"/>
  <c r="U59" i="81"/>
  <c r="T59" i="81" s="1"/>
  <c r="V59" i="81"/>
  <c r="W59" i="81"/>
  <c r="I60" i="81"/>
  <c r="K60" i="81"/>
  <c r="L60" i="81"/>
  <c r="M60" i="81"/>
  <c r="S60" i="81"/>
  <c r="U60" i="81"/>
  <c r="T60" i="81" s="1"/>
  <c r="V60" i="81"/>
  <c r="W60" i="81"/>
  <c r="I61" i="81"/>
  <c r="K61" i="81"/>
  <c r="L61" i="81"/>
  <c r="M61" i="81"/>
  <c r="S61" i="81"/>
  <c r="U61" i="81"/>
  <c r="T61" i="81" s="1"/>
  <c r="V61" i="81"/>
  <c r="W61" i="81"/>
  <c r="I62" i="81"/>
  <c r="K62" i="81"/>
  <c r="L62" i="81"/>
  <c r="M62" i="81"/>
  <c r="S62" i="81"/>
  <c r="U62" i="81"/>
  <c r="T62" i="81" s="1"/>
  <c r="V62" i="81"/>
  <c r="W62" i="81"/>
  <c r="I63" i="81"/>
  <c r="K63" i="81"/>
  <c r="L63" i="81"/>
  <c r="M63" i="81"/>
  <c r="S63" i="81"/>
  <c r="U63" i="81"/>
  <c r="T63" i="81" s="1"/>
  <c r="V63" i="81"/>
  <c r="W63" i="81"/>
  <c r="I64" i="81"/>
  <c r="K64" i="81"/>
  <c r="L64" i="81"/>
  <c r="M64" i="81"/>
  <c r="S64" i="81"/>
  <c r="U64" i="81"/>
  <c r="T64" i="81" s="1"/>
  <c r="V64" i="81"/>
  <c r="W64" i="81"/>
  <c r="I65" i="81"/>
  <c r="K65" i="81"/>
  <c r="L65" i="81"/>
  <c r="M65" i="81"/>
  <c r="S65" i="81"/>
  <c r="U65" i="81"/>
  <c r="T65" i="81" s="1"/>
  <c r="V65" i="81"/>
  <c r="W65" i="81"/>
  <c r="I66" i="81"/>
  <c r="K66" i="81"/>
  <c r="L66" i="81"/>
  <c r="M66" i="81"/>
  <c r="S66" i="81"/>
  <c r="U66" i="81"/>
  <c r="T66" i="81" s="1"/>
  <c r="V66" i="81"/>
  <c r="W66" i="81"/>
  <c r="I67" i="81"/>
  <c r="K67" i="81"/>
  <c r="L67" i="81"/>
  <c r="M67" i="81"/>
  <c r="S67" i="81"/>
  <c r="U67" i="81"/>
  <c r="T67" i="81" s="1"/>
  <c r="V67" i="81"/>
  <c r="W67" i="81"/>
  <c r="I68" i="81"/>
  <c r="K68" i="81"/>
  <c r="L68" i="81"/>
  <c r="M68" i="81"/>
  <c r="S68" i="81"/>
  <c r="U68" i="81"/>
  <c r="T68" i="81" s="1"/>
  <c r="V68" i="81"/>
  <c r="W68" i="81"/>
  <c r="I69" i="81"/>
  <c r="K69" i="81"/>
  <c r="L69" i="81"/>
  <c r="M69" i="81"/>
  <c r="S69" i="81"/>
  <c r="U69" i="81"/>
  <c r="T69" i="81" s="1"/>
  <c r="V69" i="81"/>
  <c r="W69" i="81"/>
  <c r="I70" i="81"/>
  <c r="K70" i="81"/>
  <c r="L70" i="81"/>
  <c r="M70" i="81"/>
  <c r="S70" i="81"/>
  <c r="U70" i="81"/>
  <c r="T70" i="81" s="1"/>
  <c r="V70" i="81"/>
  <c r="W70" i="81"/>
  <c r="I71" i="81"/>
  <c r="K71" i="81"/>
  <c r="L71" i="81"/>
  <c r="M71" i="81"/>
  <c r="S71" i="81"/>
  <c r="U71" i="81"/>
  <c r="T71" i="81" s="1"/>
  <c r="V71" i="81"/>
  <c r="W71" i="81"/>
  <c r="I72" i="81"/>
  <c r="K72" i="81"/>
  <c r="L72" i="81"/>
  <c r="M72" i="81"/>
  <c r="S72" i="81"/>
  <c r="U72" i="81"/>
  <c r="T72" i="81" s="1"/>
  <c r="V72" i="81"/>
  <c r="W72" i="81"/>
  <c r="I73" i="81"/>
  <c r="K73" i="81"/>
  <c r="L73" i="81"/>
  <c r="M73" i="81"/>
  <c r="S73" i="81"/>
  <c r="U73" i="81"/>
  <c r="T73" i="81" s="1"/>
  <c r="V73" i="81"/>
  <c r="W73" i="81"/>
  <c r="I74" i="81"/>
  <c r="K74" i="81"/>
  <c r="L74" i="81"/>
  <c r="M74" i="81"/>
  <c r="S74" i="81"/>
  <c r="U74" i="81"/>
  <c r="T74" i="81" s="1"/>
  <c r="V74" i="81"/>
  <c r="W74" i="81"/>
  <c r="I75" i="81"/>
  <c r="K75" i="81"/>
  <c r="L75" i="81"/>
  <c r="M75" i="81"/>
  <c r="S75" i="81"/>
  <c r="U75" i="81"/>
  <c r="T75" i="81" s="1"/>
  <c r="V75" i="81"/>
  <c r="W75" i="81"/>
  <c r="I76" i="81"/>
  <c r="K76" i="81"/>
  <c r="L76" i="81"/>
  <c r="M76" i="81"/>
  <c r="S76" i="81"/>
  <c r="U76" i="81"/>
  <c r="T76" i="81" s="1"/>
  <c r="V76" i="81"/>
  <c r="W76" i="81"/>
  <c r="I77" i="81"/>
  <c r="K77" i="81"/>
  <c r="L77" i="81"/>
  <c r="M77" i="81"/>
  <c r="S77" i="81"/>
  <c r="U77" i="81"/>
  <c r="T77" i="81" s="1"/>
  <c r="V77" i="81"/>
  <c r="W77" i="81"/>
  <c r="I78" i="81"/>
  <c r="K78" i="81"/>
  <c r="L78" i="81"/>
  <c r="M78" i="81"/>
  <c r="S78" i="81"/>
  <c r="U78" i="81"/>
  <c r="T78" i="81" s="1"/>
  <c r="V78" i="81"/>
  <c r="W78" i="81"/>
  <c r="I79" i="81"/>
  <c r="K79" i="81"/>
  <c r="L79" i="81"/>
  <c r="M79" i="81"/>
  <c r="S79" i="81"/>
  <c r="U79" i="81"/>
  <c r="T79" i="81" s="1"/>
  <c r="V79" i="81"/>
  <c r="W79" i="81"/>
  <c r="I80" i="81"/>
  <c r="K80" i="81"/>
  <c r="L80" i="81"/>
  <c r="M80" i="81"/>
  <c r="S80" i="81"/>
  <c r="U80" i="81"/>
  <c r="T80" i="81" s="1"/>
  <c r="V80" i="81"/>
  <c r="W80" i="81"/>
  <c r="I81" i="81"/>
  <c r="K81" i="81"/>
  <c r="L81" i="81"/>
  <c r="M81" i="81"/>
  <c r="R81" i="81"/>
  <c r="S81" i="81"/>
  <c r="T81" i="81"/>
  <c r="U81" i="81"/>
  <c r="F82" i="81"/>
  <c r="G82" i="81"/>
  <c r="I82" i="81"/>
  <c r="W14" i="81"/>
  <c r="E15" i="81"/>
  <c r="Q1" i="81"/>
  <c r="Q2" i="81"/>
  <c r="Q3" i="81"/>
  <c r="Q4" i="81"/>
  <c r="Q5" i="81"/>
  <c r="Q6" i="81"/>
  <c r="Q7" i="81"/>
  <c r="Q8" i="81"/>
  <c r="Q9" i="81"/>
  <c r="T9" i="81"/>
  <c r="U9" i="81"/>
  <c r="V9" i="81"/>
  <c r="W9" i="81"/>
  <c r="Q10" i="81"/>
  <c r="G82" i="80"/>
  <c r="F82" i="80"/>
  <c r="R81" i="80"/>
  <c r="L80" i="80"/>
  <c r="K80" i="80"/>
  <c r="M80" i="80" s="1"/>
  <c r="L79" i="80"/>
  <c r="K79" i="80"/>
  <c r="M79" i="80" s="1"/>
  <c r="L78" i="80"/>
  <c r="K78" i="80"/>
  <c r="M78" i="80" s="1"/>
  <c r="L77" i="80"/>
  <c r="K77" i="80"/>
  <c r="M77" i="80" s="1"/>
  <c r="L76" i="80"/>
  <c r="K76" i="80"/>
  <c r="M76" i="80" s="1"/>
  <c r="L75" i="80"/>
  <c r="K75" i="80"/>
  <c r="M75" i="80" s="1"/>
  <c r="L74" i="80"/>
  <c r="K74" i="80"/>
  <c r="M74" i="80" s="1"/>
  <c r="L73" i="80"/>
  <c r="K73" i="80"/>
  <c r="M73" i="80" s="1"/>
  <c r="L72" i="80"/>
  <c r="K72" i="80"/>
  <c r="M72" i="80" s="1"/>
  <c r="L71" i="80"/>
  <c r="K71" i="80"/>
  <c r="M71" i="80" s="1"/>
  <c r="L70" i="80"/>
  <c r="K70" i="80"/>
  <c r="M70" i="80" s="1"/>
  <c r="L69" i="80"/>
  <c r="K69" i="80"/>
  <c r="M69" i="80" s="1"/>
  <c r="L68" i="80"/>
  <c r="K68" i="80"/>
  <c r="M68" i="80" s="1"/>
  <c r="L67" i="80"/>
  <c r="K67" i="80"/>
  <c r="M67" i="80" s="1"/>
  <c r="L66" i="80"/>
  <c r="K66" i="80"/>
  <c r="M66" i="80" s="1"/>
  <c r="L65" i="80"/>
  <c r="K65" i="80"/>
  <c r="M65" i="80" s="1"/>
  <c r="L64" i="80"/>
  <c r="K64" i="80"/>
  <c r="M64" i="80" s="1"/>
  <c r="L63" i="80"/>
  <c r="K63" i="80"/>
  <c r="M63" i="80" s="1"/>
  <c r="L62" i="80"/>
  <c r="K62" i="80"/>
  <c r="M62" i="80" s="1"/>
  <c r="L61" i="80"/>
  <c r="K61" i="80"/>
  <c r="M61" i="80" s="1"/>
  <c r="L60" i="80"/>
  <c r="K60" i="80"/>
  <c r="M60" i="80" s="1"/>
  <c r="L59" i="80"/>
  <c r="K59" i="80"/>
  <c r="M59" i="80" s="1"/>
  <c r="L58" i="80"/>
  <c r="K58" i="80"/>
  <c r="M58" i="80" s="1"/>
  <c r="L57" i="80"/>
  <c r="K57" i="80"/>
  <c r="M57" i="80" s="1"/>
  <c r="L56" i="80"/>
  <c r="K56" i="80"/>
  <c r="M56" i="80" s="1"/>
  <c r="L55" i="80"/>
  <c r="K55" i="80"/>
  <c r="M55" i="80" s="1"/>
  <c r="L54" i="80"/>
  <c r="K54" i="80"/>
  <c r="M54" i="80" s="1"/>
  <c r="L53" i="80"/>
  <c r="K53" i="80"/>
  <c r="M53" i="80" s="1"/>
  <c r="L52" i="80"/>
  <c r="K52" i="80"/>
  <c r="M52" i="80" s="1"/>
  <c r="L51" i="80"/>
  <c r="K51" i="80"/>
  <c r="M51" i="80" s="1"/>
  <c r="L50" i="80"/>
  <c r="K50" i="80"/>
  <c r="M50" i="80" s="1"/>
  <c r="L49" i="80"/>
  <c r="K49" i="80"/>
  <c r="M49" i="80" s="1"/>
  <c r="L48" i="80"/>
  <c r="K48" i="80"/>
  <c r="M48" i="80" s="1"/>
  <c r="L47" i="80"/>
  <c r="K47" i="80"/>
  <c r="M47" i="80" s="1"/>
  <c r="L46" i="80"/>
  <c r="K46" i="80"/>
  <c r="M46" i="80" s="1"/>
  <c r="L45" i="80"/>
  <c r="K45" i="80"/>
  <c r="M45" i="80" s="1"/>
  <c r="L44" i="80"/>
  <c r="K44" i="80"/>
  <c r="M44" i="80" s="1"/>
  <c r="L43" i="80"/>
  <c r="K43" i="80"/>
  <c r="M43" i="80" s="1"/>
  <c r="L42" i="80"/>
  <c r="K42" i="80"/>
  <c r="M42" i="80" s="1"/>
  <c r="L41" i="80"/>
  <c r="K41" i="80"/>
  <c r="M41" i="80" s="1"/>
  <c r="L40" i="80"/>
  <c r="K40" i="80"/>
  <c r="M40" i="80" s="1"/>
  <c r="L39" i="80"/>
  <c r="K39" i="80"/>
  <c r="M39" i="80" s="1"/>
  <c r="L38" i="80"/>
  <c r="K38" i="80"/>
  <c r="M38" i="80" s="1"/>
  <c r="L37" i="80"/>
  <c r="K37" i="80"/>
  <c r="M37" i="80" s="1"/>
  <c r="L36" i="80"/>
  <c r="K36" i="80"/>
  <c r="M36" i="80" s="1"/>
  <c r="L35" i="80"/>
  <c r="K35" i="80"/>
  <c r="M35" i="80" s="1"/>
  <c r="L34" i="80"/>
  <c r="K34" i="80"/>
  <c r="M34" i="80" s="1"/>
  <c r="L33" i="80"/>
  <c r="K33" i="80"/>
  <c r="M33" i="80" s="1"/>
  <c r="L32" i="80"/>
  <c r="K32" i="80"/>
  <c r="M32" i="80" s="1"/>
  <c r="L31" i="80"/>
  <c r="K31" i="80"/>
  <c r="M31" i="80" s="1"/>
  <c r="L30" i="80"/>
  <c r="K30" i="80"/>
  <c r="M30" i="80" s="1"/>
  <c r="L29" i="80"/>
  <c r="K29" i="80"/>
  <c r="M29" i="80" s="1"/>
  <c r="L28" i="80"/>
  <c r="K28" i="80"/>
  <c r="M28" i="80" s="1"/>
  <c r="L27" i="80"/>
  <c r="K27" i="80"/>
  <c r="M27" i="80" s="1"/>
  <c r="L26" i="80"/>
  <c r="K26" i="80"/>
  <c r="M26" i="80" s="1"/>
  <c r="L25" i="80"/>
  <c r="K25" i="80"/>
  <c r="M25" i="80" s="1"/>
  <c r="L24" i="80"/>
  <c r="K24" i="80"/>
  <c r="M24" i="80" s="1"/>
  <c r="L23" i="80"/>
  <c r="K23" i="80"/>
  <c r="M23" i="80" s="1"/>
  <c r="L22" i="80"/>
  <c r="K22" i="80"/>
  <c r="M22" i="80" s="1"/>
  <c r="L21" i="80"/>
  <c r="K21" i="80"/>
  <c r="M21" i="80" s="1"/>
  <c r="L20" i="80"/>
  <c r="K20" i="80"/>
  <c r="M20" i="80" s="1"/>
  <c r="L19" i="80"/>
  <c r="K19" i="80"/>
  <c r="M19" i="80" s="1"/>
  <c r="L18" i="80"/>
  <c r="K18" i="80"/>
  <c r="I18" i="80"/>
  <c r="H18" i="80"/>
  <c r="S17" i="80"/>
  <c r="E15" i="80"/>
  <c r="Q10" i="80"/>
  <c r="Q1" i="80"/>
  <c r="Q8" i="80" s="1"/>
  <c r="Q1" i="79"/>
  <c r="Q8" i="79"/>
  <c r="E15" i="79"/>
  <c r="H17" i="79"/>
  <c r="I17" i="79"/>
  <c r="S17" i="79"/>
  <c r="H18" i="79"/>
  <c r="I18" i="79"/>
  <c r="K18" i="79"/>
  <c r="L18" i="79"/>
  <c r="M18" i="79"/>
  <c r="S18" i="79"/>
  <c r="U18" i="79"/>
  <c r="T18" i="79" s="1"/>
  <c r="V18" i="79"/>
  <c r="W18" i="79"/>
  <c r="H19" i="79"/>
  <c r="I19" i="79"/>
  <c r="K19" i="79"/>
  <c r="L19" i="79"/>
  <c r="M19" i="79"/>
  <c r="S19" i="79"/>
  <c r="U19" i="79"/>
  <c r="T19" i="79" s="1"/>
  <c r="V19" i="79"/>
  <c r="W19" i="79"/>
  <c r="H20" i="79"/>
  <c r="I20" i="79"/>
  <c r="K20" i="79"/>
  <c r="L20" i="79"/>
  <c r="M20" i="79"/>
  <c r="S20" i="79"/>
  <c r="U20" i="79"/>
  <c r="T20" i="79" s="1"/>
  <c r="V20" i="79"/>
  <c r="W20" i="79"/>
  <c r="H21" i="79"/>
  <c r="I21" i="79"/>
  <c r="K21" i="79"/>
  <c r="L21" i="79"/>
  <c r="M21" i="79"/>
  <c r="S21" i="79"/>
  <c r="U21" i="79"/>
  <c r="T21" i="79" s="1"/>
  <c r="V21" i="79"/>
  <c r="W21" i="79"/>
  <c r="H22" i="79"/>
  <c r="I22" i="79"/>
  <c r="K22" i="79"/>
  <c r="L22" i="79"/>
  <c r="M22" i="79"/>
  <c r="S22" i="79"/>
  <c r="U22" i="79"/>
  <c r="T22" i="79" s="1"/>
  <c r="V22" i="79"/>
  <c r="W22" i="79"/>
  <c r="H23" i="79"/>
  <c r="I23" i="79"/>
  <c r="K23" i="79"/>
  <c r="L23" i="79"/>
  <c r="M23" i="79"/>
  <c r="S23" i="79"/>
  <c r="U23" i="79"/>
  <c r="T23" i="79" s="1"/>
  <c r="V23" i="79"/>
  <c r="W23" i="79"/>
  <c r="H24" i="79"/>
  <c r="I24" i="79"/>
  <c r="K24" i="79"/>
  <c r="L24" i="79"/>
  <c r="M24" i="79"/>
  <c r="S24" i="79"/>
  <c r="U24" i="79"/>
  <c r="T24" i="79" s="1"/>
  <c r="V24" i="79"/>
  <c r="W24" i="79"/>
  <c r="H25" i="79"/>
  <c r="I25" i="79"/>
  <c r="K25" i="79"/>
  <c r="L25" i="79"/>
  <c r="M25" i="79"/>
  <c r="S25" i="79"/>
  <c r="U25" i="79"/>
  <c r="T25" i="79" s="1"/>
  <c r="V25" i="79"/>
  <c r="W25" i="79"/>
  <c r="H26" i="79"/>
  <c r="I26" i="79"/>
  <c r="K26" i="79"/>
  <c r="L26" i="79"/>
  <c r="M26" i="79"/>
  <c r="S26" i="79"/>
  <c r="U26" i="79"/>
  <c r="T26" i="79" s="1"/>
  <c r="V26" i="79"/>
  <c r="W26" i="79"/>
  <c r="H27" i="79"/>
  <c r="I27" i="79"/>
  <c r="K27" i="79"/>
  <c r="L27" i="79"/>
  <c r="M27" i="79"/>
  <c r="S27" i="79"/>
  <c r="U27" i="79"/>
  <c r="T27" i="79" s="1"/>
  <c r="V27" i="79"/>
  <c r="W27" i="79"/>
  <c r="H28" i="79"/>
  <c r="I28" i="79"/>
  <c r="K28" i="79"/>
  <c r="L28" i="79"/>
  <c r="M28" i="79"/>
  <c r="S28" i="79"/>
  <c r="U28" i="79"/>
  <c r="T28" i="79" s="1"/>
  <c r="V28" i="79"/>
  <c r="W28" i="79"/>
  <c r="H29" i="79"/>
  <c r="I29" i="79"/>
  <c r="K29" i="79"/>
  <c r="L29" i="79"/>
  <c r="M29" i="79"/>
  <c r="S29" i="79"/>
  <c r="U29" i="79"/>
  <c r="T29" i="79" s="1"/>
  <c r="V29" i="79"/>
  <c r="W29" i="79"/>
  <c r="H30" i="79"/>
  <c r="I30" i="79"/>
  <c r="K30" i="79"/>
  <c r="L30" i="79"/>
  <c r="M30" i="79"/>
  <c r="S30" i="79"/>
  <c r="U30" i="79"/>
  <c r="T30" i="79" s="1"/>
  <c r="V30" i="79"/>
  <c r="W30" i="79"/>
  <c r="H31" i="79"/>
  <c r="I31" i="79"/>
  <c r="K31" i="79"/>
  <c r="L31" i="79"/>
  <c r="M31" i="79"/>
  <c r="S31" i="79"/>
  <c r="U31" i="79"/>
  <c r="T31" i="79" s="1"/>
  <c r="V31" i="79"/>
  <c r="W31" i="79"/>
  <c r="H32" i="79"/>
  <c r="I32" i="79"/>
  <c r="K32" i="79"/>
  <c r="L32" i="79"/>
  <c r="M32" i="79"/>
  <c r="S32" i="79"/>
  <c r="U32" i="79"/>
  <c r="T32" i="79" s="1"/>
  <c r="V32" i="79"/>
  <c r="W32" i="79"/>
  <c r="H33" i="79"/>
  <c r="I33" i="79"/>
  <c r="K33" i="79"/>
  <c r="L33" i="79"/>
  <c r="M33" i="79"/>
  <c r="S33" i="79"/>
  <c r="U33" i="79"/>
  <c r="T33" i="79" s="1"/>
  <c r="V33" i="79"/>
  <c r="W33" i="79"/>
  <c r="H34" i="79"/>
  <c r="I34" i="79"/>
  <c r="K34" i="79"/>
  <c r="L34" i="79"/>
  <c r="M34" i="79"/>
  <c r="S34" i="79"/>
  <c r="U34" i="79"/>
  <c r="T34" i="79" s="1"/>
  <c r="V34" i="79"/>
  <c r="W34" i="79"/>
  <c r="H35" i="79"/>
  <c r="I35" i="79"/>
  <c r="K35" i="79"/>
  <c r="L35" i="79"/>
  <c r="M35" i="79"/>
  <c r="S35" i="79"/>
  <c r="U35" i="79"/>
  <c r="T35" i="79" s="1"/>
  <c r="V35" i="79"/>
  <c r="W35" i="79"/>
  <c r="H36" i="79"/>
  <c r="I36" i="79"/>
  <c r="K36" i="79"/>
  <c r="L36" i="79"/>
  <c r="M36" i="79"/>
  <c r="S36" i="79"/>
  <c r="U36" i="79"/>
  <c r="T36" i="79" s="1"/>
  <c r="V36" i="79"/>
  <c r="W36" i="79"/>
  <c r="H37" i="79"/>
  <c r="I37" i="79"/>
  <c r="K37" i="79"/>
  <c r="L37" i="79"/>
  <c r="M37" i="79"/>
  <c r="S37" i="79"/>
  <c r="U37" i="79"/>
  <c r="T37" i="79" s="1"/>
  <c r="V37" i="79"/>
  <c r="W37" i="79"/>
  <c r="H38" i="79"/>
  <c r="I38" i="79"/>
  <c r="K38" i="79"/>
  <c r="L38" i="79"/>
  <c r="M38" i="79"/>
  <c r="S38" i="79"/>
  <c r="U38" i="79"/>
  <c r="T38" i="79" s="1"/>
  <c r="V38" i="79"/>
  <c r="W38" i="79"/>
  <c r="H39" i="79"/>
  <c r="I39" i="79"/>
  <c r="K39" i="79"/>
  <c r="L39" i="79"/>
  <c r="M39" i="79"/>
  <c r="S39" i="79"/>
  <c r="U39" i="79"/>
  <c r="T39" i="79" s="1"/>
  <c r="V39" i="79"/>
  <c r="W39" i="79"/>
  <c r="H40" i="79"/>
  <c r="I40" i="79"/>
  <c r="K40" i="79"/>
  <c r="L40" i="79"/>
  <c r="M40" i="79"/>
  <c r="S40" i="79"/>
  <c r="U40" i="79"/>
  <c r="T40" i="79" s="1"/>
  <c r="V40" i="79"/>
  <c r="W40" i="79"/>
  <c r="H41" i="79"/>
  <c r="I41" i="79"/>
  <c r="K41" i="79"/>
  <c r="L41" i="79"/>
  <c r="M41" i="79"/>
  <c r="S41" i="79"/>
  <c r="U41" i="79"/>
  <c r="T41" i="79" s="1"/>
  <c r="V41" i="79"/>
  <c r="W41" i="79"/>
  <c r="H42" i="79"/>
  <c r="I42" i="79"/>
  <c r="K42" i="79"/>
  <c r="L42" i="79"/>
  <c r="M42" i="79"/>
  <c r="S42" i="79"/>
  <c r="U42" i="79"/>
  <c r="T42" i="79" s="1"/>
  <c r="V42" i="79"/>
  <c r="W42" i="79"/>
  <c r="H43" i="79"/>
  <c r="I43" i="79"/>
  <c r="K43" i="79"/>
  <c r="L43" i="79"/>
  <c r="M43" i="79"/>
  <c r="S43" i="79"/>
  <c r="U43" i="79"/>
  <c r="T43" i="79" s="1"/>
  <c r="V43" i="79"/>
  <c r="W43" i="79"/>
  <c r="H44" i="79"/>
  <c r="I44" i="79"/>
  <c r="K44" i="79"/>
  <c r="L44" i="79"/>
  <c r="M44" i="79"/>
  <c r="S44" i="79"/>
  <c r="U44" i="79"/>
  <c r="T44" i="79" s="1"/>
  <c r="V44" i="79"/>
  <c r="W44" i="79"/>
  <c r="H45" i="79"/>
  <c r="I45" i="79"/>
  <c r="K45" i="79"/>
  <c r="L45" i="79"/>
  <c r="M45" i="79"/>
  <c r="S45" i="79"/>
  <c r="U45" i="79"/>
  <c r="T45" i="79" s="1"/>
  <c r="V45" i="79"/>
  <c r="W45" i="79"/>
  <c r="H46" i="79"/>
  <c r="I46" i="79"/>
  <c r="K46" i="79"/>
  <c r="L46" i="79"/>
  <c r="M46" i="79"/>
  <c r="S46" i="79"/>
  <c r="U46" i="79"/>
  <c r="T46" i="79" s="1"/>
  <c r="V46" i="79"/>
  <c r="W46" i="79"/>
  <c r="H47" i="79"/>
  <c r="I47" i="79"/>
  <c r="K47" i="79"/>
  <c r="L47" i="79"/>
  <c r="M47" i="79"/>
  <c r="S47" i="79"/>
  <c r="U47" i="79"/>
  <c r="T47" i="79" s="1"/>
  <c r="V47" i="79"/>
  <c r="W47" i="79"/>
  <c r="H48" i="79"/>
  <c r="I48" i="79"/>
  <c r="K48" i="79"/>
  <c r="L48" i="79"/>
  <c r="M48" i="79"/>
  <c r="S48" i="79"/>
  <c r="U48" i="79"/>
  <c r="T48" i="79" s="1"/>
  <c r="V48" i="79"/>
  <c r="W48" i="79"/>
  <c r="H49" i="79"/>
  <c r="I49" i="79"/>
  <c r="K49" i="79"/>
  <c r="L49" i="79"/>
  <c r="M49" i="79"/>
  <c r="S49" i="79"/>
  <c r="U49" i="79"/>
  <c r="T49" i="79" s="1"/>
  <c r="V49" i="79"/>
  <c r="W49" i="79"/>
  <c r="H50" i="79"/>
  <c r="I50" i="79"/>
  <c r="K50" i="79"/>
  <c r="L50" i="79"/>
  <c r="M50" i="79"/>
  <c r="S50" i="79"/>
  <c r="U50" i="79"/>
  <c r="T50" i="79" s="1"/>
  <c r="V50" i="79"/>
  <c r="W50" i="79"/>
  <c r="H51" i="79"/>
  <c r="I51" i="79"/>
  <c r="K51" i="79"/>
  <c r="L51" i="79"/>
  <c r="M51" i="79"/>
  <c r="S51" i="79"/>
  <c r="U51" i="79"/>
  <c r="T51" i="79" s="1"/>
  <c r="V51" i="79"/>
  <c r="W51" i="79"/>
  <c r="H52" i="79"/>
  <c r="I52" i="79"/>
  <c r="K52" i="79"/>
  <c r="L52" i="79"/>
  <c r="M52" i="79"/>
  <c r="S52" i="79"/>
  <c r="U52" i="79"/>
  <c r="T52" i="79" s="1"/>
  <c r="V52" i="79"/>
  <c r="W52" i="79"/>
  <c r="H53" i="79"/>
  <c r="I53" i="79"/>
  <c r="K53" i="79"/>
  <c r="L53" i="79"/>
  <c r="M53" i="79"/>
  <c r="S53" i="79"/>
  <c r="U53" i="79"/>
  <c r="T53" i="79" s="1"/>
  <c r="V53" i="79"/>
  <c r="W53" i="79"/>
  <c r="H54" i="79"/>
  <c r="I54" i="79"/>
  <c r="K54" i="79"/>
  <c r="L54" i="79"/>
  <c r="M54" i="79"/>
  <c r="S54" i="79"/>
  <c r="U54" i="79"/>
  <c r="T54" i="79" s="1"/>
  <c r="V54" i="79"/>
  <c r="W54" i="79"/>
  <c r="H55" i="79"/>
  <c r="I55" i="79"/>
  <c r="K55" i="79"/>
  <c r="L55" i="79"/>
  <c r="M55" i="79"/>
  <c r="S55" i="79"/>
  <c r="U55" i="79"/>
  <c r="T55" i="79" s="1"/>
  <c r="V55" i="79"/>
  <c r="W55" i="79"/>
  <c r="H56" i="79"/>
  <c r="I56" i="79"/>
  <c r="K56" i="79"/>
  <c r="L56" i="79"/>
  <c r="M56" i="79"/>
  <c r="S56" i="79"/>
  <c r="U56" i="79"/>
  <c r="T56" i="79" s="1"/>
  <c r="V56" i="79"/>
  <c r="W56" i="79"/>
  <c r="H57" i="79"/>
  <c r="I57" i="79"/>
  <c r="K57" i="79"/>
  <c r="L57" i="79"/>
  <c r="M57" i="79"/>
  <c r="S57" i="79"/>
  <c r="U57" i="79"/>
  <c r="T57" i="79" s="1"/>
  <c r="V57" i="79"/>
  <c r="W57" i="79"/>
  <c r="H58" i="79"/>
  <c r="I58" i="79"/>
  <c r="K58" i="79"/>
  <c r="L58" i="79"/>
  <c r="M58" i="79"/>
  <c r="S58" i="79"/>
  <c r="U58" i="79"/>
  <c r="T58" i="79" s="1"/>
  <c r="V58" i="79"/>
  <c r="W58" i="79"/>
  <c r="H59" i="79"/>
  <c r="I59" i="79"/>
  <c r="K59" i="79"/>
  <c r="L59" i="79"/>
  <c r="M59" i="79"/>
  <c r="S59" i="79"/>
  <c r="U59" i="79"/>
  <c r="T59" i="79" s="1"/>
  <c r="V59" i="79"/>
  <c r="W59" i="79"/>
  <c r="H60" i="79"/>
  <c r="I60" i="79"/>
  <c r="K60" i="79"/>
  <c r="L60" i="79"/>
  <c r="M60" i="79"/>
  <c r="S60" i="79"/>
  <c r="U60" i="79"/>
  <c r="T60" i="79" s="1"/>
  <c r="V60" i="79"/>
  <c r="W60" i="79"/>
  <c r="H61" i="79"/>
  <c r="I61" i="79"/>
  <c r="K61" i="79"/>
  <c r="L61" i="79"/>
  <c r="M61" i="79"/>
  <c r="S61" i="79"/>
  <c r="U61" i="79"/>
  <c r="T61" i="79" s="1"/>
  <c r="V61" i="79"/>
  <c r="W61" i="79"/>
  <c r="H62" i="79"/>
  <c r="I62" i="79"/>
  <c r="K62" i="79"/>
  <c r="L62" i="79"/>
  <c r="M62" i="79"/>
  <c r="S62" i="79"/>
  <c r="U62" i="79"/>
  <c r="T62" i="79" s="1"/>
  <c r="V62" i="79"/>
  <c r="W62" i="79"/>
  <c r="H63" i="79"/>
  <c r="I63" i="79"/>
  <c r="K63" i="79"/>
  <c r="L63" i="79"/>
  <c r="M63" i="79"/>
  <c r="S63" i="79"/>
  <c r="U63" i="79"/>
  <c r="T63" i="79" s="1"/>
  <c r="V63" i="79"/>
  <c r="W63" i="79"/>
  <c r="H64" i="79"/>
  <c r="I64" i="79"/>
  <c r="K64" i="79"/>
  <c r="L64" i="79"/>
  <c r="M64" i="79"/>
  <c r="S64" i="79"/>
  <c r="U64" i="79"/>
  <c r="T64" i="79" s="1"/>
  <c r="V64" i="79"/>
  <c r="W64" i="79"/>
  <c r="H65" i="79"/>
  <c r="I65" i="79"/>
  <c r="K65" i="79"/>
  <c r="L65" i="79"/>
  <c r="M65" i="79"/>
  <c r="S65" i="79"/>
  <c r="U65" i="79"/>
  <c r="T65" i="79" s="1"/>
  <c r="V65" i="79"/>
  <c r="W65" i="79"/>
  <c r="H66" i="79"/>
  <c r="I66" i="79"/>
  <c r="K66" i="79"/>
  <c r="L66" i="79"/>
  <c r="M66" i="79"/>
  <c r="S66" i="79"/>
  <c r="U66" i="79"/>
  <c r="T66" i="79" s="1"/>
  <c r="V66" i="79"/>
  <c r="W66" i="79"/>
  <c r="H67" i="79"/>
  <c r="I67" i="79"/>
  <c r="K67" i="79"/>
  <c r="L67" i="79"/>
  <c r="M67" i="79"/>
  <c r="S67" i="79"/>
  <c r="U67" i="79"/>
  <c r="T67" i="79" s="1"/>
  <c r="V67" i="79"/>
  <c r="W67" i="79"/>
  <c r="H68" i="79"/>
  <c r="I68" i="79"/>
  <c r="K68" i="79"/>
  <c r="L68" i="79"/>
  <c r="M68" i="79"/>
  <c r="S68" i="79"/>
  <c r="U68" i="79"/>
  <c r="T68" i="79" s="1"/>
  <c r="V68" i="79"/>
  <c r="W68" i="79"/>
  <c r="H69" i="79"/>
  <c r="I69" i="79"/>
  <c r="K69" i="79"/>
  <c r="L69" i="79"/>
  <c r="M69" i="79"/>
  <c r="S69" i="79"/>
  <c r="U69" i="79"/>
  <c r="T69" i="79" s="1"/>
  <c r="V69" i="79"/>
  <c r="W69" i="79"/>
  <c r="H70" i="79"/>
  <c r="I70" i="79"/>
  <c r="K70" i="79"/>
  <c r="L70" i="79"/>
  <c r="M70" i="79"/>
  <c r="S70" i="79"/>
  <c r="U70" i="79"/>
  <c r="T70" i="79" s="1"/>
  <c r="V70" i="79"/>
  <c r="W70" i="79"/>
  <c r="H71" i="79"/>
  <c r="I71" i="79"/>
  <c r="K71" i="79"/>
  <c r="L71" i="79"/>
  <c r="M71" i="79"/>
  <c r="S71" i="79"/>
  <c r="U71" i="79"/>
  <c r="T71" i="79" s="1"/>
  <c r="V71" i="79"/>
  <c r="W71" i="79"/>
  <c r="H72" i="79"/>
  <c r="I72" i="79"/>
  <c r="K72" i="79"/>
  <c r="L72" i="79"/>
  <c r="M72" i="79"/>
  <c r="S72" i="79"/>
  <c r="U72" i="79"/>
  <c r="T72" i="79" s="1"/>
  <c r="V72" i="79"/>
  <c r="W72" i="79"/>
  <c r="H73" i="79"/>
  <c r="I73" i="79"/>
  <c r="K73" i="79"/>
  <c r="L73" i="79"/>
  <c r="M73" i="79"/>
  <c r="S73" i="79"/>
  <c r="U73" i="79"/>
  <c r="T73" i="79" s="1"/>
  <c r="V73" i="79"/>
  <c r="W73" i="79"/>
  <c r="H74" i="79"/>
  <c r="I74" i="79"/>
  <c r="K74" i="79"/>
  <c r="L74" i="79"/>
  <c r="M74" i="79"/>
  <c r="S74" i="79"/>
  <c r="U74" i="79"/>
  <c r="T74" i="79" s="1"/>
  <c r="V74" i="79"/>
  <c r="W74" i="79"/>
  <c r="H75" i="79"/>
  <c r="I75" i="79"/>
  <c r="K75" i="79"/>
  <c r="L75" i="79"/>
  <c r="M75" i="79"/>
  <c r="S75" i="79"/>
  <c r="U75" i="79"/>
  <c r="T75" i="79" s="1"/>
  <c r="V75" i="79"/>
  <c r="W75" i="79"/>
  <c r="H76" i="79"/>
  <c r="I76" i="79"/>
  <c r="K76" i="79"/>
  <c r="L76" i="79"/>
  <c r="M76" i="79"/>
  <c r="S76" i="79"/>
  <c r="U76" i="79"/>
  <c r="T76" i="79" s="1"/>
  <c r="V76" i="79"/>
  <c r="W76" i="79"/>
  <c r="H77" i="79"/>
  <c r="I77" i="79"/>
  <c r="K77" i="79"/>
  <c r="L77" i="79"/>
  <c r="M77" i="79"/>
  <c r="S77" i="79"/>
  <c r="U77" i="79"/>
  <c r="T77" i="79" s="1"/>
  <c r="V77" i="79"/>
  <c r="W77" i="79"/>
  <c r="H78" i="79"/>
  <c r="I78" i="79"/>
  <c r="K78" i="79"/>
  <c r="L78" i="79"/>
  <c r="M78" i="79"/>
  <c r="S78" i="79"/>
  <c r="U78" i="79"/>
  <c r="T78" i="79" s="1"/>
  <c r="V78" i="79"/>
  <c r="W78" i="79"/>
  <c r="H79" i="79"/>
  <c r="I79" i="79"/>
  <c r="K79" i="79"/>
  <c r="L79" i="79"/>
  <c r="M79" i="79"/>
  <c r="S79" i="79"/>
  <c r="U79" i="79"/>
  <c r="T79" i="79" s="1"/>
  <c r="V79" i="79"/>
  <c r="W79" i="79"/>
  <c r="H80" i="79"/>
  <c r="I80" i="79"/>
  <c r="K80" i="79"/>
  <c r="L80" i="79"/>
  <c r="M80" i="79"/>
  <c r="S80" i="79"/>
  <c r="U80" i="79"/>
  <c r="T80" i="79" s="1"/>
  <c r="V80" i="79"/>
  <c r="W80" i="79"/>
  <c r="F81" i="79"/>
  <c r="Q10" i="79" s="1"/>
  <c r="G81" i="79"/>
  <c r="H81" i="79"/>
  <c r="I81" i="79"/>
  <c r="Q2" i="79" s="1"/>
  <c r="K81" i="79"/>
  <c r="L81" i="79"/>
  <c r="M81" i="79"/>
  <c r="Q3" i="79" s="1"/>
  <c r="R81" i="79"/>
  <c r="S81" i="79"/>
  <c r="T81" i="79"/>
  <c r="U81" i="79"/>
  <c r="Q6" i="79" s="1"/>
  <c r="G82" i="78"/>
  <c r="F82" i="78"/>
  <c r="R81" i="78"/>
  <c r="L80" i="78"/>
  <c r="K80" i="78"/>
  <c r="M80" i="78" s="1"/>
  <c r="L79" i="78"/>
  <c r="K79" i="78"/>
  <c r="M79" i="78" s="1"/>
  <c r="L78" i="78"/>
  <c r="K78" i="78"/>
  <c r="M78" i="78" s="1"/>
  <c r="L77" i="78"/>
  <c r="K77" i="78"/>
  <c r="M77" i="78" s="1"/>
  <c r="L76" i="78"/>
  <c r="K76" i="78"/>
  <c r="M76" i="78" s="1"/>
  <c r="L75" i="78"/>
  <c r="K75" i="78"/>
  <c r="M75" i="78" s="1"/>
  <c r="L74" i="78"/>
  <c r="K74" i="78"/>
  <c r="M74" i="78" s="1"/>
  <c r="L73" i="78"/>
  <c r="K73" i="78"/>
  <c r="M73" i="78" s="1"/>
  <c r="L72" i="78"/>
  <c r="K72" i="78"/>
  <c r="M72" i="78" s="1"/>
  <c r="L71" i="78"/>
  <c r="K71" i="78"/>
  <c r="M71" i="78" s="1"/>
  <c r="L70" i="78"/>
  <c r="K70" i="78"/>
  <c r="M70" i="78" s="1"/>
  <c r="L69" i="78"/>
  <c r="K69" i="78"/>
  <c r="M69" i="78" s="1"/>
  <c r="L68" i="78"/>
  <c r="K68" i="78"/>
  <c r="M68" i="78" s="1"/>
  <c r="L67" i="78"/>
  <c r="K67" i="78"/>
  <c r="M67" i="78" s="1"/>
  <c r="L66" i="78"/>
  <c r="K66" i="78"/>
  <c r="M66" i="78" s="1"/>
  <c r="L65" i="78"/>
  <c r="K65" i="78"/>
  <c r="M65" i="78" s="1"/>
  <c r="L64" i="78"/>
  <c r="K64" i="78"/>
  <c r="M64" i="78" s="1"/>
  <c r="L63" i="78"/>
  <c r="K63" i="78"/>
  <c r="M63" i="78" s="1"/>
  <c r="L62" i="78"/>
  <c r="K62" i="78"/>
  <c r="M62" i="78" s="1"/>
  <c r="L61" i="78"/>
  <c r="K61" i="78"/>
  <c r="M61" i="78" s="1"/>
  <c r="L60" i="78"/>
  <c r="K60" i="78"/>
  <c r="M60" i="78" s="1"/>
  <c r="L59" i="78"/>
  <c r="K59" i="78"/>
  <c r="M59" i="78" s="1"/>
  <c r="L58" i="78"/>
  <c r="K58" i="78"/>
  <c r="M58" i="78" s="1"/>
  <c r="L57" i="78"/>
  <c r="K57" i="78"/>
  <c r="M57" i="78" s="1"/>
  <c r="L56" i="78"/>
  <c r="K56" i="78"/>
  <c r="M56" i="78" s="1"/>
  <c r="L55" i="78"/>
  <c r="K55" i="78"/>
  <c r="M55" i="78" s="1"/>
  <c r="L54" i="78"/>
  <c r="K54" i="78"/>
  <c r="M54" i="78" s="1"/>
  <c r="L53" i="78"/>
  <c r="K53" i="78"/>
  <c r="M53" i="78" s="1"/>
  <c r="L52" i="78"/>
  <c r="K52" i="78"/>
  <c r="M52" i="78" s="1"/>
  <c r="L51" i="78"/>
  <c r="K51" i="78"/>
  <c r="M51" i="78" s="1"/>
  <c r="L50" i="78"/>
  <c r="K50" i="78"/>
  <c r="M50" i="78" s="1"/>
  <c r="L49" i="78"/>
  <c r="K49" i="78"/>
  <c r="M49" i="78" s="1"/>
  <c r="L48" i="78"/>
  <c r="K48" i="78"/>
  <c r="M48" i="78" s="1"/>
  <c r="L47" i="78"/>
  <c r="K47" i="78"/>
  <c r="M47" i="78" s="1"/>
  <c r="L46" i="78"/>
  <c r="K46" i="78"/>
  <c r="M46" i="78" s="1"/>
  <c r="L45" i="78"/>
  <c r="K45" i="78"/>
  <c r="M45" i="78" s="1"/>
  <c r="L44" i="78"/>
  <c r="K44" i="78"/>
  <c r="M44" i="78" s="1"/>
  <c r="L43" i="78"/>
  <c r="K43" i="78"/>
  <c r="M43" i="78" s="1"/>
  <c r="L42" i="78"/>
  <c r="K42" i="78"/>
  <c r="M42" i="78" s="1"/>
  <c r="L41" i="78"/>
  <c r="K41" i="78"/>
  <c r="M41" i="78" s="1"/>
  <c r="L40" i="78"/>
  <c r="K40" i="78"/>
  <c r="M40" i="78" s="1"/>
  <c r="L39" i="78"/>
  <c r="K39" i="78"/>
  <c r="M39" i="78" s="1"/>
  <c r="L38" i="78"/>
  <c r="K38" i="78"/>
  <c r="M38" i="78" s="1"/>
  <c r="L37" i="78"/>
  <c r="K37" i="78"/>
  <c r="M37" i="78" s="1"/>
  <c r="L36" i="78"/>
  <c r="K36" i="78"/>
  <c r="M36" i="78" s="1"/>
  <c r="L35" i="78"/>
  <c r="K35" i="78"/>
  <c r="M35" i="78" s="1"/>
  <c r="L34" i="78"/>
  <c r="K34" i="78"/>
  <c r="M34" i="78" s="1"/>
  <c r="L33" i="78"/>
  <c r="K33" i="78"/>
  <c r="M33" i="78" s="1"/>
  <c r="L32" i="78"/>
  <c r="K32" i="78"/>
  <c r="M32" i="78" s="1"/>
  <c r="L31" i="78"/>
  <c r="K31" i="78"/>
  <c r="M31" i="78" s="1"/>
  <c r="L30" i="78"/>
  <c r="K30" i="78"/>
  <c r="M30" i="78" s="1"/>
  <c r="L29" i="78"/>
  <c r="K29" i="78"/>
  <c r="M29" i="78" s="1"/>
  <c r="L28" i="78"/>
  <c r="K28" i="78"/>
  <c r="M28" i="78" s="1"/>
  <c r="L27" i="78"/>
  <c r="K27" i="78"/>
  <c r="M27" i="78" s="1"/>
  <c r="L26" i="78"/>
  <c r="K26" i="78"/>
  <c r="M26" i="78" s="1"/>
  <c r="L25" i="78"/>
  <c r="K25" i="78"/>
  <c r="M25" i="78" s="1"/>
  <c r="L24" i="78"/>
  <c r="K24" i="78"/>
  <c r="M24" i="78" s="1"/>
  <c r="L23" i="78"/>
  <c r="K23" i="78"/>
  <c r="M23" i="78" s="1"/>
  <c r="L22" i="78"/>
  <c r="K22" i="78"/>
  <c r="M22" i="78" s="1"/>
  <c r="L21" i="78"/>
  <c r="K21" i="78"/>
  <c r="M21" i="78" s="1"/>
  <c r="L20" i="78"/>
  <c r="K20" i="78"/>
  <c r="M20" i="78" s="1"/>
  <c r="L19" i="78"/>
  <c r="K19" i="78"/>
  <c r="M19" i="78" s="1"/>
  <c r="L18" i="78"/>
  <c r="K18" i="78"/>
  <c r="I18" i="78"/>
  <c r="H18" i="78"/>
  <c r="S17" i="78"/>
  <c r="E15" i="78"/>
  <c r="Q10" i="78"/>
  <c r="Q1" i="78"/>
  <c r="Q8" i="78" s="1"/>
  <c r="G82" i="76"/>
  <c r="F82" i="76"/>
  <c r="R81" i="76"/>
  <c r="L80" i="76"/>
  <c r="K80" i="76"/>
  <c r="M80" i="76" s="1"/>
  <c r="L79" i="76"/>
  <c r="K79" i="76"/>
  <c r="M79" i="76" s="1"/>
  <c r="L78" i="76"/>
  <c r="K78" i="76"/>
  <c r="M78" i="76" s="1"/>
  <c r="L77" i="76"/>
  <c r="K77" i="76"/>
  <c r="M77" i="76" s="1"/>
  <c r="L76" i="76"/>
  <c r="K76" i="76"/>
  <c r="M76" i="76" s="1"/>
  <c r="L75" i="76"/>
  <c r="K75" i="76"/>
  <c r="M75" i="76" s="1"/>
  <c r="L74" i="76"/>
  <c r="K74" i="76"/>
  <c r="M74" i="76" s="1"/>
  <c r="L73" i="76"/>
  <c r="K73" i="76"/>
  <c r="M73" i="76" s="1"/>
  <c r="L72" i="76"/>
  <c r="K72" i="76"/>
  <c r="M72" i="76" s="1"/>
  <c r="L71" i="76"/>
  <c r="K71" i="76"/>
  <c r="M71" i="76" s="1"/>
  <c r="L70" i="76"/>
  <c r="K70" i="76"/>
  <c r="M70" i="76" s="1"/>
  <c r="L69" i="76"/>
  <c r="K69" i="76"/>
  <c r="M69" i="76" s="1"/>
  <c r="L68" i="76"/>
  <c r="K68" i="76"/>
  <c r="M68" i="76" s="1"/>
  <c r="L67" i="76"/>
  <c r="K67" i="76"/>
  <c r="M67" i="76" s="1"/>
  <c r="L66" i="76"/>
  <c r="K66" i="76"/>
  <c r="M66" i="76" s="1"/>
  <c r="L65" i="76"/>
  <c r="K65" i="76"/>
  <c r="M65" i="76" s="1"/>
  <c r="L64" i="76"/>
  <c r="K64" i="76"/>
  <c r="M64" i="76" s="1"/>
  <c r="L63" i="76"/>
  <c r="K63" i="76"/>
  <c r="M63" i="76" s="1"/>
  <c r="L62" i="76"/>
  <c r="K62" i="76"/>
  <c r="M62" i="76" s="1"/>
  <c r="L61" i="76"/>
  <c r="K61" i="76"/>
  <c r="M61" i="76" s="1"/>
  <c r="L60" i="76"/>
  <c r="K60" i="76"/>
  <c r="M60" i="76" s="1"/>
  <c r="L59" i="76"/>
  <c r="K59" i="76"/>
  <c r="M59" i="76" s="1"/>
  <c r="L58" i="76"/>
  <c r="K58" i="76"/>
  <c r="M58" i="76" s="1"/>
  <c r="L57" i="76"/>
  <c r="K57" i="76"/>
  <c r="M57" i="76" s="1"/>
  <c r="L56" i="76"/>
  <c r="K56" i="76"/>
  <c r="M56" i="76" s="1"/>
  <c r="L55" i="76"/>
  <c r="K55" i="76"/>
  <c r="M55" i="76" s="1"/>
  <c r="L54" i="76"/>
  <c r="K54" i="76"/>
  <c r="M54" i="76" s="1"/>
  <c r="L53" i="76"/>
  <c r="K53" i="76"/>
  <c r="M53" i="76" s="1"/>
  <c r="L52" i="76"/>
  <c r="K52" i="76"/>
  <c r="M52" i="76" s="1"/>
  <c r="L51" i="76"/>
  <c r="K51" i="76"/>
  <c r="M51" i="76" s="1"/>
  <c r="L50" i="76"/>
  <c r="K50" i="76"/>
  <c r="M50" i="76" s="1"/>
  <c r="L49" i="76"/>
  <c r="K49" i="76"/>
  <c r="M49" i="76" s="1"/>
  <c r="L48" i="76"/>
  <c r="K48" i="76"/>
  <c r="M48" i="76" s="1"/>
  <c r="L47" i="76"/>
  <c r="K47" i="76"/>
  <c r="M47" i="76" s="1"/>
  <c r="L46" i="76"/>
  <c r="K46" i="76"/>
  <c r="M46" i="76" s="1"/>
  <c r="L45" i="76"/>
  <c r="K45" i="76"/>
  <c r="M45" i="76" s="1"/>
  <c r="L44" i="76"/>
  <c r="K44" i="76"/>
  <c r="M44" i="76" s="1"/>
  <c r="L43" i="76"/>
  <c r="K43" i="76"/>
  <c r="M43" i="76" s="1"/>
  <c r="L42" i="76"/>
  <c r="K42" i="76"/>
  <c r="M42" i="76" s="1"/>
  <c r="L41" i="76"/>
  <c r="K41" i="76"/>
  <c r="M41" i="76" s="1"/>
  <c r="L40" i="76"/>
  <c r="K40" i="76"/>
  <c r="M40" i="76" s="1"/>
  <c r="L39" i="76"/>
  <c r="K39" i="76"/>
  <c r="M39" i="76" s="1"/>
  <c r="L38" i="76"/>
  <c r="K38" i="76"/>
  <c r="M38" i="76" s="1"/>
  <c r="L37" i="76"/>
  <c r="K37" i="76"/>
  <c r="M37" i="76" s="1"/>
  <c r="L36" i="76"/>
  <c r="K36" i="76"/>
  <c r="M36" i="76" s="1"/>
  <c r="L35" i="76"/>
  <c r="K35" i="76"/>
  <c r="M35" i="76" s="1"/>
  <c r="L34" i="76"/>
  <c r="K34" i="76"/>
  <c r="M34" i="76" s="1"/>
  <c r="L33" i="76"/>
  <c r="K33" i="76"/>
  <c r="M33" i="76" s="1"/>
  <c r="L32" i="76"/>
  <c r="K32" i="76"/>
  <c r="M32" i="76" s="1"/>
  <c r="L31" i="76"/>
  <c r="K31" i="76"/>
  <c r="M31" i="76" s="1"/>
  <c r="L30" i="76"/>
  <c r="K30" i="76"/>
  <c r="M30" i="76" s="1"/>
  <c r="L29" i="76"/>
  <c r="K29" i="76"/>
  <c r="M29" i="76" s="1"/>
  <c r="L28" i="76"/>
  <c r="K28" i="76"/>
  <c r="M28" i="76" s="1"/>
  <c r="L27" i="76"/>
  <c r="K27" i="76"/>
  <c r="M27" i="76" s="1"/>
  <c r="L26" i="76"/>
  <c r="K26" i="76"/>
  <c r="M26" i="76" s="1"/>
  <c r="L25" i="76"/>
  <c r="K25" i="76"/>
  <c r="M25" i="76" s="1"/>
  <c r="L24" i="76"/>
  <c r="K24" i="76"/>
  <c r="M24" i="76" s="1"/>
  <c r="L23" i="76"/>
  <c r="K23" i="76"/>
  <c r="M23" i="76" s="1"/>
  <c r="L22" i="76"/>
  <c r="K22" i="76"/>
  <c r="M22" i="76" s="1"/>
  <c r="L21" i="76"/>
  <c r="K21" i="76"/>
  <c r="M21" i="76" s="1"/>
  <c r="L20" i="76"/>
  <c r="K20" i="76"/>
  <c r="M20" i="76" s="1"/>
  <c r="L19" i="76"/>
  <c r="K19" i="76"/>
  <c r="M19" i="76" s="1"/>
  <c r="L18" i="76"/>
  <c r="K18" i="76"/>
  <c r="I18" i="76"/>
  <c r="H18" i="76"/>
  <c r="S17" i="76"/>
  <c r="E15" i="76"/>
  <c r="Q10" i="76"/>
  <c r="Q1" i="76"/>
  <c r="Q8" i="76" s="1"/>
  <c r="G82" i="75"/>
  <c r="F82" i="75"/>
  <c r="R81" i="75"/>
  <c r="L80" i="75"/>
  <c r="K80" i="75"/>
  <c r="M80" i="75" s="1"/>
  <c r="L79" i="75"/>
  <c r="K79" i="75"/>
  <c r="M79" i="75" s="1"/>
  <c r="L78" i="75"/>
  <c r="K78" i="75"/>
  <c r="M78" i="75" s="1"/>
  <c r="L77" i="75"/>
  <c r="K77" i="75"/>
  <c r="M77" i="75" s="1"/>
  <c r="L76" i="75"/>
  <c r="K76" i="75"/>
  <c r="M76" i="75" s="1"/>
  <c r="L75" i="75"/>
  <c r="K75" i="75"/>
  <c r="M75" i="75" s="1"/>
  <c r="L74" i="75"/>
  <c r="K74" i="75"/>
  <c r="M74" i="75" s="1"/>
  <c r="L73" i="75"/>
  <c r="K73" i="75"/>
  <c r="M73" i="75" s="1"/>
  <c r="L72" i="75"/>
  <c r="K72" i="75"/>
  <c r="M72" i="75" s="1"/>
  <c r="L71" i="75"/>
  <c r="K71" i="75"/>
  <c r="M71" i="75" s="1"/>
  <c r="L70" i="75"/>
  <c r="K70" i="75"/>
  <c r="M70" i="75" s="1"/>
  <c r="L69" i="75"/>
  <c r="K69" i="75"/>
  <c r="M69" i="75" s="1"/>
  <c r="L68" i="75"/>
  <c r="K68" i="75"/>
  <c r="M68" i="75" s="1"/>
  <c r="L67" i="75"/>
  <c r="K67" i="75"/>
  <c r="M67" i="75" s="1"/>
  <c r="L66" i="75"/>
  <c r="K66" i="75"/>
  <c r="M66" i="75" s="1"/>
  <c r="L65" i="75"/>
  <c r="K65" i="75"/>
  <c r="M65" i="75" s="1"/>
  <c r="L64" i="75"/>
  <c r="K64" i="75"/>
  <c r="M64" i="75" s="1"/>
  <c r="L63" i="75"/>
  <c r="K63" i="75"/>
  <c r="M63" i="75" s="1"/>
  <c r="L62" i="75"/>
  <c r="K62" i="75"/>
  <c r="M62" i="75" s="1"/>
  <c r="L61" i="75"/>
  <c r="K61" i="75"/>
  <c r="M61" i="75" s="1"/>
  <c r="L60" i="75"/>
  <c r="K60" i="75"/>
  <c r="M60" i="75" s="1"/>
  <c r="L59" i="75"/>
  <c r="K59" i="75"/>
  <c r="M59" i="75" s="1"/>
  <c r="L58" i="75"/>
  <c r="K58" i="75"/>
  <c r="M58" i="75" s="1"/>
  <c r="L57" i="75"/>
  <c r="K57" i="75"/>
  <c r="M57" i="75" s="1"/>
  <c r="L56" i="75"/>
  <c r="K56" i="75"/>
  <c r="M56" i="75" s="1"/>
  <c r="L55" i="75"/>
  <c r="K55" i="75"/>
  <c r="M55" i="75" s="1"/>
  <c r="L54" i="75"/>
  <c r="K54" i="75"/>
  <c r="M54" i="75" s="1"/>
  <c r="L53" i="75"/>
  <c r="K53" i="75"/>
  <c r="M53" i="75" s="1"/>
  <c r="L52" i="75"/>
  <c r="K52" i="75"/>
  <c r="M52" i="75" s="1"/>
  <c r="L51" i="75"/>
  <c r="K51" i="75"/>
  <c r="M51" i="75" s="1"/>
  <c r="L50" i="75"/>
  <c r="K50" i="75"/>
  <c r="M50" i="75" s="1"/>
  <c r="L49" i="75"/>
  <c r="K49" i="75"/>
  <c r="M49" i="75" s="1"/>
  <c r="L48" i="75"/>
  <c r="K48" i="75"/>
  <c r="M48" i="75" s="1"/>
  <c r="L47" i="75"/>
  <c r="K47" i="75"/>
  <c r="M47" i="75" s="1"/>
  <c r="L46" i="75"/>
  <c r="K46" i="75"/>
  <c r="M46" i="75" s="1"/>
  <c r="L45" i="75"/>
  <c r="K45" i="75"/>
  <c r="M45" i="75" s="1"/>
  <c r="L44" i="75"/>
  <c r="K44" i="75"/>
  <c r="M44" i="75" s="1"/>
  <c r="L43" i="75"/>
  <c r="K43" i="75"/>
  <c r="M43" i="75" s="1"/>
  <c r="L42" i="75"/>
  <c r="K42" i="75"/>
  <c r="M42" i="75" s="1"/>
  <c r="L41" i="75"/>
  <c r="K41" i="75"/>
  <c r="M41" i="75" s="1"/>
  <c r="L40" i="75"/>
  <c r="K40" i="75"/>
  <c r="M40" i="75" s="1"/>
  <c r="L39" i="75"/>
  <c r="K39" i="75"/>
  <c r="M39" i="75" s="1"/>
  <c r="L38" i="75"/>
  <c r="K38" i="75"/>
  <c r="M38" i="75" s="1"/>
  <c r="L37" i="75"/>
  <c r="K37" i="75"/>
  <c r="M37" i="75" s="1"/>
  <c r="L36" i="75"/>
  <c r="K36" i="75"/>
  <c r="M36" i="75" s="1"/>
  <c r="L35" i="75"/>
  <c r="K35" i="75"/>
  <c r="M35" i="75" s="1"/>
  <c r="L34" i="75"/>
  <c r="K34" i="75"/>
  <c r="M34" i="75" s="1"/>
  <c r="L33" i="75"/>
  <c r="K33" i="75"/>
  <c r="M33" i="75" s="1"/>
  <c r="L32" i="75"/>
  <c r="K32" i="75"/>
  <c r="M32" i="75" s="1"/>
  <c r="L31" i="75"/>
  <c r="K31" i="75"/>
  <c r="M31" i="75" s="1"/>
  <c r="L30" i="75"/>
  <c r="K30" i="75"/>
  <c r="M30" i="75" s="1"/>
  <c r="L29" i="75"/>
  <c r="K29" i="75"/>
  <c r="M29" i="75" s="1"/>
  <c r="L28" i="75"/>
  <c r="K28" i="75"/>
  <c r="M28" i="75" s="1"/>
  <c r="L27" i="75"/>
  <c r="K27" i="75"/>
  <c r="M27" i="75" s="1"/>
  <c r="L26" i="75"/>
  <c r="K26" i="75"/>
  <c r="M26" i="75" s="1"/>
  <c r="L25" i="75"/>
  <c r="K25" i="75"/>
  <c r="M25" i="75" s="1"/>
  <c r="L24" i="75"/>
  <c r="K24" i="75"/>
  <c r="M24" i="75" s="1"/>
  <c r="L23" i="75"/>
  <c r="K23" i="75"/>
  <c r="M23" i="75" s="1"/>
  <c r="L22" i="75"/>
  <c r="K22" i="75"/>
  <c r="M22" i="75" s="1"/>
  <c r="L21" i="75"/>
  <c r="K21" i="75"/>
  <c r="M21" i="75" s="1"/>
  <c r="L20" i="75"/>
  <c r="K20" i="75"/>
  <c r="M20" i="75" s="1"/>
  <c r="L19" i="75"/>
  <c r="K19" i="75"/>
  <c r="M19" i="75" s="1"/>
  <c r="L18" i="75"/>
  <c r="K18" i="75"/>
  <c r="I18" i="75"/>
  <c r="H18" i="75"/>
  <c r="S17" i="75"/>
  <c r="E15" i="75"/>
  <c r="Q10" i="75"/>
  <c r="Q1" i="75"/>
  <c r="Q8" i="75" s="1"/>
  <c r="G82" i="74"/>
  <c r="F82" i="74"/>
  <c r="R81" i="74"/>
  <c r="L80" i="74"/>
  <c r="K80" i="74"/>
  <c r="M80" i="74" s="1"/>
  <c r="L79" i="74"/>
  <c r="K79" i="74"/>
  <c r="M79" i="74" s="1"/>
  <c r="L78" i="74"/>
  <c r="K78" i="74"/>
  <c r="M78" i="74" s="1"/>
  <c r="L77" i="74"/>
  <c r="K77" i="74"/>
  <c r="M77" i="74" s="1"/>
  <c r="L76" i="74"/>
  <c r="K76" i="74"/>
  <c r="M76" i="74" s="1"/>
  <c r="L75" i="74"/>
  <c r="K75" i="74"/>
  <c r="M75" i="74" s="1"/>
  <c r="L74" i="74"/>
  <c r="K74" i="74"/>
  <c r="M74" i="74" s="1"/>
  <c r="L73" i="74"/>
  <c r="K73" i="74"/>
  <c r="M73" i="74" s="1"/>
  <c r="L72" i="74"/>
  <c r="K72" i="74"/>
  <c r="M72" i="74" s="1"/>
  <c r="L71" i="74"/>
  <c r="K71" i="74"/>
  <c r="M71" i="74" s="1"/>
  <c r="L70" i="74"/>
  <c r="K70" i="74"/>
  <c r="M70" i="74" s="1"/>
  <c r="L69" i="74"/>
  <c r="K69" i="74"/>
  <c r="M69" i="74" s="1"/>
  <c r="L68" i="74"/>
  <c r="K68" i="74"/>
  <c r="M68" i="74" s="1"/>
  <c r="L67" i="74"/>
  <c r="K67" i="74"/>
  <c r="M67" i="74" s="1"/>
  <c r="L66" i="74"/>
  <c r="K66" i="74"/>
  <c r="M66" i="74" s="1"/>
  <c r="L65" i="74"/>
  <c r="K65" i="74"/>
  <c r="M65" i="74" s="1"/>
  <c r="L64" i="74"/>
  <c r="K64" i="74"/>
  <c r="M64" i="74" s="1"/>
  <c r="L63" i="74"/>
  <c r="K63" i="74"/>
  <c r="M63" i="74" s="1"/>
  <c r="L62" i="74"/>
  <c r="K62" i="74"/>
  <c r="M62" i="74" s="1"/>
  <c r="L61" i="74"/>
  <c r="K61" i="74"/>
  <c r="M61" i="74" s="1"/>
  <c r="L60" i="74"/>
  <c r="K60" i="74"/>
  <c r="M60" i="74" s="1"/>
  <c r="L59" i="74"/>
  <c r="K59" i="74"/>
  <c r="M59" i="74" s="1"/>
  <c r="L58" i="74"/>
  <c r="K58" i="74"/>
  <c r="M58" i="74" s="1"/>
  <c r="L57" i="74"/>
  <c r="K57" i="74"/>
  <c r="M57" i="74" s="1"/>
  <c r="L56" i="74"/>
  <c r="K56" i="74"/>
  <c r="M56" i="74" s="1"/>
  <c r="L55" i="74"/>
  <c r="K55" i="74"/>
  <c r="M55" i="74" s="1"/>
  <c r="L54" i="74"/>
  <c r="K54" i="74"/>
  <c r="M54" i="74" s="1"/>
  <c r="L53" i="74"/>
  <c r="K53" i="74"/>
  <c r="M53" i="74" s="1"/>
  <c r="L52" i="74"/>
  <c r="K52" i="74"/>
  <c r="M52" i="74" s="1"/>
  <c r="L51" i="74"/>
  <c r="K51" i="74"/>
  <c r="M51" i="74" s="1"/>
  <c r="L50" i="74"/>
  <c r="K50" i="74"/>
  <c r="M50" i="74" s="1"/>
  <c r="L49" i="74"/>
  <c r="K49" i="74"/>
  <c r="M49" i="74" s="1"/>
  <c r="L48" i="74"/>
  <c r="K48" i="74"/>
  <c r="M48" i="74" s="1"/>
  <c r="L47" i="74"/>
  <c r="K47" i="74"/>
  <c r="M47" i="74" s="1"/>
  <c r="L46" i="74"/>
  <c r="K46" i="74"/>
  <c r="M46" i="74" s="1"/>
  <c r="L45" i="74"/>
  <c r="K45" i="74"/>
  <c r="M45" i="74" s="1"/>
  <c r="L44" i="74"/>
  <c r="K44" i="74"/>
  <c r="M44" i="74" s="1"/>
  <c r="L43" i="74"/>
  <c r="K43" i="74"/>
  <c r="M43" i="74" s="1"/>
  <c r="L42" i="74"/>
  <c r="K42" i="74"/>
  <c r="M42" i="74" s="1"/>
  <c r="L41" i="74"/>
  <c r="K41" i="74"/>
  <c r="M41" i="74" s="1"/>
  <c r="L40" i="74"/>
  <c r="K40" i="74"/>
  <c r="M40" i="74" s="1"/>
  <c r="L39" i="74"/>
  <c r="K39" i="74"/>
  <c r="M39" i="74" s="1"/>
  <c r="L38" i="74"/>
  <c r="K38" i="74"/>
  <c r="M38" i="74" s="1"/>
  <c r="L37" i="74"/>
  <c r="K37" i="74"/>
  <c r="M37" i="74" s="1"/>
  <c r="L36" i="74"/>
  <c r="K36" i="74"/>
  <c r="M36" i="74" s="1"/>
  <c r="L35" i="74"/>
  <c r="K35" i="74"/>
  <c r="M35" i="74" s="1"/>
  <c r="L34" i="74"/>
  <c r="K34" i="74"/>
  <c r="M34" i="74" s="1"/>
  <c r="L33" i="74"/>
  <c r="K33" i="74"/>
  <c r="M33" i="74" s="1"/>
  <c r="L32" i="74"/>
  <c r="K32" i="74"/>
  <c r="M32" i="74" s="1"/>
  <c r="L31" i="74"/>
  <c r="K31" i="74"/>
  <c r="M31" i="74" s="1"/>
  <c r="L30" i="74"/>
  <c r="K30" i="74"/>
  <c r="M30" i="74" s="1"/>
  <c r="L29" i="74"/>
  <c r="K29" i="74"/>
  <c r="M29" i="74" s="1"/>
  <c r="L28" i="74"/>
  <c r="K28" i="74"/>
  <c r="M28" i="74" s="1"/>
  <c r="L27" i="74"/>
  <c r="K27" i="74"/>
  <c r="M27" i="74" s="1"/>
  <c r="L26" i="74"/>
  <c r="K26" i="74"/>
  <c r="M26" i="74" s="1"/>
  <c r="L25" i="74"/>
  <c r="K25" i="74"/>
  <c r="M25" i="74" s="1"/>
  <c r="L24" i="74"/>
  <c r="K24" i="74"/>
  <c r="M24" i="74" s="1"/>
  <c r="L23" i="74"/>
  <c r="K23" i="74"/>
  <c r="M23" i="74" s="1"/>
  <c r="L22" i="74"/>
  <c r="K22" i="74"/>
  <c r="M22" i="74" s="1"/>
  <c r="L21" i="74"/>
  <c r="K21" i="74"/>
  <c r="M21" i="74" s="1"/>
  <c r="L20" i="74"/>
  <c r="K20" i="74"/>
  <c r="M20" i="74" s="1"/>
  <c r="L19" i="74"/>
  <c r="K19" i="74"/>
  <c r="M19" i="74" s="1"/>
  <c r="L18" i="74"/>
  <c r="K18" i="74"/>
  <c r="I18" i="74"/>
  <c r="H18" i="74"/>
  <c r="S17" i="74"/>
  <c r="E15" i="74"/>
  <c r="Q10" i="74"/>
  <c r="Q1" i="74"/>
  <c r="Q8" i="74" s="1"/>
  <c r="H41" i="70"/>
  <c r="S17" i="70"/>
  <c r="H18" i="70"/>
  <c r="I18" i="70"/>
  <c r="K18" i="70"/>
  <c r="L18" i="70"/>
  <c r="M18" i="70"/>
  <c r="S18" i="70"/>
  <c r="U18" i="70"/>
  <c r="T18" i="70" s="1"/>
  <c r="V18" i="70"/>
  <c r="W18" i="70"/>
  <c r="I19" i="70"/>
  <c r="K19" i="70"/>
  <c r="L19" i="70"/>
  <c r="M19" i="70"/>
  <c r="S19" i="70"/>
  <c r="U19" i="70"/>
  <c r="T19" i="70" s="1"/>
  <c r="V19" i="70"/>
  <c r="W19" i="70"/>
  <c r="I20" i="70"/>
  <c r="K20" i="70"/>
  <c r="L20" i="70"/>
  <c r="M20" i="70"/>
  <c r="S20" i="70"/>
  <c r="U20" i="70"/>
  <c r="T20" i="70" s="1"/>
  <c r="V20" i="70"/>
  <c r="W20" i="70"/>
  <c r="I21" i="70"/>
  <c r="K21" i="70"/>
  <c r="L21" i="70"/>
  <c r="M21" i="70"/>
  <c r="S21" i="70"/>
  <c r="U21" i="70"/>
  <c r="T21" i="70" s="1"/>
  <c r="V21" i="70"/>
  <c r="W21" i="70"/>
  <c r="I22" i="70"/>
  <c r="K22" i="70"/>
  <c r="L22" i="70"/>
  <c r="M22" i="70"/>
  <c r="S22" i="70"/>
  <c r="U22" i="70"/>
  <c r="T22" i="70" s="1"/>
  <c r="V22" i="70"/>
  <c r="W22" i="70"/>
  <c r="I23" i="70"/>
  <c r="K23" i="70"/>
  <c r="L23" i="70"/>
  <c r="M23" i="70"/>
  <c r="S23" i="70"/>
  <c r="U23" i="70"/>
  <c r="T23" i="70" s="1"/>
  <c r="V23" i="70"/>
  <c r="W23" i="70"/>
  <c r="I24" i="70"/>
  <c r="K24" i="70"/>
  <c r="L24" i="70"/>
  <c r="M24" i="70"/>
  <c r="S24" i="70"/>
  <c r="U24" i="70"/>
  <c r="T24" i="70" s="1"/>
  <c r="V24" i="70"/>
  <c r="W24" i="70"/>
  <c r="I25" i="70"/>
  <c r="K25" i="70"/>
  <c r="L25" i="70"/>
  <c r="M25" i="70"/>
  <c r="S25" i="70"/>
  <c r="U25" i="70"/>
  <c r="T25" i="70" s="1"/>
  <c r="V25" i="70"/>
  <c r="W25" i="70"/>
  <c r="I26" i="70"/>
  <c r="K26" i="70"/>
  <c r="L26" i="70"/>
  <c r="M26" i="70"/>
  <c r="S26" i="70"/>
  <c r="U26" i="70"/>
  <c r="T26" i="70" s="1"/>
  <c r="V26" i="70"/>
  <c r="W26" i="70"/>
  <c r="I27" i="70"/>
  <c r="K27" i="70"/>
  <c r="L27" i="70"/>
  <c r="M27" i="70"/>
  <c r="S27" i="70"/>
  <c r="U27" i="70"/>
  <c r="T27" i="70" s="1"/>
  <c r="V27" i="70"/>
  <c r="W27" i="70"/>
  <c r="I28" i="70"/>
  <c r="K28" i="70"/>
  <c r="L28" i="70"/>
  <c r="M28" i="70"/>
  <c r="S28" i="70"/>
  <c r="U28" i="70"/>
  <c r="T28" i="70" s="1"/>
  <c r="V28" i="70"/>
  <c r="W28" i="70"/>
  <c r="I29" i="70"/>
  <c r="K29" i="70"/>
  <c r="L29" i="70"/>
  <c r="M29" i="70"/>
  <c r="S29" i="70"/>
  <c r="U29" i="70"/>
  <c r="T29" i="70" s="1"/>
  <c r="V29" i="70"/>
  <c r="W29" i="70"/>
  <c r="I30" i="70"/>
  <c r="K30" i="70"/>
  <c r="L30" i="70"/>
  <c r="M30" i="70"/>
  <c r="S30" i="70"/>
  <c r="U30" i="70"/>
  <c r="T30" i="70" s="1"/>
  <c r="V30" i="70"/>
  <c r="W30" i="70"/>
  <c r="I31" i="70"/>
  <c r="K31" i="70"/>
  <c r="L31" i="70"/>
  <c r="M31" i="70"/>
  <c r="S31" i="70"/>
  <c r="U31" i="70"/>
  <c r="T31" i="70" s="1"/>
  <c r="V31" i="70"/>
  <c r="W31" i="70"/>
  <c r="I32" i="70"/>
  <c r="K32" i="70"/>
  <c r="L32" i="70"/>
  <c r="M32" i="70"/>
  <c r="S32" i="70"/>
  <c r="U32" i="70"/>
  <c r="T32" i="70" s="1"/>
  <c r="V32" i="70"/>
  <c r="W32" i="70"/>
  <c r="I33" i="70"/>
  <c r="K33" i="70"/>
  <c r="L33" i="70"/>
  <c r="M33" i="70"/>
  <c r="S33" i="70"/>
  <c r="U33" i="70"/>
  <c r="T33" i="70" s="1"/>
  <c r="V33" i="70"/>
  <c r="W33" i="70"/>
  <c r="I34" i="70"/>
  <c r="K34" i="70"/>
  <c r="L34" i="70"/>
  <c r="M34" i="70"/>
  <c r="S34" i="70"/>
  <c r="U34" i="70"/>
  <c r="T34" i="70" s="1"/>
  <c r="V34" i="70"/>
  <c r="W34" i="70"/>
  <c r="I35" i="70"/>
  <c r="K35" i="70"/>
  <c r="L35" i="70"/>
  <c r="M35" i="70"/>
  <c r="S35" i="70"/>
  <c r="U35" i="70"/>
  <c r="T35" i="70" s="1"/>
  <c r="V35" i="70"/>
  <c r="W35" i="70"/>
  <c r="I36" i="70"/>
  <c r="K36" i="70"/>
  <c r="L36" i="70"/>
  <c r="M36" i="70"/>
  <c r="S36" i="70"/>
  <c r="U36" i="70"/>
  <c r="T36" i="70" s="1"/>
  <c r="V36" i="70"/>
  <c r="W36" i="70"/>
  <c r="I37" i="70"/>
  <c r="K37" i="70"/>
  <c r="L37" i="70"/>
  <c r="M37" i="70"/>
  <c r="S37" i="70"/>
  <c r="U37" i="70"/>
  <c r="T37" i="70" s="1"/>
  <c r="V37" i="70"/>
  <c r="W37" i="70"/>
  <c r="I38" i="70"/>
  <c r="K38" i="70"/>
  <c r="L38" i="70"/>
  <c r="M38" i="70"/>
  <c r="S38" i="70"/>
  <c r="U38" i="70"/>
  <c r="T38" i="70" s="1"/>
  <c r="V38" i="70"/>
  <c r="W38" i="70"/>
  <c r="I39" i="70"/>
  <c r="K39" i="70"/>
  <c r="L39" i="70"/>
  <c r="M39" i="70"/>
  <c r="S39" i="70"/>
  <c r="U39" i="70"/>
  <c r="T39" i="70" s="1"/>
  <c r="V39" i="70"/>
  <c r="W39" i="70"/>
  <c r="I40" i="70"/>
  <c r="K40" i="70"/>
  <c r="L40" i="70"/>
  <c r="M40" i="70"/>
  <c r="S40" i="70"/>
  <c r="U40" i="70"/>
  <c r="T40" i="70" s="1"/>
  <c r="V40" i="70"/>
  <c r="W40" i="70"/>
  <c r="I41" i="70"/>
  <c r="K41" i="70"/>
  <c r="L41" i="70"/>
  <c r="M41" i="70"/>
  <c r="S41" i="70"/>
  <c r="U41" i="70"/>
  <c r="T41" i="70" s="1"/>
  <c r="V41" i="70"/>
  <c r="W41" i="70"/>
  <c r="I42" i="70"/>
  <c r="K42" i="70"/>
  <c r="L42" i="70"/>
  <c r="M42" i="70"/>
  <c r="S42" i="70"/>
  <c r="U42" i="70"/>
  <c r="T42" i="70" s="1"/>
  <c r="V42" i="70"/>
  <c r="W42" i="70"/>
  <c r="I43" i="70"/>
  <c r="K43" i="70"/>
  <c r="L43" i="70"/>
  <c r="M43" i="70"/>
  <c r="S43" i="70"/>
  <c r="U43" i="70"/>
  <c r="T43" i="70" s="1"/>
  <c r="V43" i="70"/>
  <c r="W43" i="70"/>
  <c r="I44" i="70"/>
  <c r="K44" i="70"/>
  <c r="L44" i="70"/>
  <c r="M44" i="70"/>
  <c r="S44" i="70"/>
  <c r="U44" i="70"/>
  <c r="T44" i="70" s="1"/>
  <c r="V44" i="70"/>
  <c r="W44" i="70"/>
  <c r="I45" i="70"/>
  <c r="K45" i="70"/>
  <c r="L45" i="70"/>
  <c r="M45" i="70"/>
  <c r="S45" i="70"/>
  <c r="U45" i="70"/>
  <c r="T45" i="70" s="1"/>
  <c r="V45" i="70"/>
  <c r="W45" i="70"/>
  <c r="I46" i="70"/>
  <c r="K46" i="70"/>
  <c r="L46" i="70"/>
  <c r="M46" i="70"/>
  <c r="S46" i="70"/>
  <c r="U46" i="70"/>
  <c r="T46" i="70" s="1"/>
  <c r="V46" i="70"/>
  <c r="W46" i="70"/>
  <c r="I47" i="70"/>
  <c r="K47" i="70"/>
  <c r="L47" i="70"/>
  <c r="M47" i="70"/>
  <c r="S47" i="70"/>
  <c r="U47" i="70"/>
  <c r="T47" i="70" s="1"/>
  <c r="V47" i="70"/>
  <c r="W47" i="70"/>
  <c r="I48" i="70"/>
  <c r="K48" i="70"/>
  <c r="L48" i="70"/>
  <c r="M48" i="70"/>
  <c r="S48" i="70"/>
  <c r="U48" i="70"/>
  <c r="T48" i="70" s="1"/>
  <c r="V48" i="70"/>
  <c r="W48" i="70"/>
  <c r="I49" i="70"/>
  <c r="K49" i="70"/>
  <c r="L49" i="70"/>
  <c r="M49" i="70"/>
  <c r="S49" i="70"/>
  <c r="U49" i="70"/>
  <c r="T49" i="70" s="1"/>
  <c r="V49" i="70"/>
  <c r="W49" i="70"/>
  <c r="I50" i="70"/>
  <c r="K50" i="70"/>
  <c r="L50" i="70"/>
  <c r="M50" i="70"/>
  <c r="S50" i="70"/>
  <c r="U50" i="70"/>
  <c r="T50" i="70" s="1"/>
  <c r="V50" i="70"/>
  <c r="W50" i="70"/>
  <c r="I51" i="70"/>
  <c r="K51" i="70"/>
  <c r="L51" i="70"/>
  <c r="M51" i="70"/>
  <c r="S51" i="70"/>
  <c r="U51" i="70"/>
  <c r="T51" i="70" s="1"/>
  <c r="V51" i="70"/>
  <c r="W51" i="70"/>
  <c r="I52" i="70"/>
  <c r="K52" i="70"/>
  <c r="L52" i="70"/>
  <c r="M52" i="70"/>
  <c r="S52" i="70"/>
  <c r="U52" i="70"/>
  <c r="T52" i="70" s="1"/>
  <c r="V52" i="70"/>
  <c r="W52" i="70"/>
  <c r="I53" i="70"/>
  <c r="K53" i="70"/>
  <c r="L53" i="70"/>
  <c r="M53" i="70"/>
  <c r="S53" i="70"/>
  <c r="U53" i="70"/>
  <c r="T53" i="70" s="1"/>
  <c r="V53" i="70"/>
  <c r="W53" i="70"/>
  <c r="I54" i="70"/>
  <c r="K54" i="70"/>
  <c r="L54" i="70"/>
  <c r="M54" i="70"/>
  <c r="S54" i="70"/>
  <c r="U54" i="70"/>
  <c r="T54" i="70" s="1"/>
  <c r="V54" i="70"/>
  <c r="W54" i="70"/>
  <c r="I55" i="70"/>
  <c r="K55" i="70"/>
  <c r="L55" i="70"/>
  <c r="M55" i="70"/>
  <c r="S55" i="70"/>
  <c r="U55" i="70"/>
  <c r="T55" i="70" s="1"/>
  <c r="V55" i="70"/>
  <c r="W55" i="70"/>
  <c r="I56" i="70"/>
  <c r="K56" i="70"/>
  <c r="L56" i="70"/>
  <c r="M56" i="70"/>
  <c r="S56" i="70"/>
  <c r="U56" i="70"/>
  <c r="T56" i="70" s="1"/>
  <c r="V56" i="70"/>
  <c r="W56" i="70"/>
  <c r="I57" i="70"/>
  <c r="K57" i="70"/>
  <c r="L57" i="70"/>
  <c r="M57" i="70"/>
  <c r="S57" i="70"/>
  <c r="U57" i="70"/>
  <c r="T57" i="70" s="1"/>
  <c r="V57" i="70"/>
  <c r="W57" i="70"/>
  <c r="I58" i="70"/>
  <c r="K58" i="70"/>
  <c r="L58" i="70"/>
  <c r="M58" i="70"/>
  <c r="S58" i="70"/>
  <c r="U58" i="70"/>
  <c r="T58" i="70" s="1"/>
  <c r="V58" i="70"/>
  <c r="W58" i="70"/>
  <c r="I59" i="70"/>
  <c r="K59" i="70"/>
  <c r="L59" i="70"/>
  <c r="M59" i="70"/>
  <c r="S59" i="70"/>
  <c r="U59" i="70"/>
  <c r="T59" i="70" s="1"/>
  <c r="V59" i="70"/>
  <c r="W59" i="70"/>
  <c r="I60" i="70"/>
  <c r="K60" i="70"/>
  <c r="L60" i="70"/>
  <c r="M60" i="70"/>
  <c r="S60" i="70"/>
  <c r="U60" i="70"/>
  <c r="T60" i="70" s="1"/>
  <c r="V60" i="70"/>
  <c r="W60" i="70"/>
  <c r="I61" i="70"/>
  <c r="K61" i="70"/>
  <c r="L61" i="70"/>
  <c r="M61" i="70"/>
  <c r="S61" i="70"/>
  <c r="U61" i="70"/>
  <c r="T61" i="70" s="1"/>
  <c r="V61" i="70"/>
  <c r="W61" i="70"/>
  <c r="I62" i="70"/>
  <c r="K62" i="70"/>
  <c r="L62" i="70"/>
  <c r="M62" i="70"/>
  <c r="S62" i="70"/>
  <c r="U62" i="70"/>
  <c r="T62" i="70" s="1"/>
  <c r="V62" i="70"/>
  <c r="W62" i="70"/>
  <c r="I63" i="70"/>
  <c r="K63" i="70"/>
  <c r="L63" i="70"/>
  <c r="M63" i="70"/>
  <c r="S63" i="70"/>
  <c r="U63" i="70"/>
  <c r="T63" i="70" s="1"/>
  <c r="V63" i="70"/>
  <c r="W63" i="70"/>
  <c r="I64" i="70"/>
  <c r="K64" i="70"/>
  <c r="L64" i="70"/>
  <c r="M64" i="70"/>
  <c r="S64" i="70"/>
  <c r="U64" i="70"/>
  <c r="T64" i="70" s="1"/>
  <c r="V64" i="70"/>
  <c r="W64" i="70"/>
  <c r="I65" i="70"/>
  <c r="K65" i="70"/>
  <c r="L65" i="70"/>
  <c r="M65" i="70"/>
  <c r="S65" i="70"/>
  <c r="U65" i="70"/>
  <c r="T65" i="70" s="1"/>
  <c r="V65" i="70"/>
  <c r="W65" i="70"/>
  <c r="I66" i="70"/>
  <c r="K66" i="70"/>
  <c r="L66" i="70"/>
  <c r="M66" i="70"/>
  <c r="S66" i="70"/>
  <c r="U66" i="70"/>
  <c r="T66" i="70" s="1"/>
  <c r="V66" i="70"/>
  <c r="W66" i="70"/>
  <c r="I67" i="70"/>
  <c r="K67" i="70"/>
  <c r="L67" i="70"/>
  <c r="M67" i="70"/>
  <c r="S67" i="70"/>
  <c r="U67" i="70"/>
  <c r="T67" i="70" s="1"/>
  <c r="V67" i="70"/>
  <c r="W67" i="70"/>
  <c r="I68" i="70"/>
  <c r="K68" i="70"/>
  <c r="L68" i="70"/>
  <c r="M68" i="70"/>
  <c r="S68" i="70"/>
  <c r="U68" i="70"/>
  <c r="T68" i="70" s="1"/>
  <c r="V68" i="70"/>
  <c r="W68" i="70"/>
  <c r="I69" i="70"/>
  <c r="K69" i="70"/>
  <c r="L69" i="70"/>
  <c r="M69" i="70"/>
  <c r="S69" i="70"/>
  <c r="U69" i="70"/>
  <c r="T69" i="70" s="1"/>
  <c r="V69" i="70"/>
  <c r="W69" i="70"/>
  <c r="I70" i="70"/>
  <c r="K70" i="70"/>
  <c r="L70" i="70"/>
  <c r="M70" i="70"/>
  <c r="S70" i="70"/>
  <c r="U70" i="70"/>
  <c r="T70" i="70" s="1"/>
  <c r="V70" i="70"/>
  <c r="W70" i="70"/>
  <c r="I71" i="70"/>
  <c r="K71" i="70"/>
  <c r="L71" i="70"/>
  <c r="M71" i="70"/>
  <c r="S71" i="70"/>
  <c r="U71" i="70"/>
  <c r="T71" i="70" s="1"/>
  <c r="V71" i="70"/>
  <c r="W71" i="70"/>
  <c r="I72" i="70"/>
  <c r="K72" i="70"/>
  <c r="L72" i="70"/>
  <c r="M72" i="70"/>
  <c r="S72" i="70"/>
  <c r="U72" i="70"/>
  <c r="T72" i="70" s="1"/>
  <c r="V72" i="70"/>
  <c r="W72" i="70"/>
  <c r="I73" i="70"/>
  <c r="K73" i="70"/>
  <c r="L73" i="70"/>
  <c r="M73" i="70"/>
  <c r="S73" i="70"/>
  <c r="U73" i="70"/>
  <c r="T73" i="70" s="1"/>
  <c r="V73" i="70"/>
  <c r="W73" i="70"/>
  <c r="I74" i="70"/>
  <c r="K74" i="70"/>
  <c r="L74" i="70"/>
  <c r="M74" i="70"/>
  <c r="S74" i="70"/>
  <c r="U74" i="70"/>
  <c r="T74" i="70" s="1"/>
  <c r="V74" i="70"/>
  <c r="W74" i="70"/>
  <c r="I75" i="70"/>
  <c r="K75" i="70"/>
  <c r="L75" i="70"/>
  <c r="M75" i="70"/>
  <c r="S75" i="70"/>
  <c r="U75" i="70"/>
  <c r="T75" i="70" s="1"/>
  <c r="V75" i="70"/>
  <c r="W75" i="70"/>
  <c r="I76" i="70"/>
  <c r="K76" i="70"/>
  <c r="L76" i="70"/>
  <c r="M76" i="70"/>
  <c r="S76" i="70"/>
  <c r="U76" i="70"/>
  <c r="T76" i="70" s="1"/>
  <c r="V76" i="70"/>
  <c r="W76" i="70"/>
  <c r="I77" i="70"/>
  <c r="K77" i="70"/>
  <c r="L77" i="70"/>
  <c r="M77" i="70"/>
  <c r="S77" i="70"/>
  <c r="U77" i="70"/>
  <c r="T77" i="70" s="1"/>
  <c r="V77" i="70"/>
  <c r="W77" i="70"/>
  <c r="I78" i="70"/>
  <c r="K78" i="70"/>
  <c r="L78" i="70"/>
  <c r="M78" i="70"/>
  <c r="S78" i="70"/>
  <c r="U78" i="70"/>
  <c r="T78" i="70" s="1"/>
  <c r="V78" i="70"/>
  <c r="W78" i="70"/>
  <c r="I79" i="70"/>
  <c r="K79" i="70"/>
  <c r="L79" i="70"/>
  <c r="M79" i="70"/>
  <c r="S79" i="70"/>
  <c r="U79" i="70"/>
  <c r="T79" i="70" s="1"/>
  <c r="V79" i="70"/>
  <c r="W79" i="70"/>
  <c r="I80" i="70"/>
  <c r="K80" i="70"/>
  <c r="L80" i="70"/>
  <c r="M80" i="70"/>
  <c r="S80" i="70"/>
  <c r="U80" i="70"/>
  <c r="T80" i="70" s="1"/>
  <c r="V80" i="70"/>
  <c r="W80" i="70"/>
  <c r="I81" i="70"/>
  <c r="K81" i="70"/>
  <c r="L81" i="70"/>
  <c r="M81" i="70"/>
  <c r="R81" i="70"/>
  <c r="S81" i="70"/>
  <c r="T81" i="70"/>
  <c r="U81" i="70"/>
  <c r="F82" i="70"/>
  <c r="G82" i="70"/>
  <c r="I82" i="70"/>
  <c r="W14" i="70"/>
  <c r="E15" i="70"/>
  <c r="Q1" i="70"/>
  <c r="Q2" i="70"/>
  <c r="Q3" i="70"/>
  <c r="Q4" i="70"/>
  <c r="Q5" i="70"/>
  <c r="Q6" i="70"/>
  <c r="Q7" i="70"/>
  <c r="Q8" i="70"/>
  <c r="Q9" i="70"/>
  <c r="T9" i="70"/>
  <c r="U9" i="70"/>
  <c r="V9" i="70"/>
  <c r="W9" i="70"/>
  <c r="Q10" i="70"/>
  <c r="G82" i="69"/>
  <c r="F82" i="69"/>
  <c r="R81" i="69"/>
  <c r="L80" i="69"/>
  <c r="K80" i="69"/>
  <c r="M80" i="69" s="1"/>
  <c r="L79" i="69"/>
  <c r="K79" i="69"/>
  <c r="M79" i="69" s="1"/>
  <c r="L78" i="69"/>
  <c r="K78" i="69"/>
  <c r="M78" i="69" s="1"/>
  <c r="L77" i="69"/>
  <c r="K77" i="69"/>
  <c r="M77" i="69" s="1"/>
  <c r="L76" i="69"/>
  <c r="K76" i="69"/>
  <c r="M76" i="69" s="1"/>
  <c r="L75" i="69"/>
  <c r="K75" i="69"/>
  <c r="M75" i="69" s="1"/>
  <c r="L74" i="69"/>
  <c r="K74" i="69"/>
  <c r="M74" i="69" s="1"/>
  <c r="L73" i="69"/>
  <c r="K73" i="69"/>
  <c r="M73" i="69" s="1"/>
  <c r="L72" i="69"/>
  <c r="K72" i="69"/>
  <c r="M72" i="69" s="1"/>
  <c r="L71" i="69"/>
  <c r="K71" i="69"/>
  <c r="M71" i="69" s="1"/>
  <c r="L70" i="69"/>
  <c r="K70" i="69"/>
  <c r="M70" i="69" s="1"/>
  <c r="L69" i="69"/>
  <c r="K69" i="69"/>
  <c r="M69" i="69" s="1"/>
  <c r="L68" i="69"/>
  <c r="K68" i="69"/>
  <c r="M68" i="69" s="1"/>
  <c r="L67" i="69"/>
  <c r="K67" i="69"/>
  <c r="M67" i="69" s="1"/>
  <c r="L66" i="69"/>
  <c r="K66" i="69"/>
  <c r="M66" i="69" s="1"/>
  <c r="L65" i="69"/>
  <c r="K65" i="69"/>
  <c r="M65" i="69" s="1"/>
  <c r="L64" i="69"/>
  <c r="K64" i="69"/>
  <c r="M64" i="69" s="1"/>
  <c r="L63" i="69"/>
  <c r="K63" i="69"/>
  <c r="M63" i="69" s="1"/>
  <c r="L62" i="69"/>
  <c r="K62" i="69"/>
  <c r="M62" i="69" s="1"/>
  <c r="L61" i="69"/>
  <c r="K61" i="69"/>
  <c r="M61" i="69" s="1"/>
  <c r="L60" i="69"/>
  <c r="K60" i="69"/>
  <c r="M60" i="69" s="1"/>
  <c r="L59" i="69"/>
  <c r="K59" i="69"/>
  <c r="M59" i="69" s="1"/>
  <c r="L58" i="69"/>
  <c r="K58" i="69"/>
  <c r="M58" i="69" s="1"/>
  <c r="L57" i="69"/>
  <c r="K57" i="69"/>
  <c r="M57" i="69" s="1"/>
  <c r="L56" i="69"/>
  <c r="K56" i="69"/>
  <c r="M56" i="69" s="1"/>
  <c r="L55" i="69"/>
  <c r="K55" i="69"/>
  <c r="M55" i="69" s="1"/>
  <c r="L54" i="69"/>
  <c r="K54" i="69"/>
  <c r="M54" i="69" s="1"/>
  <c r="L53" i="69"/>
  <c r="K53" i="69"/>
  <c r="M53" i="69" s="1"/>
  <c r="L52" i="69"/>
  <c r="K52" i="69"/>
  <c r="M52" i="69" s="1"/>
  <c r="L51" i="69"/>
  <c r="K51" i="69"/>
  <c r="M51" i="69" s="1"/>
  <c r="L50" i="69"/>
  <c r="K50" i="69"/>
  <c r="M50" i="69" s="1"/>
  <c r="L49" i="69"/>
  <c r="K49" i="69"/>
  <c r="M49" i="69" s="1"/>
  <c r="L48" i="69"/>
  <c r="K48" i="69"/>
  <c r="M48" i="69" s="1"/>
  <c r="L47" i="69"/>
  <c r="K47" i="69"/>
  <c r="M47" i="69" s="1"/>
  <c r="L46" i="69"/>
  <c r="K46" i="69"/>
  <c r="M46" i="69" s="1"/>
  <c r="L45" i="69"/>
  <c r="K45" i="69"/>
  <c r="M45" i="69" s="1"/>
  <c r="L44" i="69"/>
  <c r="K44" i="69"/>
  <c r="M44" i="69" s="1"/>
  <c r="L43" i="69"/>
  <c r="K43" i="69"/>
  <c r="M43" i="69" s="1"/>
  <c r="L42" i="69"/>
  <c r="K42" i="69"/>
  <c r="M42" i="69" s="1"/>
  <c r="L41" i="69"/>
  <c r="K41" i="69"/>
  <c r="M41" i="69" s="1"/>
  <c r="L40" i="69"/>
  <c r="K40" i="69"/>
  <c r="M40" i="69" s="1"/>
  <c r="L39" i="69"/>
  <c r="K39" i="69"/>
  <c r="M39" i="69" s="1"/>
  <c r="L38" i="69"/>
  <c r="K38" i="69"/>
  <c r="M38" i="69" s="1"/>
  <c r="L37" i="69"/>
  <c r="K37" i="69"/>
  <c r="M37" i="69" s="1"/>
  <c r="L36" i="69"/>
  <c r="K36" i="69"/>
  <c r="M36" i="69" s="1"/>
  <c r="L35" i="69"/>
  <c r="K35" i="69"/>
  <c r="M35" i="69" s="1"/>
  <c r="L34" i="69"/>
  <c r="K34" i="69"/>
  <c r="M34" i="69" s="1"/>
  <c r="L33" i="69"/>
  <c r="K33" i="69"/>
  <c r="M33" i="69" s="1"/>
  <c r="L32" i="69"/>
  <c r="K32" i="69"/>
  <c r="M32" i="69" s="1"/>
  <c r="L31" i="69"/>
  <c r="K31" i="69"/>
  <c r="M31" i="69" s="1"/>
  <c r="L30" i="69"/>
  <c r="K30" i="69"/>
  <c r="M30" i="69" s="1"/>
  <c r="L29" i="69"/>
  <c r="K29" i="69"/>
  <c r="M29" i="69" s="1"/>
  <c r="L28" i="69"/>
  <c r="K28" i="69"/>
  <c r="M28" i="69" s="1"/>
  <c r="L27" i="69"/>
  <c r="K27" i="69"/>
  <c r="M27" i="69" s="1"/>
  <c r="L26" i="69"/>
  <c r="K26" i="69"/>
  <c r="M26" i="69" s="1"/>
  <c r="L25" i="69"/>
  <c r="K25" i="69"/>
  <c r="M25" i="69" s="1"/>
  <c r="L24" i="69"/>
  <c r="K24" i="69"/>
  <c r="M24" i="69" s="1"/>
  <c r="L23" i="69"/>
  <c r="K23" i="69"/>
  <c r="M23" i="69" s="1"/>
  <c r="L22" i="69"/>
  <c r="K22" i="69"/>
  <c r="M22" i="69" s="1"/>
  <c r="L21" i="69"/>
  <c r="K21" i="69"/>
  <c r="M21" i="69" s="1"/>
  <c r="L20" i="69"/>
  <c r="K20" i="69"/>
  <c r="M20" i="69" s="1"/>
  <c r="L19" i="69"/>
  <c r="K19" i="69"/>
  <c r="M19" i="69" s="1"/>
  <c r="L18" i="69"/>
  <c r="K18" i="69"/>
  <c r="I18" i="69"/>
  <c r="H18" i="69"/>
  <c r="S17" i="69"/>
  <c r="E15" i="69"/>
  <c r="Q10" i="69"/>
  <c r="Q1" i="69"/>
  <c r="Q8" i="69" s="1"/>
  <c r="G82" i="67"/>
  <c r="F82" i="67"/>
  <c r="Q10" i="67" s="1"/>
  <c r="R81" i="67"/>
  <c r="L80" i="67"/>
  <c r="K80" i="67"/>
  <c r="M80" i="67" s="1"/>
  <c r="L79" i="67"/>
  <c r="K79" i="67"/>
  <c r="M79" i="67" s="1"/>
  <c r="L78" i="67"/>
  <c r="K78" i="67"/>
  <c r="M78" i="67" s="1"/>
  <c r="L77" i="67"/>
  <c r="K77" i="67"/>
  <c r="M77" i="67" s="1"/>
  <c r="L76" i="67"/>
  <c r="K76" i="67"/>
  <c r="M76" i="67" s="1"/>
  <c r="L75" i="67"/>
  <c r="K75" i="67"/>
  <c r="M75" i="67" s="1"/>
  <c r="H75" i="67"/>
  <c r="L74" i="67"/>
  <c r="K74" i="67"/>
  <c r="M74" i="67" s="1"/>
  <c r="L73" i="67"/>
  <c r="K73" i="67"/>
  <c r="L72" i="67"/>
  <c r="K72" i="67"/>
  <c r="L71" i="67"/>
  <c r="K71" i="67"/>
  <c r="L70" i="67"/>
  <c r="K70" i="67"/>
  <c r="L69" i="67"/>
  <c r="K69" i="67"/>
  <c r="L68" i="67"/>
  <c r="K68" i="67"/>
  <c r="M68" i="67" s="1"/>
  <c r="L67" i="67"/>
  <c r="K67" i="67"/>
  <c r="M67" i="67" s="1"/>
  <c r="S66" i="67"/>
  <c r="L66" i="67"/>
  <c r="K66" i="67"/>
  <c r="L65" i="67"/>
  <c r="K65" i="67"/>
  <c r="M65" i="67" s="1"/>
  <c r="L64" i="67"/>
  <c r="K64" i="67"/>
  <c r="M64" i="67" s="1"/>
  <c r="L63" i="67"/>
  <c r="K63" i="67"/>
  <c r="M63" i="67" s="1"/>
  <c r="L62" i="67"/>
  <c r="K62" i="67"/>
  <c r="M62" i="67" s="1"/>
  <c r="S61" i="67"/>
  <c r="L61" i="67"/>
  <c r="K61" i="67"/>
  <c r="M61" i="67" s="1"/>
  <c r="L60" i="67"/>
  <c r="K60" i="67"/>
  <c r="M60" i="67" s="1"/>
  <c r="L59" i="67"/>
  <c r="K59" i="67"/>
  <c r="L58" i="67"/>
  <c r="K58" i="67"/>
  <c r="M58" i="67" s="1"/>
  <c r="S57" i="67"/>
  <c r="L57" i="67"/>
  <c r="K57" i="67"/>
  <c r="M57" i="67" s="1"/>
  <c r="U57" i="67" s="1"/>
  <c r="T57" i="67" s="1"/>
  <c r="H57" i="67"/>
  <c r="L56" i="67"/>
  <c r="K56" i="67"/>
  <c r="M56" i="67" s="1"/>
  <c r="L55" i="67"/>
  <c r="K55" i="67"/>
  <c r="L54" i="67"/>
  <c r="K54" i="67"/>
  <c r="H54" i="67"/>
  <c r="L53" i="67"/>
  <c r="K53" i="67"/>
  <c r="M53" i="67" s="1"/>
  <c r="L52" i="67"/>
  <c r="K52" i="67"/>
  <c r="L51" i="67"/>
  <c r="K51" i="67"/>
  <c r="L50" i="67"/>
  <c r="K50" i="67"/>
  <c r="L49" i="67"/>
  <c r="K49" i="67"/>
  <c r="M49" i="67" s="1"/>
  <c r="L48" i="67"/>
  <c r="K48" i="67"/>
  <c r="L47" i="67"/>
  <c r="K47" i="67"/>
  <c r="M47" i="67" s="1"/>
  <c r="L46" i="67"/>
  <c r="K46" i="67"/>
  <c r="M46" i="67" s="1"/>
  <c r="L45" i="67"/>
  <c r="K45" i="67"/>
  <c r="L44" i="67"/>
  <c r="K44" i="67"/>
  <c r="L43" i="67"/>
  <c r="K43" i="67"/>
  <c r="L42" i="67"/>
  <c r="K42" i="67"/>
  <c r="M42" i="67" s="1"/>
  <c r="L41" i="67"/>
  <c r="K41" i="67"/>
  <c r="L40" i="67"/>
  <c r="K40" i="67"/>
  <c r="S39" i="67"/>
  <c r="L39" i="67"/>
  <c r="K39" i="67"/>
  <c r="L38" i="67"/>
  <c r="K38" i="67"/>
  <c r="M38" i="67" s="1"/>
  <c r="L37" i="67"/>
  <c r="K37" i="67"/>
  <c r="L36" i="67"/>
  <c r="K36" i="67"/>
  <c r="L35" i="67"/>
  <c r="K35" i="67"/>
  <c r="L34" i="67"/>
  <c r="K34" i="67"/>
  <c r="M34" i="67" s="1"/>
  <c r="L33" i="67"/>
  <c r="K33" i="67"/>
  <c r="L32" i="67"/>
  <c r="K32" i="67"/>
  <c r="M32" i="67" s="1"/>
  <c r="L31" i="67"/>
  <c r="K31" i="67"/>
  <c r="M31" i="67" s="1"/>
  <c r="L30" i="67"/>
  <c r="K30" i="67"/>
  <c r="H30" i="67"/>
  <c r="L29" i="67"/>
  <c r="K29" i="67"/>
  <c r="M29" i="67" s="1"/>
  <c r="L28" i="67"/>
  <c r="K28" i="67"/>
  <c r="M28" i="67" s="1"/>
  <c r="L27" i="67"/>
  <c r="K27" i="67"/>
  <c r="M27" i="67" s="1"/>
  <c r="L26" i="67"/>
  <c r="K26" i="67"/>
  <c r="M26" i="67" s="1"/>
  <c r="L25" i="67"/>
  <c r="K25" i="67"/>
  <c r="M25" i="67" s="1"/>
  <c r="S24" i="67"/>
  <c r="L24" i="67"/>
  <c r="K24" i="67"/>
  <c r="M24" i="67" s="1"/>
  <c r="L23" i="67"/>
  <c r="K23" i="67"/>
  <c r="L22" i="67"/>
  <c r="K22" i="67"/>
  <c r="L21" i="67"/>
  <c r="M21" i="67" s="1"/>
  <c r="K21" i="67"/>
  <c r="L20" i="67"/>
  <c r="K20" i="67"/>
  <c r="S19" i="67"/>
  <c r="L19" i="67"/>
  <c r="K19" i="67"/>
  <c r="M19" i="67" s="1"/>
  <c r="L18" i="67"/>
  <c r="K18" i="67"/>
  <c r="I18" i="67"/>
  <c r="I79" i="67" s="1"/>
  <c r="H18" i="67"/>
  <c r="S17" i="67"/>
  <c r="S48" i="67" s="1"/>
  <c r="E15" i="67"/>
  <c r="H36" i="67" s="1"/>
  <c r="Q1" i="67"/>
  <c r="Q8" i="67" s="1"/>
  <c r="Q1" i="65"/>
  <c r="Q8" i="65"/>
  <c r="E15" i="65"/>
  <c r="H17" i="65"/>
  <c r="I17" i="65"/>
  <c r="S17" i="65"/>
  <c r="S37" i="65" s="1"/>
  <c r="H18" i="65"/>
  <c r="K18" i="65"/>
  <c r="L18" i="65"/>
  <c r="M18" i="65"/>
  <c r="H19" i="65"/>
  <c r="L19" i="65" s="1"/>
  <c r="K19" i="65"/>
  <c r="H20" i="65"/>
  <c r="K20" i="65"/>
  <c r="L20" i="65"/>
  <c r="M20" i="65" s="1"/>
  <c r="H21" i="65"/>
  <c r="L21" i="65" s="1"/>
  <c r="K21" i="65"/>
  <c r="H22" i="65"/>
  <c r="L22" i="65" s="1"/>
  <c r="K22" i="65"/>
  <c r="H23" i="65"/>
  <c r="L23" i="65" s="1"/>
  <c r="K23" i="65"/>
  <c r="H24" i="65"/>
  <c r="L24" i="65" s="1"/>
  <c r="K24" i="65"/>
  <c r="H25" i="65"/>
  <c r="L25" i="65" s="1"/>
  <c r="K25" i="65"/>
  <c r="H26" i="65"/>
  <c r="L26" i="65" s="1"/>
  <c r="K26" i="65"/>
  <c r="H27" i="65"/>
  <c r="L27" i="65" s="1"/>
  <c r="K27" i="65"/>
  <c r="S27" i="65"/>
  <c r="H28" i="65"/>
  <c r="L28" i="65" s="1"/>
  <c r="K28" i="65"/>
  <c r="H29" i="65"/>
  <c r="L29" i="65" s="1"/>
  <c r="K29" i="65"/>
  <c r="H30" i="65"/>
  <c r="K30" i="65"/>
  <c r="L30" i="65"/>
  <c r="H31" i="65"/>
  <c r="K31" i="65"/>
  <c r="L31" i="65"/>
  <c r="H32" i="65"/>
  <c r="L32" i="65" s="1"/>
  <c r="K32" i="65"/>
  <c r="S32" i="65"/>
  <c r="H33" i="65"/>
  <c r="L33" i="65" s="1"/>
  <c r="M33" i="65" s="1"/>
  <c r="K33" i="65"/>
  <c r="H34" i="65"/>
  <c r="L34" i="65" s="1"/>
  <c r="K34" i="65"/>
  <c r="S34" i="65"/>
  <c r="H35" i="65"/>
  <c r="L35" i="65" s="1"/>
  <c r="K35" i="65"/>
  <c r="H36" i="65"/>
  <c r="K36" i="65"/>
  <c r="L36" i="65"/>
  <c r="H37" i="65"/>
  <c r="I37" i="65" s="1"/>
  <c r="K37" i="65"/>
  <c r="H38" i="65"/>
  <c r="L38" i="65" s="1"/>
  <c r="K38" i="65"/>
  <c r="H39" i="65"/>
  <c r="L39" i="65" s="1"/>
  <c r="K39" i="65"/>
  <c r="H40" i="65"/>
  <c r="L40" i="65" s="1"/>
  <c r="K40" i="65"/>
  <c r="S40" i="65"/>
  <c r="H41" i="65"/>
  <c r="L41" i="65" s="1"/>
  <c r="K41" i="65"/>
  <c r="H42" i="65"/>
  <c r="L42" i="65" s="1"/>
  <c r="K42" i="65"/>
  <c r="H43" i="65"/>
  <c r="L43" i="65" s="1"/>
  <c r="K43" i="65"/>
  <c r="S43" i="65"/>
  <c r="H44" i="65"/>
  <c r="K44" i="65"/>
  <c r="L44" i="65"/>
  <c r="M44" i="65"/>
  <c r="H45" i="65"/>
  <c r="L45" i="65" s="1"/>
  <c r="K45" i="65"/>
  <c r="M45" i="65" s="1"/>
  <c r="S45" i="65"/>
  <c r="H46" i="65"/>
  <c r="K46" i="65"/>
  <c r="L46" i="65"/>
  <c r="H47" i="65"/>
  <c r="K47" i="65"/>
  <c r="L47" i="65"/>
  <c r="H48" i="65"/>
  <c r="L48" i="65" s="1"/>
  <c r="K48" i="65"/>
  <c r="H49" i="65"/>
  <c r="L49" i="65" s="1"/>
  <c r="K49" i="65"/>
  <c r="S49" i="65"/>
  <c r="H50" i="65"/>
  <c r="L50" i="65" s="1"/>
  <c r="K50" i="65"/>
  <c r="H51" i="65"/>
  <c r="L51" i="65" s="1"/>
  <c r="K51" i="65"/>
  <c r="S51" i="65"/>
  <c r="H52" i="65"/>
  <c r="K52" i="65"/>
  <c r="L52" i="65"/>
  <c r="H53" i="65"/>
  <c r="L53" i="65" s="1"/>
  <c r="K53" i="65"/>
  <c r="H54" i="65"/>
  <c r="L54" i="65" s="1"/>
  <c r="K54" i="65"/>
  <c r="H55" i="65"/>
  <c r="L55" i="65" s="1"/>
  <c r="K55" i="65"/>
  <c r="H56" i="65"/>
  <c r="K56" i="65"/>
  <c r="L56" i="65"/>
  <c r="H57" i="65"/>
  <c r="L57" i="65" s="1"/>
  <c r="K57" i="65"/>
  <c r="S57" i="65"/>
  <c r="H58" i="65"/>
  <c r="K58" i="65"/>
  <c r="L58" i="65"/>
  <c r="H59" i="65"/>
  <c r="L59" i="65" s="1"/>
  <c r="K59" i="65"/>
  <c r="H60" i="65"/>
  <c r="K60" i="65"/>
  <c r="L60" i="65"/>
  <c r="M60" i="65"/>
  <c r="H61" i="65"/>
  <c r="L61" i="65" s="1"/>
  <c r="K61" i="65"/>
  <c r="H62" i="65"/>
  <c r="K62" i="65"/>
  <c r="L62" i="65"/>
  <c r="M62" i="65" s="1"/>
  <c r="U62" i="65" s="1"/>
  <c r="T62" i="65" s="1"/>
  <c r="S62" i="65"/>
  <c r="H63" i="65"/>
  <c r="K63" i="65"/>
  <c r="L63" i="65"/>
  <c r="M63" i="65"/>
  <c r="H64" i="65"/>
  <c r="L64" i="65" s="1"/>
  <c r="K64" i="65"/>
  <c r="H65" i="65"/>
  <c r="L65" i="65" s="1"/>
  <c r="I65" i="65"/>
  <c r="K65" i="65"/>
  <c r="H66" i="65"/>
  <c r="K66" i="65"/>
  <c r="L66" i="65"/>
  <c r="M66" i="65"/>
  <c r="H67" i="65"/>
  <c r="L67" i="65" s="1"/>
  <c r="I67" i="65"/>
  <c r="K67" i="65"/>
  <c r="H68" i="65"/>
  <c r="L68" i="65" s="1"/>
  <c r="K68" i="65"/>
  <c r="S68" i="65"/>
  <c r="H69" i="65"/>
  <c r="K69" i="65"/>
  <c r="L69" i="65"/>
  <c r="M69" i="65" s="1"/>
  <c r="H70" i="65"/>
  <c r="K70" i="65"/>
  <c r="L70" i="65"/>
  <c r="S70" i="65"/>
  <c r="H71" i="65"/>
  <c r="K71" i="65"/>
  <c r="L71" i="65"/>
  <c r="H72" i="65"/>
  <c r="K72" i="65"/>
  <c r="L72" i="65"/>
  <c r="M72" i="65"/>
  <c r="H73" i="65"/>
  <c r="K73" i="65"/>
  <c r="L73" i="65"/>
  <c r="M73" i="65" s="1"/>
  <c r="U73" i="65" s="1"/>
  <c r="T73" i="65" s="1"/>
  <c r="S73" i="65"/>
  <c r="H74" i="65"/>
  <c r="K74" i="65"/>
  <c r="L74" i="65"/>
  <c r="M74" i="65"/>
  <c r="H75" i="65"/>
  <c r="L75" i="65" s="1"/>
  <c r="K75" i="65"/>
  <c r="H76" i="65"/>
  <c r="K76" i="65"/>
  <c r="L76" i="65"/>
  <c r="H77" i="65"/>
  <c r="K77" i="65"/>
  <c r="L77" i="65"/>
  <c r="H78" i="65"/>
  <c r="K78" i="65"/>
  <c r="L78" i="65"/>
  <c r="H79" i="65"/>
  <c r="L79" i="65" s="1"/>
  <c r="M79" i="65" s="1"/>
  <c r="K79" i="65"/>
  <c r="S79" i="65"/>
  <c r="H80" i="65"/>
  <c r="L80" i="65" s="1"/>
  <c r="M80" i="65" s="1"/>
  <c r="K80" i="65"/>
  <c r="F81" i="65"/>
  <c r="Q10" i="65" s="1"/>
  <c r="G81" i="65"/>
  <c r="R81" i="65"/>
  <c r="Q1" i="51"/>
  <c r="Q8" i="51"/>
  <c r="E15" i="51"/>
  <c r="H17" i="51"/>
  <c r="I17" i="51"/>
  <c r="S17" i="51"/>
  <c r="S18" i="51" s="1"/>
  <c r="H18" i="51"/>
  <c r="I18" i="51"/>
  <c r="K18" i="51"/>
  <c r="L18" i="51"/>
  <c r="V18" i="51" s="1"/>
  <c r="M18" i="51"/>
  <c r="U18" i="51" s="1"/>
  <c r="H19" i="51"/>
  <c r="I19" i="51"/>
  <c r="K19" i="51"/>
  <c r="L19" i="51"/>
  <c r="S19" i="51"/>
  <c r="H20" i="51"/>
  <c r="K20" i="51"/>
  <c r="L20" i="51"/>
  <c r="M20" i="51"/>
  <c r="S20" i="51"/>
  <c r="U20" i="51"/>
  <c r="T20" i="51" s="1"/>
  <c r="H21" i="51"/>
  <c r="K21" i="51"/>
  <c r="L21" i="51"/>
  <c r="M21" i="51"/>
  <c r="U21" i="51" s="1"/>
  <c r="T21" i="51" s="1"/>
  <c r="S21" i="51"/>
  <c r="V21" i="51"/>
  <c r="W21" i="51"/>
  <c r="H22" i="51"/>
  <c r="K22" i="51"/>
  <c r="L22" i="51"/>
  <c r="M22" i="51"/>
  <c r="H23" i="51"/>
  <c r="I23" i="51"/>
  <c r="K23" i="51"/>
  <c r="L23" i="51"/>
  <c r="H24" i="51"/>
  <c r="I24" i="51"/>
  <c r="K24" i="51"/>
  <c r="L24" i="51"/>
  <c r="M24" i="51"/>
  <c r="H25" i="51"/>
  <c r="I25" i="51"/>
  <c r="K25" i="51"/>
  <c r="L25" i="51"/>
  <c r="S25" i="51"/>
  <c r="H26" i="51"/>
  <c r="K26" i="51"/>
  <c r="L26" i="51"/>
  <c r="S26" i="51"/>
  <c r="V26" i="51"/>
  <c r="H27" i="51"/>
  <c r="K27" i="51"/>
  <c r="L27" i="51"/>
  <c r="S27" i="51"/>
  <c r="H28" i="51"/>
  <c r="K28" i="51"/>
  <c r="L28" i="51"/>
  <c r="H29" i="51"/>
  <c r="I29" i="51"/>
  <c r="K29" i="51"/>
  <c r="L29" i="51"/>
  <c r="H30" i="51"/>
  <c r="I30" i="51"/>
  <c r="K30" i="51"/>
  <c r="L30" i="51"/>
  <c r="H31" i="51"/>
  <c r="I31" i="51"/>
  <c r="K31" i="51"/>
  <c r="L31" i="51"/>
  <c r="S31" i="51"/>
  <c r="H32" i="51"/>
  <c r="K32" i="51"/>
  <c r="L32" i="51"/>
  <c r="S32" i="51"/>
  <c r="H33" i="51"/>
  <c r="K33" i="51"/>
  <c r="L33" i="51"/>
  <c r="S33" i="51"/>
  <c r="H34" i="51"/>
  <c r="K34" i="51"/>
  <c r="L34" i="51"/>
  <c r="H35" i="51"/>
  <c r="I35" i="51"/>
  <c r="K35" i="51"/>
  <c r="L35" i="51"/>
  <c r="H36" i="51"/>
  <c r="I36" i="51"/>
  <c r="K36" i="51"/>
  <c r="L36" i="51"/>
  <c r="M36" i="51"/>
  <c r="H37" i="51"/>
  <c r="I37" i="51"/>
  <c r="K37" i="51"/>
  <c r="L37" i="51"/>
  <c r="M37" i="51"/>
  <c r="S37" i="51"/>
  <c r="H38" i="51"/>
  <c r="K38" i="51"/>
  <c r="L38" i="51"/>
  <c r="W38" i="51" s="1"/>
  <c r="M38" i="51"/>
  <c r="S38" i="51"/>
  <c r="U38" i="51"/>
  <c r="T38" i="51" s="1"/>
  <c r="V38" i="51"/>
  <c r="H39" i="51"/>
  <c r="K39" i="51"/>
  <c r="L39" i="51"/>
  <c r="M39" i="51"/>
  <c r="S39" i="51"/>
  <c r="U39" i="51"/>
  <c r="T39" i="51" s="1"/>
  <c r="V39" i="51"/>
  <c r="W39" i="51"/>
  <c r="H40" i="51"/>
  <c r="K40" i="51"/>
  <c r="L40" i="51"/>
  <c r="M40" i="51" s="1"/>
  <c r="H41" i="51"/>
  <c r="I41" i="51"/>
  <c r="K41" i="51"/>
  <c r="L41" i="51"/>
  <c r="H42" i="51"/>
  <c r="I42" i="51"/>
  <c r="K42" i="51"/>
  <c r="L42" i="51"/>
  <c r="M42" i="51"/>
  <c r="H43" i="51"/>
  <c r="I43" i="51"/>
  <c r="K43" i="51"/>
  <c r="L43" i="51"/>
  <c r="M43" i="51" s="1"/>
  <c r="S43" i="51"/>
  <c r="H44" i="51"/>
  <c r="K44" i="51"/>
  <c r="L44" i="51"/>
  <c r="W44" i="51" s="1"/>
  <c r="M44" i="51"/>
  <c r="U44" i="51" s="1"/>
  <c r="T44" i="51" s="1"/>
  <c r="S44" i="51"/>
  <c r="H45" i="51"/>
  <c r="K45" i="51"/>
  <c r="L45" i="51"/>
  <c r="M45" i="51"/>
  <c r="S45" i="51"/>
  <c r="U45" i="51"/>
  <c r="T45" i="51" s="1"/>
  <c r="V45" i="51"/>
  <c r="W45" i="51"/>
  <c r="H46" i="51"/>
  <c r="K46" i="51"/>
  <c r="L46" i="51"/>
  <c r="M46" i="51" s="1"/>
  <c r="H47" i="51"/>
  <c r="I47" i="51"/>
  <c r="K47" i="51"/>
  <c r="L47" i="51"/>
  <c r="H48" i="51"/>
  <c r="I48" i="51"/>
  <c r="K48" i="51"/>
  <c r="L48" i="51"/>
  <c r="M48" i="51"/>
  <c r="H49" i="51"/>
  <c r="I49" i="51"/>
  <c r="K49" i="51"/>
  <c r="L49" i="51"/>
  <c r="V49" i="51" s="1"/>
  <c r="M49" i="51"/>
  <c r="U49" i="51" s="1"/>
  <c r="T49" i="51" s="1"/>
  <c r="S49" i="51"/>
  <c r="H50" i="51"/>
  <c r="K50" i="51"/>
  <c r="L50" i="51"/>
  <c r="W50" i="51" s="1"/>
  <c r="M50" i="51"/>
  <c r="S50" i="51"/>
  <c r="U50" i="51"/>
  <c r="T50" i="51" s="1"/>
  <c r="V50" i="51"/>
  <c r="H51" i="51"/>
  <c r="K51" i="51"/>
  <c r="L51" i="51"/>
  <c r="M51" i="51"/>
  <c r="S51" i="51"/>
  <c r="U51" i="51"/>
  <c r="T51" i="51" s="1"/>
  <c r="V51" i="51"/>
  <c r="W51" i="51"/>
  <c r="H52" i="51"/>
  <c r="K52" i="51"/>
  <c r="L52" i="51"/>
  <c r="H53" i="51"/>
  <c r="I53" i="51"/>
  <c r="K53" i="51"/>
  <c r="L53" i="51"/>
  <c r="H54" i="51"/>
  <c r="I54" i="51"/>
  <c r="K54" i="51"/>
  <c r="L54" i="51"/>
  <c r="M54" i="51"/>
  <c r="H55" i="51"/>
  <c r="I55" i="51"/>
  <c r="K55" i="51"/>
  <c r="L55" i="51"/>
  <c r="V55" i="51" s="1"/>
  <c r="M55" i="51"/>
  <c r="U55" i="51" s="1"/>
  <c r="T55" i="51" s="1"/>
  <c r="S55" i="51"/>
  <c r="H56" i="51"/>
  <c r="K56" i="51"/>
  <c r="L56" i="51"/>
  <c r="W56" i="51" s="1"/>
  <c r="M56" i="51"/>
  <c r="S56" i="51"/>
  <c r="U56" i="51"/>
  <c r="T56" i="51" s="1"/>
  <c r="V56" i="51"/>
  <c r="H57" i="51"/>
  <c r="K57" i="51"/>
  <c r="L57" i="51"/>
  <c r="M57" i="51"/>
  <c r="S57" i="51"/>
  <c r="U57" i="51"/>
  <c r="T57" i="51" s="1"/>
  <c r="V57" i="51"/>
  <c r="W57" i="51"/>
  <c r="H58" i="51"/>
  <c r="K58" i="51"/>
  <c r="L58" i="51"/>
  <c r="H59" i="51"/>
  <c r="I59" i="51"/>
  <c r="K59" i="51"/>
  <c r="L59" i="51"/>
  <c r="H60" i="51"/>
  <c r="I60" i="51"/>
  <c r="K60" i="51"/>
  <c r="L60" i="51"/>
  <c r="M60" i="51"/>
  <c r="H61" i="51"/>
  <c r="I61" i="51"/>
  <c r="K61" i="51"/>
  <c r="L61" i="51"/>
  <c r="V61" i="51" s="1"/>
  <c r="M61" i="51"/>
  <c r="U61" i="51" s="1"/>
  <c r="T61" i="51" s="1"/>
  <c r="S61" i="51"/>
  <c r="H62" i="51"/>
  <c r="K62" i="51"/>
  <c r="L62" i="51"/>
  <c r="W62" i="51" s="1"/>
  <c r="M62" i="51"/>
  <c r="S62" i="51"/>
  <c r="U62" i="51"/>
  <c r="T62" i="51" s="1"/>
  <c r="V62" i="51"/>
  <c r="H63" i="51"/>
  <c r="K63" i="51"/>
  <c r="L63" i="51"/>
  <c r="M63" i="51"/>
  <c r="S63" i="51"/>
  <c r="U63" i="51"/>
  <c r="T63" i="51" s="1"/>
  <c r="V63" i="51"/>
  <c r="W63" i="51"/>
  <c r="H64" i="51"/>
  <c r="K64" i="51"/>
  <c r="L64" i="51"/>
  <c r="H65" i="51"/>
  <c r="I65" i="51"/>
  <c r="K65" i="51"/>
  <c r="L65" i="51"/>
  <c r="H66" i="51"/>
  <c r="I66" i="51"/>
  <c r="K66" i="51"/>
  <c r="L66" i="51"/>
  <c r="M66" i="51"/>
  <c r="H67" i="51"/>
  <c r="I67" i="51"/>
  <c r="K67" i="51"/>
  <c r="L67" i="51"/>
  <c r="V67" i="51" s="1"/>
  <c r="M67" i="51"/>
  <c r="U67" i="51" s="1"/>
  <c r="T67" i="51" s="1"/>
  <c r="S67" i="51"/>
  <c r="H68" i="51"/>
  <c r="K68" i="51"/>
  <c r="L68" i="51"/>
  <c r="W68" i="51" s="1"/>
  <c r="M68" i="51"/>
  <c r="S68" i="51"/>
  <c r="U68" i="51"/>
  <c r="T68" i="51" s="1"/>
  <c r="V68" i="51"/>
  <c r="H69" i="51"/>
  <c r="K69" i="51"/>
  <c r="L69" i="51"/>
  <c r="M69" i="51"/>
  <c r="S69" i="51"/>
  <c r="U69" i="51"/>
  <c r="T69" i="51" s="1"/>
  <c r="V69" i="51"/>
  <c r="W69" i="51"/>
  <c r="H70" i="51"/>
  <c r="K70" i="51"/>
  <c r="L70" i="51"/>
  <c r="H71" i="51"/>
  <c r="I71" i="51"/>
  <c r="K71" i="51"/>
  <c r="L71" i="51"/>
  <c r="H72" i="51"/>
  <c r="I72" i="51"/>
  <c r="K72" i="51"/>
  <c r="L72" i="51"/>
  <c r="M72" i="51"/>
  <c r="H73" i="51"/>
  <c r="I73" i="51"/>
  <c r="K73" i="51"/>
  <c r="L73" i="51"/>
  <c r="V73" i="51" s="1"/>
  <c r="M73" i="51"/>
  <c r="U73" i="51" s="1"/>
  <c r="T73" i="51" s="1"/>
  <c r="S73" i="51"/>
  <c r="H74" i="51"/>
  <c r="K74" i="51"/>
  <c r="L74" i="51"/>
  <c r="W74" i="51" s="1"/>
  <c r="M74" i="51"/>
  <c r="S74" i="51"/>
  <c r="U74" i="51"/>
  <c r="T74" i="51" s="1"/>
  <c r="V74" i="51"/>
  <c r="H75" i="51"/>
  <c r="K75" i="51"/>
  <c r="L75" i="51"/>
  <c r="M75" i="51"/>
  <c r="S75" i="51"/>
  <c r="U75" i="51"/>
  <c r="T75" i="51" s="1"/>
  <c r="V75" i="51"/>
  <c r="W75" i="51"/>
  <c r="H76" i="51"/>
  <c r="K76" i="51"/>
  <c r="L76" i="51"/>
  <c r="H77" i="51"/>
  <c r="I77" i="51"/>
  <c r="K77" i="51"/>
  <c r="L77" i="51"/>
  <c r="H78" i="51"/>
  <c r="I78" i="51"/>
  <c r="K78" i="51"/>
  <c r="L78" i="51"/>
  <c r="M78" i="51"/>
  <c r="H79" i="51"/>
  <c r="I79" i="51"/>
  <c r="K79" i="51"/>
  <c r="L79" i="51"/>
  <c r="V79" i="51" s="1"/>
  <c r="M79" i="51"/>
  <c r="U79" i="51" s="1"/>
  <c r="T79" i="51" s="1"/>
  <c r="S79" i="51"/>
  <c r="H80" i="51"/>
  <c r="K80" i="51"/>
  <c r="L80" i="51"/>
  <c r="W80" i="51" s="1"/>
  <c r="M80" i="51"/>
  <c r="S80" i="51"/>
  <c r="U80" i="51"/>
  <c r="T80" i="51" s="1"/>
  <c r="V80" i="51"/>
  <c r="F81" i="51"/>
  <c r="Q10" i="51" s="1"/>
  <c r="G81" i="51"/>
  <c r="R81" i="51"/>
  <c r="G82" i="46"/>
  <c r="F82" i="46"/>
  <c r="Q10" i="46" s="1"/>
  <c r="R81" i="46"/>
  <c r="I81" i="46"/>
  <c r="M80" i="46"/>
  <c r="L80" i="46"/>
  <c r="K80" i="46"/>
  <c r="I80" i="46"/>
  <c r="L79" i="46"/>
  <c r="K79" i="46"/>
  <c r="M79" i="46" s="1"/>
  <c r="U79" i="46" s="1"/>
  <c r="T79" i="46" s="1"/>
  <c r="I79" i="46"/>
  <c r="S78" i="46"/>
  <c r="L78" i="46"/>
  <c r="K78" i="46"/>
  <c r="M78" i="46" s="1"/>
  <c r="H78" i="46"/>
  <c r="S77" i="46"/>
  <c r="L77" i="46"/>
  <c r="K77" i="46"/>
  <c r="I77" i="46"/>
  <c r="L76" i="46"/>
  <c r="K76" i="46"/>
  <c r="I76" i="46"/>
  <c r="L75" i="46"/>
  <c r="K75" i="46"/>
  <c r="M75" i="46" s="1"/>
  <c r="I75" i="46"/>
  <c r="H75" i="46"/>
  <c r="L74" i="46"/>
  <c r="K74" i="46"/>
  <c r="I74" i="46"/>
  <c r="H74" i="46"/>
  <c r="L73" i="46"/>
  <c r="K73" i="46"/>
  <c r="M73" i="46" s="1"/>
  <c r="I73" i="46"/>
  <c r="S72" i="46"/>
  <c r="W72" i="46" s="1"/>
  <c r="L72" i="46"/>
  <c r="K72" i="46"/>
  <c r="M72" i="46" s="1"/>
  <c r="H72" i="46"/>
  <c r="S71" i="46"/>
  <c r="M71" i="46"/>
  <c r="U71" i="46" s="1"/>
  <c r="T71" i="46" s="1"/>
  <c r="L71" i="46"/>
  <c r="K71" i="46"/>
  <c r="I71" i="46"/>
  <c r="L70" i="46"/>
  <c r="K70" i="46"/>
  <c r="M70" i="46" s="1"/>
  <c r="I70" i="46"/>
  <c r="L69" i="46"/>
  <c r="K69" i="46"/>
  <c r="M69" i="46" s="1"/>
  <c r="I69" i="46"/>
  <c r="H69" i="46"/>
  <c r="L68" i="46"/>
  <c r="K68" i="46"/>
  <c r="I68" i="46"/>
  <c r="H68" i="46"/>
  <c r="L67" i="46"/>
  <c r="K67" i="46"/>
  <c r="M67" i="46" s="1"/>
  <c r="I67" i="46"/>
  <c r="S66" i="46"/>
  <c r="L66" i="46"/>
  <c r="K66" i="46"/>
  <c r="M66" i="46" s="1"/>
  <c r="U66" i="46" s="1"/>
  <c r="T66" i="46" s="1"/>
  <c r="H66" i="46"/>
  <c r="S65" i="46"/>
  <c r="L65" i="46"/>
  <c r="K65" i="46"/>
  <c r="I65" i="46"/>
  <c r="L64" i="46"/>
  <c r="K64" i="46"/>
  <c r="M64" i="46" s="1"/>
  <c r="I64" i="46"/>
  <c r="L63" i="46"/>
  <c r="K63" i="46"/>
  <c r="M63" i="46" s="1"/>
  <c r="I63" i="46"/>
  <c r="H63" i="46"/>
  <c r="L62" i="46"/>
  <c r="K62" i="46"/>
  <c r="I62" i="46"/>
  <c r="H62" i="46"/>
  <c r="L61" i="46"/>
  <c r="K61" i="46"/>
  <c r="M61" i="46" s="1"/>
  <c r="I61" i="46"/>
  <c r="S60" i="46"/>
  <c r="L60" i="46"/>
  <c r="K60" i="46"/>
  <c r="M60" i="46" s="1"/>
  <c r="U60" i="46" s="1"/>
  <c r="T60" i="46" s="1"/>
  <c r="H60" i="46"/>
  <c r="S59" i="46"/>
  <c r="L59" i="46"/>
  <c r="K59" i="46"/>
  <c r="M59" i="46" s="1"/>
  <c r="U59" i="46" s="1"/>
  <c r="T59" i="46" s="1"/>
  <c r="I59" i="46"/>
  <c r="L58" i="46"/>
  <c r="K58" i="46"/>
  <c r="M58" i="46" s="1"/>
  <c r="I58" i="46"/>
  <c r="L57" i="46"/>
  <c r="K57" i="46"/>
  <c r="M57" i="46" s="1"/>
  <c r="I57" i="46"/>
  <c r="H57" i="46"/>
  <c r="L56" i="46"/>
  <c r="K56" i="46"/>
  <c r="I56" i="46"/>
  <c r="H56" i="46"/>
  <c r="L55" i="46"/>
  <c r="K55" i="46"/>
  <c r="I55" i="46"/>
  <c r="S54" i="46"/>
  <c r="L54" i="46"/>
  <c r="K54" i="46"/>
  <c r="M54" i="46" s="1"/>
  <c r="U54" i="46" s="1"/>
  <c r="T54" i="46" s="1"/>
  <c r="H54" i="46"/>
  <c r="S53" i="46"/>
  <c r="L53" i="46"/>
  <c r="K53" i="46"/>
  <c r="I53" i="46"/>
  <c r="L52" i="46"/>
  <c r="K52" i="46"/>
  <c r="I52" i="46"/>
  <c r="L51" i="46"/>
  <c r="K51" i="46"/>
  <c r="I51" i="46"/>
  <c r="H51" i="46"/>
  <c r="L50" i="46"/>
  <c r="K50" i="46"/>
  <c r="I50" i="46"/>
  <c r="H50" i="46"/>
  <c r="L49" i="46"/>
  <c r="K49" i="46"/>
  <c r="I49" i="46"/>
  <c r="S48" i="46"/>
  <c r="L48" i="46"/>
  <c r="K48" i="46"/>
  <c r="H48" i="46"/>
  <c r="S47" i="46"/>
  <c r="L47" i="46"/>
  <c r="K47" i="46"/>
  <c r="I47" i="46"/>
  <c r="L46" i="46"/>
  <c r="K46" i="46"/>
  <c r="I46" i="46"/>
  <c r="L45" i="46"/>
  <c r="K45" i="46"/>
  <c r="I45" i="46"/>
  <c r="H45" i="46"/>
  <c r="L44" i="46"/>
  <c r="K44" i="46"/>
  <c r="I44" i="46"/>
  <c r="H44" i="46"/>
  <c r="L43" i="46"/>
  <c r="K43" i="46"/>
  <c r="M43" i="46" s="1"/>
  <c r="I43" i="46"/>
  <c r="S42" i="46"/>
  <c r="L42" i="46"/>
  <c r="K42" i="46"/>
  <c r="M42" i="46" s="1"/>
  <c r="U42" i="46" s="1"/>
  <c r="T42" i="46" s="1"/>
  <c r="H42" i="46"/>
  <c r="S41" i="46"/>
  <c r="L41" i="46"/>
  <c r="K41" i="46"/>
  <c r="I41" i="46"/>
  <c r="L40" i="46"/>
  <c r="K40" i="46"/>
  <c r="I40" i="46"/>
  <c r="L39" i="46"/>
  <c r="K39" i="46"/>
  <c r="M39" i="46" s="1"/>
  <c r="I39" i="46"/>
  <c r="H39" i="46"/>
  <c r="L38" i="46"/>
  <c r="K38" i="46"/>
  <c r="I38" i="46"/>
  <c r="L37" i="46"/>
  <c r="K37" i="46"/>
  <c r="I37" i="46"/>
  <c r="S36" i="46"/>
  <c r="L36" i="46"/>
  <c r="K36" i="46"/>
  <c r="H36" i="46"/>
  <c r="S35" i="46"/>
  <c r="L35" i="46"/>
  <c r="K35" i="46"/>
  <c r="I35" i="46"/>
  <c r="S34" i="46"/>
  <c r="L34" i="46"/>
  <c r="K34" i="46"/>
  <c r="M34" i="46" s="1"/>
  <c r="U34" i="46" s="1"/>
  <c r="T34" i="46" s="1"/>
  <c r="I34" i="46"/>
  <c r="L33" i="46"/>
  <c r="K33" i="46"/>
  <c r="I33" i="46"/>
  <c r="H33" i="46"/>
  <c r="L32" i="46"/>
  <c r="K32" i="46"/>
  <c r="I32" i="46"/>
  <c r="H32" i="46"/>
  <c r="L31" i="46"/>
  <c r="K31" i="46"/>
  <c r="I31" i="46"/>
  <c r="S30" i="46"/>
  <c r="L30" i="46"/>
  <c r="K30" i="46"/>
  <c r="M30" i="46" s="1"/>
  <c r="U30" i="46" s="1"/>
  <c r="T30" i="46" s="1"/>
  <c r="H30" i="46"/>
  <c r="S29" i="46"/>
  <c r="L29" i="46"/>
  <c r="K29" i="46"/>
  <c r="I29" i="46"/>
  <c r="S28" i="46"/>
  <c r="L28" i="46"/>
  <c r="M28" i="46" s="1"/>
  <c r="U28" i="46" s="1"/>
  <c r="T28" i="46" s="1"/>
  <c r="K28" i="46"/>
  <c r="I28" i="46"/>
  <c r="L27" i="46"/>
  <c r="K27" i="46"/>
  <c r="M27" i="46" s="1"/>
  <c r="I27" i="46"/>
  <c r="H27" i="46"/>
  <c r="L26" i="46"/>
  <c r="K26" i="46"/>
  <c r="I26" i="46"/>
  <c r="H26" i="46"/>
  <c r="L25" i="46"/>
  <c r="K25" i="46"/>
  <c r="M25" i="46" s="1"/>
  <c r="I25" i="46"/>
  <c r="S24" i="46"/>
  <c r="L24" i="46"/>
  <c r="K24" i="46"/>
  <c r="H24" i="46"/>
  <c r="S23" i="46"/>
  <c r="L23" i="46"/>
  <c r="M23" i="46" s="1"/>
  <c r="U23" i="46" s="1"/>
  <c r="T23" i="46" s="1"/>
  <c r="K23" i="46"/>
  <c r="I23" i="46"/>
  <c r="S22" i="46"/>
  <c r="L22" i="46"/>
  <c r="K22" i="46"/>
  <c r="M22" i="46" s="1"/>
  <c r="U22" i="46" s="1"/>
  <c r="T22" i="46" s="1"/>
  <c r="I22" i="46"/>
  <c r="L21" i="46"/>
  <c r="K21" i="46"/>
  <c r="M21" i="46" s="1"/>
  <c r="I21" i="46"/>
  <c r="H21" i="46"/>
  <c r="L20" i="46"/>
  <c r="K20" i="46"/>
  <c r="I20" i="46"/>
  <c r="H20" i="46"/>
  <c r="L19" i="46"/>
  <c r="K19" i="46"/>
  <c r="I19" i="46"/>
  <c r="S18" i="46"/>
  <c r="L18" i="46"/>
  <c r="K18" i="46"/>
  <c r="I18" i="46"/>
  <c r="I78" i="46" s="1"/>
  <c r="H18" i="46"/>
  <c r="S17" i="46"/>
  <c r="S79" i="46" s="1"/>
  <c r="V79" i="46" s="1"/>
  <c r="E15" i="46"/>
  <c r="H81" i="46" s="1"/>
  <c r="Q1" i="46"/>
  <c r="Q8" i="46" s="1"/>
  <c r="G82" i="43"/>
  <c r="F82" i="43"/>
  <c r="Q10" i="43" s="1"/>
  <c r="R81" i="43"/>
  <c r="L80" i="43"/>
  <c r="K80" i="43"/>
  <c r="M80" i="43" s="1"/>
  <c r="L79" i="43"/>
  <c r="K79" i="43"/>
  <c r="M79" i="43" s="1"/>
  <c r="L78" i="43"/>
  <c r="K78" i="43"/>
  <c r="M78" i="43" s="1"/>
  <c r="L77" i="43"/>
  <c r="K77" i="43"/>
  <c r="M77" i="43" s="1"/>
  <c r="L76" i="43"/>
  <c r="K76" i="43"/>
  <c r="M76" i="43" s="1"/>
  <c r="L75" i="43"/>
  <c r="K75" i="43"/>
  <c r="L74" i="43"/>
  <c r="K74" i="43"/>
  <c r="M74" i="43" s="1"/>
  <c r="L73" i="43"/>
  <c r="K73" i="43"/>
  <c r="M73" i="43" s="1"/>
  <c r="L72" i="43"/>
  <c r="K72" i="43"/>
  <c r="M72" i="43" s="1"/>
  <c r="L71" i="43"/>
  <c r="K71" i="43"/>
  <c r="M71" i="43" s="1"/>
  <c r="L70" i="43"/>
  <c r="K70" i="43"/>
  <c r="M70" i="43" s="1"/>
  <c r="L69" i="43"/>
  <c r="K69" i="43"/>
  <c r="L68" i="43"/>
  <c r="K68" i="43"/>
  <c r="M68" i="43" s="1"/>
  <c r="L67" i="43"/>
  <c r="K67" i="43"/>
  <c r="M67" i="43" s="1"/>
  <c r="L66" i="43"/>
  <c r="K66" i="43"/>
  <c r="M66" i="43" s="1"/>
  <c r="L65" i="43"/>
  <c r="K65" i="43"/>
  <c r="M65" i="43" s="1"/>
  <c r="L64" i="43"/>
  <c r="K64" i="43"/>
  <c r="M64" i="43" s="1"/>
  <c r="L63" i="43"/>
  <c r="K63" i="43"/>
  <c r="M63" i="43" s="1"/>
  <c r="L62" i="43"/>
  <c r="K62" i="43"/>
  <c r="M62" i="43" s="1"/>
  <c r="L61" i="43"/>
  <c r="K61" i="43"/>
  <c r="M61" i="43" s="1"/>
  <c r="L60" i="43"/>
  <c r="K60" i="43"/>
  <c r="M60" i="43" s="1"/>
  <c r="L59" i="43"/>
  <c r="K59" i="43"/>
  <c r="M59" i="43" s="1"/>
  <c r="L58" i="43"/>
  <c r="K58" i="43"/>
  <c r="M58" i="43" s="1"/>
  <c r="L57" i="43"/>
  <c r="K57" i="43"/>
  <c r="L56" i="43"/>
  <c r="K56" i="43"/>
  <c r="L55" i="43"/>
  <c r="K55" i="43"/>
  <c r="L54" i="43"/>
  <c r="K54" i="43"/>
  <c r="L53" i="43"/>
  <c r="K53" i="43"/>
  <c r="M53" i="43" s="1"/>
  <c r="L52" i="43"/>
  <c r="K52" i="43"/>
  <c r="L51" i="43"/>
  <c r="K51" i="43"/>
  <c r="L50" i="43"/>
  <c r="K50" i="43"/>
  <c r="M50" i="43" s="1"/>
  <c r="L49" i="43"/>
  <c r="K49" i="43"/>
  <c r="L48" i="43"/>
  <c r="K48" i="43"/>
  <c r="M48" i="43" s="1"/>
  <c r="L47" i="43"/>
  <c r="K47" i="43"/>
  <c r="M47" i="43" s="1"/>
  <c r="L46" i="43"/>
  <c r="K46" i="43"/>
  <c r="M46" i="43" s="1"/>
  <c r="L45" i="43"/>
  <c r="K45" i="43"/>
  <c r="L44" i="43"/>
  <c r="K44" i="43"/>
  <c r="L43" i="43"/>
  <c r="K43" i="43"/>
  <c r="M43" i="43" s="1"/>
  <c r="L42" i="43"/>
  <c r="K42" i="43"/>
  <c r="L41" i="43"/>
  <c r="K41" i="43"/>
  <c r="L40" i="43"/>
  <c r="K40" i="43"/>
  <c r="M40" i="43" s="1"/>
  <c r="L39" i="43"/>
  <c r="K39" i="43"/>
  <c r="L38" i="43"/>
  <c r="K38" i="43"/>
  <c r="L37" i="43"/>
  <c r="K37" i="43"/>
  <c r="L36" i="43"/>
  <c r="K36" i="43"/>
  <c r="L35" i="43"/>
  <c r="K35" i="43"/>
  <c r="M35" i="43" s="1"/>
  <c r="L34" i="43"/>
  <c r="K34" i="43"/>
  <c r="L33" i="43"/>
  <c r="K33" i="43"/>
  <c r="L32" i="43"/>
  <c r="K32" i="43"/>
  <c r="M32" i="43" s="1"/>
  <c r="L31" i="43"/>
  <c r="K31" i="43"/>
  <c r="M31" i="43" s="1"/>
  <c r="L30" i="43"/>
  <c r="K30" i="43"/>
  <c r="L29" i="43"/>
  <c r="K29" i="43"/>
  <c r="L28" i="43"/>
  <c r="K28" i="43"/>
  <c r="M28" i="43" s="1"/>
  <c r="L27" i="43"/>
  <c r="K27" i="43"/>
  <c r="M27" i="43" s="1"/>
  <c r="L26" i="43"/>
  <c r="K26" i="43"/>
  <c r="L25" i="43"/>
  <c r="K25" i="43"/>
  <c r="M25" i="43" s="1"/>
  <c r="L24" i="43"/>
  <c r="K24" i="43"/>
  <c r="L23" i="43"/>
  <c r="K23" i="43"/>
  <c r="L22" i="43"/>
  <c r="K22" i="43"/>
  <c r="L21" i="43"/>
  <c r="K21" i="43"/>
  <c r="L20" i="43"/>
  <c r="K20" i="43"/>
  <c r="M20" i="43" s="1"/>
  <c r="L19" i="43"/>
  <c r="K19" i="43"/>
  <c r="L18" i="43"/>
  <c r="K18" i="43"/>
  <c r="I18" i="43"/>
  <c r="H18" i="43"/>
  <c r="I75" i="43" s="1"/>
  <c r="S17" i="43"/>
  <c r="E15" i="43"/>
  <c r="Q1" i="43"/>
  <c r="Q8" i="43" s="1"/>
  <c r="R81" i="42"/>
  <c r="G81" i="42"/>
  <c r="F81" i="42"/>
  <c r="Q10" i="42" s="1"/>
  <c r="K80" i="42"/>
  <c r="H80" i="42"/>
  <c r="L80" i="42" s="1"/>
  <c r="M80" i="42" s="1"/>
  <c r="K79" i="42"/>
  <c r="H79" i="42"/>
  <c r="L79" i="42" s="1"/>
  <c r="S78" i="42"/>
  <c r="K78" i="42"/>
  <c r="H78" i="42"/>
  <c r="L78" i="42" s="1"/>
  <c r="S77" i="42"/>
  <c r="K77" i="42"/>
  <c r="H77" i="42"/>
  <c r="L77" i="42" s="1"/>
  <c r="M77" i="42" s="1"/>
  <c r="U77" i="42" s="1"/>
  <c r="T77" i="42" s="1"/>
  <c r="S76" i="42"/>
  <c r="K76" i="42"/>
  <c r="H76" i="42"/>
  <c r="L76" i="42" s="1"/>
  <c r="K75" i="42"/>
  <c r="H75" i="42"/>
  <c r="L75" i="42" s="1"/>
  <c r="K74" i="42"/>
  <c r="H74" i="42"/>
  <c r="L74" i="42" s="1"/>
  <c r="M74" i="42" s="1"/>
  <c r="K73" i="42"/>
  <c r="H73" i="42"/>
  <c r="L73" i="42" s="1"/>
  <c r="S72" i="42"/>
  <c r="K72" i="42"/>
  <c r="H72" i="42"/>
  <c r="L72" i="42" s="1"/>
  <c r="S71" i="42"/>
  <c r="K71" i="42"/>
  <c r="H71" i="42"/>
  <c r="L71" i="42" s="1"/>
  <c r="M71" i="42" s="1"/>
  <c r="U71" i="42" s="1"/>
  <c r="T71" i="42" s="1"/>
  <c r="S70" i="42"/>
  <c r="K70" i="42"/>
  <c r="H70" i="42"/>
  <c r="L70" i="42" s="1"/>
  <c r="K69" i="42"/>
  <c r="H69" i="42"/>
  <c r="L69" i="42" s="1"/>
  <c r="K68" i="42"/>
  <c r="H68" i="42"/>
  <c r="L68" i="42" s="1"/>
  <c r="M68" i="42" s="1"/>
  <c r="K67" i="42"/>
  <c r="H67" i="42"/>
  <c r="L67" i="42" s="1"/>
  <c r="S66" i="42"/>
  <c r="K66" i="42"/>
  <c r="H66" i="42"/>
  <c r="L66" i="42" s="1"/>
  <c r="S65" i="42"/>
  <c r="K65" i="42"/>
  <c r="H65" i="42"/>
  <c r="L65" i="42" s="1"/>
  <c r="M65" i="42" s="1"/>
  <c r="U65" i="42" s="1"/>
  <c r="T65" i="42" s="1"/>
  <c r="S64" i="42"/>
  <c r="K64" i="42"/>
  <c r="H64" i="42"/>
  <c r="L64" i="42" s="1"/>
  <c r="K63" i="42"/>
  <c r="H63" i="42"/>
  <c r="L63" i="42" s="1"/>
  <c r="K62" i="42"/>
  <c r="H62" i="42"/>
  <c r="L62" i="42" s="1"/>
  <c r="M62" i="42" s="1"/>
  <c r="K61" i="42"/>
  <c r="H61" i="42"/>
  <c r="L61" i="42" s="1"/>
  <c r="S60" i="42"/>
  <c r="K60" i="42"/>
  <c r="H60" i="42"/>
  <c r="L60" i="42" s="1"/>
  <c r="S59" i="42"/>
  <c r="K59" i="42"/>
  <c r="H59" i="42"/>
  <c r="L59" i="42" s="1"/>
  <c r="S58" i="42"/>
  <c r="K58" i="42"/>
  <c r="H58" i="42"/>
  <c r="L58" i="42" s="1"/>
  <c r="K57" i="42"/>
  <c r="H57" i="42"/>
  <c r="L57" i="42" s="1"/>
  <c r="K56" i="42"/>
  <c r="H56" i="42"/>
  <c r="L56" i="42" s="1"/>
  <c r="M56" i="42" s="1"/>
  <c r="K55" i="42"/>
  <c r="H55" i="42"/>
  <c r="L55" i="42" s="1"/>
  <c r="S54" i="42"/>
  <c r="K54" i="42"/>
  <c r="H54" i="42"/>
  <c r="L54" i="42" s="1"/>
  <c r="S53" i="42"/>
  <c r="K53" i="42"/>
  <c r="H53" i="42"/>
  <c r="L53" i="42" s="1"/>
  <c r="M53" i="42" s="1"/>
  <c r="S52" i="42"/>
  <c r="K52" i="42"/>
  <c r="H52" i="42"/>
  <c r="L52" i="42" s="1"/>
  <c r="K51" i="42"/>
  <c r="H51" i="42"/>
  <c r="L51" i="42" s="1"/>
  <c r="K50" i="42"/>
  <c r="H50" i="42"/>
  <c r="L50" i="42" s="1"/>
  <c r="K49" i="42"/>
  <c r="H49" i="42"/>
  <c r="L49" i="42" s="1"/>
  <c r="S48" i="42"/>
  <c r="K48" i="42"/>
  <c r="H48" i="42"/>
  <c r="L48" i="42" s="1"/>
  <c r="S47" i="42"/>
  <c r="K47" i="42"/>
  <c r="H47" i="42"/>
  <c r="L47" i="42" s="1"/>
  <c r="S46" i="42"/>
  <c r="K46" i="42"/>
  <c r="H46" i="42"/>
  <c r="L46" i="42" s="1"/>
  <c r="K45" i="42"/>
  <c r="H45" i="42"/>
  <c r="L45" i="42" s="1"/>
  <c r="K44" i="42"/>
  <c r="H44" i="42"/>
  <c r="L44" i="42" s="1"/>
  <c r="M44" i="42" s="1"/>
  <c r="K43" i="42"/>
  <c r="H43" i="42"/>
  <c r="L43" i="42" s="1"/>
  <c r="S42" i="42"/>
  <c r="K42" i="42"/>
  <c r="H42" i="42"/>
  <c r="L42" i="42" s="1"/>
  <c r="S41" i="42"/>
  <c r="K41" i="42"/>
  <c r="H41" i="42"/>
  <c r="L41" i="42" s="1"/>
  <c r="S40" i="42"/>
  <c r="K40" i="42"/>
  <c r="H40" i="42"/>
  <c r="L40" i="42" s="1"/>
  <c r="K39" i="42"/>
  <c r="H39" i="42"/>
  <c r="L39" i="42" s="1"/>
  <c r="K38" i="42"/>
  <c r="H38" i="42"/>
  <c r="L38" i="42" s="1"/>
  <c r="K37" i="42"/>
  <c r="H37" i="42"/>
  <c r="L37" i="42" s="1"/>
  <c r="S36" i="42"/>
  <c r="K36" i="42"/>
  <c r="H36" i="42"/>
  <c r="L36" i="42" s="1"/>
  <c r="M36" i="42" s="1"/>
  <c r="S35" i="42"/>
  <c r="K35" i="42"/>
  <c r="H35" i="42"/>
  <c r="L35" i="42" s="1"/>
  <c r="M35" i="42" s="1"/>
  <c r="U35" i="42" s="1"/>
  <c r="T35" i="42" s="1"/>
  <c r="S34" i="42"/>
  <c r="K34" i="42"/>
  <c r="H34" i="42"/>
  <c r="L34" i="42" s="1"/>
  <c r="K33" i="42"/>
  <c r="H33" i="42"/>
  <c r="L33" i="42" s="1"/>
  <c r="K32" i="42"/>
  <c r="H32" i="42"/>
  <c r="L32" i="42" s="1"/>
  <c r="K31" i="42"/>
  <c r="H31" i="42"/>
  <c r="L31" i="42" s="1"/>
  <c r="S30" i="42"/>
  <c r="K30" i="42"/>
  <c r="H30" i="42"/>
  <c r="L30" i="42" s="1"/>
  <c r="S29" i="42"/>
  <c r="K29" i="42"/>
  <c r="H29" i="42"/>
  <c r="L29" i="42" s="1"/>
  <c r="M29" i="42" s="1"/>
  <c r="S28" i="42"/>
  <c r="K28" i="42"/>
  <c r="H28" i="42"/>
  <c r="L28" i="42" s="1"/>
  <c r="K27" i="42"/>
  <c r="H27" i="42"/>
  <c r="L27" i="42" s="1"/>
  <c r="K26" i="42"/>
  <c r="H26" i="42"/>
  <c r="L26" i="42" s="1"/>
  <c r="S25" i="42"/>
  <c r="K25" i="42"/>
  <c r="H25" i="42"/>
  <c r="L25" i="42" s="1"/>
  <c r="S24" i="42"/>
  <c r="K24" i="42"/>
  <c r="H24" i="42"/>
  <c r="L24" i="42" s="1"/>
  <c r="S23" i="42"/>
  <c r="K23" i="42"/>
  <c r="H23" i="42"/>
  <c r="L23" i="42" s="1"/>
  <c r="S22" i="42"/>
  <c r="K22" i="42"/>
  <c r="H22" i="42"/>
  <c r="L22" i="42" s="1"/>
  <c r="K21" i="42"/>
  <c r="H21" i="42"/>
  <c r="L21" i="42" s="1"/>
  <c r="K20" i="42"/>
  <c r="H20" i="42"/>
  <c r="L20" i="42" s="1"/>
  <c r="S19" i="42"/>
  <c r="K19" i="42"/>
  <c r="H19" i="42"/>
  <c r="L19" i="42" s="1"/>
  <c r="V19" i="42" s="1"/>
  <c r="S18" i="42"/>
  <c r="K18" i="42"/>
  <c r="H18" i="42"/>
  <c r="L18" i="42" s="1"/>
  <c r="M18" i="42" s="1"/>
  <c r="S17" i="42"/>
  <c r="S79" i="42" s="1"/>
  <c r="W79" i="42" s="1"/>
  <c r="I17" i="42"/>
  <c r="H17" i="42"/>
  <c r="E15" i="42"/>
  <c r="Q1" i="42"/>
  <c r="Q8" i="42" s="1"/>
  <c r="R81" i="41"/>
  <c r="G81" i="41"/>
  <c r="F81" i="41"/>
  <c r="Q10" i="41" s="1"/>
  <c r="K80" i="41"/>
  <c r="H80" i="41"/>
  <c r="L80" i="41" s="1"/>
  <c r="K79" i="41"/>
  <c r="H79" i="41"/>
  <c r="L79" i="41" s="1"/>
  <c r="K78" i="41"/>
  <c r="H78" i="41"/>
  <c r="L78" i="41" s="1"/>
  <c r="S77" i="41"/>
  <c r="K77" i="41"/>
  <c r="H77" i="41"/>
  <c r="L77" i="41" s="1"/>
  <c r="K76" i="41"/>
  <c r="H76" i="41"/>
  <c r="L76" i="41" s="1"/>
  <c r="K75" i="41"/>
  <c r="H75" i="41"/>
  <c r="L75" i="41" s="1"/>
  <c r="M75" i="41" s="1"/>
  <c r="K74" i="41"/>
  <c r="H74" i="41"/>
  <c r="L74" i="41" s="1"/>
  <c r="K73" i="41"/>
  <c r="H73" i="41"/>
  <c r="L73" i="41" s="1"/>
  <c r="K72" i="41"/>
  <c r="H72" i="41"/>
  <c r="L72" i="41" s="1"/>
  <c r="K71" i="41"/>
  <c r="H71" i="41"/>
  <c r="L71" i="41" s="1"/>
  <c r="K70" i="41"/>
  <c r="H70" i="41"/>
  <c r="L70" i="41" s="1"/>
  <c r="K69" i="41"/>
  <c r="H69" i="41"/>
  <c r="L69" i="41" s="1"/>
  <c r="M69" i="41" s="1"/>
  <c r="K68" i="41"/>
  <c r="H68" i="41"/>
  <c r="L68" i="41" s="1"/>
  <c r="K67" i="41"/>
  <c r="H67" i="41"/>
  <c r="L67" i="41" s="1"/>
  <c r="S66" i="41"/>
  <c r="K66" i="41"/>
  <c r="H66" i="41"/>
  <c r="L66" i="41" s="1"/>
  <c r="K65" i="41"/>
  <c r="H65" i="41"/>
  <c r="L65" i="41" s="1"/>
  <c r="K64" i="41"/>
  <c r="H64" i="41"/>
  <c r="L64" i="41" s="1"/>
  <c r="K63" i="41"/>
  <c r="H63" i="41"/>
  <c r="L63" i="41" s="1"/>
  <c r="M63" i="41" s="1"/>
  <c r="K62" i="41"/>
  <c r="H62" i="41"/>
  <c r="L62" i="41" s="1"/>
  <c r="K61" i="41"/>
  <c r="H61" i="41"/>
  <c r="L61" i="41" s="1"/>
  <c r="K60" i="41"/>
  <c r="H60" i="41"/>
  <c r="L60" i="41" s="1"/>
  <c r="S59" i="41"/>
  <c r="K59" i="41"/>
  <c r="H59" i="41"/>
  <c r="L59" i="41" s="1"/>
  <c r="K58" i="41"/>
  <c r="H58" i="41"/>
  <c r="L58" i="41" s="1"/>
  <c r="K57" i="41"/>
  <c r="H57" i="41"/>
  <c r="L57" i="41" s="1"/>
  <c r="M57" i="41" s="1"/>
  <c r="K56" i="41"/>
  <c r="H56" i="41"/>
  <c r="L56" i="41" s="1"/>
  <c r="K55" i="41"/>
  <c r="H55" i="41"/>
  <c r="L55" i="41" s="1"/>
  <c r="K54" i="41"/>
  <c r="H54" i="41"/>
  <c r="L54" i="41" s="1"/>
  <c r="S53" i="41"/>
  <c r="K53" i="41"/>
  <c r="H53" i="41"/>
  <c r="L53" i="41" s="1"/>
  <c r="M53" i="41" s="1"/>
  <c r="U53" i="41" s="1"/>
  <c r="T53" i="41" s="1"/>
  <c r="K52" i="41"/>
  <c r="H52" i="41"/>
  <c r="L52" i="41" s="1"/>
  <c r="K51" i="41"/>
  <c r="H51" i="41"/>
  <c r="L51" i="41" s="1"/>
  <c r="M51" i="41" s="1"/>
  <c r="K50" i="41"/>
  <c r="H50" i="41"/>
  <c r="L50" i="41" s="1"/>
  <c r="K49" i="41"/>
  <c r="H49" i="41"/>
  <c r="L49" i="41" s="1"/>
  <c r="S48" i="41"/>
  <c r="K48" i="41"/>
  <c r="H48" i="41"/>
  <c r="L48" i="41" s="1"/>
  <c r="W48" i="41" s="1"/>
  <c r="K47" i="41"/>
  <c r="H47" i="41"/>
  <c r="L47" i="41" s="1"/>
  <c r="K46" i="41"/>
  <c r="H46" i="41"/>
  <c r="L46" i="41" s="1"/>
  <c r="S45" i="41"/>
  <c r="K45" i="41"/>
  <c r="H45" i="41"/>
  <c r="L45" i="41" s="1"/>
  <c r="K44" i="41"/>
  <c r="H44" i="41"/>
  <c r="L44" i="41" s="1"/>
  <c r="K43" i="41"/>
  <c r="H43" i="41"/>
  <c r="L43" i="41" s="1"/>
  <c r="S42" i="41"/>
  <c r="K42" i="41"/>
  <c r="H42" i="41"/>
  <c r="L42" i="41" s="1"/>
  <c r="W42" i="41" s="1"/>
  <c r="K41" i="41"/>
  <c r="H41" i="41"/>
  <c r="L41" i="41" s="1"/>
  <c r="K40" i="41"/>
  <c r="H40" i="41"/>
  <c r="L40" i="41" s="1"/>
  <c r="S39" i="41"/>
  <c r="K39" i="41"/>
  <c r="H39" i="41"/>
  <c r="L39" i="41" s="1"/>
  <c r="K38" i="41"/>
  <c r="H38" i="41"/>
  <c r="L38" i="41" s="1"/>
  <c r="K37" i="41"/>
  <c r="H37" i="41"/>
  <c r="L37" i="41" s="1"/>
  <c r="S36" i="41"/>
  <c r="K36" i="41"/>
  <c r="H36" i="41"/>
  <c r="L36" i="41" s="1"/>
  <c r="K35" i="41"/>
  <c r="H35" i="41"/>
  <c r="L35" i="41" s="1"/>
  <c r="K34" i="41"/>
  <c r="H34" i="41"/>
  <c r="L34" i="41" s="1"/>
  <c r="S33" i="41"/>
  <c r="K33" i="41"/>
  <c r="H33" i="41"/>
  <c r="L33" i="41" s="1"/>
  <c r="K32" i="41"/>
  <c r="H32" i="41"/>
  <c r="L32" i="41" s="1"/>
  <c r="K31" i="41"/>
  <c r="H31" i="41"/>
  <c r="L31" i="41" s="1"/>
  <c r="S30" i="41"/>
  <c r="K30" i="41"/>
  <c r="H30" i="41"/>
  <c r="L30" i="41" s="1"/>
  <c r="W30" i="41" s="1"/>
  <c r="K29" i="41"/>
  <c r="H29" i="41"/>
  <c r="L29" i="41" s="1"/>
  <c r="K28" i="41"/>
  <c r="H28" i="41"/>
  <c r="L28" i="41" s="1"/>
  <c r="S27" i="41"/>
  <c r="K27" i="41"/>
  <c r="H27" i="41"/>
  <c r="L27" i="41" s="1"/>
  <c r="M27" i="41" s="1"/>
  <c r="K26" i="41"/>
  <c r="H26" i="41"/>
  <c r="L26" i="41" s="1"/>
  <c r="K25" i="41"/>
  <c r="H25" i="41"/>
  <c r="L25" i="41" s="1"/>
  <c r="S24" i="41"/>
  <c r="K24" i="41"/>
  <c r="H24" i="41"/>
  <c r="L24" i="41" s="1"/>
  <c r="K23" i="41"/>
  <c r="H23" i="41"/>
  <c r="L23" i="41" s="1"/>
  <c r="K22" i="41"/>
  <c r="H22" i="41"/>
  <c r="L22" i="41" s="1"/>
  <c r="S21" i="41"/>
  <c r="K21" i="41"/>
  <c r="H21" i="41"/>
  <c r="L21" i="41" s="1"/>
  <c r="K20" i="41"/>
  <c r="H20" i="41"/>
  <c r="L20" i="41" s="1"/>
  <c r="K19" i="41"/>
  <c r="H19" i="41"/>
  <c r="L19" i="41" s="1"/>
  <c r="S18" i="41"/>
  <c r="K18" i="41"/>
  <c r="H18" i="41"/>
  <c r="L18" i="41" s="1"/>
  <c r="S17" i="41"/>
  <c r="S78" i="41" s="1"/>
  <c r="V78" i="41" s="1"/>
  <c r="I17" i="41"/>
  <c r="H17" i="41"/>
  <c r="E15" i="41"/>
  <c r="Q1" i="41"/>
  <c r="Q8" i="41" s="1"/>
  <c r="Q1" i="40"/>
  <c r="Q8" i="40"/>
  <c r="E15" i="40"/>
  <c r="H17" i="40"/>
  <c r="I17" i="40"/>
  <c r="S17" i="40"/>
  <c r="S33" i="40" s="1"/>
  <c r="H18" i="40"/>
  <c r="K18" i="40"/>
  <c r="L18" i="40"/>
  <c r="H19" i="40"/>
  <c r="K19" i="40"/>
  <c r="L19" i="40"/>
  <c r="S19" i="40"/>
  <c r="H20" i="40"/>
  <c r="K20" i="40"/>
  <c r="L20" i="40"/>
  <c r="S20" i="40"/>
  <c r="V20" i="40" s="1"/>
  <c r="H21" i="40"/>
  <c r="K21" i="40"/>
  <c r="L21" i="40"/>
  <c r="M21" i="40" s="1"/>
  <c r="U21" i="40" s="1"/>
  <c r="T21" i="40" s="1"/>
  <c r="S21" i="40"/>
  <c r="H22" i="40"/>
  <c r="K22" i="40"/>
  <c r="L22" i="40"/>
  <c r="S22" i="40"/>
  <c r="H23" i="40"/>
  <c r="K23" i="40"/>
  <c r="L23" i="40"/>
  <c r="H24" i="40"/>
  <c r="K24" i="40"/>
  <c r="L24" i="40"/>
  <c r="H25" i="40"/>
  <c r="K25" i="40"/>
  <c r="L25" i="40"/>
  <c r="S25" i="40"/>
  <c r="H26" i="40"/>
  <c r="K26" i="40"/>
  <c r="L26" i="40"/>
  <c r="S26" i="40"/>
  <c r="V26" i="40" s="1"/>
  <c r="H27" i="40"/>
  <c r="K27" i="40"/>
  <c r="L27" i="40"/>
  <c r="W27" i="40" s="1"/>
  <c r="S27" i="40"/>
  <c r="H28" i="40"/>
  <c r="K28" i="40"/>
  <c r="L28" i="40"/>
  <c r="S28" i="40"/>
  <c r="H29" i="40"/>
  <c r="K29" i="40"/>
  <c r="L29" i="40"/>
  <c r="H30" i="40"/>
  <c r="K30" i="40"/>
  <c r="L30" i="40"/>
  <c r="H31" i="40"/>
  <c r="K31" i="40"/>
  <c r="L31" i="40"/>
  <c r="S31" i="40"/>
  <c r="H32" i="40"/>
  <c r="K32" i="40"/>
  <c r="L32" i="40"/>
  <c r="H33" i="40"/>
  <c r="K33" i="40"/>
  <c r="L33" i="40"/>
  <c r="M33" i="40" s="1"/>
  <c r="U33" i="40" s="1"/>
  <c r="T33" i="40" s="1"/>
  <c r="H34" i="40"/>
  <c r="K34" i="40"/>
  <c r="L34" i="40"/>
  <c r="S34" i="40"/>
  <c r="H35" i="40"/>
  <c r="K35" i="40"/>
  <c r="L35" i="40"/>
  <c r="H36" i="40"/>
  <c r="K36" i="40"/>
  <c r="L36" i="40"/>
  <c r="H37" i="40"/>
  <c r="K37" i="40"/>
  <c r="L37" i="40"/>
  <c r="S37" i="40"/>
  <c r="H38" i="40"/>
  <c r="K38" i="40"/>
  <c r="L38" i="40"/>
  <c r="H39" i="40"/>
  <c r="K39" i="40"/>
  <c r="L39" i="40"/>
  <c r="H40" i="40"/>
  <c r="K40" i="40"/>
  <c r="L40" i="40"/>
  <c r="S40" i="40"/>
  <c r="H41" i="40"/>
  <c r="K41" i="40"/>
  <c r="L41" i="40"/>
  <c r="H42" i="40"/>
  <c r="K42" i="40"/>
  <c r="L42" i="40"/>
  <c r="H43" i="40"/>
  <c r="K43" i="40"/>
  <c r="L43" i="40"/>
  <c r="S43" i="40"/>
  <c r="H44" i="40"/>
  <c r="K44" i="40"/>
  <c r="L44" i="40"/>
  <c r="S44" i="40"/>
  <c r="H45" i="40"/>
  <c r="K45" i="40"/>
  <c r="L45" i="40"/>
  <c r="V45" i="40" s="1"/>
  <c r="S45" i="40"/>
  <c r="H46" i="40"/>
  <c r="K46" i="40"/>
  <c r="L46" i="40"/>
  <c r="S46" i="40"/>
  <c r="H47" i="40"/>
  <c r="K47" i="40"/>
  <c r="L47" i="40"/>
  <c r="H48" i="40"/>
  <c r="K48" i="40"/>
  <c r="L48" i="40"/>
  <c r="H49" i="40"/>
  <c r="K49" i="40"/>
  <c r="L49" i="40"/>
  <c r="S49" i="40"/>
  <c r="H50" i="40"/>
  <c r="K50" i="40"/>
  <c r="L50" i="40"/>
  <c r="M50" i="40"/>
  <c r="S50" i="40"/>
  <c r="V50" i="40"/>
  <c r="H51" i="40"/>
  <c r="K51" i="40"/>
  <c r="L51" i="40"/>
  <c r="M51" i="40"/>
  <c r="S51" i="40"/>
  <c r="V51" i="40" s="1"/>
  <c r="H52" i="40"/>
  <c r="K52" i="40"/>
  <c r="L52" i="40"/>
  <c r="V52" i="40" s="1"/>
  <c r="S52" i="40"/>
  <c r="H53" i="40"/>
  <c r="K53" i="40"/>
  <c r="L53" i="40"/>
  <c r="H54" i="40"/>
  <c r="K54" i="40"/>
  <c r="L54" i="40"/>
  <c r="H55" i="40"/>
  <c r="K55" i="40"/>
  <c r="L55" i="40"/>
  <c r="H56" i="40"/>
  <c r="K56" i="40"/>
  <c r="L56" i="40"/>
  <c r="W56" i="40" s="1"/>
  <c r="M56" i="40"/>
  <c r="S56" i="40"/>
  <c r="U56" i="40"/>
  <c r="T56" i="40" s="1"/>
  <c r="V56" i="40"/>
  <c r="H57" i="40"/>
  <c r="K57" i="40"/>
  <c r="L57" i="40"/>
  <c r="M57" i="40"/>
  <c r="U57" i="40" s="1"/>
  <c r="T57" i="40" s="1"/>
  <c r="S57" i="40"/>
  <c r="V57" i="40"/>
  <c r="W57" i="40"/>
  <c r="H58" i="40"/>
  <c r="K58" i="40"/>
  <c r="L58" i="40"/>
  <c r="M58" i="40"/>
  <c r="H59" i="40"/>
  <c r="K59" i="40"/>
  <c r="L59" i="40"/>
  <c r="H60" i="40"/>
  <c r="K60" i="40"/>
  <c r="L60" i="40"/>
  <c r="M60" i="40"/>
  <c r="H61" i="40"/>
  <c r="K61" i="40"/>
  <c r="L61" i="40"/>
  <c r="S61" i="40"/>
  <c r="H62" i="40"/>
  <c r="K62" i="40"/>
  <c r="L62" i="40"/>
  <c r="W62" i="40" s="1"/>
  <c r="S62" i="40"/>
  <c r="H63" i="40"/>
  <c r="K63" i="40"/>
  <c r="L63" i="40"/>
  <c r="V63" i="40" s="1"/>
  <c r="S63" i="40"/>
  <c r="H64" i="40"/>
  <c r="K64" i="40"/>
  <c r="L64" i="40"/>
  <c r="M64" i="40"/>
  <c r="S64" i="40"/>
  <c r="U64" i="40" s="1"/>
  <c r="T64" i="40" s="1"/>
  <c r="W64" i="40"/>
  <c r="H65" i="40"/>
  <c r="K65" i="40"/>
  <c r="L65" i="40"/>
  <c r="H66" i="40"/>
  <c r="K66" i="40"/>
  <c r="L66" i="40"/>
  <c r="M66" i="40"/>
  <c r="H67" i="40"/>
  <c r="I67" i="40"/>
  <c r="K67" i="40"/>
  <c r="L67" i="40"/>
  <c r="M67" i="40"/>
  <c r="S67" i="40"/>
  <c r="H68" i="40"/>
  <c r="K68" i="40"/>
  <c r="L68" i="40"/>
  <c r="S68" i="40"/>
  <c r="H69" i="40"/>
  <c r="K69" i="40"/>
  <c r="L69" i="40"/>
  <c r="S69" i="40"/>
  <c r="V69" i="40" s="1"/>
  <c r="W69" i="40"/>
  <c r="H70" i="40"/>
  <c r="K70" i="40"/>
  <c r="L70" i="40"/>
  <c r="M70" i="40"/>
  <c r="U70" i="40" s="1"/>
  <c r="T70" i="40" s="1"/>
  <c r="S70" i="40"/>
  <c r="V70" i="40" s="1"/>
  <c r="H71" i="40"/>
  <c r="K71" i="40"/>
  <c r="L71" i="40"/>
  <c r="H72" i="40"/>
  <c r="K72" i="40"/>
  <c r="L72" i="40"/>
  <c r="H73" i="40"/>
  <c r="K73" i="40"/>
  <c r="L73" i="40"/>
  <c r="M73" i="40"/>
  <c r="U73" i="40" s="1"/>
  <c r="T73" i="40" s="1"/>
  <c r="S73" i="40"/>
  <c r="H74" i="40"/>
  <c r="K74" i="40"/>
  <c r="L74" i="40"/>
  <c r="M74" i="40"/>
  <c r="U74" i="40" s="1"/>
  <c r="T74" i="40" s="1"/>
  <c r="S74" i="40"/>
  <c r="H75" i="40"/>
  <c r="K75" i="40"/>
  <c r="L75" i="40"/>
  <c r="M75" i="40"/>
  <c r="U75" i="40" s="1"/>
  <c r="T75" i="40" s="1"/>
  <c r="S75" i="40"/>
  <c r="V75" i="40"/>
  <c r="W75" i="40"/>
  <c r="H76" i="40"/>
  <c r="K76" i="40"/>
  <c r="L76" i="40"/>
  <c r="M76" i="40"/>
  <c r="U76" i="40" s="1"/>
  <c r="T76" i="40" s="1"/>
  <c r="S76" i="40"/>
  <c r="V76" i="40"/>
  <c r="W76" i="40"/>
  <c r="H77" i="40"/>
  <c r="K77" i="40"/>
  <c r="L77" i="40"/>
  <c r="H78" i="40"/>
  <c r="K78" i="40"/>
  <c r="L78" i="40"/>
  <c r="H79" i="40"/>
  <c r="K79" i="40"/>
  <c r="L79" i="40"/>
  <c r="S79" i="40"/>
  <c r="H80" i="40"/>
  <c r="K80" i="40"/>
  <c r="L80" i="40"/>
  <c r="W80" i="40" s="1"/>
  <c r="M80" i="40"/>
  <c r="U80" i="40" s="1"/>
  <c r="T80" i="40" s="1"/>
  <c r="S80" i="40"/>
  <c r="F81" i="40"/>
  <c r="Q10" i="40" s="1"/>
  <c r="G81" i="40"/>
  <c r="R81" i="40"/>
  <c r="G82" i="37"/>
  <c r="F82" i="37"/>
  <c r="Q10" i="37" s="1"/>
  <c r="R81" i="37"/>
  <c r="L80" i="37"/>
  <c r="K80" i="37"/>
  <c r="L79" i="37"/>
  <c r="K79" i="37"/>
  <c r="M79" i="37" s="1"/>
  <c r="L78" i="37"/>
  <c r="K78" i="37"/>
  <c r="H78" i="37"/>
  <c r="L77" i="37"/>
  <c r="K77" i="37"/>
  <c r="L76" i="37"/>
  <c r="K76" i="37"/>
  <c r="L75" i="37"/>
  <c r="K75" i="37"/>
  <c r="L74" i="37"/>
  <c r="K74" i="37"/>
  <c r="M74" i="37" s="1"/>
  <c r="L73" i="37"/>
  <c r="K73" i="37"/>
  <c r="M73" i="37" s="1"/>
  <c r="L72" i="37"/>
  <c r="K72" i="37"/>
  <c r="L71" i="37"/>
  <c r="K71" i="37"/>
  <c r="L70" i="37"/>
  <c r="K70" i="37"/>
  <c r="L69" i="37"/>
  <c r="K69" i="37"/>
  <c r="M69" i="37" s="1"/>
  <c r="L68" i="37"/>
  <c r="K68" i="37"/>
  <c r="L67" i="37"/>
  <c r="K67" i="37"/>
  <c r="M67" i="37" s="1"/>
  <c r="H67" i="37"/>
  <c r="L66" i="37"/>
  <c r="K66" i="37"/>
  <c r="L65" i="37"/>
  <c r="K65" i="37"/>
  <c r="L64" i="37"/>
  <c r="K64" i="37"/>
  <c r="L63" i="37"/>
  <c r="K63" i="37"/>
  <c r="M63" i="37" s="1"/>
  <c r="L62" i="37"/>
  <c r="K62" i="37"/>
  <c r="H62" i="37"/>
  <c r="S61" i="37"/>
  <c r="L61" i="37"/>
  <c r="K61" i="37"/>
  <c r="L60" i="37"/>
  <c r="K60" i="37"/>
  <c r="L59" i="37"/>
  <c r="K59" i="37"/>
  <c r="L58" i="37"/>
  <c r="K58" i="37"/>
  <c r="L57" i="37"/>
  <c r="K57" i="37"/>
  <c r="L56" i="37"/>
  <c r="K56" i="37"/>
  <c r="L55" i="37"/>
  <c r="K55" i="37"/>
  <c r="L54" i="37"/>
  <c r="K54" i="37"/>
  <c r="L53" i="37"/>
  <c r="K53" i="37"/>
  <c r="L52" i="37"/>
  <c r="K52" i="37"/>
  <c r="L51" i="37"/>
  <c r="K51" i="37"/>
  <c r="L50" i="37"/>
  <c r="K50" i="37"/>
  <c r="L49" i="37"/>
  <c r="K49" i="37"/>
  <c r="L48" i="37"/>
  <c r="K48" i="37"/>
  <c r="L47" i="37"/>
  <c r="K47" i="37"/>
  <c r="L46" i="37"/>
  <c r="K46" i="37"/>
  <c r="L45" i="37"/>
  <c r="K45" i="37"/>
  <c r="L44" i="37"/>
  <c r="K44" i="37"/>
  <c r="L43" i="37"/>
  <c r="K43" i="37"/>
  <c r="L42" i="37"/>
  <c r="K42" i="37"/>
  <c r="L41" i="37"/>
  <c r="K41" i="37"/>
  <c r="L40" i="37"/>
  <c r="K40" i="37"/>
  <c r="L39" i="37"/>
  <c r="K39" i="37"/>
  <c r="L38" i="37"/>
  <c r="K38" i="37"/>
  <c r="L37" i="37"/>
  <c r="K37" i="37"/>
  <c r="M37" i="37" s="1"/>
  <c r="L36" i="37"/>
  <c r="K36" i="37"/>
  <c r="L35" i="37"/>
  <c r="K35" i="37"/>
  <c r="L34" i="37"/>
  <c r="K34" i="37"/>
  <c r="L33" i="37"/>
  <c r="K33" i="37"/>
  <c r="L32" i="37"/>
  <c r="K32" i="37"/>
  <c r="L31" i="37"/>
  <c r="K31" i="37"/>
  <c r="M31" i="37" s="1"/>
  <c r="L30" i="37"/>
  <c r="K30" i="37"/>
  <c r="L29" i="37"/>
  <c r="K29" i="37"/>
  <c r="L28" i="37"/>
  <c r="K28" i="37"/>
  <c r="L27" i="37"/>
  <c r="K27" i="37"/>
  <c r="L26" i="37"/>
  <c r="K26" i="37"/>
  <c r="L25" i="37"/>
  <c r="K25" i="37"/>
  <c r="L24" i="37"/>
  <c r="K24" i="37"/>
  <c r="L23" i="37"/>
  <c r="K23" i="37"/>
  <c r="M23" i="37" s="1"/>
  <c r="L22" i="37"/>
  <c r="K22" i="37"/>
  <c r="L21" i="37"/>
  <c r="K21" i="37"/>
  <c r="L20" i="37"/>
  <c r="K20" i="37"/>
  <c r="M20" i="37" s="1"/>
  <c r="H20" i="37"/>
  <c r="L19" i="37"/>
  <c r="K19" i="37"/>
  <c r="L18" i="37"/>
  <c r="K18" i="37"/>
  <c r="I18" i="37"/>
  <c r="H18" i="37"/>
  <c r="S17" i="37"/>
  <c r="S57" i="37" s="1"/>
  <c r="E15" i="37"/>
  <c r="H54" i="37" s="1"/>
  <c r="Q1" i="37"/>
  <c r="Q8" i="37" s="1"/>
  <c r="Q1" i="35"/>
  <c r="Q8" i="35"/>
  <c r="E15" i="35"/>
  <c r="H17" i="35"/>
  <c r="I17" i="35"/>
  <c r="S17" i="35"/>
  <c r="S19" i="35" s="1"/>
  <c r="H18" i="35"/>
  <c r="K18" i="35"/>
  <c r="L18" i="35"/>
  <c r="M18" i="35"/>
  <c r="H19" i="35"/>
  <c r="K19" i="35"/>
  <c r="L19" i="35"/>
  <c r="H20" i="35"/>
  <c r="K20" i="35"/>
  <c r="L20" i="35"/>
  <c r="H21" i="35"/>
  <c r="K21" i="35"/>
  <c r="L21" i="35"/>
  <c r="M21" i="35"/>
  <c r="S21" i="35"/>
  <c r="H22" i="35"/>
  <c r="K22" i="35"/>
  <c r="L22" i="35"/>
  <c r="H23" i="35"/>
  <c r="K23" i="35"/>
  <c r="L23" i="35"/>
  <c r="H24" i="35"/>
  <c r="K24" i="35"/>
  <c r="L24" i="35"/>
  <c r="M24" i="35"/>
  <c r="H25" i="35"/>
  <c r="I25" i="35"/>
  <c r="K25" i="35"/>
  <c r="L25" i="35"/>
  <c r="H26" i="35"/>
  <c r="K26" i="35"/>
  <c r="L26" i="35"/>
  <c r="H27" i="35"/>
  <c r="K27" i="35"/>
  <c r="L27" i="35"/>
  <c r="H28" i="35"/>
  <c r="K28" i="35"/>
  <c r="L28" i="35"/>
  <c r="H29" i="35"/>
  <c r="K29" i="35"/>
  <c r="L29" i="35"/>
  <c r="H30" i="35"/>
  <c r="I30" i="35"/>
  <c r="K30" i="35"/>
  <c r="L30" i="35"/>
  <c r="H31" i="35"/>
  <c r="K31" i="35"/>
  <c r="L31" i="35"/>
  <c r="H32" i="35"/>
  <c r="K32" i="35"/>
  <c r="L32" i="35"/>
  <c r="H33" i="35"/>
  <c r="K33" i="35"/>
  <c r="L33" i="35"/>
  <c r="M33" i="35"/>
  <c r="S33" i="35"/>
  <c r="V33" i="35" s="1"/>
  <c r="H34" i="35"/>
  <c r="K34" i="35"/>
  <c r="L34" i="35"/>
  <c r="H35" i="35"/>
  <c r="K35" i="35"/>
  <c r="L35" i="35"/>
  <c r="H36" i="35"/>
  <c r="K36" i="35"/>
  <c r="L36" i="35"/>
  <c r="H37" i="35"/>
  <c r="I37" i="35"/>
  <c r="K37" i="35"/>
  <c r="L37" i="35"/>
  <c r="H38" i="35"/>
  <c r="K38" i="35"/>
  <c r="L38" i="35"/>
  <c r="H39" i="35"/>
  <c r="K39" i="35"/>
  <c r="L39" i="35"/>
  <c r="H40" i="35"/>
  <c r="K40" i="35"/>
  <c r="L40" i="35"/>
  <c r="H41" i="35"/>
  <c r="K41" i="35"/>
  <c r="L41" i="35"/>
  <c r="H42" i="35"/>
  <c r="K42" i="35"/>
  <c r="L42" i="35"/>
  <c r="M42" i="35"/>
  <c r="H43" i="35"/>
  <c r="K43" i="35"/>
  <c r="L43" i="35"/>
  <c r="S43" i="35"/>
  <c r="H44" i="35"/>
  <c r="K44" i="35"/>
  <c r="L44" i="35"/>
  <c r="H45" i="35"/>
  <c r="K45" i="35"/>
  <c r="L45" i="35"/>
  <c r="M45" i="35"/>
  <c r="H46" i="35"/>
  <c r="K46" i="35"/>
  <c r="L46" i="35"/>
  <c r="H47" i="35"/>
  <c r="K47" i="35"/>
  <c r="L47" i="35"/>
  <c r="H48" i="35"/>
  <c r="K48" i="35"/>
  <c r="L48" i="35"/>
  <c r="M48" i="35" s="1"/>
  <c r="H49" i="35"/>
  <c r="K49" i="35"/>
  <c r="L49" i="35"/>
  <c r="M49" i="35"/>
  <c r="H50" i="35"/>
  <c r="K50" i="35"/>
  <c r="L50" i="35"/>
  <c r="M50" i="35"/>
  <c r="U50" i="35" s="1"/>
  <c r="T50" i="35" s="1"/>
  <c r="S50" i="35"/>
  <c r="H51" i="35"/>
  <c r="K51" i="35"/>
  <c r="L51" i="35"/>
  <c r="M51" i="35"/>
  <c r="H52" i="35"/>
  <c r="K52" i="35"/>
  <c r="L52" i="35"/>
  <c r="M52" i="35" s="1"/>
  <c r="H53" i="35"/>
  <c r="I53" i="35"/>
  <c r="K53" i="35"/>
  <c r="L53" i="35"/>
  <c r="H54" i="35"/>
  <c r="K54" i="35"/>
  <c r="L54" i="35"/>
  <c r="M54" i="35"/>
  <c r="H55" i="35"/>
  <c r="K55" i="35"/>
  <c r="L55" i="35"/>
  <c r="M55" i="35"/>
  <c r="H56" i="35"/>
  <c r="K56" i="35"/>
  <c r="L56" i="35"/>
  <c r="M56" i="35"/>
  <c r="H57" i="35"/>
  <c r="K57" i="35"/>
  <c r="L57" i="35"/>
  <c r="M57" i="35"/>
  <c r="H58" i="35"/>
  <c r="K58" i="35"/>
  <c r="L58" i="35"/>
  <c r="M58" i="35"/>
  <c r="H59" i="35"/>
  <c r="K59" i="35"/>
  <c r="L59" i="35"/>
  <c r="H60" i="35"/>
  <c r="I60" i="35"/>
  <c r="K60" i="35"/>
  <c r="L60" i="35"/>
  <c r="H61" i="35"/>
  <c r="K61" i="35"/>
  <c r="L61" i="35"/>
  <c r="M61" i="35"/>
  <c r="H62" i="35"/>
  <c r="K62" i="35"/>
  <c r="L62" i="35"/>
  <c r="H63" i="35"/>
  <c r="K63" i="35"/>
  <c r="L63" i="35"/>
  <c r="M63" i="35"/>
  <c r="H64" i="35"/>
  <c r="K64" i="35"/>
  <c r="L64" i="35"/>
  <c r="M64" i="35"/>
  <c r="H65" i="35"/>
  <c r="I65" i="35"/>
  <c r="K65" i="35"/>
  <c r="L65" i="35"/>
  <c r="H66" i="35"/>
  <c r="K66" i="35"/>
  <c r="L66" i="35"/>
  <c r="M66" i="35"/>
  <c r="H67" i="35"/>
  <c r="I67" i="35"/>
  <c r="K67" i="35"/>
  <c r="L67" i="35"/>
  <c r="H68" i="35"/>
  <c r="K68" i="35"/>
  <c r="L68" i="35"/>
  <c r="M68" i="35"/>
  <c r="H69" i="35"/>
  <c r="K69" i="35"/>
  <c r="L69" i="35"/>
  <c r="M69" i="35"/>
  <c r="H70" i="35"/>
  <c r="K70" i="35"/>
  <c r="L70" i="35"/>
  <c r="M70" i="35"/>
  <c r="H71" i="35"/>
  <c r="K71" i="35"/>
  <c r="L71" i="35"/>
  <c r="H72" i="35"/>
  <c r="K72" i="35"/>
  <c r="L72" i="35"/>
  <c r="M72" i="35"/>
  <c r="H73" i="35"/>
  <c r="K73" i="35"/>
  <c r="L73" i="35"/>
  <c r="M73" i="35"/>
  <c r="H74" i="35"/>
  <c r="K74" i="35"/>
  <c r="L74" i="35"/>
  <c r="M74" i="35" s="1"/>
  <c r="H75" i="35"/>
  <c r="K75" i="35"/>
  <c r="L75" i="35"/>
  <c r="M75" i="35"/>
  <c r="S75" i="35"/>
  <c r="H76" i="35"/>
  <c r="K76" i="35"/>
  <c r="L76" i="35"/>
  <c r="M76" i="35"/>
  <c r="H77" i="35"/>
  <c r="K77" i="35"/>
  <c r="L77" i="35"/>
  <c r="H78" i="35"/>
  <c r="K78" i="35"/>
  <c r="L78" i="35"/>
  <c r="M78" i="35"/>
  <c r="H79" i="35"/>
  <c r="K79" i="35"/>
  <c r="L79" i="35"/>
  <c r="M79" i="35"/>
  <c r="H80" i="35"/>
  <c r="K80" i="35"/>
  <c r="L80" i="35"/>
  <c r="M80" i="35"/>
  <c r="S80" i="35"/>
  <c r="F81" i="35"/>
  <c r="Q10" i="35" s="1"/>
  <c r="G81" i="35"/>
  <c r="R81" i="35"/>
  <c r="R81" i="34"/>
  <c r="G81" i="34"/>
  <c r="F81" i="34"/>
  <c r="Q10" i="34" s="1"/>
  <c r="K80" i="34"/>
  <c r="K79" i="34"/>
  <c r="K78" i="34"/>
  <c r="K77" i="34"/>
  <c r="K76" i="34"/>
  <c r="K75" i="34"/>
  <c r="K74" i="34"/>
  <c r="K73" i="34"/>
  <c r="K72" i="34"/>
  <c r="K71" i="34"/>
  <c r="K70" i="34"/>
  <c r="K69" i="34"/>
  <c r="K68" i="34"/>
  <c r="K67" i="34"/>
  <c r="K66" i="34"/>
  <c r="K65" i="34"/>
  <c r="K64" i="34"/>
  <c r="K63" i="34"/>
  <c r="K62" i="34"/>
  <c r="K61" i="34"/>
  <c r="K60" i="34"/>
  <c r="K59" i="34"/>
  <c r="K58" i="34"/>
  <c r="K57" i="34"/>
  <c r="K56" i="34"/>
  <c r="K55" i="34"/>
  <c r="K54" i="34"/>
  <c r="K53" i="34"/>
  <c r="K52" i="34"/>
  <c r="K51" i="34"/>
  <c r="K50" i="34"/>
  <c r="K49" i="34"/>
  <c r="K48" i="34"/>
  <c r="K46" i="34"/>
  <c r="K45" i="34"/>
  <c r="K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S17" i="34"/>
  <c r="S20" i="34" s="1"/>
  <c r="I17" i="34"/>
  <c r="H17" i="34"/>
  <c r="E15" i="34"/>
  <c r="H67" i="34" s="1"/>
  <c r="L67" i="34" s="1"/>
  <c r="Q1" i="34"/>
  <c r="Q8" i="34" s="1"/>
  <c r="R81" i="31"/>
  <c r="G81" i="31"/>
  <c r="F81" i="31"/>
  <c r="Q10" i="31" s="1"/>
  <c r="S80" i="31"/>
  <c r="K80" i="31"/>
  <c r="H80" i="31"/>
  <c r="L80" i="31" s="1"/>
  <c r="K79" i="31"/>
  <c r="H79" i="31"/>
  <c r="L79" i="31" s="1"/>
  <c r="M79" i="31" s="1"/>
  <c r="S78" i="31"/>
  <c r="K78" i="31"/>
  <c r="H78" i="31"/>
  <c r="L78" i="31" s="1"/>
  <c r="S77" i="31"/>
  <c r="K77" i="31"/>
  <c r="H77" i="31"/>
  <c r="L77" i="31" s="1"/>
  <c r="S76" i="31"/>
  <c r="K76" i="31"/>
  <c r="H76" i="31"/>
  <c r="L76" i="31" s="1"/>
  <c r="K75" i="31"/>
  <c r="H75" i="31"/>
  <c r="L75" i="31" s="1"/>
  <c r="S74" i="31"/>
  <c r="K74" i="31"/>
  <c r="H74" i="31"/>
  <c r="L74" i="31" s="1"/>
  <c r="K73" i="31"/>
  <c r="H73" i="31"/>
  <c r="L73" i="31" s="1"/>
  <c r="M73" i="31" s="1"/>
  <c r="S72" i="31"/>
  <c r="K72" i="31"/>
  <c r="H72" i="31"/>
  <c r="L72" i="31" s="1"/>
  <c r="S71" i="31"/>
  <c r="K71" i="31"/>
  <c r="H71" i="31"/>
  <c r="L71" i="31" s="1"/>
  <c r="S70" i="31"/>
  <c r="K70" i="31"/>
  <c r="H70" i="31"/>
  <c r="L70" i="31" s="1"/>
  <c r="K69" i="31"/>
  <c r="H69" i="31"/>
  <c r="L69" i="31" s="1"/>
  <c r="S68" i="31"/>
  <c r="K68" i="31"/>
  <c r="H68" i="31"/>
  <c r="L68" i="31" s="1"/>
  <c r="K67" i="31"/>
  <c r="H67" i="31"/>
  <c r="L67" i="31" s="1"/>
  <c r="M67" i="31" s="1"/>
  <c r="S66" i="31"/>
  <c r="K66" i="31"/>
  <c r="H66" i="31"/>
  <c r="L66" i="31" s="1"/>
  <c r="S65" i="31"/>
  <c r="K65" i="31"/>
  <c r="H65" i="31"/>
  <c r="L65" i="31" s="1"/>
  <c r="S64" i="31"/>
  <c r="K64" i="31"/>
  <c r="H64" i="31"/>
  <c r="L64" i="31" s="1"/>
  <c r="M64" i="31" s="1"/>
  <c r="U64" i="31" s="1"/>
  <c r="T64" i="31" s="1"/>
  <c r="K63" i="31"/>
  <c r="H63" i="31"/>
  <c r="L63" i="31" s="1"/>
  <c r="S62" i="31"/>
  <c r="K62" i="31"/>
  <c r="H62" i="31"/>
  <c r="L62" i="31" s="1"/>
  <c r="K61" i="31"/>
  <c r="H61" i="31"/>
  <c r="L61" i="31" s="1"/>
  <c r="M61" i="31" s="1"/>
  <c r="S60" i="31"/>
  <c r="K60" i="31"/>
  <c r="H60" i="31"/>
  <c r="L60" i="31" s="1"/>
  <c r="S59" i="31"/>
  <c r="K59" i="31"/>
  <c r="H59" i="31"/>
  <c r="L59" i="31" s="1"/>
  <c r="S58" i="31"/>
  <c r="K58" i="31"/>
  <c r="H58" i="31"/>
  <c r="L58" i="31" s="1"/>
  <c r="K57" i="31"/>
  <c r="H57" i="31"/>
  <c r="L57" i="31" s="1"/>
  <c r="S56" i="31"/>
  <c r="K56" i="31"/>
  <c r="H56" i="31"/>
  <c r="L56" i="31" s="1"/>
  <c r="W56" i="31" s="1"/>
  <c r="K55" i="31"/>
  <c r="H55" i="31"/>
  <c r="L55" i="31" s="1"/>
  <c r="M55" i="31" s="1"/>
  <c r="S54" i="31"/>
  <c r="K54" i="31"/>
  <c r="H54" i="31"/>
  <c r="L54" i="31" s="1"/>
  <c r="W54" i="31" s="1"/>
  <c r="S53" i="31"/>
  <c r="K53" i="31"/>
  <c r="H53" i="31"/>
  <c r="L53" i="31" s="1"/>
  <c r="S52" i="31"/>
  <c r="K52" i="31"/>
  <c r="H52" i="31"/>
  <c r="L52" i="31" s="1"/>
  <c r="K51" i="31"/>
  <c r="H51" i="31"/>
  <c r="L51" i="31" s="1"/>
  <c r="S50" i="31"/>
  <c r="K50" i="31"/>
  <c r="H50" i="31"/>
  <c r="L50" i="31" s="1"/>
  <c r="K49" i="31"/>
  <c r="H49" i="31"/>
  <c r="L49" i="31" s="1"/>
  <c r="M49" i="31" s="1"/>
  <c r="S48" i="31"/>
  <c r="K48" i="31"/>
  <c r="H48" i="31"/>
  <c r="L48" i="31" s="1"/>
  <c r="S47" i="31"/>
  <c r="L47" i="31"/>
  <c r="W47" i="31" s="1"/>
  <c r="K47" i="31"/>
  <c r="S46" i="31"/>
  <c r="K46" i="31"/>
  <c r="H46" i="31"/>
  <c r="L46" i="31" s="1"/>
  <c r="K45" i="31"/>
  <c r="H45" i="31"/>
  <c r="L45" i="31" s="1"/>
  <c r="S44" i="31"/>
  <c r="K44" i="31"/>
  <c r="H44" i="31"/>
  <c r="L44" i="31" s="1"/>
  <c r="V44" i="31" s="1"/>
  <c r="K43" i="31"/>
  <c r="H43" i="31"/>
  <c r="L43" i="31" s="1"/>
  <c r="S42" i="31"/>
  <c r="K42" i="31"/>
  <c r="H42" i="31"/>
  <c r="L42" i="31" s="1"/>
  <c r="S41" i="31"/>
  <c r="K41" i="31"/>
  <c r="H41" i="31"/>
  <c r="L41" i="31" s="1"/>
  <c r="M41" i="31" s="1"/>
  <c r="U41" i="31" s="1"/>
  <c r="T41" i="31" s="1"/>
  <c r="S40" i="31"/>
  <c r="K40" i="31"/>
  <c r="H40" i="31"/>
  <c r="L40" i="31" s="1"/>
  <c r="K39" i="31"/>
  <c r="H39" i="31"/>
  <c r="L39" i="31" s="1"/>
  <c r="S38" i="31"/>
  <c r="K38" i="31"/>
  <c r="H38" i="31"/>
  <c r="L38" i="31" s="1"/>
  <c r="K37" i="31"/>
  <c r="H37" i="31"/>
  <c r="L37" i="31" s="1"/>
  <c r="S36" i="31"/>
  <c r="K36" i="31"/>
  <c r="H36" i="31"/>
  <c r="L36" i="31" s="1"/>
  <c r="S35" i="31"/>
  <c r="K35" i="31"/>
  <c r="H35" i="31"/>
  <c r="L35" i="31" s="1"/>
  <c r="S34" i="31"/>
  <c r="K34" i="31"/>
  <c r="H34" i="31"/>
  <c r="L34" i="31" s="1"/>
  <c r="K33" i="31"/>
  <c r="H33" i="31"/>
  <c r="L33" i="31" s="1"/>
  <c r="S32" i="31"/>
  <c r="K32" i="31"/>
  <c r="H32" i="31"/>
  <c r="L32" i="31" s="1"/>
  <c r="K31" i="31"/>
  <c r="H31" i="31"/>
  <c r="L31" i="31" s="1"/>
  <c r="S30" i="31"/>
  <c r="K30" i="31"/>
  <c r="H30" i="31"/>
  <c r="L30" i="31" s="1"/>
  <c r="S29" i="31"/>
  <c r="K29" i="31"/>
  <c r="H29" i="31"/>
  <c r="L29" i="31" s="1"/>
  <c r="S28" i="31"/>
  <c r="K28" i="31"/>
  <c r="H28" i="31"/>
  <c r="L28" i="31" s="1"/>
  <c r="K27" i="31"/>
  <c r="H27" i="31"/>
  <c r="L27" i="31" s="1"/>
  <c r="S26" i="31"/>
  <c r="K26" i="31"/>
  <c r="H26" i="31"/>
  <c r="L26" i="31" s="1"/>
  <c r="K25" i="31"/>
  <c r="H25" i="31"/>
  <c r="L25" i="31" s="1"/>
  <c r="S24" i="31"/>
  <c r="K24" i="31"/>
  <c r="H24" i="31"/>
  <c r="L24" i="31" s="1"/>
  <c r="S23" i="31"/>
  <c r="K23" i="31"/>
  <c r="H23" i="31"/>
  <c r="L23" i="31" s="1"/>
  <c r="S22" i="31"/>
  <c r="K22" i="31"/>
  <c r="H22" i="31"/>
  <c r="L22" i="31" s="1"/>
  <c r="K21" i="31"/>
  <c r="H21" i="31"/>
  <c r="L21" i="31" s="1"/>
  <c r="S20" i="31"/>
  <c r="K20" i="31"/>
  <c r="H20" i="31"/>
  <c r="L20" i="31" s="1"/>
  <c r="K19" i="31"/>
  <c r="H19" i="31"/>
  <c r="L19" i="31" s="1"/>
  <c r="S18" i="31"/>
  <c r="K18" i="31"/>
  <c r="H18" i="31"/>
  <c r="L18" i="31" s="1"/>
  <c r="W18" i="31" s="1"/>
  <c r="S17" i="31"/>
  <c r="S79" i="31" s="1"/>
  <c r="I17" i="31"/>
  <c r="H17" i="31"/>
  <c r="E15" i="31"/>
  <c r="Q1" i="31"/>
  <c r="Q8" i="31" s="1"/>
  <c r="Q1" i="30"/>
  <c r="Q8" i="30"/>
  <c r="E15" i="30"/>
  <c r="H17" i="30"/>
  <c r="I17" i="30"/>
  <c r="S17" i="30"/>
  <c r="S18" i="30" s="1"/>
  <c r="H18" i="30"/>
  <c r="I18" i="30"/>
  <c r="K18" i="30"/>
  <c r="L18" i="30"/>
  <c r="M18" i="30"/>
  <c r="H19" i="30"/>
  <c r="I19" i="30"/>
  <c r="K19" i="30"/>
  <c r="K81" i="30" s="1"/>
  <c r="L19" i="30"/>
  <c r="M19" i="30"/>
  <c r="S19" i="30"/>
  <c r="H20" i="30"/>
  <c r="K20" i="30"/>
  <c r="L20" i="30"/>
  <c r="M20" i="30"/>
  <c r="S20" i="30"/>
  <c r="U20" i="30"/>
  <c r="T20" i="30" s="1"/>
  <c r="V20" i="30"/>
  <c r="H21" i="30"/>
  <c r="K21" i="30"/>
  <c r="L21" i="30"/>
  <c r="M21" i="30"/>
  <c r="S21" i="30"/>
  <c r="U21" i="30"/>
  <c r="T21" i="30" s="1"/>
  <c r="V21" i="30"/>
  <c r="W21" i="30"/>
  <c r="H22" i="30"/>
  <c r="K22" i="30"/>
  <c r="L22" i="30"/>
  <c r="M22" i="30"/>
  <c r="H23" i="30"/>
  <c r="I23" i="30"/>
  <c r="K23" i="30"/>
  <c r="L23" i="30"/>
  <c r="M23" i="30"/>
  <c r="H24" i="30"/>
  <c r="I24" i="30"/>
  <c r="K24" i="30"/>
  <c r="L24" i="30"/>
  <c r="M24" i="30"/>
  <c r="H25" i="30"/>
  <c r="I25" i="30"/>
  <c r="K25" i="30"/>
  <c r="L25" i="30"/>
  <c r="M25" i="30"/>
  <c r="S25" i="30"/>
  <c r="H26" i="30"/>
  <c r="K26" i="30"/>
  <c r="L26" i="30"/>
  <c r="V26" i="30" s="1"/>
  <c r="S26" i="30"/>
  <c r="H27" i="30"/>
  <c r="K27" i="30"/>
  <c r="L27" i="30"/>
  <c r="M27" i="30" s="1"/>
  <c r="U27" i="30" s="1"/>
  <c r="T27" i="30" s="1"/>
  <c r="S27" i="30"/>
  <c r="H28" i="30"/>
  <c r="K28" i="30"/>
  <c r="L28" i="30"/>
  <c r="M28" i="30"/>
  <c r="H29" i="30"/>
  <c r="I29" i="30"/>
  <c r="K29" i="30"/>
  <c r="L29" i="30"/>
  <c r="M29" i="30"/>
  <c r="H30" i="30"/>
  <c r="I30" i="30"/>
  <c r="K30" i="30"/>
  <c r="L30" i="30"/>
  <c r="M30" i="30" s="1"/>
  <c r="H31" i="30"/>
  <c r="I31" i="30"/>
  <c r="K31" i="30"/>
  <c r="L31" i="30"/>
  <c r="M31" i="30"/>
  <c r="S31" i="30"/>
  <c r="H32" i="30"/>
  <c r="K32" i="30"/>
  <c r="L32" i="30"/>
  <c r="M32" i="30"/>
  <c r="S32" i="30"/>
  <c r="U32" i="30"/>
  <c r="T32" i="30" s="1"/>
  <c r="V32" i="30"/>
  <c r="H33" i="30"/>
  <c r="K33" i="30"/>
  <c r="L33" i="30"/>
  <c r="M33" i="30"/>
  <c r="S33" i="30"/>
  <c r="U33" i="30"/>
  <c r="T33" i="30" s="1"/>
  <c r="V33" i="30"/>
  <c r="W33" i="30"/>
  <c r="H34" i="30"/>
  <c r="K34" i="30"/>
  <c r="L34" i="30"/>
  <c r="M34" i="30"/>
  <c r="H35" i="30"/>
  <c r="I35" i="30"/>
  <c r="K35" i="30"/>
  <c r="L35" i="30"/>
  <c r="M35" i="30"/>
  <c r="H36" i="30"/>
  <c r="I36" i="30"/>
  <c r="K36" i="30"/>
  <c r="L36" i="30"/>
  <c r="M36" i="30"/>
  <c r="H37" i="30"/>
  <c r="I37" i="30"/>
  <c r="K37" i="30"/>
  <c r="L37" i="30"/>
  <c r="M37" i="30"/>
  <c r="S37" i="30"/>
  <c r="H38" i="30"/>
  <c r="K38" i="30"/>
  <c r="L38" i="30"/>
  <c r="M38" i="30"/>
  <c r="S38" i="30"/>
  <c r="V38" i="30" s="1"/>
  <c r="U38" i="30"/>
  <c r="T38" i="30" s="1"/>
  <c r="H39" i="30"/>
  <c r="K39" i="30"/>
  <c r="L39" i="30"/>
  <c r="M39" i="30"/>
  <c r="S39" i="30"/>
  <c r="U39" i="30"/>
  <c r="T39" i="30" s="1"/>
  <c r="V39" i="30"/>
  <c r="W39" i="30"/>
  <c r="H40" i="30"/>
  <c r="K40" i="30"/>
  <c r="L40" i="30"/>
  <c r="M40" i="30"/>
  <c r="H41" i="30"/>
  <c r="I41" i="30"/>
  <c r="K41" i="30"/>
  <c r="L41" i="30"/>
  <c r="M41" i="30"/>
  <c r="H42" i="30"/>
  <c r="I42" i="30"/>
  <c r="K42" i="30"/>
  <c r="L42" i="30"/>
  <c r="M42" i="30"/>
  <c r="H43" i="30"/>
  <c r="I43" i="30"/>
  <c r="K43" i="30"/>
  <c r="L43" i="30"/>
  <c r="M43" i="30"/>
  <c r="S43" i="30"/>
  <c r="H44" i="30"/>
  <c r="K44" i="30"/>
  <c r="L44" i="30"/>
  <c r="M44" i="30"/>
  <c r="S44" i="30"/>
  <c r="U44" i="30" s="1"/>
  <c r="T44" i="30" s="1"/>
  <c r="H45" i="30"/>
  <c r="K45" i="30"/>
  <c r="L45" i="30"/>
  <c r="M45" i="30"/>
  <c r="S45" i="30"/>
  <c r="U45" i="30"/>
  <c r="T45" i="30" s="1"/>
  <c r="V45" i="30"/>
  <c r="W45" i="30"/>
  <c r="H46" i="30"/>
  <c r="K46" i="30"/>
  <c r="L46" i="30"/>
  <c r="M46" i="30"/>
  <c r="H47" i="30"/>
  <c r="I47" i="30"/>
  <c r="K47" i="30"/>
  <c r="L47" i="30"/>
  <c r="M47" i="30"/>
  <c r="H48" i="30"/>
  <c r="I48" i="30"/>
  <c r="K48" i="30"/>
  <c r="L48" i="30"/>
  <c r="M48" i="30"/>
  <c r="H49" i="30"/>
  <c r="I49" i="30"/>
  <c r="K49" i="30"/>
  <c r="L49" i="30"/>
  <c r="M49" i="30"/>
  <c r="S49" i="30"/>
  <c r="H50" i="30"/>
  <c r="K50" i="30"/>
  <c r="L50" i="30"/>
  <c r="W50" i="30" s="1"/>
  <c r="M50" i="30"/>
  <c r="S50" i="30"/>
  <c r="V50" i="30" s="1"/>
  <c r="U50" i="30"/>
  <c r="T50" i="30" s="1"/>
  <c r="H51" i="30"/>
  <c r="K51" i="30"/>
  <c r="L51" i="30"/>
  <c r="V51" i="30" s="1"/>
  <c r="M51" i="30"/>
  <c r="S51" i="30"/>
  <c r="U51" i="30"/>
  <c r="T51" i="30" s="1"/>
  <c r="H52" i="30"/>
  <c r="K52" i="30"/>
  <c r="L52" i="30"/>
  <c r="M52" i="30"/>
  <c r="H53" i="30"/>
  <c r="I53" i="30"/>
  <c r="K53" i="30"/>
  <c r="L53" i="30"/>
  <c r="M53" i="30"/>
  <c r="H54" i="30"/>
  <c r="I54" i="30"/>
  <c r="K54" i="30"/>
  <c r="L54" i="30"/>
  <c r="M54" i="30"/>
  <c r="H55" i="30"/>
  <c r="I55" i="30"/>
  <c r="K55" i="30"/>
  <c r="L55" i="30"/>
  <c r="M55" i="30"/>
  <c r="S55" i="30"/>
  <c r="H56" i="30"/>
  <c r="K56" i="30"/>
  <c r="L56" i="30"/>
  <c r="M56" i="30"/>
  <c r="S56" i="30"/>
  <c r="U56" i="30"/>
  <c r="T56" i="30" s="1"/>
  <c r="V56" i="30"/>
  <c r="H57" i="30"/>
  <c r="K57" i="30"/>
  <c r="L57" i="30"/>
  <c r="M57" i="30"/>
  <c r="S57" i="30"/>
  <c r="U57" i="30"/>
  <c r="T57" i="30" s="1"/>
  <c r="V57" i="30"/>
  <c r="W57" i="30"/>
  <c r="H58" i="30"/>
  <c r="K58" i="30"/>
  <c r="L58" i="30"/>
  <c r="M58" i="30"/>
  <c r="H59" i="30"/>
  <c r="I59" i="30"/>
  <c r="K59" i="30"/>
  <c r="L59" i="30"/>
  <c r="M59" i="30"/>
  <c r="H60" i="30"/>
  <c r="I60" i="30"/>
  <c r="K60" i="30"/>
  <c r="L60" i="30"/>
  <c r="M60" i="30"/>
  <c r="H61" i="30"/>
  <c r="I61" i="30"/>
  <c r="K61" i="30"/>
  <c r="L61" i="30"/>
  <c r="M61" i="30"/>
  <c r="S61" i="30"/>
  <c r="H62" i="30"/>
  <c r="K62" i="30"/>
  <c r="L62" i="30"/>
  <c r="M62" i="30"/>
  <c r="S62" i="30"/>
  <c r="U62" i="30"/>
  <c r="T62" i="30" s="1"/>
  <c r="V62" i="30"/>
  <c r="H63" i="30"/>
  <c r="K63" i="30"/>
  <c r="L63" i="30"/>
  <c r="M63" i="30"/>
  <c r="S63" i="30"/>
  <c r="U63" i="30"/>
  <c r="T63" i="30" s="1"/>
  <c r="V63" i="30"/>
  <c r="W63" i="30"/>
  <c r="H64" i="30"/>
  <c r="K64" i="30"/>
  <c r="L64" i="30"/>
  <c r="M64" i="30"/>
  <c r="H65" i="30"/>
  <c r="I65" i="30"/>
  <c r="K65" i="30"/>
  <c r="L65" i="30"/>
  <c r="M65" i="30"/>
  <c r="H66" i="30"/>
  <c r="I66" i="30"/>
  <c r="K66" i="30"/>
  <c r="L66" i="30"/>
  <c r="M66" i="30"/>
  <c r="H67" i="30"/>
  <c r="I67" i="30"/>
  <c r="K67" i="30"/>
  <c r="L67" i="30"/>
  <c r="M67" i="30"/>
  <c r="S67" i="30"/>
  <c r="H68" i="30"/>
  <c r="K68" i="30"/>
  <c r="L68" i="30"/>
  <c r="M68" i="30"/>
  <c r="S68" i="30"/>
  <c r="U68" i="30"/>
  <c r="T68" i="30" s="1"/>
  <c r="V68" i="30"/>
  <c r="H69" i="30"/>
  <c r="K69" i="30"/>
  <c r="L69" i="30"/>
  <c r="M69" i="30"/>
  <c r="S69" i="30"/>
  <c r="U69" i="30"/>
  <c r="T69" i="30" s="1"/>
  <c r="V69" i="30"/>
  <c r="W69" i="30"/>
  <c r="H70" i="30"/>
  <c r="K70" i="30"/>
  <c r="L70" i="30"/>
  <c r="M70" i="30"/>
  <c r="H71" i="30"/>
  <c r="I71" i="30"/>
  <c r="K71" i="30"/>
  <c r="L71" i="30"/>
  <c r="M71" i="30"/>
  <c r="H72" i="30"/>
  <c r="I72" i="30"/>
  <c r="K72" i="30"/>
  <c r="L72" i="30"/>
  <c r="M72" i="30"/>
  <c r="H73" i="30"/>
  <c r="I73" i="30"/>
  <c r="K73" i="30"/>
  <c r="L73" i="30"/>
  <c r="M73" i="30"/>
  <c r="S73" i="30"/>
  <c r="H74" i="30"/>
  <c r="K74" i="30"/>
  <c r="L74" i="30"/>
  <c r="M74" i="30"/>
  <c r="S74" i="30"/>
  <c r="V74" i="30" s="1"/>
  <c r="U74" i="30"/>
  <c r="T74" i="30" s="1"/>
  <c r="H75" i="30"/>
  <c r="K75" i="30"/>
  <c r="L75" i="30"/>
  <c r="M75" i="30"/>
  <c r="S75" i="30"/>
  <c r="U75" i="30"/>
  <c r="T75" i="30" s="1"/>
  <c r="V75" i="30"/>
  <c r="W75" i="30"/>
  <c r="H76" i="30"/>
  <c r="K76" i="30"/>
  <c r="L76" i="30"/>
  <c r="M76" i="30"/>
  <c r="H77" i="30"/>
  <c r="I77" i="30"/>
  <c r="K77" i="30"/>
  <c r="L77" i="30"/>
  <c r="M77" i="30"/>
  <c r="H78" i="30"/>
  <c r="I78" i="30"/>
  <c r="K78" i="30"/>
  <c r="L78" i="30"/>
  <c r="M78" i="30"/>
  <c r="H79" i="30"/>
  <c r="I79" i="30"/>
  <c r="K79" i="30"/>
  <c r="L79" i="30"/>
  <c r="M79" i="30"/>
  <c r="S79" i="30"/>
  <c r="H80" i="30"/>
  <c r="K80" i="30"/>
  <c r="L80" i="30"/>
  <c r="M80" i="30"/>
  <c r="S80" i="30"/>
  <c r="U80" i="30" s="1"/>
  <c r="T80" i="30" s="1"/>
  <c r="F81" i="30"/>
  <c r="Q10" i="30" s="1"/>
  <c r="G81" i="30"/>
  <c r="R81" i="30"/>
  <c r="R81" i="28"/>
  <c r="G81" i="28"/>
  <c r="F81" i="28"/>
  <c r="K80" i="28"/>
  <c r="H80" i="28"/>
  <c r="L80" i="28" s="1"/>
  <c r="K79" i="28"/>
  <c r="H79" i="28"/>
  <c r="L79" i="28" s="1"/>
  <c r="K78" i="28"/>
  <c r="H78" i="28"/>
  <c r="L78" i="28" s="1"/>
  <c r="K77" i="28"/>
  <c r="H77" i="28"/>
  <c r="L77" i="28" s="1"/>
  <c r="K76" i="28"/>
  <c r="H76" i="28"/>
  <c r="L76" i="28" s="1"/>
  <c r="K75" i="28"/>
  <c r="H75" i="28"/>
  <c r="L75" i="28" s="1"/>
  <c r="K74" i="28"/>
  <c r="H74" i="28"/>
  <c r="L74" i="28" s="1"/>
  <c r="K73" i="28"/>
  <c r="H73" i="28"/>
  <c r="L73" i="28" s="1"/>
  <c r="K72" i="28"/>
  <c r="H72" i="28"/>
  <c r="L72" i="28" s="1"/>
  <c r="K71" i="28"/>
  <c r="H71" i="28"/>
  <c r="L71" i="28" s="1"/>
  <c r="K70" i="28"/>
  <c r="H70" i="28"/>
  <c r="L70" i="28" s="1"/>
  <c r="K69" i="28"/>
  <c r="H69" i="28"/>
  <c r="L69" i="28" s="1"/>
  <c r="K68" i="28"/>
  <c r="H68" i="28"/>
  <c r="L68" i="28" s="1"/>
  <c r="K67" i="28"/>
  <c r="H67" i="28"/>
  <c r="L67" i="28" s="1"/>
  <c r="K66" i="28"/>
  <c r="H66" i="28"/>
  <c r="L66" i="28" s="1"/>
  <c r="K65" i="28"/>
  <c r="H65" i="28"/>
  <c r="L65" i="28" s="1"/>
  <c r="K64" i="28"/>
  <c r="H64" i="28"/>
  <c r="L64" i="28" s="1"/>
  <c r="K63" i="28"/>
  <c r="H63" i="28"/>
  <c r="L63" i="28" s="1"/>
  <c r="K62" i="28"/>
  <c r="H62" i="28"/>
  <c r="L62" i="28" s="1"/>
  <c r="K61" i="28"/>
  <c r="H61" i="28"/>
  <c r="L61" i="28" s="1"/>
  <c r="K60" i="28"/>
  <c r="H60" i="28"/>
  <c r="L60" i="28" s="1"/>
  <c r="K59" i="28"/>
  <c r="H59" i="28"/>
  <c r="L59" i="28" s="1"/>
  <c r="K58" i="28"/>
  <c r="H58" i="28"/>
  <c r="L58" i="28" s="1"/>
  <c r="K57" i="28"/>
  <c r="H57" i="28"/>
  <c r="L57" i="28" s="1"/>
  <c r="K56" i="28"/>
  <c r="H56" i="28"/>
  <c r="L56" i="28" s="1"/>
  <c r="K55" i="28"/>
  <c r="H55" i="28"/>
  <c r="L55" i="28" s="1"/>
  <c r="K54" i="28"/>
  <c r="H54" i="28"/>
  <c r="L54" i="28" s="1"/>
  <c r="K53" i="28"/>
  <c r="H53" i="28"/>
  <c r="L53" i="28" s="1"/>
  <c r="K52" i="28"/>
  <c r="H52" i="28"/>
  <c r="L52" i="28" s="1"/>
  <c r="K51" i="28"/>
  <c r="H51" i="28"/>
  <c r="L51" i="28" s="1"/>
  <c r="K50" i="28"/>
  <c r="H50" i="28"/>
  <c r="L50" i="28" s="1"/>
  <c r="K49" i="28"/>
  <c r="H49" i="28"/>
  <c r="L49" i="28" s="1"/>
  <c r="K48" i="28"/>
  <c r="H48" i="28"/>
  <c r="L48" i="28" s="1"/>
  <c r="K47" i="28"/>
  <c r="H47" i="28"/>
  <c r="L47" i="28" s="1"/>
  <c r="K46" i="28"/>
  <c r="H46" i="28"/>
  <c r="L46" i="28" s="1"/>
  <c r="K45" i="28"/>
  <c r="H45" i="28"/>
  <c r="L45" i="28" s="1"/>
  <c r="K44" i="28"/>
  <c r="H44" i="28"/>
  <c r="L44" i="28" s="1"/>
  <c r="K43" i="28"/>
  <c r="H43" i="28"/>
  <c r="L43" i="28" s="1"/>
  <c r="K42" i="28"/>
  <c r="H42" i="28"/>
  <c r="L42" i="28" s="1"/>
  <c r="K41" i="28"/>
  <c r="H41" i="28"/>
  <c r="L41" i="28" s="1"/>
  <c r="K40" i="28"/>
  <c r="H40" i="28"/>
  <c r="L40" i="28" s="1"/>
  <c r="K39" i="28"/>
  <c r="H39" i="28"/>
  <c r="L39" i="28" s="1"/>
  <c r="K38" i="28"/>
  <c r="H38" i="28"/>
  <c r="L38" i="28" s="1"/>
  <c r="K37" i="28"/>
  <c r="H37" i="28"/>
  <c r="L37" i="28" s="1"/>
  <c r="K36" i="28"/>
  <c r="H36" i="28"/>
  <c r="L36" i="28" s="1"/>
  <c r="K35" i="28"/>
  <c r="H35" i="28"/>
  <c r="L35" i="28" s="1"/>
  <c r="K34" i="28"/>
  <c r="H34" i="28"/>
  <c r="L34" i="28" s="1"/>
  <c r="K33" i="28"/>
  <c r="H33" i="28"/>
  <c r="L33" i="28" s="1"/>
  <c r="K32" i="28"/>
  <c r="H32" i="28"/>
  <c r="L32" i="28" s="1"/>
  <c r="K31" i="28"/>
  <c r="H31" i="28"/>
  <c r="L31" i="28" s="1"/>
  <c r="K30" i="28"/>
  <c r="H30" i="28"/>
  <c r="L30" i="28" s="1"/>
  <c r="K29" i="28"/>
  <c r="H29" i="28"/>
  <c r="L29" i="28" s="1"/>
  <c r="K28" i="28"/>
  <c r="H28" i="28"/>
  <c r="L28" i="28" s="1"/>
  <c r="K27" i="28"/>
  <c r="H27" i="28"/>
  <c r="L27" i="28" s="1"/>
  <c r="K26" i="28"/>
  <c r="H26" i="28"/>
  <c r="L26" i="28" s="1"/>
  <c r="K25" i="28"/>
  <c r="H25" i="28"/>
  <c r="L25" i="28" s="1"/>
  <c r="K24" i="28"/>
  <c r="H24" i="28"/>
  <c r="L24" i="28" s="1"/>
  <c r="K23" i="28"/>
  <c r="H23" i="28"/>
  <c r="L23" i="28" s="1"/>
  <c r="K22" i="28"/>
  <c r="H22" i="28"/>
  <c r="L22" i="28" s="1"/>
  <c r="K21" i="28"/>
  <c r="H21" i="28"/>
  <c r="L21" i="28" s="1"/>
  <c r="K20" i="28"/>
  <c r="H20" i="28"/>
  <c r="L20" i="28" s="1"/>
  <c r="K19" i="28"/>
  <c r="H19" i="28"/>
  <c r="L19" i="28" s="1"/>
  <c r="K18" i="28"/>
  <c r="H18" i="28"/>
  <c r="S17" i="28"/>
  <c r="I17" i="28"/>
  <c r="H17" i="28"/>
  <c r="E15" i="28"/>
  <c r="Q10" i="28"/>
  <c r="Q1" i="28"/>
  <c r="Q8" i="28" s="1"/>
  <c r="R81" i="27"/>
  <c r="G81" i="27"/>
  <c r="F81" i="27"/>
  <c r="K80" i="27"/>
  <c r="H80" i="27"/>
  <c r="L80" i="27" s="1"/>
  <c r="K79" i="27"/>
  <c r="H79" i="27"/>
  <c r="L79" i="27" s="1"/>
  <c r="K78" i="27"/>
  <c r="H78" i="27"/>
  <c r="L78" i="27" s="1"/>
  <c r="K77" i="27"/>
  <c r="H77" i="27"/>
  <c r="L77" i="27" s="1"/>
  <c r="K76" i="27"/>
  <c r="H76" i="27"/>
  <c r="L76" i="27" s="1"/>
  <c r="K75" i="27"/>
  <c r="H75" i="27"/>
  <c r="L75" i="27" s="1"/>
  <c r="K74" i="27"/>
  <c r="H74" i="27"/>
  <c r="L74" i="27" s="1"/>
  <c r="K73" i="27"/>
  <c r="H73" i="27"/>
  <c r="L73" i="27" s="1"/>
  <c r="K72" i="27"/>
  <c r="H72" i="27"/>
  <c r="L72" i="27" s="1"/>
  <c r="K71" i="27"/>
  <c r="H71" i="27"/>
  <c r="L71" i="27" s="1"/>
  <c r="K70" i="27"/>
  <c r="H70" i="27"/>
  <c r="L70" i="27" s="1"/>
  <c r="K69" i="27"/>
  <c r="H69" i="27"/>
  <c r="L69" i="27" s="1"/>
  <c r="K68" i="27"/>
  <c r="H68" i="27"/>
  <c r="L68" i="27" s="1"/>
  <c r="K67" i="27"/>
  <c r="H67" i="27"/>
  <c r="L67" i="27" s="1"/>
  <c r="K66" i="27"/>
  <c r="H66" i="27"/>
  <c r="L66" i="27" s="1"/>
  <c r="K65" i="27"/>
  <c r="H65" i="27"/>
  <c r="L65" i="27" s="1"/>
  <c r="K64" i="27"/>
  <c r="H64" i="27"/>
  <c r="L64" i="27" s="1"/>
  <c r="K63" i="27"/>
  <c r="H63" i="27"/>
  <c r="L63" i="27" s="1"/>
  <c r="K62" i="27"/>
  <c r="H62" i="27"/>
  <c r="L62" i="27" s="1"/>
  <c r="K61" i="27"/>
  <c r="H61" i="27"/>
  <c r="L61" i="27" s="1"/>
  <c r="K60" i="27"/>
  <c r="H60" i="27"/>
  <c r="L60" i="27" s="1"/>
  <c r="K59" i="27"/>
  <c r="H59" i="27"/>
  <c r="L59" i="27" s="1"/>
  <c r="K58" i="27"/>
  <c r="H58" i="27"/>
  <c r="L58" i="27" s="1"/>
  <c r="K57" i="27"/>
  <c r="H57" i="27"/>
  <c r="L57" i="27" s="1"/>
  <c r="K56" i="27"/>
  <c r="H56" i="27"/>
  <c r="L56" i="27" s="1"/>
  <c r="K55" i="27"/>
  <c r="H55" i="27"/>
  <c r="L55" i="27" s="1"/>
  <c r="K54" i="27"/>
  <c r="H54" i="27"/>
  <c r="L54" i="27" s="1"/>
  <c r="K53" i="27"/>
  <c r="H53" i="27"/>
  <c r="L53" i="27" s="1"/>
  <c r="K52" i="27"/>
  <c r="H52" i="27"/>
  <c r="L52" i="27" s="1"/>
  <c r="K51" i="27"/>
  <c r="H51" i="27"/>
  <c r="L51" i="27" s="1"/>
  <c r="K50" i="27"/>
  <c r="H50" i="27"/>
  <c r="L50" i="27" s="1"/>
  <c r="K49" i="27"/>
  <c r="H49" i="27"/>
  <c r="L49" i="27" s="1"/>
  <c r="K48" i="27"/>
  <c r="H48" i="27"/>
  <c r="L48" i="27" s="1"/>
  <c r="K47" i="27"/>
  <c r="H47" i="27"/>
  <c r="L47" i="27" s="1"/>
  <c r="K46" i="27"/>
  <c r="H46" i="27"/>
  <c r="L46" i="27" s="1"/>
  <c r="K45" i="27"/>
  <c r="H45" i="27"/>
  <c r="L45" i="27" s="1"/>
  <c r="K44" i="27"/>
  <c r="H44" i="27"/>
  <c r="L44" i="27" s="1"/>
  <c r="K43" i="27"/>
  <c r="H43" i="27"/>
  <c r="L43" i="27" s="1"/>
  <c r="K42" i="27"/>
  <c r="H42" i="27"/>
  <c r="L42" i="27" s="1"/>
  <c r="K41" i="27"/>
  <c r="H41" i="27"/>
  <c r="L41" i="27" s="1"/>
  <c r="K40" i="27"/>
  <c r="H40" i="27"/>
  <c r="L40" i="27" s="1"/>
  <c r="K39" i="27"/>
  <c r="H39" i="27"/>
  <c r="L39" i="27" s="1"/>
  <c r="K38" i="27"/>
  <c r="H38" i="27"/>
  <c r="L38" i="27" s="1"/>
  <c r="K37" i="27"/>
  <c r="H37" i="27"/>
  <c r="L37" i="27" s="1"/>
  <c r="K36" i="27"/>
  <c r="H36" i="27"/>
  <c r="L36" i="27" s="1"/>
  <c r="K35" i="27"/>
  <c r="H35" i="27"/>
  <c r="L35" i="27" s="1"/>
  <c r="K34" i="27"/>
  <c r="H34" i="27"/>
  <c r="L34" i="27" s="1"/>
  <c r="K33" i="27"/>
  <c r="H33" i="27"/>
  <c r="L33" i="27" s="1"/>
  <c r="K32" i="27"/>
  <c r="H32" i="27"/>
  <c r="L32" i="27" s="1"/>
  <c r="K31" i="27"/>
  <c r="H31" i="27"/>
  <c r="L31" i="27" s="1"/>
  <c r="K30" i="27"/>
  <c r="H30" i="27"/>
  <c r="L30" i="27" s="1"/>
  <c r="K29" i="27"/>
  <c r="H29" i="27"/>
  <c r="L29" i="27" s="1"/>
  <c r="K28" i="27"/>
  <c r="H28" i="27"/>
  <c r="L28" i="27" s="1"/>
  <c r="K27" i="27"/>
  <c r="H27" i="27"/>
  <c r="L27" i="27" s="1"/>
  <c r="K26" i="27"/>
  <c r="H26" i="27"/>
  <c r="L26" i="27" s="1"/>
  <c r="K25" i="27"/>
  <c r="H25" i="27"/>
  <c r="L25" i="27" s="1"/>
  <c r="K24" i="27"/>
  <c r="H24" i="27"/>
  <c r="L24" i="27" s="1"/>
  <c r="K23" i="27"/>
  <c r="H23" i="27"/>
  <c r="L23" i="27" s="1"/>
  <c r="K22" i="27"/>
  <c r="H22" i="27"/>
  <c r="L22" i="27" s="1"/>
  <c r="K21" i="27"/>
  <c r="H21" i="27"/>
  <c r="L21" i="27" s="1"/>
  <c r="K20" i="27"/>
  <c r="H20" i="27"/>
  <c r="L20" i="27" s="1"/>
  <c r="K19" i="27"/>
  <c r="H19" i="27"/>
  <c r="L19" i="27" s="1"/>
  <c r="K18" i="27"/>
  <c r="H18" i="27"/>
  <c r="S17" i="27"/>
  <c r="I17" i="27"/>
  <c r="H17" i="27"/>
  <c r="E15" i="27"/>
  <c r="Q10" i="27"/>
  <c r="Q1" i="27"/>
  <c r="Q8" i="27" s="1"/>
  <c r="Q1" i="26"/>
  <c r="Q8" i="26"/>
  <c r="E15" i="26"/>
  <c r="H17" i="26"/>
  <c r="I17" i="26"/>
  <c r="S17" i="26"/>
  <c r="H18" i="26"/>
  <c r="I18" i="26"/>
  <c r="K18" i="26"/>
  <c r="L18" i="26"/>
  <c r="M18" i="26"/>
  <c r="S18" i="26"/>
  <c r="U18" i="26"/>
  <c r="T18" i="26" s="1"/>
  <c r="V18" i="26"/>
  <c r="W18" i="26"/>
  <c r="H19" i="26"/>
  <c r="I19" i="26"/>
  <c r="K19" i="26"/>
  <c r="L19" i="26"/>
  <c r="M19" i="26"/>
  <c r="S19" i="26"/>
  <c r="U19" i="26"/>
  <c r="T19" i="26" s="1"/>
  <c r="V19" i="26"/>
  <c r="W19" i="26"/>
  <c r="H20" i="26"/>
  <c r="I20" i="26"/>
  <c r="K20" i="26"/>
  <c r="L20" i="26"/>
  <c r="M20" i="26"/>
  <c r="S20" i="26"/>
  <c r="U20" i="26"/>
  <c r="T20" i="26" s="1"/>
  <c r="V20" i="26"/>
  <c r="W20" i="26"/>
  <c r="H21" i="26"/>
  <c r="I21" i="26"/>
  <c r="K21" i="26"/>
  <c r="L21" i="26"/>
  <c r="M21" i="26"/>
  <c r="S21" i="26"/>
  <c r="U21" i="26"/>
  <c r="T21" i="26" s="1"/>
  <c r="V21" i="26"/>
  <c r="W21" i="26"/>
  <c r="H22" i="26"/>
  <c r="I22" i="26"/>
  <c r="K22" i="26"/>
  <c r="L22" i="26"/>
  <c r="M22" i="26"/>
  <c r="S22" i="26"/>
  <c r="U22" i="26"/>
  <c r="T22" i="26" s="1"/>
  <c r="V22" i="26"/>
  <c r="W22" i="26"/>
  <c r="H23" i="26"/>
  <c r="I23" i="26"/>
  <c r="K23" i="26"/>
  <c r="L23" i="26"/>
  <c r="M23" i="26"/>
  <c r="S23" i="26"/>
  <c r="U23" i="26"/>
  <c r="T23" i="26" s="1"/>
  <c r="V23" i="26"/>
  <c r="W23" i="26"/>
  <c r="H24" i="26"/>
  <c r="I24" i="26"/>
  <c r="K24" i="26"/>
  <c r="L24" i="26"/>
  <c r="M24" i="26"/>
  <c r="S24" i="26"/>
  <c r="U24" i="26"/>
  <c r="T24" i="26" s="1"/>
  <c r="V24" i="26"/>
  <c r="W24" i="26"/>
  <c r="H25" i="26"/>
  <c r="I25" i="26"/>
  <c r="K25" i="26"/>
  <c r="L25" i="26"/>
  <c r="M25" i="26"/>
  <c r="S25" i="26"/>
  <c r="U25" i="26"/>
  <c r="T25" i="26" s="1"/>
  <c r="V25" i="26"/>
  <c r="W25" i="26"/>
  <c r="H26" i="26"/>
  <c r="I26" i="26"/>
  <c r="K26" i="26"/>
  <c r="L26" i="26"/>
  <c r="M26" i="26"/>
  <c r="S26" i="26"/>
  <c r="U26" i="26"/>
  <c r="T26" i="26" s="1"/>
  <c r="V26" i="26"/>
  <c r="W26" i="26"/>
  <c r="H27" i="26"/>
  <c r="I27" i="26"/>
  <c r="K27" i="26"/>
  <c r="L27" i="26"/>
  <c r="M27" i="26"/>
  <c r="S27" i="26"/>
  <c r="U27" i="26"/>
  <c r="T27" i="26" s="1"/>
  <c r="V27" i="26"/>
  <c r="W27" i="26"/>
  <c r="H28" i="26"/>
  <c r="I28" i="26"/>
  <c r="K28" i="26"/>
  <c r="L28" i="26"/>
  <c r="M28" i="26"/>
  <c r="S28" i="26"/>
  <c r="U28" i="26"/>
  <c r="T28" i="26" s="1"/>
  <c r="V28" i="26"/>
  <c r="W28" i="26"/>
  <c r="H29" i="26"/>
  <c r="I29" i="26"/>
  <c r="K29" i="26"/>
  <c r="L29" i="26"/>
  <c r="M29" i="26"/>
  <c r="S29" i="26"/>
  <c r="U29" i="26"/>
  <c r="T29" i="26" s="1"/>
  <c r="V29" i="26"/>
  <c r="W29" i="26"/>
  <c r="H30" i="26"/>
  <c r="I30" i="26"/>
  <c r="K30" i="26"/>
  <c r="L30" i="26"/>
  <c r="M30" i="26"/>
  <c r="S30" i="26"/>
  <c r="U30" i="26"/>
  <c r="T30" i="26" s="1"/>
  <c r="V30" i="26"/>
  <c r="W30" i="26"/>
  <c r="H31" i="26"/>
  <c r="I31" i="26"/>
  <c r="K31" i="26"/>
  <c r="L31" i="26"/>
  <c r="M31" i="26"/>
  <c r="S31" i="26"/>
  <c r="U31" i="26"/>
  <c r="T31" i="26" s="1"/>
  <c r="V31" i="26"/>
  <c r="W31" i="26"/>
  <c r="H32" i="26"/>
  <c r="I32" i="26"/>
  <c r="K32" i="26"/>
  <c r="L32" i="26"/>
  <c r="M32" i="26"/>
  <c r="S32" i="26"/>
  <c r="U32" i="26"/>
  <c r="T32" i="26" s="1"/>
  <c r="V32" i="26"/>
  <c r="W32" i="26"/>
  <c r="H33" i="26"/>
  <c r="I33" i="26"/>
  <c r="K33" i="26"/>
  <c r="L33" i="26"/>
  <c r="M33" i="26"/>
  <c r="S33" i="26"/>
  <c r="U33" i="26"/>
  <c r="T33" i="26" s="1"/>
  <c r="V33" i="26"/>
  <c r="W33" i="26"/>
  <c r="H34" i="26"/>
  <c r="I34" i="26"/>
  <c r="K34" i="26"/>
  <c r="L34" i="26"/>
  <c r="M34" i="26"/>
  <c r="S34" i="26"/>
  <c r="U34" i="26"/>
  <c r="T34" i="26" s="1"/>
  <c r="V34" i="26"/>
  <c r="W34" i="26"/>
  <c r="H35" i="26"/>
  <c r="I35" i="26"/>
  <c r="K35" i="26"/>
  <c r="L35" i="26"/>
  <c r="M35" i="26"/>
  <c r="S35" i="26"/>
  <c r="U35" i="26"/>
  <c r="T35" i="26" s="1"/>
  <c r="V35" i="26"/>
  <c r="W35" i="26"/>
  <c r="H36" i="26"/>
  <c r="I36" i="26"/>
  <c r="K36" i="26"/>
  <c r="L36" i="26"/>
  <c r="M36" i="26"/>
  <c r="S36" i="26"/>
  <c r="U36" i="26"/>
  <c r="T36" i="26" s="1"/>
  <c r="V36" i="26"/>
  <c r="W36" i="26"/>
  <c r="H37" i="26"/>
  <c r="I37" i="26"/>
  <c r="K37" i="26"/>
  <c r="L37" i="26"/>
  <c r="M37" i="26"/>
  <c r="S37" i="26"/>
  <c r="U37" i="26"/>
  <c r="T37" i="26" s="1"/>
  <c r="V37" i="26"/>
  <c r="W37" i="26"/>
  <c r="H38" i="26"/>
  <c r="I38" i="26"/>
  <c r="K38" i="26"/>
  <c r="L38" i="26"/>
  <c r="M38" i="26"/>
  <c r="S38" i="26"/>
  <c r="U38" i="26"/>
  <c r="T38" i="26" s="1"/>
  <c r="V38" i="26"/>
  <c r="W38" i="26"/>
  <c r="H39" i="26"/>
  <c r="I39" i="26"/>
  <c r="K39" i="26"/>
  <c r="L39" i="26"/>
  <c r="M39" i="26"/>
  <c r="S39" i="26"/>
  <c r="U39" i="26"/>
  <c r="T39" i="26" s="1"/>
  <c r="V39" i="26"/>
  <c r="W39" i="26"/>
  <c r="H40" i="26"/>
  <c r="I40" i="26"/>
  <c r="K40" i="26"/>
  <c r="L40" i="26"/>
  <c r="M40" i="26"/>
  <c r="S40" i="26"/>
  <c r="U40" i="26"/>
  <c r="T40" i="26" s="1"/>
  <c r="V40" i="26"/>
  <c r="W40" i="26"/>
  <c r="H41" i="26"/>
  <c r="I41" i="26"/>
  <c r="K41" i="26"/>
  <c r="L41" i="26"/>
  <c r="M41" i="26"/>
  <c r="S41" i="26"/>
  <c r="U41" i="26"/>
  <c r="T41" i="26" s="1"/>
  <c r="V41" i="26"/>
  <c r="W41" i="26"/>
  <c r="H42" i="26"/>
  <c r="I42" i="26"/>
  <c r="K42" i="26"/>
  <c r="L42" i="26"/>
  <c r="M42" i="26"/>
  <c r="S42" i="26"/>
  <c r="U42" i="26"/>
  <c r="T42" i="26" s="1"/>
  <c r="V42" i="26"/>
  <c r="W42" i="26"/>
  <c r="H43" i="26"/>
  <c r="I43" i="26"/>
  <c r="K43" i="26"/>
  <c r="L43" i="26"/>
  <c r="M43" i="26"/>
  <c r="S43" i="26"/>
  <c r="U43" i="26"/>
  <c r="T43" i="26" s="1"/>
  <c r="V43" i="26"/>
  <c r="W43" i="26"/>
  <c r="H44" i="26"/>
  <c r="I44" i="26"/>
  <c r="K44" i="26"/>
  <c r="L44" i="26"/>
  <c r="M44" i="26"/>
  <c r="S44" i="26"/>
  <c r="U44" i="26"/>
  <c r="T44" i="26" s="1"/>
  <c r="V44" i="26"/>
  <c r="W44" i="26"/>
  <c r="H45" i="26"/>
  <c r="I45" i="26"/>
  <c r="K45" i="26"/>
  <c r="L45" i="26"/>
  <c r="M45" i="26"/>
  <c r="S45" i="26"/>
  <c r="U45" i="26"/>
  <c r="T45" i="26" s="1"/>
  <c r="V45" i="26"/>
  <c r="W45" i="26"/>
  <c r="H46" i="26"/>
  <c r="I46" i="26"/>
  <c r="K46" i="26"/>
  <c r="L46" i="26"/>
  <c r="M46" i="26"/>
  <c r="S46" i="26"/>
  <c r="U46" i="26"/>
  <c r="T46" i="26" s="1"/>
  <c r="V46" i="26"/>
  <c r="W46" i="26"/>
  <c r="H47" i="26"/>
  <c r="I47" i="26"/>
  <c r="K47" i="26"/>
  <c r="L47" i="26"/>
  <c r="M47" i="26"/>
  <c r="S47" i="26"/>
  <c r="U47" i="26"/>
  <c r="T47" i="26" s="1"/>
  <c r="V47" i="26"/>
  <c r="W47" i="26"/>
  <c r="H48" i="26"/>
  <c r="I48" i="26"/>
  <c r="K48" i="26"/>
  <c r="L48" i="26"/>
  <c r="M48" i="26"/>
  <c r="S48" i="26"/>
  <c r="U48" i="26"/>
  <c r="T48" i="26" s="1"/>
  <c r="V48" i="26"/>
  <c r="W48" i="26"/>
  <c r="H49" i="26"/>
  <c r="I49" i="26"/>
  <c r="K49" i="26"/>
  <c r="L49" i="26"/>
  <c r="M49" i="26"/>
  <c r="S49" i="26"/>
  <c r="U49" i="26"/>
  <c r="T49" i="26" s="1"/>
  <c r="V49" i="26"/>
  <c r="W49" i="26"/>
  <c r="H50" i="26"/>
  <c r="I50" i="26"/>
  <c r="K50" i="26"/>
  <c r="L50" i="26"/>
  <c r="M50" i="26"/>
  <c r="S50" i="26"/>
  <c r="U50" i="26"/>
  <c r="T50" i="26" s="1"/>
  <c r="V50" i="26"/>
  <c r="W50" i="26"/>
  <c r="H51" i="26"/>
  <c r="I51" i="26"/>
  <c r="K51" i="26"/>
  <c r="L51" i="26"/>
  <c r="M51" i="26"/>
  <c r="S51" i="26"/>
  <c r="U51" i="26"/>
  <c r="T51" i="26" s="1"/>
  <c r="V51" i="26"/>
  <c r="W51" i="26"/>
  <c r="H52" i="26"/>
  <c r="I52" i="26"/>
  <c r="K52" i="26"/>
  <c r="L52" i="26"/>
  <c r="M52" i="26"/>
  <c r="S52" i="26"/>
  <c r="U52" i="26"/>
  <c r="T52" i="26" s="1"/>
  <c r="V52" i="26"/>
  <c r="W52" i="26"/>
  <c r="H53" i="26"/>
  <c r="I53" i="26"/>
  <c r="K53" i="26"/>
  <c r="L53" i="26"/>
  <c r="M53" i="26"/>
  <c r="S53" i="26"/>
  <c r="U53" i="26"/>
  <c r="T53" i="26" s="1"/>
  <c r="V53" i="26"/>
  <c r="W53" i="26"/>
  <c r="H54" i="26"/>
  <c r="I54" i="26"/>
  <c r="K54" i="26"/>
  <c r="L54" i="26"/>
  <c r="M54" i="26"/>
  <c r="S54" i="26"/>
  <c r="U54" i="26"/>
  <c r="T54" i="26" s="1"/>
  <c r="V54" i="26"/>
  <c r="W54" i="26"/>
  <c r="H55" i="26"/>
  <c r="I55" i="26"/>
  <c r="K55" i="26"/>
  <c r="L55" i="26"/>
  <c r="M55" i="26"/>
  <c r="S55" i="26"/>
  <c r="U55" i="26"/>
  <c r="T55" i="26" s="1"/>
  <c r="V55" i="26"/>
  <c r="W55" i="26"/>
  <c r="H56" i="26"/>
  <c r="I56" i="26"/>
  <c r="K56" i="26"/>
  <c r="L56" i="26"/>
  <c r="M56" i="26"/>
  <c r="S56" i="26"/>
  <c r="U56" i="26"/>
  <c r="T56" i="26" s="1"/>
  <c r="V56" i="26"/>
  <c r="W56" i="26"/>
  <c r="H57" i="26"/>
  <c r="I57" i="26"/>
  <c r="K57" i="26"/>
  <c r="L57" i="26"/>
  <c r="M57" i="26"/>
  <c r="S57" i="26"/>
  <c r="U57" i="26"/>
  <c r="T57" i="26" s="1"/>
  <c r="V57" i="26"/>
  <c r="W57" i="26"/>
  <c r="H58" i="26"/>
  <c r="I58" i="26"/>
  <c r="K58" i="26"/>
  <c r="L58" i="26"/>
  <c r="M58" i="26"/>
  <c r="S58" i="26"/>
  <c r="U58" i="26"/>
  <c r="T58" i="26" s="1"/>
  <c r="V58" i="26"/>
  <c r="W58" i="26"/>
  <c r="H59" i="26"/>
  <c r="I59" i="26"/>
  <c r="K59" i="26"/>
  <c r="L59" i="26"/>
  <c r="M59" i="26"/>
  <c r="S59" i="26"/>
  <c r="U59" i="26"/>
  <c r="T59" i="26" s="1"/>
  <c r="V59" i="26"/>
  <c r="W59" i="26"/>
  <c r="H60" i="26"/>
  <c r="I60" i="26"/>
  <c r="K60" i="26"/>
  <c r="L60" i="26"/>
  <c r="M60" i="26"/>
  <c r="S60" i="26"/>
  <c r="U60" i="26"/>
  <c r="T60" i="26" s="1"/>
  <c r="V60" i="26"/>
  <c r="W60" i="26"/>
  <c r="H61" i="26"/>
  <c r="I61" i="26"/>
  <c r="K61" i="26"/>
  <c r="L61" i="26"/>
  <c r="M61" i="26"/>
  <c r="S61" i="26"/>
  <c r="U61" i="26"/>
  <c r="T61" i="26" s="1"/>
  <c r="V61" i="26"/>
  <c r="W61" i="26"/>
  <c r="H62" i="26"/>
  <c r="I62" i="26"/>
  <c r="K62" i="26"/>
  <c r="L62" i="26"/>
  <c r="M62" i="26"/>
  <c r="S62" i="26"/>
  <c r="U62" i="26"/>
  <c r="T62" i="26" s="1"/>
  <c r="V62" i="26"/>
  <c r="W62" i="26"/>
  <c r="H63" i="26"/>
  <c r="I63" i="26"/>
  <c r="K63" i="26"/>
  <c r="L63" i="26"/>
  <c r="M63" i="26"/>
  <c r="S63" i="26"/>
  <c r="U63" i="26"/>
  <c r="T63" i="26" s="1"/>
  <c r="V63" i="26"/>
  <c r="W63" i="26"/>
  <c r="H64" i="26"/>
  <c r="I64" i="26"/>
  <c r="K64" i="26"/>
  <c r="L64" i="26"/>
  <c r="M64" i="26"/>
  <c r="S64" i="26"/>
  <c r="U64" i="26"/>
  <c r="T64" i="26" s="1"/>
  <c r="V64" i="26"/>
  <c r="W64" i="26"/>
  <c r="H65" i="26"/>
  <c r="I65" i="26"/>
  <c r="K65" i="26"/>
  <c r="L65" i="26"/>
  <c r="M65" i="26"/>
  <c r="S65" i="26"/>
  <c r="U65" i="26"/>
  <c r="T65" i="26" s="1"/>
  <c r="V65" i="26"/>
  <c r="W65" i="26"/>
  <c r="H66" i="26"/>
  <c r="I66" i="26"/>
  <c r="K66" i="26"/>
  <c r="L66" i="26"/>
  <c r="M66" i="26"/>
  <c r="S66" i="26"/>
  <c r="U66" i="26"/>
  <c r="T66" i="26" s="1"/>
  <c r="V66" i="26"/>
  <c r="W66" i="26"/>
  <c r="H67" i="26"/>
  <c r="I67" i="26"/>
  <c r="K67" i="26"/>
  <c r="L67" i="26"/>
  <c r="M67" i="26"/>
  <c r="S67" i="26"/>
  <c r="U67" i="26"/>
  <c r="T67" i="26" s="1"/>
  <c r="V67" i="26"/>
  <c r="W67" i="26"/>
  <c r="H68" i="26"/>
  <c r="I68" i="26"/>
  <c r="K68" i="26"/>
  <c r="L68" i="26"/>
  <c r="M68" i="26"/>
  <c r="S68" i="26"/>
  <c r="U68" i="26"/>
  <c r="T68" i="26" s="1"/>
  <c r="V68" i="26"/>
  <c r="W68" i="26"/>
  <c r="H69" i="26"/>
  <c r="I69" i="26"/>
  <c r="K69" i="26"/>
  <c r="L69" i="26"/>
  <c r="M69" i="26"/>
  <c r="S69" i="26"/>
  <c r="U69" i="26"/>
  <c r="T69" i="26" s="1"/>
  <c r="V69" i="26"/>
  <c r="W69" i="26"/>
  <c r="H70" i="26"/>
  <c r="I70" i="26"/>
  <c r="K70" i="26"/>
  <c r="L70" i="26"/>
  <c r="M70" i="26"/>
  <c r="S70" i="26"/>
  <c r="U70" i="26"/>
  <c r="T70" i="26" s="1"/>
  <c r="V70" i="26"/>
  <c r="W70" i="26"/>
  <c r="H71" i="26"/>
  <c r="I71" i="26"/>
  <c r="K71" i="26"/>
  <c r="L71" i="26"/>
  <c r="M71" i="26"/>
  <c r="S71" i="26"/>
  <c r="U71" i="26"/>
  <c r="T71" i="26" s="1"/>
  <c r="V71" i="26"/>
  <c r="W71" i="26"/>
  <c r="H72" i="26"/>
  <c r="I72" i="26"/>
  <c r="K72" i="26"/>
  <c r="L72" i="26"/>
  <c r="M72" i="26"/>
  <c r="S72" i="26"/>
  <c r="U72" i="26"/>
  <c r="T72" i="26" s="1"/>
  <c r="V72" i="26"/>
  <c r="W72" i="26"/>
  <c r="H73" i="26"/>
  <c r="I73" i="26"/>
  <c r="K73" i="26"/>
  <c r="L73" i="26"/>
  <c r="M73" i="26"/>
  <c r="S73" i="26"/>
  <c r="U73" i="26"/>
  <c r="T73" i="26" s="1"/>
  <c r="V73" i="26"/>
  <c r="W73" i="26"/>
  <c r="H74" i="26"/>
  <c r="I74" i="26"/>
  <c r="K74" i="26"/>
  <c r="L74" i="26"/>
  <c r="M74" i="26"/>
  <c r="S74" i="26"/>
  <c r="U74" i="26"/>
  <c r="T74" i="26" s="1"/>
  <c r="V74" i="26"/>
  <c r="W74" i="26"/>
  <c r="H75" i="26"/>
  <c r="I75" i="26"/>
  <c r="K75" i="26"/>
  <c r="L75" i="26"/>
  <c r="M75" i="26"/>
  <c r="S75" i="26"/>
  <c r="U75" i="26"/>
  <c r="T75" i="26" s="1"/>
  <c r="V75" i="26"/>
  <c r="W75" i="26"/>
  <c r="H76" i="26"/>
  <c r="I76" i="26"/>
  <c r="K76" i="26"/>
  <c r="L76" i="26"/>
  <c r="M76" i="26"/>
  <c r="S76" i="26"/>
  <c r="U76" i="26"/>
  <c r="T76" i="26" s="1"/>
  <c r="V76" i="26"/>
  <c r="W76" i="26"/>
  <c r="H77" i="26"/>
  <c r="I77" i="26"/>
  <c r="K77" i="26"/>
  <c r="L77" i="26"/>
  <c r="M77" i="26"/>
  <c r="S77" i="26"/>
  <c r="U77" i="26"/>
  <c r="T77" i="26" s="1"/>
  <c r="V77" i="26"/>
  <c r="W77" i="26"/>
  <c r="H78" i="26"/>
  <c r="I78" i="26"/>
  <c r="K78" i="26"/>
  <c r="L78" i="26"/>
  <c r="M78" i="26"/>
  <c r="S78" i="26"/>
  <c r="U78" i="26"/>
  <c r="T78" i="26" s="1"/>
  <c r="V78" i="26"/>
  <c r="W78" i="26"/>
  <c r="H79" i="26"/>
  <c r="I79" i="26"/>
  <c r="K79" i="26"/>
  <c r="L79" i="26"/>
  <c r="M79" i="26"/>
  <c r="S79" i="26"/>
  <c r="U79" i="26"/>
  <c r="T79" i="26" s="1"/>
  <c r="V79" i="26"/>
  <c r="W79" i="26"/>
  <c r="H80" i="26"/>
  <c r="I80" i="26"/>
  <c r="K80" i="26"/>
  <c r="L80" i="26"/>
  <c r="M80" i="26"/>
  <c r="S80" i="26"/>
  <c r="U80" i="26"/>
  <c r="T80" i="26" s="1"/>
  <c r="V80" i="26"/>
  <c r="W80" i="26"/>
  <c r="F81" i="26"/>
  <c r="Q10" i="26" s="1"/>
  <c r="G81" i="26"/>
  <c r="H81" i="26"/>
  <c r="I81" i="26"/>
  <c r="Q2" i="26" s="1"/>
  <c r="K81" i="26"/>
  <c r="L81" i="26"/>
  <c r="M81" i="26"/>
  <c r="Q3" i="26" s="1"/>
  <c r="R81" i="26"/>
  <c r="S81" i="26"/>
  <c r="T81" i="26"/>
  <c r="U81" i="26"/>
  <c r="Q6" i="26" s="1"/>
  <c r="S19" i="34" l="1"/>
  <c r="S32" i="34"/>
  <c r="H77" i="34"/>
  <c r="L77" i="34" s="1"/>
  <c r="H18" i="34"/>
  <c r="L18" i="34" s="1"/>
  <c r="M18" i="34" s="1"/>
  <c r="H23" i="34"/>
  <c r="L23" i="34" s="1"/>
  <c r="M23" i="34" s="1"/>
  <c r="H25" i="34"/>
  <c r="L25" i="34" s="1"/>
  <c r="H27" i="34"/>
  <c r="L27" i="34" s="1"/>
  <c r="M27" i="34" s="1"/>
  <c r="H29" i="34"/>
  <c r="L29" i="34" s="1"/>
  <c r="H31" i="34"/>
  <c r="L31" i="34" s="1"/>
  <c r="M31" i="34" s="1"/>
  <c r="H40" i="34"/>
  <c r="L40" i="34" s="1"/>
  <c r="H44" i="34"/>
  <c r="L44" i="34" s="1"/>
  <c r="M44" i="34" s="1"/>
  <c r="H52" i="34"/>
  <c r="L52" i="34" s="1"/>
  <c r="M52" i="34" s="1"/>
  <c r="H56" i="34"/>
  <c r="L56" i="34" s="1"/>
  <c r="M56" i="34" s="1"/>
  <c r="H69" i="34"/>
  <c r="L69" i="34" s="1"/>
  <c r="H71" i="34"/>
  <c r="L71" i="34" s="1"/>
  <c r="H73" i="34"/>
  <c r="L73" i="34" s="1"/>
  <c r="M73" i="34" s="1"/>
  <c r="H75" i="34"/>
  <c r="L75" i="34" s="1"/>
  <c r="M75" i="34" s="1"/>
  <c r="H79" i="34"/>
  <c r="L79" i="34" s="1"/>
  <c r="H20" i="34"/>
  <c r="L20" i="34" s="1"/>
  <c r="M20" i="34" s="1"/>
  <c r="U20" i="34" s="1"/>
  <c r="T20" i="34" s="1"/>
  <c r="S21" i="34"/>
  <c r="H33" i="34"/>
  <c r="L33" i="34" s="1"/>
  <c r="M33" i="34" s="1"/>
  <c r="H35" i="34"/>
  <c r="L35" i="34" s="1"/>
  <c r="H37" i="34"/>
  <c r="L37" i="34" s="1"/>
  <c r="M37" i="34" s="1"/>
  <c r="S38" i="34"/>
  <c r="H46" i="34"/>
  <c r="L46" i="34" s="1"/>
  <c r="M46" i="34" s="1"/>
  <c r="H49" i="34"/>
  <c r="L49" i="34" s="1"/>
  <c r="S50" i="34"/>
  <c r="H58" i="34"/>
  <c r="L58" i="34" s="1"/>
  <c r="M58" i="34" s="1"/>
  <c r="H60" i="34"/>
  <c r="L60" i="34" s="1"/>
  <c r="M60" i="34" s="1"/>
  <c r="H62" i="34"/>
  <c r="L62" i="34" s="1"/>
  <c r="H64" i="34"/>
  <c r="L64" i="34" s="1"/>
  <c r="M64" i="34" s="1"/>
  <c r="H66" i="34"/>
  <c r="L66" i="34" s="1"/>
  <c r="M66" i="34" s="1"/>
  <c r="H68" i="34"/>
  <c r="L68" i="34" s="1"/>
  <c r="H19" i="34"/>
  <c r="L19" i="34" s="1"/>
  <c r="H22" i="34"/>
  <c r="L22" i="34" s="1"/>
  <c r="H24" i="34"/>
  <c r="L24" i="34" s="1"/>
  <c r="M24" i="34" s="1"/>
  <c r="H26" i="34"/>
  <c r="L26" i="34" s="1"/>
  <c r="M26" i="34" s="1"/>
  <c r="H28" i="34"/>
  <c r="L28" i="34" s="1"/>
  <c r="H30" i="34"/>
  <c r="L30" i="34" s="1"/>
  <c r="M30" i="34" s="1"/>
  <c r="H32" i="34"/>
  <c r="L32" i="34" s="1"/>
  <c r="M32" i="34" s="1"/>
  <c r="U32" i="34" s="1"/>
  <c r="T32" i="34" s="1"/>
  <c r="H39" i="34"/>
  <c r="L39" i="34" s="1"/>
  <c r="H41" i="34"/>
  <c r="L41" i="34" s="1"/>
  <c r="H43" i="34"/>
  <c r="L43" i="34" s="1"/>
  <c r="S44" i="34"/>
  <c r="H51" i="34"/>
  <c r="L51" i="34" s="1"/>
  <c r="M51" i="34" s="1"/>
  <c r="H53" i="34"/>
  <c r="L53" i="34" s="1"/>
  <c r="H55" i="34"/>
  <c r="L55" i="34" s="1"/>
  <c r="M55" i="34" s="1"/>
  <c r="S56" i="34"/>
  <c r="W56" i="34" s="1"/>
  <c r="H70" i="34"/>
  <c r="L70" i="34" s="1"/>
  <c r="M70" i="34" s="1"/>
  <c r="H72" i="34"/>
  <c r="L72" i="34" s="1"/>
  <c r="H74" i="34"/>
  <c r="L74" i="34" s="1"/>
  <c r="H76" i="34"/>
  <c r="L76" i="34" s="1"/>
  <c r="M76" i="34" s="1"/>
  <c r="H78" i="34"/>
  <c r="L78" i="34" s="1"/>
  <c r="H80" i="34"/>
  <c r="L80" i="34" s="1"/>
  <c r="H42" i="34"/>
  <c r="L42" i="34" s="1"/>
  <c r="H54" i="34"/>
  <c r="L54" i="34" s="1"/>
  <c r="M54" i="34" s="1"/>
  <c r="H21" i="34"/>
  <c r="L21" i="34" s="1"/>
  <c r="M21" i="34" s="1"/>
  <c r="H34" i="34"/>
  <c r="L34" i="34" s="1"/>
  <c r="H36" i="34"/>
  <c r="L36" i="34" s="1"/>
  <c r="H38" i="34"/>
  <c r="L38" i="34" s="1"/>
  <c r="M38" i="34" s="1"/>
  <c r="U38" i="34" s="1"/>
  <c r="T38" i="34" s="1"/>
  <c r="H45" i="34"/>
  <c r="L45" i="34" s="1"/>
  <c r="M45" i="34" s="1"/>
  <c r="H48" i="34"/>
  <c r="L48" i="34" s="1"/>
  <c r="H50" i="34"/>
  <c r="L50" i="34" s="1"/>
  <c r="M50" i="34" s="1"/>
  <c r="U50" i="34" s="1"/>
  <c r="T50" i="34" s="1"/>
  <c r="H57" i="34"/>
  <c r="L57" i="34" s="1"/>
  <c r="M57" i="34" s="1"/>
  <c r="H59" i="34"/>
  <c r="L59" i="34" s="1"/>
  <c r="M59" i="34" s="1"/>
  <c r="H61" i="34"/>
  <c r="L61" i="34" s="1"/>
  <c r="H63" i="34"/>
  <c r="L63" i="34" s="1"/>
  <c r="H65" i="34"/>
  <c r="L65" i="34" s="1"/>
  <c r="S68" i="34"/>
  <c r="H73" i="43"/>
  <c r="H64" i="43"/>
  <c r="H46" i="43"/>
  <c r="H37" i="43"/>
  <c r="H28" i="43"/>
  <c r="H19" i="43"/>
  <c r="S76" i="43"/>
  <c r="V76" i="43" s="1"/>
  <c r="S75" i="43"/>
  <c r="S72" i="43"/>
  <c r="V72" i="43" s="1"/>
  <c r="S70" i="43"/>
  <c r="V70" i="43" s="1"/>
  <c r="S69" i="43"/>
  <c r="S66" i="43"/>
  <c r="V66" i="43" s="1"/>
  <c r="S64" i="43"/>
  <c r="V64" i="43" s="1"/>
  <c r="S63" i="43"/>
  <c r="S60" i="43"/>
  <c r="V60" i="43" s="1"/>
  <c r="S58" i="43"/>
  <c r="V58" i="43" s="1"/>
  <c r="S57" i="43"/>
  <c r="S54" i="43"/>
  <c r="S52" i="43"/>
  <c r="S51" i="43"/>
  <c r="S48" i="43"/>
  <c r="S46" i="43"/>
  <c r="S45" i="43"/>
  <c r="S42" i="43"/>
  <c r="S40" i="43"/>
  <c r="S39" i="43"/>
  <c r="S36" i="43"/>
  <c r="S34" i="43"/>
  <c r="V34" i="43" s="1"/>
  <c r="S33" i="43"/>
  <c r="S30" i="43"/>
  <c r="S28" i="43"/>
  <c r="S27" i="43"/>
  <c r="S24" i="43"/>
  <c r="S22" i="43"/>
  <c r="S21" i="43"/>
  <c r="S18" i="43"/>
  <c r="I77" i="43"/>
  <c r="I80" i="43"/>
  <c r="I79" i="43"/>
  <c r="I76" i="43"/>
  <c r="I74" i="43"/>
  <c r="I73" i="43"/>
  <c r="I70" i="43"/>
  <c r="I68" i="43"/>
  <c r="I67" i="43"/>
  <c r="I64" i="43"/>
  <c r="I62" i="43"/>
  <c r="I61" i="43"/>
  <c r="I46" i="43"/>
  <c r="I44" i="43"/>
  <c r="I43" i="43"/>
  <c r="I40" i="43"/>
  <c r="I38" i="43"/>
  <c r="I37" i="43"/>
  <c r="I34" i="43"/>
  <c r="I32" i="43"/>
  <c r="I31" i="43"/>
  <c r="I28" i="43"/>
  <c r="I26" i="43"/>
  <c r="I22" i="43"/>
  <c r="I20" i="43"/>
  <c r="I19" i="43"/>
  <c r="U27" i="43"/>
  <c r="T27" i="43" s="1"/>
  <c r="U28" i="43"/>
  <c r="T28" i="43" s="1"/>
  <c r="U40" i="43"/>
  <c r="T40" i="43" s="1"/>
  <c r="M42" i="43"/>
  <c r="M45" i="43"/>
  <c r="U46" i="43"/>
  <c r="T46" i="43" s="1"/>
  <c r="U48" i="43"/>
  <c r="T48" i="43" s="1"/>
  <c r="U58" i="43"/>
  <c r="T58" i="43" s="1"/>
  <c r="W58" i="43"/>
  <c r="U63" i="43"/>
  <c r="T63" i="43" s="1"/>
  <c r="U64" i="43"/>
  <c r="T64" i="43" s="1"/>
  <c r="W64" i="43"/>
  <c r="U66" i="43"/>
  <c r="T66" i="43" s="1"/>
  <c r="W70" i="43"/>
  <c r="U72" i="43"/>
  <c r="T72" i="43" s="1"/>
  <c r="W76" i="43"/>
  <c r="Q7" i="102"/>
  <c r="W14" i="102"/>
  <c r="Q9" i="102" s="1"/>
  <c r="Q4" i="102"/>
  <c r="Q5" i="102"/>
  <c r="Q7" i="100"/>
  <c r="W14" i="100"/>
  <c r="Q9" i="100" s="1"/>
  <c r="Q4" i="100"/>
  <c r="Q5" i="100"/>
  <c r="H80" i="98"/>
  <c r="L80" i="98" s="1"/>
  <c r="H79" i="98"/>
  <c r="L79" i="98" s="1"/>
  <c r="H78" i="98"/>
  <c r="L78" i="98" s="1"/>
  <c r="H77" i="98"/>
  <c r="L77" i="98" s="1"/>
  <c r="H76" i="98"/>
  <c r="L76" i="98" s="1"/>
  <c r="H75" i="98"/>
  <c r="L75" i="98" s="1"/>
  <c r="H74" i="98"/>
  <c r="L74" i="98" s="1"/>
  <c r="H73" i="98"/>
  <c r="L73" i="98" s="1"/>
  <c r="H72" i="98"/>
  <c r="L72" i="98" s="1"/>
  <c r="H71" i="98"/>
  <c r="L71" i="98" s="1"/>
  <c r="H70" i="98"/>
  <c r="L70" i="98" s="1"/>
  <c r="H69" i="98"/>
  <c r="L69" i="98" s="1"/>
  <c r="H68" i="98"/>
  <c r="L68" i="98" s="1"/>
  <c r="H67" i="98"/>
  <c r="L67" i="98" s="1"/>
  <c r="H66" i="98"/>
  <c r="L66" i="98" s="1"/>
  <c r="H65" i="98"/>
  <c r="L65" i="98" s="1"/>
  <c r="H64" i="98"/>
  <c r="L64" i="98" s="1"/>
  <c r="H63" i="98"/>
  <c r="L63" i="98" s="1"/>
  <c r="H62" i="98"/>
  <c r="L62" i="98" s="1"/>
  <c r="H61" i="98"/>
  <c r="L61" i="98" s="1"/>
  <c r="H60" i="98"/>
  <c r="L60" i="98" s="1"/>
  <c r="H59" i="98"/>
  <c r="L59" i="98" s="1"/>
  <c r="H58" i="98"/>
  <c r="L58" i="98" s="1"/>
  <c r="H57" i="98"/>
  <c r="L57" i="98" s="1"/>
  <c r="H56" i="98"/>
  <c r="L56" i="98" s="1"/>
  <c r="H55" i="98"/>
  <c r="L55" i="98" s="1"/>
  <c r="H54" i="98"/>
  <c r="L54" i="98" s="1"/>
  <c r="H53" i="98"/>
  <c r="L53" i="98" s="1"/>
  <c r="H52" i="98"/>
  <c r="L52" i="98" s="1"/>
  <c r="H51" i="98"/>
  <c r="L51" i="98" s="1"/>
  <c r="H50" i="98"/>
  <c r="L50" i="98" s="1"/>
  <c r="H49" i="98"/>
  <c r="L49" i="98" s="1"/>
  <c r="H48" i="98"/>
  <c r="L48" i="98" s="1"/>
  <c r="H47" i="98"/>
  <c r="L47" i="98" s="1"/>
  <c r="H46" i="98"/>
  <c r="L46" i="98" s="1"/>
  <c r="H45" i="98"/>
  <c r="L45" i="98" s="1"/>
  <c r="H44" i="98"/>
  <c r="L44" i="98" s="1"/>
  <c r="H43" i="98"/>
  <c r="L43" i="98" s="1"/>
  <c r="H42" i="98"/>
  <c r="L42" i="98" s="1"/>
  <c r="H41" i="98"/>
  <c r="L41" i="98" s="1"/>
  <c r="H40" i="98"/>
  <c r="L40" i="98" s="1"/>
  <c r="H39" i="98"/>
  <c r="L39" i="98" s="1"/>
  <c r="H38" i="98"/>
  <c r="L38" i="98" s="1"/>
  <c r="H37" i="98"/>
  <c r="L37" i="98" s="1"/>
  <c r="H36" i="98"/>
  <c r="L36" i="98" s="1"/>
  <c r="H35" i="98"/>
  <c r="L35" i="98" s="1"/>
  <c r="H34" i="98"/>
  <c r="L34" i="98" s="1"/>
  <c r="H33" i="98"/>
  <c r="L33" i="98" s="1"/>
  <c r="H32" i="98"/>
  <c r="L32" i="98" s="1"/>
  <c r="H31" i="98"/>
  <c r="L31" i="98" s="1"/>
  <c r="H30" i="98"/>
  <c r="L30" i="98" s="1"/>
  <c r="H29" i="98"/>
  <c r="L29" i="98" s="1"/>
  <c r="H28" i="98"/>
  <c r="L28" i="98" s="1"/>
  <c r="H27" i="98"/>
  <c r="L27" i="98" s="1"/>
  <c r="H26" i="98"/>
  <c r="L26" i="98" s="1"/>
  <c r="H25" i="98"/>
  <c r="L25" i="98" s="1"/>
  <c r="H24" i="98"/>
  <c r="L24" i="98" s="1"/>
  <c r="H23" i="98"/>
  <c r="L23" i="98" s="1"/>
  <c r="H22" i="98"/>
  <c r="L22" i="98" s="1"/>
  <c r="H21" i="98"/>
  <c r="L21" i="98" s="1"/>
  <c r="H20" i="98"/>
  <c r="L20" i="98" s="1"/>
  <c r="H19" i="98"/>
  <c r="L19" i="98" s="1"/>
  <c r="H18" i="98"/>
  <c r="H81" i="98"/>
  <c r="L18" i="98"/>
  <c r="M19" i="98"/>
  <c r="M20" i="98"/>
  <c r="M21" i="98"/>
  <c r="M22" i="98"/>
  <c r="M23" i="98"/>
  <c r="M24" i="98"/>
  <c r="M25" i="98"/>
  <c r="M26" i="98"/>
  <c r="M27" i="98"/>
  <c r="M28" i="98"/>
  <c r="M29" i="98"/>
  <c r="M30" i="98"/>
  <c r="M31" i="98"/>
  <c r="M32" i="98"/>
  <c r="M33" i="98"/>
  <c r="M34" i="98"/>
  <c r="M35" i="98"/>
  <c r="M36" i="98"/>
  <c r="M37" i="98"/>
  <c r="M38" i="98"/>
  <c r="M39" i="98"/>
  <c r="M40" i="98"/>
  <c r="M41" i="98"/>
  <c r="M42" i="98"/>
  <c r="M43" i="98"/>
  <c r="M44" i="98"/>
  <c r="M45" i="98"/>
  <c r="M46" i="98"/>
  <c r="M47" i="98"/>
  <c r="M48" i="98"/>
  <c r="M49" i="98"/>
  <c r="M50" i="98"/>
  <c r="M51" i="98"/>
  <c r="M52" i="98"/>
  <c r="M53" i="98"/>
  <c r="M54" i="98"/>
  <c r="M55" i="98"/>
  <c r="M56" i="98"/>
  <c r="M57" i="98"/>
  <c r="M58" i="98"/>
  <c r="M59" i="98"/>
  <c r="M60" i="98"/>
  <c r="M61" i="98"/>
  <c r="M62" i="98"/>
  <c r="M63" i="98"/>
  <c r="M64" i="98"/>
  <c r="M65" i="98"/>
  <c r="M66" i="98"/>
  <c r="M67" i="98"/>
  <c r="M68" i="98"/>
  <c r="M69" i="98"/>
  <c r="M70" i="98"/>
  <c r="M71" i="98"/>
  <c r="M72" i="98"/>
  <c r="M73" i="98"/>
  <c r="M74" i="98"/>
  <c r="M75" i="98"/>
  <c r="M76" i="98"/>
  <c r="M77" i="98"/>
  <c r="M78" i="98"/>
  <c r="M79" i="98"/>
  <c r="M80" i="98"/>
  <c r="V30" i="46"/>
  <c r="H19" i="99"/>
  <c r="H20" i="99"/>
  <c r="H21" i="99"/>
  <c r="H22" i="99"/>
  <c r="H23" i="99"/>
  <c r="H24" i="99"/>
  <c r="H25" i="99"/>
  <c r="H26" i="99"/>
  <c r="H27" i="99"/>
  <c r="H28" i="99"/>
  <c r="H29" i="99"/>
  <c r="H30" i="99"/>
  <c r="H31" i="99"/>
  <c r="H32" i="99"/>
  <c r="H33" i="99"/>
  <c r="H34" i="99"/>
  <c r="H35" i="99"/>
  <c r="H36" i="99"/>
  <c r="H37" i="99"/>
  <c r="H38" i="99"/>
  <c r="H39" i="99"/>
  <c r="H40" i="99"/>
  <c r="H41" i="99"/>
  <c r="H42" i="99"/>
  <c r="H43" i="99"/>
  <c r="H44" i="99"/>
  <c r="H45" i="99"/>
  <c r="H46" i="99"/>
  <c r="H47" i="99"/>
  <c r="H48" i="99"/>
  <c r="H49" i="99"/>
  <c r="H50" i="99"/>
  <c r="H51" i="99"/>
  <c r="H52" i="99"/>
  <c r="H53" i="99"/>
  <c r="H54" i="99"/>
  <c r="H55" i="99"/>
  <c r="H56" i="99"/>
  <c r="H57" i="99"/>
  <c r="H58" i="99"/>
  <c r="H59" i="99"/>
  <c r="H60" i="99"/>
  <c r="H61" i="99"/>
  <c r="H62" i="99"/>
  <c r="H63" i="99"/>
  <c r="H64" i="99"/>
  <c r="H65" i="99"/>
  <c r="H66" i="99"/>
  <c r="H67" i="99"/>
  <c r="H68" i="99"/>
  <c r="H69" i="99"/>
  <c r="H70" i="99"/>
  <c r="H71" i="99"/>
  <c r="H72" i="99"/>
  <c r="H73" i="99"/>
  <c r="H74" i="99"/>
  <c r="H75" i="99"/>
  <c r="H76" i="99"/>
  <c r="H77" i="99"/>
  <c r="H78" i="99"/>
  <c r="H79" i="99"/>
  <c r="H80" i="99"/>
  <c r="H81" i="99"/>
  <c r="I80" i="98"/>
  <c r="I79" i="98"/>
  <c r="I78" i="98"/>
  <c r="I77" i="98"/>
  <c r="I76" i="98"/>
  <c r="I75" i="98"/>
  <c r="I74" i="98"/>
  <c r="I73" i="98"/>
  <c r="I72" i="98"/>
  <c r="I71" i="98"/>
  <c r="I70" i="98"/>
  <c r="I69" i="98"/>
  <c r="I68" i="98"/>
  <c r="I67" i="98"/>
  <c r="I66" i="98"/>
  <c r="I65" i="98"/>
  <c r="I64" i="98"/>
  <c r="I63" i="98"/>
  <c r="I62" i="98"/>
  <c r="I61" i="98"/>
  <c r="I60" i="98"/>
  <c r="I59" i="98"/>
  <c r="I58" i="98"/>
  <c r="I57" i="98"/>
  <c r="I56" i="98"/>
  <c r="I55" i="98"/>
  <c r="I54" i="98"/>
  <c r="I53" i="98"/>
  <c r="I52" i="98"/>
  <c r="I51" i="98"/>
  <c r="I50" i="98"/>
  <c r="I49" i="98"/>
  <c r="I48" i="98"/>
  <c r="I47" i="98"/>
  <c r="I46" i="98"/>
  <c r="I45" i="98"/>
  <c r="I44" i="98"/>
  <c r="I43" i="98"/>
  <c r="I42" i="98"/>
  <c r="I41" i="98"/>
  <c r="I40" i="98"/>
  <c r="I39" i="98"/>
  <c r="I38" i="98"/>
  <c r="I37" i="98"/>
  <c r="I36" i="98"/>
  <c r="I35" i="98"/>
  <c r="I34" i="98"/>
  <c r="I33" i="98"/>
  <c r="I32" i="98"/>
  <c r="I31" i="98"/>
  <c r="I30" i="98"/>
  <c r="I29" i="98"/>
  <c r="I28" i="98"/>
  <c r="I27" i="98"/>
  <c r="I26" i="98"/>
  <c r="I25" i="98"/>
  <c r="I24" i="98"/>
  <c r="I23" i="98"/>
  <c r="I22" i="98"/>
  <c r="I21" i="98"/>
  <c r="I20" i="98"/>
  <c r="I19" i="98"/>
  <c r="I18" i="98"/>
  <c r="I81" i="98" s="1"/>
  <c r="Q2" i="98" s="1"/>
  <c r="S80" i="98"/>
  <c r="S79" i="98"/>
  <c r="S78" i="98"/>
  <c r="S77" i="98"/>
  <c r="S76" i="98"/>
  <c r="S75" i="98"/>
  <c r="S74" i="98"/>
  <c r="S73" i="98"/>
  <c r="S72" i="98"/>
  <c r="S71" i="98"/>
  <c r="S70" i="98"/>
  <c r="S69" i="98"/>
  <c r="S68" i="98"/>
  <c r="S67" i="98"/>
  <c r="S66" i="98"/>
  <c r="S65" i="98"/>
  <c r="S64" i="98"/>
  <c r="S63" i="98"/>
  <c r="S62" i="98"/>
  <c r="S61" i="98"/>
  <c r="S60" i="98"/>
  <c r="S59" i="98"/>
  <c r="S58" i="98"/>
  <c r="S57" i="98"/>
  <c r="S56" i="98"/>
  <c r="S55" i="98"/>
  <c r="S54" i="98"/>
  <c r="S53" i="98"/>
  <c r="S52" i="98"/>
  <c r="S51" i="98"/>
  <c r="S50" i="98"/>
  <c r="S49" i="98"/>
  <c r="S48" i="98"/>
  <c r="S47" i="98"/>
  <c r="S46" i="98"/>
  <c r="S45" i="98"/>
  <c r="S44" i="98"/>
  <c r="S43" i="98"/>
  <c r="S42" i="98"/>
  <c r="S41" i="98"/>
  <c r="S40" i="98"/>
  <c r="S39" i="98"/>
  <c r="S38" i="98"/>
  <c r="S37" i="98"/>
  <c r="S36" i="98"/>
  <c r="S35" i="98"/>
  <c r="S34" i="98"/>
  <c r="S33" i="98"/>
  <c r="S32" i="98"/>
  <c r="S31" i="98"/>
  <c r="S30" i="98"/>
  <c r="S29" i="98"/>
  <c r="S28" i="98"/>
  <c r="S27" i="98"/>
  <c r="S26" i="98"/>
  <c r="S25" i="98"/>
  <c r="S24" i="98"/>
  <c r="S23" i="98"/>
  <c r="S22" i="98"/>
  <c r="S21" i="98"/>
  <c r="S20" i="98"/>
  <c r="S19" i="98"/>
  <c r="S18" i="98"/>
  <c r="S81" i="98" s="1"/>
  <c r="K81" i="98"/>
  <c r="M18" i="98"/>
  <c r="L81" i="98"/>
  <c r="W18" i="98"/>
  <c r="V18" i="98"/>
  <c r="U19" i="98"/>
  <c r="T19" i="98" s="1"/>
  <c r="W19" i="98"/>
  <c r="V19" i="98"/>
  <c r="U20" i="98"/>
  <c r="T20" i="98" s="1"/>
  <c r="W20" i="98"/>
  <c r="V20" i="98"/>
  <c r="U21" i="98"/>
  <c r="T21" i="98" s="1"/>
  <c r="W21" i="98"/>
  <c r="V21" i="98"/>
  <c r="U22" i="98"/>
  <c r="T22" i="98" s="1"/>
  <c r="W22" i="98"/>
  <c r="V22" i="98"/>
  <c r="U23" i="98"/>
  <c r="T23" i="98" s="1"/>
  <c r="W23" i="98"/>
  <c r="V23" i="98"/>
  <c r="U24" i="98"/>
  <c r="T24" i="98" s="1"/>
  <c r="W24" i="98"/>
  <c r="V24" i="98"/>
  <c r="U25" i="98"/>
  <c r="T25" i="98" s="1"/>
  <c r="W25" i="98"/>
  <c r="V25" i="98"/>
  <c r="U26" i="98"/>
  <c r="T26" i="98" s="1"/>
  <c r="W26" i="98"/>
  <c r="V26" i="98"/>
  <c r="U27" i="98"/>
  <c r="T27" i="98" s="1"/>
  <c r="W27" i="98"/>
  <c r="V27" i="98"/>
  <c r="U28" i="98"/>
  <c r="T28" i="98" s="1"/>
  <c r="W28" i="98"/>
  <c r="V28" i="98"/>
  <c r="U29" i="98"/>
  <c r="T29" i="98" s="1"/>
  <c r="W29" i="98"/>
  <c r="V29" i="98"/>
  <c r="U30" i="98"/>
  <c r="T30" i="98" s="1"/>
  <c r="W30" i="98"/>
  <c r="V30" i="98"/>
  <c r="U31" i="98"/>
  <c r="T31" i="98" s="1"/>
  <c r="W31" i="98"/>
  <c r="V31" i="98"/>
  <c r="U32" i="98"/>
  <c r="T32" i="98" s="1"/>
  <c r="W32" i="98"/>
  <c r="V32" i="98"/>
  <c r="U33" i="98"/>
  <c r="T33" i="98" s="1"/>
  <c r="W33" i="98"/>
  <c r="V33" i="98"/>
  <c r="U34" i="98"/>
  <c r="T34" i="98" s="1"/>
  <c r="W34" i="98"/>
  <c r="V34" i="98"/>
  <c r="U35" i="98"/>
  <c r="T35" i="98" s="1"/>
  <c r="W35" i="98"/>
  <c r="V35" i="98"/>
  <c r="U36" i="98"/>
  <c r="T36" i="98" s="1"/>
  <c r="W36" i="98"/>
  <c r="V36" i="98"/>
  <c r="U37" i="98"/>
  <c r="T37" i="98" s="1"/>
  <c r="W37" i="98"/>
  <c r="V37" i="98"/>
  <c r="U38" i="98"/>
  <c r="T38" i="98" s="1"/>
  <c r="W38" i="98"/>
  <c r="V38" i="98"/>
  <c r="U39" i="98"/>
  <c r="T39" i="98" s="1"/>
  <c r="W39" i="98"/>
  <c r="V39" i="98"/>
  <c r="U40" i="98"/>
  <c r="T40" i="98" s="1"/>
  <c r="W40" i="98"/>
  <c r="V40" i="98"/>
  <c r="U41" i="98"/>
  <c r="T41" i="98" s="1"/>
  <c r="W41" i="98"/>
  <c r="V41" i="98"/>
  <c r="U42" i="98"/>
  <c r="T42" i="98" s="1"/>
  <c r="W42" i="98"/>
  <c r="V42" i="98"/>
  <c r="U43" i="98"/>
  <c r="T43" i="98" s="1"/>
  <c r="W43" i="98"/>
  <c r="V43" i="98"/>
  <c r="U44" i="98"/>
  <c r="T44" i="98" s="1"/>
  <c r="W44" i="98"/>
  <c r="V44" i="98"/>
  <c r="U45" i="98"/>
  <c r="T45" i="98" s="1"/>
  <c r="W45" i="98"/>
  <c r="V45" i="98"/>
  <c r="U46" i="98"/>
  <c r="T46" i="98" s="1"/>
  <c r="W46" i="98"/>
  <c r="V46" i="98"/>
  <c r="U47" i="98"/>
  <c r="T47" i="98" s="1"/>
  <c r="W47" i="98"/>
  <c r="V47" i="98"/>
  <c r="U48" i="98"/>
  <c r="T48" i="98" s="1"/>
  <c r="W48" i="98"/>
  <c r="V48" i="98"/>
  <c r="U49" i="98"/>
  <c r="T49" i="98" s="1"/>
  <c r="W49" i="98"/>
  <c r="V49" i="98"/>
  <c r="U50" i="98"/>
  <c r="T50" i="98" s="1"/>
  <c r="W50" i="98"/>
  <c r="V50" i="98"/>
  <c r="U51" i="98"/>
  <c r="T51" i="98" s="1"/>
  <c r="W51" i="98"/>
  <c r="V51" i="98"/>
  <c r="U52" i="98"/>
  <c r="T52" i="98" s="1"/>
  <c r="W52" i="98"/>
  <c r="V52" i="98"/>
  <c r="U53" i="98"/>
  <c r="T53" i="98" s="1"/>
  <c r="W53" i="98"/>
  <c r="V53" i="98"/>
  <c r="U54" i="98"/>
  <c r="T54" i="98" s="1"/>
  <c r="W54" i="98"/>
  <c r="V54" i="98"/>
  <c r="U55" i="98"/>
  <c r="T55" i="98" s="1"/>
  <c r="W55" i="98"/>
  <c r="V55" i="98"/>
  <c r="U56" i="98"/>
  <c r="T56" i="98" s="1"/>
  <c r="W56" i="98"/>
  <c r="V56" i="98"/>
  <c r="U57" i="98"/>
  <c r="T57" i="98" s="1"/>
  <c r="W57" i="98"/>
  <c r="V57" i="98"/>
  <c r="U58" i="98"/>
  <c r="T58" i="98" s="1"/>
  <c r="W58" i="98"/>
  <c r="V58" i="98"/>
  <c r="U59" i="98"/>
  <c r="T59" i="98" s="1"/>
  <c r="W59" i="98"/>
  <c r="V59" i="98"/>
  <c r="U60" i="98"/>
  <c r="T60" i="98" s="1"/>
  <c r="W60" i="98"/>
  <c r="V60" i="98"/>
  <c r="U61" i="98"/>
  <c r="T61" i="98" s="1"/>
  <c r="W61" i="98"/>
  <c r="V61" i="98"/>
  <c r="U62" i="98"/>
  <c r="T62" i="98" s="1"/>
  <c r="W62" i="98"/>
  <c r="V62" i="98"/>
  <c r="U63" i="98"/>
  <c r="T63" i="98" s="1"/>
  <c r="W63" i="98"/>
  <c r="V63" i="98"/>
  <c r="U64" i="98"/>
  <c r="T64" i="98" s="1"/>
  <c r="W64" i="98"/>
  <c r="V64" i="98"/>
  <c r="U65" i="98"/>
  <c r="T65" i="98" s="1"/>
  <c r="W65" i="98"/>
  <c r="V65" i="98"/>
  <c r="U66" i="98"/>
  <c r="T66" i="98" s="1"/>
  <c r="W66" i="98"/>
  <c r="V66" i="98"/>
  <c r="U67" i="98"/>
  <c r="T67" i="98" s="1"/>
  <c r="W67" i="98"/>
  <c r="V67" i="98"/>
  <c r="U68" i="98"/>
  <c r="T68" i="98" s="1"/>
  <c r="W68" i="98"/>
  <c r="V68" i="98"/>
  <c r="U69" i="98"/>
  <c r="T69" i="98" s="1"/>
  <c r="W69" i="98"/>
  <c r="V69" i="98"/>
  <c r="U70" i="98"/>
  <c r="T70" i="98" s="1"/>
  <c r="W70" i="98"/>
  <c r="V70" i="98"/>
  <c r="U71" i="98"/>
  <c r="T71" i="98" s="1"/>
  <c r="W71" i="98"/>
  <c r="V71" i="98"/>
  <c r="U72" i="98"/>
  <c r="T72" i="98" s="1"/>
  <c r="W72" i="98"/>
  <c r="V72" i="98"/>
  <c r="U73" i="98"/>
  <c r="T73" i="98" s="1"/>
  <c r="W73" i="98"/>
  <c r="V73" i="98"/>
  <c r="U74" i="98"/>
  <c r="T74" i="98" s="1"/>
  <c r="W74" i="98"/>
  <c r="V74" i="98"/>
  <c r="U75" i="98"/>
  <c r="T75" i="98" s="1"/>
  <c r="W75" i="98"/>
  <c r="V75" i="98"/>
  <c r="U76" i="98"/>
  <c r="T76" i="98" s="1"/>
  <c r="W76" i="98"/>
  <c r="V76" i="98"/>
  <c r="U77" i="98"/>
  <c r="T77" i="98" s="1"/>
  <c r="W77" i="98"/>
  <c r="V77" i="98"/>
  <c r="U78" i="98"/>
  <c r="T78" i="98" s="1"/>
  <c r="W78" i="98"/>
  <c r="V78" i="98"/>
  <c r="U79" i="98"/>
  <c r="T79" i="98" s="1"/>
  <c r="W79" i="98"/>
  <c r="V79" i="98"/>
  <c r="U80" i="98"/>
  <c r="T80" i="98" s="1"/>
  <c r="W80" i="98"/>
  <c r="V80" i="98"/>
  <c r="H19" i="97"/>
  <c r="H20" i="97"/>
  <c r="H21" i="97"/>
  <c r="H22" i="97"/>
  <c r="H23" i="97"/>
  <c r="H24" i="97"/>
  <c r="H25" i="97"/>
  <c r="H26" i="97"/>
  <c r="H27" i="97"/>
  <c r="H28" i="97"/>
  <c r="H29" i="97"/>
  <c r="H30" i="97"/>
  <c r="H31" i="97"/>
  <c r="H32" i="97"/>
  <c r="H33" i="97"/>
  <c r="H34" i="97"/>
  <c r="H35" i="97"/>
  <c r="H36" i="97"/>
  <c r="H37" i="97"/>
  <c r="H38" i="97"/>
  <c r="H39" i="97"/>
  <c r="H40" i="97"/>
  <c r="H41" i="97"/>
  <c r="H42" i="97"/>
  <c r="H43" i="97"/>
  <c r="H44" i="97"/>
  <c r="H45" i="97"/>
  <c r="H46" i="97"/>
  <c r="H47" i="97"/>
  <c r="H48" i="97"/>
  <c r="H49" i="97"/>
  <c r="H50" i="97"/>
  <c r="H51" i="97"/>
  <c r="H52" i="97"/>
  <c r="H53" i="97"/>
  <c r="H54" i="97"/>
  <c r="H55" i="97"/>
  <c r="H56" i="97"/>
  <c r="H57" i="97"/>
  <c r="H58" i="97"/>
  <c r="H59" i="97"/>
  <c r="H60" i="97"/>
  <c r="H61" i="97"/>
  <c r="H62" i="97"/>
  <c r="H63" i="97"/>
  <c r="H64" i="97"/>
  <c r="H65" i="97"/>
  <c r="H66" i="97"/>
  <c r="H67" i="97"/>
  <c r="H68" i="97"/>
  <c r="H69" i="97"/>
  <c r="H70" i="97"/>
  <c r="H71" i="97"/>
  <c r="H72" i="97"/>
  <c r="H73" i="97"/>
  <c r="H74" i="97"/>
  <c r="H75" i="97"/>
  <c r="H76" i="97"/>
  <c r="H77" i="97"/>
  <c r="H78" i="97"/>
  <c r="H79" i="97"/>
  <c r="H80" i="97"/>
  <c r="H81" i="97"/>
  <c r="H19" i="96"/>
  <c r="H20" i="96"/>
  <c r="H21" i="96"/>
  <c r="H22" i="96"/>
  <c r="H23" i="96"/>
  <c r="H24" i="96"/>
  <c r="H25" i="96"/>
  <c r="H26" i="96"/>
  <c r="H27" i="96"/>
  <c r="H28" i="96"/>
  <c r="H29" i="96"/>
  <c r="H30" i="96"/>
  <c r="H31" i="96"/>
  <c r="H32" i="96"/>
  <c r="H33" i="96"/>
  <c r="H34" i="96"/>
  <c r="H35" i="96"/>
  <c r="H36" i="96"/>
  <c r="H37" i="96"/>
  <c r="H38" i="96"/>
  <c r="H39" i="96"/>
  <c r="H40" i="96"/>
  <c r="H41" i="96"/>
  <c r="H42" i="96"/>
  <c r="H43" i="96"/>
  <c r="H44" i="96"/>
  <c r="H45" i="96"/>
  <c r="H46" i="96"/>
  <c r="H47" i="96"/>
  <c r="H48" i="96"/>
  <c r="H49" i="96"/>
  <c r="H50" i="96"/>
  <c r="H51" i="96"/>
  <c r="H52" i="96"/>
  <c r="H53" i="96"/>
  <c r="H54" i="96"/>
  <c r="H55" i="96"/>
  <c r="H56" i="96"/>
  <c r="H57" i="96"/>
  <c r="H58" i="96"/>
  <c r="H59" i="96"/>
  <c r="H60" i="96"/>
  <c r="H61" i="96"/>
  <c r="H62" i="96"/>
  <c r="H63" i="96"/>
  <c r="H64" i="96"/>
  <c r="H65" i="96"/>
  <c r="H66" i="96"/>
  <c r="H67" i="96"/>
  <c r="H68" i="96"/>
  <c r="H69" i="96"/>
  <c r="H70" i="96"/>
  <c r="H71" i="96"/>
  <c r="H72" i="96"/>
  <c r="H73" i="96"/>
  <c r="H74" i="96"/>
  <c r="H75" i="96"/>
  <c r="H76" i="96"/>
  <c r="H77" i="96"/>
  <c r="H78" i="96"/>
  <c r="H79" i="96"/>
  <c r="H80" i="96"/>
  <c r="H81" i="96"/>
  <c r="H81" i="94"/>
  <c r="H80" i="94"/>
  <c r="H79" i="94"/>
  <c r="H78" i="94"/>
  <c r="H77" i="94"/>
  <c r="H76" i="94"/>
  <c r="H75" i="94"/>
  <c r="H74" i="94"/>
  <c r="H73" i="94"/>
  <c r="H72" i="94"/>
  <c r="H71" i="94"/>
  <c r="H70" i="94"/>
  <c r="H69" i="94"/>
  <c r="H68" i="94"/>
  <c r="H67" i="94"/>
  <c r="H66" i="94"/>
  <c r="H65" i="94"/>
  <c r="H64" i="94"/>
  <c r="H63" i="94"/>
  <c r="H62" i="94"/>
  <c r="H61" i="94"/>
  <c r="H60" i="94"/>
  <c r="H59" i="94"/>
  <c r="H58" i="94"/>
  <c r="H57" i="94"/>
  <c r="H56" i="94"/>
  <c r="H55" i="94"/>
  <c r="H54" i="94"/>
  <c r="H53" i="94"/>
  <c r="H52" i="94"/>
  <c r="H51" i="94"/>
  <c r="H50" i="94"/>
  <c r="H49" i="94"/>
  <c r="H48" i="94"/>
  <c r="H47" i="94"/>
  <c r="H46" i="94"/>
  <c r="H45" i="94"/>
  <c r="H44" i="94"/>
  <c r="H43" i="94"/>
  <c r="H42" i="94"/>
  <c r="H41" i="94"/>
  <c r="H40" i="94"/>
  <c r="H39" i="94"/>
  <c r="H38" i="94"/>
  <c r="H37" i="94"/>
  <c r="H36" i="94"/>
  <c r="H35" i="94"/>
  <c r="H34" i="94"/>
  <c r="H33" i="94"/>
  <c r="H32" i="94"/>
  <c r="H31" i="94"/>
  <c r="H30" i="94"/>
  <c r="H29" i="94"/>
  <c r="H28" i="94"/>
  <c r="H27" i="94"/>
  <c r="H26" i="94"/>
  <c r="H25" i="94"/>
  <c r="H24" i="94"/>
  <c r="H23" i="94"/>
  <c r="H22" i="94"/>
  <c r="H21" i="94"/>
  <c r="H20" i="94"/>
  <c r="H19" i="94"/>
  <c r="H82" i="94" s="1"/>
  <c r="S80" i="94"/>
  <c r="S79" i="94"/>
  <c r="S78" i="94"/>
  <c r="S77" i="94"/>
  <c r="S76" i="94"/>
  <c r="S75" i="94"/>
  <c r="S74" i="94"/>
  <c r="S73" i="94"/>
  <c r="S72" i="94"/>
  <c r="S71" i="94"/>
  <c r="S70" i="94"/>
  <c r="S69" i="94"/>
  <c r="S68" i="94"/>
  <c r="S67" i="94"/>
  <c r="S66" i="94"/>
  <c r="S65" i="94"/>
  <c r="S64" i="94"/>
  <c r="S63" i="94"/>
  <c r="S62" i="94"/>
  <c r="S61" i="94"/>
  <c r="S60" i="94"/>
  <c r="S59" i="94"/>
  <c r="S58" i="94"/>
  <c r="S57" i="94"/>
  <c r="S56" i="94"/>
  <c r="S55" i="94"/>
  <c r="S54" i="94"/>
  <c r="S53" i="94"/>
  <c r="S52" i="94"/>
  <c r="S51" i="94"/>
  <c r="S50" i="94"/>
  <c r="S49" i="94"/>
  <c r="S48" i="94"/>
  <c r="S47" i="94"/>
  <c r="S46" i="94"/>
  <c r="S45" i="94"/>
  <c r="S44" i="94"/>
  <c r="S43" i="94"/>
  <c r="S42" i="94"/>
  <c r="S41" i="94"/>
  <c r="S40" i="94"/>
  <c r="S39" i="94"/>
  <c r="S38" i="94"/>
  <c r="S37" i="94"/>
  <c r="S36" i="94"/>
  <c r="S35" i="94"/>
  <c r="S34" i="94"/>
  <c r="S33" i="94"/>
  <c r="S32" i="94"/>
  <c r="S31" i="94"/>
  <c r="S30" i="94"/>
  <c r="S29" i="94"/>
  <c r="S28" i="94"/>
  <c r="S27" i="94"/>
  <c r="S26" i="94"/>
  <c r="S25" i="94"/>
  <c r="S24" i="94"/>
  <c r="S23" i="94"/>
  <c r="S22" i="94"/>
  <c r="S21" i="94"/>
  <c r="S20" i="94"/>
  <c r="S19" i="94"/>
  <c r="S18" i="94"/>
  <c r="S81" i="94" s="1"/>
  <c r="I81" i="94"/>
  <c r="I80" i="94"/>
  <c r="I79" i="94"/>
  <c r="I78" i="94"/>
  <c r="I77" i="94"/>
  <c r="I76" i="94"/>
  <c r="I75" i="94"/>
  <c r="I74" i="94"/>
  <c r="I73" i="94"/>
  <c r="I72" i="94"/>
  <c r="I71" i="94"/>
  <c r="I70" i="94"/>
  <c r="I69" i="94"/>
  <c r="I68" i="94"/>
  <c r="I67" i="94"/>
  <c r="I66" i="94"/>
  <c r="I65" i="94"/>
  <c r="I64" i="94"/>
  <c r="I63" i="94"/>
  <c r="I62" i="94"/>
  <c r="I61" i="94"/>
  <c r="I60" i="94"/>
  <c r="I59" i="94"/>
  <c r="I58" i="94"/>
  <c r="I57" i="94"/>
  <c r="I56" i="94"/>
  <c r="I55" i="94"/>
  <c r="I54" i="94"/>
  <c r="I53" i="94"/>
  <c r="I52" i="94"/>
  <c r="I51" i="94"/>
  <c r="I50" i="94"/>
  <c r="I49" i="94"/>
  <c r="I48" i="94"/>
  <c r="I47" i="94"/>
  <c r="I46" i="94"/>
  <c r="I45" i="94"/>
  <c r="I44" i="94"/>
  <c r="I43" i="94"/>
  <c r="I42" i="94"/>
  <c r="I41" i="94"/>
  <c r="I40" i="94"/>
  <c r="I39" i="94"/>
  <c r="I38" i="94"/>
  <c r="I37" i="94"/>
  <c r="I36" i="94"/>
  <c r="I35" i="94"/>
  <c r="I34" i="94"/>
  <c r="I33" i="94"/>
  <c r="I32" i="94"/>
  <c r="I31" i="94"/>
  <c r="I30" i="94"/>
  <c r="I29" i="94"/>
  <c r="I28" i="94"/>
  <c r="I27" i="94"/>
  <c r="I26" i="94"/>
  <c r="I25" i="94"/>
  <c r="I24" i="94"/>
  <c r="I23" i="94"/>
  <c r="I22" i="94"/>
  <c r="I21" i="94"/>
  <c r="I20" i="94"/>
  <c r="I19" i="94"/>
  <c r="I82" i="94" s="1"/>
  <c r="Q2" i="94" s="1"/>
  <c r="K81" i="94"/>
  <c r="M18" i="94"/>
  <c r="L81" i="94"/>
  <c r="W18" i="94"/>
  <c r="V18" i="94"/>
  <c r="U19" i="94"/>
  <c r="T19" i="94" s="1"/>
  <c r="W19" i="94"/>
  <c r="V19" i="94"/>
  <c r="U20" i="94"/>
  <c r="T20" i="94" s="1"/>
  <c r="W20" i="94"/>
  <c r="V20" i="94"/>
  <c r="U21" i="94"/>
  <c r="T21" i="94" s="1"/>
  <c r="W21" i="94"/>
  <c r="V21" i="94"/>
  <c r="U22" i="94"/>
  <c r="T22" i="94" s="1"/>
  <c r="W22" i="94"/>
  <c r="V22" i="94"/>
  <c r="U23" i="94"/>
  <c r="T23" i="94" s="1"/>
  <c r="W23" i="94"/>
  <c r="V23" i="94"/>
  <c r="U24" i="94"/>
  <c r="T24" i="94" s="1"/>
  <c r="W24" i="94"/>
  <c r="V24" i="94"/>
  <c r="U25" i="94"/>
  <c r="T25" i="94" s="1"/>
  <c r="W25" i="94"/>
  <c r="V25" i="94"/>
  <c r="U26" i="94"/>
  <c r="T26" i="94" s="1"/>
  <c r="W26" i="94"/>
  <c r="V26" i="94"/>
  <c r="U27" i="94"/>
  <c r="T27" i="94" s="1"/>
  <c r="W27" i="94"/>
  <c r="V27" i="94"/>
  <c r="U28" i="94"/>
  <c r="T28" i="94" s="1"/>
  <c r="W28" i="94"/>
  <c r="V28" i="94"/>
  <c r="U29" i="94"/>
  <c r="T29" i="94" s="1"/>
  <c r="W29" i="94"/>
  <c r="V29" i="94"/>
  <c r="U30" i="94"/>
  <c r="T30" i="94" s="1"/>
  <c r="W30" i="94"/>
  <c r="V30" i="94"/>
  <c r="U31" i="94"/>
  <c r="T31" i="94" s="1"/>
  <c r="W31" i="94"/>
  <c r="V31" i="94"/>
  <c r="U32" i="94"/>
  <c r="T32" i="94" s="1"/>
  <c r="W32" i="94"/>
  <c r="V32" i="94"/>
  <c r="U33" i="94"/>
  <c r="T33" i="94" s="1"/>
  <c r="W33" i="94"/>
  <c r="V33" i="94"/>
  <c r="U34" i="94"/>
  <c r="T34" i="94" s="1"/>
  <c r="W34" i="94"/>
  <c r="V34" i="94"/>
  <c r="U35" i="94"/>
  <c r="T35" i="94" s="1"/>
  <c r="W35" i="94"/>
  <c r="V35" i="94"/>
  <c r="U36" i="94"/>
  <c r="T36" i="94" s="1"/>
  <c r="W36" i="94"/>
  <c r="V36" i="94"/>
  <c r="U37" i="94"/>
  <c r="T37" i="94" s="1"/>
  <c r="W37" i="94"/>
  <c r="V37" i="94"/>
  <c r="U38" i="94"/>
  <c r="T38" i="94" s="1"/>
  <c r="W38" i="94"/>
  <c r="V38" i="94"/>
  <c r="U39" i="94"/>
  <c r="T39" i="94" s="1"/>
  <c r="W39" i="94"/>
  <c r="V39" i="94"/>
  <c r="U40" i="94"/>
  <c r="T40" i="94" s="1"/>
  <c r="W40" i="94"/>
  <c r="V40" i="94"/>
  <c r="U41" i="94"/>
  <c r="T41" i="94" s="1"/>
  <c r="W41" i="94"/>
  <c r="V41" i="94"/>
  <c r="U42" i="94"/>
  <c r="T42" i="94" s="1"/>
  <c r="W42" i="94"/>
  <c r="V42" i="94"/>
  <c r="U43" i="94"/>
  <c r="T43" i="94" s="1"/>
  <c r="W43" i="94"/>
  <c r="V43" i="94"/>
  <c r="U44" i="94"/>
  <c r="T44" i="94" s="1"/>
  <c r="W44" i="94"/>
  <c r="V44" i="94"/>
  <c r="U45" i="94"/>
  <c r="T45" i="94" s="1"/>
  <c r="W45" i="94"/>
  <c r="V45" i="94"/>
  <c r="U46" i="94"/>
  <c r="T46" i="94" s="1"/>
  <c r="W46" i="94"/>
  <c r="V46" i="94"/>
  <c r="U47" i="94"/>
  <c r="T47" i="94" s="1"/>
  <c r="W47" i="94"/>
  <c r="V47" i="94"/>
  <c r="U48" i="94"/>
  <c r="T48" i="94" s="1"/>
  <c r="W48" i="94"/>
  <c r="V48" i="94"/>
  <c r="U49" i="94"/>
  <c r="T49" i="94" s="1"/>
  <c r="W49" i="94"/>
  <c r="V49" i="94"/>
  <c r="U50" i="94"/>
  <c r="T50" i="94" s="1"/>
  <c r="W50" i="94"/>
  <c r="V50" i="94"/>
  <c r="U51" i="94"/>
  <c r="T51" i="94" s="1"/>
  <c r="W51" i="94"/>
  <c r="V51" i="94"/>
  <c r="U52" i="94"/>
  <c r="T52" i="94" s="1"/>
  <c r="W52" i="94"/>
  <c r="V52" i="94"/>
  <c r="U53" i="94"/>
  <c r="T53" i="94" s="1"/>
  <c r="W53" i="94"/>
  <c r="V53" i="94"/>
  <c r="U54" i="94"/>
  <c r="T54" i="94" s="1"/>
  <c r="W54" i="94"/>
  <c r="V54" i="94"/>
  <c r="U55" i="94"/>
  <c r="T55" i="94" s="1"/>
  <c r="W55" i="94"/>
  <c r="V55" i="94"/>
  <c r="U56" i="94"/>
  <c r="T56" i="94" s="1"/>
  <c r="W56" i="94"/>
  <c r="V56" i="94"/>
  <c r="U57" i="94"/>
  <c r="T57" i="94" s="1"/>
  <c r="W57" i="94"/>
  <c r="V57" i="94"/>
  <c r="U58" i="94"/>
  <c r="T58" i="94" s="1"/>
  <c r="W58" i="94"/>
  <c r="V58" i="94"/>
  <c r="U59" i="94"/>
  <c r="T59" i="94" s="1"/>
  <c r="W59" i="94"/>
  <c r="V59" i="94"/>
  <c r="U60" i="94"/>
  <c r="T60" i="94" s="1"/>
  <c r="W60" i="94"/>
  <c r="V60" i="94"/>
  <c r="U61" i="94"/>
  <c r="T61" i="94" s="1"/>
  <c r="W61" i="94"/>
  <c r="V61" i="94"/>
  <c r="U62" i="94"/>
  <c r="T62" i="94" s="1"/>
  <c r="W62" i="94"/>
  <c r="V62" i="94"/>
  <c r="U63" i="94"/>
  <c r="T63" i="94" s="1"/>
  <c r="W63" i="94"/>
  <c r="V63" i="94"/>
  <c r="U64" i="94"/>
  <c r="T64" i="94" s="1"/>
  <c r="W64" i="94"/>
  <c r="V64" i="94"/>
  <c r="U65" i="94"/>
  <c r="T65" i="94" s="1"/>
  <c r="W65" i="94"/>
  <c r="V65" i="94"/>
  <c r="U66" i="94"/>
  <c r="T66" i="94" s="1"/>
  <c r="W66" i="94"/>
  <c r="V66" i="94"/>
  <c r="U67" i="94"/>
  <c r="T67" i="94" s="1"/>
  <c r="W67" i="94"/>
  <c r="V67" i="94"/>
  <c r="U68" i="94"/>
  <c r="T68" i="94" s="1"/>
  <c r="W68" i="94"/>
  <c r="V68" i="94"/>
  <c r="U69" i="94"/>
  <c r="T69" i="94" s="1"/>
  <c r="W69" i="94"/>
  <c r="V69" i="94"/>
  <c r="U70" i="94"/>
  <c r="T70" i="94" s="1"/>
  <c r="W70" i="94"/>
  <c r="V70" i="94"/>
  <c r="U71" i="94"/>
  <c r="T71" i="94" s="1"/>
  <c r="W71" i="94"/>
  <c r="V71" i="94"/>
  <c r="U72" i="94"/>
  <c r="T72" i="94" s="1"/>
  <c r="W72" i="94"/>
  <c r="V72" i="94"/>
  <c r="U73" i="94"/>
  <c r="T73" i="94" s="1"/>
  <c r="W73" i="94"/>
  <c r="V73" i="94"/>
  <c r="U74" i="94"/>
  <c r="T74" i="94" s="1"/>
  <c r="W74" i="94"/>
  <c r="V74" i="94"/>
  <c r="U75" i="94"/>
  <c r="T75" i="94" s="1"/>
  <c r="W75" i="94"/>
  <c r="V75" i="94"/>
  <c r="U76" i="94"/>
  <c r="T76" i="94" s="1"/>
  <c r="W76" i="94"/>
  <c r="V76" i="94"/>
  <c r="U77" i="94"/>
  <c r="T77" i="94" s="1"/>
  <c r="W77" i="94"/>
  <c r="V77" i="94"/>
  <c r="U78" i="94"/>
  <c r="T78" i="94" s="1"/>
  <c r="W78" i="94"/>
  <c r="V78" i="94"/>
  <c r="U79" i="94"/>
  <c r="T79" i="94" s="1"/>
  <c r="W79" i="94"/>
  <c r="V79" i="94"/>
  <c r="U80" i="94"/>
  <c r="T80" i="94" s="1"/>
  <c r="W80" i="94"/>
  <c r="V80" i="94"/>
  <c r="H19" i="93"/>
  <c r="H20" i="93"/>
  <c r="H21" i="93"/>
  <c r="H22" i="93"/>
  <c r="H23" i="93"/>
  <c r="H24" i="93"/>
  <c r="H25" i="93"/>
  <c r="H26" i="93"/>
  <c r="H27" i="93"/>
  <c r="H28" i="93"/>
  <c r="H29" i="93"/>
  <c r="H30" i="93"/>
  <c r="H31" i="93"/>
  <c r="H32" i="93"/>
  <c r="H33" i="93"/>
  <c r="H34" i="93"/>
  <c r="H35" i="93"/>
  <c r="H36" i="93"/>
  <c r="H37" i="93"/>
  <c r="H38" i="93"/>
  <c r="H39" i="93"/>
  <c r="H40" i="93"/>
  <c r="H41" i="93"/>
  <c r="H42" i="93"/>
  <c r="H43" i="93"/>
  <c r="H44" i="93"/>
  <c r="H45" i="93"/>
  <c r="H46" i="93"/>
  <c r="H47" i="93"/>
  <c r="H48" i="93"/>
  <c r="H49" i="93"/>
  <c r="H50" i="93"/>
  <c r="H51" i="93"/>
  <c r="H52" i="93"/>
  <c r="H53" i="93"/>
  <c r="H54" i="93"/>
  <c r="H55" i="93"/>
  <c r="H56" i="93"/>
  <c r="H57" i="93"/>
  <c r="H58" i="93"/>
  <c r="H59" i="93"/>
  <c r="H60" i="93"/>
  <c r="H61" i="93"/>
  <c r="H62" i="93"/>
  <c r="H63" i="93"/>
  <c r="H64" i="93"/>
  <c r="H65" i="93"/>
  <c r="H66" i="93"/>
  <c r="H67" i="93"/>
  <c r="H68" i="93"/>
  <c r="H69" i="93"/>
  <c r="H70" i="93"/>
  <c r="H71" i="93"/>
  <c r="H72" i="93"/>
  <c r="H73" i="93"/>
  <c r="H74" i="93"/>
  <c r="H75" i="93"/>
  <c r="H76" i="93"/>
  <c r="H77" i="93"/>
  <c r="H78" i="93"/>
  <c r="H79" i="93"/>
  <c r="H80" i="93"/>
  <c r="H81" i="93"/>
  <c r="H19" i="92"/>
  <c r="H20" i="92"/>
  <c r="H21" i="92"/>
  <c r="H22" i="92"/>
  <c r="H23" i="92"/>
  <c r="H24" i="92"/>
  <c r="H25" i="92"/>
  <c r="H26" i="92"/>
  <c r="H27" i="92"/>
  <c r="H28" i="92"/>
  <c r="H29" i="92"/>
  <c r="H30" i="92"/>
  <c r="H31" i="92"/>
  <c r="H32" i="92"/>
  <c r="H33" i="92"/>
  <c r="H34" i="92"/>
  <c r="H35" i="92"/>
  <c r="H36" i="92"/>
  <c r="H37" i="92"/>
  <c r="H38" i="92"/>
  <c r="H39" i="92"/>
  <c r="H40" i="92"/>
  <c r="H41" i="92"/>
  <c r="H42" i="92"/>
  <c r="H43" i="92"/>
  <c r="H44" i="92"/>
  <c r="H45" i="92"/>
  <c r="H46" i="92"/>
  <c r="H47" i="92"/>
  <c r="H48" i="92"/>
  <c r="H49" i="92"/>
  <c r="H50" i="92"/>
  <c r="H51" i="92"/>
  <c r="H52" i="92"/>
  <c r="H53" i="92"/>
  <c r="H54" i="92"/>
  <c r="H55" i="92"/>
  <c r="H56" i="92"/>
  <c r="H57" i="92"/>
  <c r="H58" i="92"/>
  <c r="H59" i="92"/>
  <c r="H60" i="92"/>
  <c r="H61" i="92"/>
  <c r="H62" i="92"/>
  <c r="H63" i="92"/>
  <c r="H64" i="92"/>
  <c r="H65" i="92"/>
  <c r="H66" i="92"/>
  <c r="H67" i="92"/>
  <c r="H68" i="92"/>
  <c r="H69" i="92"/>
  <c r="H70" i="92"/>
  <c r="H71" i="92"/>
  <c r="H72" i="92"/>
  <c r="H73" i="92"/>
  <c r="H74" i="92"/>
  <c r="H75" i="92"/>
  <c r="H76" i="92"/>
  <c r="H77" i="92"/>
  <c r="H78" i="92"/>
  <c r="H79" i="92"/>
  <c r="H80" i="92"/>
  <c r="H81" i="92"/>
  <c r="H19" i="91"/>
  <c r="H20" i="91"/>
  <c r="H21" i="91"/>
  <c r="H22" i="91"/>
  <c r="H23" i="91"/>
  <c r="H24" i="91"/>
  <c r="H25" i="91"/>
  <c r="H26" i="91"/>
  <c r="H27" i="91"/>
  <c r="H28" i="91"/>
  <c r="H29" i="91"/>
  <c r="H30" i="91"/>
  <c r="H31" i="91"/>
  <c r="H32" i="91"/>
  <c r="H33" i="91"/>
  <c r="H34" i="91"/>
  <c r="H35" i="91"/>
  <c r="H36" i="91"/>
  <c r="H37" i="91"/>
  <c r="H38" i="91"/>
  <c r="H39" i="91"/>
  <c r="H40" i="91"/>
  <c r="H41" i="91"/>
  <c r="H42" i="91"/>
  <c r="H43" i="91"/>
  <c r="H44" i="91"/>
  <c r="H45" i="91"/>
  <c r="H46" i="91"/>
  <c r="H47" i="91"/>
  <c r="H48" i="91"/>
  <c r="H49" i="91"/>
  <c r="H50" i="91"/>
  <c r="H51" i="91"/>
  <c r="H52" i="91"/>
  <c r="H53" i="91"/>
  <c r="H54" i="91"/>
  <c r="H55" i="91"/>
  <c r="H56" i="91"/>
  <c r="H57" i="91"/>
  <c r="H58" i="91"/>
  <c r="H59" i="91"/>
  <c r="H60" i="91"/>
  <c r="H61" i="91"/>
  <c r="H62" i="91"/>
  <c r="H63" i="91"/>
  <c r="H64" i="91"/>
  <c r="H65" i="91"/>
  <c r="H66" i="91"/>
  <c r="H67" i="91"/>
  <c r="H68" i="91"/>
  <c r="H69" i="91"/>
  <c r="H70" i="91"/>
  <c r="H71" i="91"/>
  <c r="H72" i="91"/>
  <c r="H73" i="91"/>
  <c r="H74" i="91"/>
  <c r="H75" i="91"/>
  <c r="H76" i="91"/>
  <c r="H77" i="91"/>
  <c r="H78" i="91"/>
  <c r="H79" i="91"/>
  <c r="H80" i="91"/>
  <c r="H81" i="91"/>
  <c r="H19" i="88"/>
  <c r="H20" i="88"/>
  <c r="H21" i="88"/>
  <c r="H22" i="88"/>
  <c r="H23" i="88"/>
  <c r="H24" i="88"/>
  <c r="H25" i="88"/>
  <c r="H26" i="88"/>
  <c r="H27" i="88"/>
  <c r="H28" i="88"/>
  <c r="H29" i="88"/>
  <c r="H30" i="88"/>
  <c r="H31" i="88"/>
  <c r="H32" i="88"/>
  <c r="H33" i="88"/>
  <c r="H34" i="88"/>
  <c r="H35" i="88"/>
  <c r="H36" i="88"/>
  <c r="H37" i="88"/>
  <c r="H38" i="88"/>
  <c r="H39" i="88"/>
  <c r="H40" i="88"/>
  <c r="H41" i="88"/>
  <c r="H42" i="88"/>
  <c r="H43" i="88"/>
  <c r="H44" i="88"/>
  <c r="H45" i="88"/>
  <c r="H46" i="88"/>
  <c r="H47" i="88"/>
  <c r="H48" i="88"/>
  <c r="H49" i="88"/>
  <c r="H50" i="88"/>
  <c r="H51" i="88"/>
  <c r="H52" i="88"/>
  <c r="H53" i="88"/>
  <c r="H54" i="88"/>
  <c r="H55" i="88"/>
  <c r="H56" i="88"/>
  <c r="H57" i="88"/>
  <c r="H58" i="88"/>
  <c r="H59" i="88"/>
  <c r="H60" i="88"/>
  <c r="H61" i="88"/>
  <c r="H62" i="88"/>
  <c r="H63" i="88"/>
  <c r="H64" i="88"/>
  <c r="H65" i="88"/>
  <c r="H66" i="88"/>
  <c r="H67" i="88"/>
  <c r="H68" i="88"/>
  <c r="H69" i="88"/>
  <c r="H70" i="88"/>
  <c r="H71" i="88"/>
  <c r="H72" i="88"/>
  <c r="H73" i="88"/>
  <c r="H74" i="88"/>
  <c r="H75" i="88"/>
  <c r="H76" i="88"/>
  <c r="H77" i="88"/>
  <c r="H78" i="88"/>
  <c r="H79" i="88"/>
  <c r="H80" i="88"/>
  <c r="H81" i="88"/>
  <c r="H81" i="87"/>
  <c r="H80" i="87"/>
  <c r="H79" i="87"/>
  <c r="H78" i="87"/>
  <c r="H77" i="87"/>
  <c r="H76" i="87"/>
  <c r="H75" i="87"/>
  <c r="H74" i="87"/>
  <c r="H73" i="87"/>
  <c r="H72" i="87"/>
  <c r="H71" i="87"/>
  <c r="H70" i="87"/>
  <c r="H69" i="87"/>
  <c r="H68" i="87"/>
  <c r="H67" i="87"/>
  <c r="H66" i="87"/>
  <c r="H65" i="87"/>
  <c r="H64" i="87"/>
  <c r="H63" i="87"/>
  <c r="H62" i="87"/>
  <c r="H61" i="87"/>
  <c r="H60" i="87"/>
  <c r="H59" i="87"/>
  <c r="H58" i="87"/>
  <c r="H57" i="87"/>
  <c r="H56" i="87"/>
  <c r="H55" i="87"/>
  <c r="H54" i="87"/>
  <c r="H53" i="87"/>
  <c r="H52" i="87"/>
  <c r="H51" i="87"/>
  <c r="H50" i="87"/>
  <c r="H49" i="87"/>
  <c r="H48" i="87"/>
  <c r="H47" i="87"/>
  <c r="H46" i="87"/>
  <c r="H45" i="87"/>
  <c r="H44" i="87"/>
  <c r="H43" i="87"/>
  <c r="H42" i="87"/>
  <c r="H41" i="87"/>
  <c r="H40" i="87"/>
  <c r="H39" i="87"/>
  <c r="H38" i="87"/>
  <c r="H37" i="87"/>
  <c r="H36" i="87"/>
  <c r="H35" i="87"/>
  <c r="H34" i="87"/>
  <c r="H33" i="87"/>
  <c r="H32" i="87"/>
  <c r="H31" i="87"/>
  <c r="H30" i="87"/>
  <c r="H29" i="87"/>
  <c r="H28" i="87"/>
  <c r="H27" i="87"/>
  <c r="H26" i="87"/>
  <c r="H25" i="87"/>
  <c r="H24" i="87"/>
  <c r="H23" i="87"/>
  <c r="H22" i="87"/>
  <c r="H21" i="87"/>
  <c r="H20" i="87"/>
  <c r="H19" i="87"/>
  <c r="H82" i="87" s="1"/>
  <c r="S80" i="87"/>
  <c r="S79" i="87"/>
  <c r="S78" i="87"/>
  <c r="S77" i="87"/>
  <c r="S76" i="87"/>
  <c r="S75" i="87"/>
  <c r="S74" i="87"/>
  <c r="S73" i="87"/>
  <c r="S72" i="87"/>
  <c r="S71" i="87"/>
  <c r="S70" i="87"/>
  <c r="S69" i="87"/>
  <c r="S68" i="87"/>
  <c r="S67" i="87"/>
  <c r="S66" i="87"/>
  <c r="S65" i="87"/>
  <c r="S64" i="87"/>
  <c r="S63" i="87"/>
  <c r="S62" i="87"/>
  <c r="S61" i="87"/>
  <c r="S60" i="87"/>
  <c r="S59" i="87"/>
  <c r="S58" i="87"/>
  <c r="S57" i="87"/>
  <c r="S56" i="87"/>
  <c r="S55" i="87"/>
  <c r="S54" i="87"/>
  <c r="S53" i="87"/>
  <c r="S52" i="87"/>
  <c r="S51" i="87"/>
  <c r="S50" i="87"/>
  <c r="S49" i="87"/>
  <c r="S48" i="87"/>
  <c r="S47" i="87"/>
  <c r="S46" i="87"/>
  <c r="S45" i="87"/>
  <c r="S44" i="87"/>
  <c r="S43" i="87"/>
  <c r="S42" i="87"/>
  <c r="S41" i="87"/>
  <c r="S40" i="87"/>
  <c r="S39" i="87"/>
  <c r="S38" i="87"/>
  <c r="S37" i="87"/>
  <c r="S36" i="87"/>
  <c r="S35" i="87"/>
  <c r="S34" i="87"/>
  <c r="S33" i="87"/>
  <c r="S32" i="87"/>
  <c r="S31" i="87"/>
  <c r="S30" i="87"/>
  <c r="S29" i="87"/>
  <c r="S28" i="87"/>
  <c r="S27" i="87"/>
  <c r="S26" i="87"/>
  <c r="S25" i="87"/>
  <c r="S24" i="87"/>
  <c r="S23" i="87"/>
  <c r="S22" i="87"/>
  <c r="S21" i="87"/>
  <c r="S20" i="87"/>
  <c r="S19" i="87"/>
  <c r="S18" i="87"/>
  <c r="S81" i="87" s="1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82" i="87" s="1"/>
  <c r="Q2" i="87" s="1"/>
  <c r="K81" i="87"/>
  <c r="M18" i="87"/>
  <c r="L81" i="87"/>
  <c r="W18" i="87"/>
  <c r="V18" i="87"/>
  <c r="U19" i="87"/>
  <c r="T19" i="87" s="1"/>
  <c r="W19" i="87"/>
  <c r="V19" i="87"/>
  <c r="U20" i="87"/>
  <c r="T20" i="87" s="1"/>
  <c r="W20" i="87"/>
  <c r="V20" i="87"/>
  <c r="U21" i="87"/>
  <c r="T21" i="87" s="1"/>
  <c r="W21" i="87"/>
  <c r="V21" i="87"/>
  <c r="U22" i="87"/>
  <c r="T22" i="87" s="1"/>
  <c r="W22" i="87"/>
  <c r="V22" i="87"/>
  <c r="U23" i="87"/>
  <c r="T23" i="87" s="1"/>
  <c r="W23" i="87"/>
  <c r="V23" i="87"/>
  <c r="U24" i="87"/>
  <c r="T24" i="87" s="1"/>
  <c r="W24" i="87"/>
  <c r="V24" i="87"/>
  <c r="U25" i="87"/>
  <c r="T25" i="87" s="1"/>
  <c r="W25" i="87"/>
  <c r="V25" i="87"/>
  <c r="U26" i="87"/>
  <c r="T26" i="87" s="1"/>
  <c r="W26" i="87"/>
  <c r="V26" i="87"/>
  <c r="U27" i="87"/>
  <c r="T27" i="87" s="1"/>
  <c r="W27" i="87"/>
  <c r="V27" i="87"/>
  <c r="U28" i="87"/>
  <c r="T28" i="87" s="1"/>
  <c r="W28" i="87"/>
  <c r="V28" i="87"/>
  <c r="U29" i="87"/>
  <c r="T29" i="87" s="1"/>
  <c r="W29" i="87"/>
  <c r="V29" i="87"/>
  <c r="U30" i="87"/>
  <c r="T30" i="87" s="1"/>
  <c r="W30" i="87"/>
  <c r="V30" i="87"/>
  <c r="U31" i="87"/>
  <c r="T31" i="87" s="1"/>
  <c r="W31" i="87"/>
  <c r="V31" i="87"/>
  <c r="U32" i="87"/>
  <c r="T32" i="87" s="1"/>
  <c r="W32" i="87"/>
  <c r="V32" i="87"/>
  <c r="U33" i="87"/>
  <c r="T33" i="87" s="1"/>
  <c r="W33" i="87"/>
  <c r="V33" i="87"/>
  <c r="U34" i="87"/>
  <c r="T34" i="87" s="1"/>
  <c r="W34" i="87"/>
  <c r="V34" i="87"/>
  <c r="U35" i="87"/>
  <c r="T35" i="87" s="1"/>
  <c r="W35" i="87"/>
  <c r="V35" i="87"/>
  <c r="U36" i="87"/>
  <c r="T36" i="87" s="1"/>
  <c r="W36" i="87"/>
  <c r="V36" i="87"/>
  <c r="U37" i="87"/>
  <c r="T37" i="87" s="1"/>
  <c r="W37" i="87"/>
  <c r="V37" i="87"/>
  <c r="U38" i="87"/>
  <c r="T38" i="87" s="1"/>
  <c r="W38" i="87"/>
  <c r="V38" i="87"/>
  <c r="U39" i="87"/>
  <c r="T39" i="87" s="1"/>
  <c r="W39" i="87"/>
  <c r="V39" i="87"/>
  <c r="U40" i="87"/>
  <c r="T40" i="87" s="1"/>
  <c r="W40" i="87"/>
  <c r="V40" i="87"/>
  <c r="U41" i="87"/>
  <c r="T41" i="87" s="1"/>
  <c r="W41" i="87"/>
  <c r="V41" i="87"/>
  <c r="U42" i="87"/>
  <c r="T42" i="87" s="1"/>
  <c r="W42" i="87"/>
  <c r="V42" i="87"/>
  <c r="U43" i="87"/>
  <c r="T43" i="87" s="1"/>
  <c r="W43" i="87"/>
  <c r="V43" i="87"/>
  <c r="U44" i="87"/>
  <c r="T44" i="87" s="1"/>
  <c r="W44" i="87"/>
  <c r="V44" i="87"/>
  <c r="U45" i="87"/>
  <c r="T45" i="87" s="1"/>
  <c r="W45" i="87"/>
  <c r="V45" i="87"/>
  <c r="U46" i="87"/>
  <c r="T46" i="87" s="1"/>
  <c r="W46" i="87"/>
  <c r="V46" i="87"/>
  <c r="U47" i="87"/>
  <c r="T47" i="87" s="1"/>
  <c r="W47" i="87"/>
  <c r="V47" i="87"/>
  <c r="U48" i="87"/>
  <c r="T48" i="87" s="1"/>
  <c r="W48" i="87"/>
  <c r="V48" i="87"/>
  <c r="U49" i="87"/>
  <c r="T49" i="87" s="1"/>
  <c r="W49" i="87"/>
  <c r="V49" i="87"/>
  <c r="U50" i="87"/>
  <c r="T50" i="87" s="1"/>
  <c r="W50" i="87"/>
  <c r="V50" i="87"/>
  <c r="U51" i="87"/>
  <c r="T51" i="87" s="1"/>
  <c r="W51" i="87"/>
  <c r="V51" i="87"/>
  <c r="U52" i="87"/>
  <c r="T52" i="87" s="1"/>
  <c r="W52" i="87"/>
  <c r="V52" i="87"/>
  <c r="U53" i="87"/>
  <c r="T53" i="87" s="1"/>
  <c r="W53" i="87"/>
  <c r="V53" i="87"/>
  <c r="U54" i="87"/>
  <c r="T54" i="87" s="1"/>
  <c r="W54" i="87"/>
  <c r="V54" i="87"/>
  <c r="U55" i="87"/>
  <c r="T55" i="87" s="1"/>
  <c r="W55" i="87"/>
  <c r="V55" i="87"/>
  <c r="U56" i="87"/>
  <c r="T56" i="87" s="1"/>
  <c r="W56" i="87"/>
  <c r="V56" i="87"/>
  <c r="U57" i="87"/>
  <c r="T57" i="87" s="1"/>
  <c r="W57" i="87"/>
  <c r="V57" i="87"/>
  <c r="U58" i="87"/>
  <c r="T58" i="87" s="1"/>
  <c r="W58" i="87"/>
  <c r="V58" i="87"/>
  <c r="U59" i="87"/>
  <c r="T59" i="87" s="1"/>
  <c r="W59" i="87"/>
  <c r="V59" i="87"/>
  <c r="U60" i="87"/>
  <c r="T60" i="87" s="1"/>
  <c r="W60" i="87"/>
  <c r="V60" i="87"/>
  <c r="U61" i="87"/>
  <c r="T61" i="87" s="1"/>
  <c r="W61" i="87"/>
  <c r="V61" i="87"/>
  <c r="U62" i="87"/>
  <c r="T62" i="87" s="1"/>
  <c r="W62" i="87"/>
  <c r="V62" i="87"/>
  <c r="U63" i="87"/>
  <c r="T63" i="87" s="1"/>
  <c r="W63" i="87"/>
  <c r="V63" i="87"/>
  <c r="U64" i="87"/>
  <c r="T64" i="87" s="1"/>
  <c r="W64" i="87"/>
  <c r="V64" i="87"/>
  <c r="U65" i="87"/>
  <c r="T65" i="87" s="1"/>
  <c r="W65" i="87"/>
  <c r="V65" i="87"/>
  <c r="U66" i="87"/>
  <c r="T66" i="87" s="1"/>
  <c r="W66" i="87"/>
  <c r="V66" i="87"/>
  <c r="U67" i="87"/>
  <c r="T67" i="87" s="1"/>
  <c r="W67" i="87"/>
  <c r="V67" i="87"/>
  <c r="U68" i="87"/>
  <c r="T68" i="87" s="1"/>
  <c r="W68" i="87"/>
  <c r="V68" i="87"/>
  <c r="U69" i="87"/>
  <c r="T69" i="87" s="1"/>
  <c r="W69" i="87"/>
  <c r="V69" i="87"/>
  <c r="U70" i="87"/>
  <c r="T70" i="87" s="1"/>
  <c r="W70" i="87"/>
  <c r="V70" i="87"/>
  <c r="U71" i="87"/>
  <c r="T71" i="87" s="1"/>
  <c r="W71" i="87"/>
  <c r="V71" i="87"/>
  <c r="U72" i="87"/>
  <c r="T72" i="87" s="1"/>
  <c r="W72" i="87"/>
  <c r="V72" i="87"/>
  <c r="U73" i="87"/>
  <c r="T73" i="87" s="1"/>
  <c r="W73" i="87"/>
  <c r="V73" i="87"/>
  <c r="U74" i="87"/>
  <c r="T74" i="87" s="1"/>
  <c r="W74" i="87"/>
  <c r="V74" i="87"/>
  <c r="U75" i="87"/>
  <c r="T75" i="87" s="1"/>
  <c r="W75" i="87"/>
  <c r="V75" i="87"/>
  <c r="U76" i="87"/>
  <c r="T76" i="87" s="1"/>
  <c r="W76" i="87"/>
  <c r="V76" i="87"/>
  <c r="U77" i="87"/>
  <c r="T77" i="87" s="1"/>
  <c r="W77" i="87"/>
  <c r="V77" i="87"/>
  <c r="U78" i="87"/>
  <c r="T78" i="87" s="1"/>
  <c r="W78" i="87"/>
  <c r="V78" i="87"/>
  <c r="U79" i="87"/>
  <c r="T79" i="87" s="1"/>
  <c r="W79" i="87"/>
  <c r="V79" i="87"/>
  <c r="U80" i="87"/>
  <c r="T80" i="87" s="1"/>
  <c r="W80" i="87"/>
  <c r="V80" i="87"/>
  <c r="H81" i="85"/>
  <c r="H80" i="85"/>
  <c r="H79" i="85"/>
  <c r="H78" i="85"/>
  <c r="H77" i="85"/>
  <c r="H76" i="85"/>
  <c r="H75" i="85"/>
  <c r="H74" i="85"/>
  <c r="H73" i="85"/>
  <c r="H72" i="85"/>
  <c r="H71" i="85"/>
  <c r="H70" i="85"/>
  <c r="H69" i="85"/>
  <c r="H68" i="85"/>
  <c r="H67" i="85"/>
  <c r="H66" i="85"/>
  <c r="H65" i="85"/>
  <c r="H64" i="85"/>
  <c r="H63" i="85"/>
  <c r="H62" i="85"/>
  <c r="H61" i="85"/>
  <c r="H60" i="85"/>
  <c r="H59" i="85"/>
  <c r="H58" i="85"/>
  <c r="H57" i="85"/>
  <c r="H56" i="85"/>
  <c r="H55" i="85"/>
  <c r="H54" i="85"/>
  <c r="H53" i="85"/>
  <c r="H52" i="85"/>
  <c r="H51" i="85"/>
  <c r="H50" i="85"/>
  <c r="H49" i="85"/>
  <c r="H48" i="85"/>
  <c r="H47" i="85"/>
  <c r="H46" i="85"/>
  <c r="H45" i="85"/>
  <c r="H44" i="85"/>
  <c r="H43" i="85"/>
  <c r="H42" i="85"/>
  <c r="H41" i="85"/>
  <c r="H40" i="85"/>
  <c r="H39" i="85"/>
  <c r="H38" i="85"/>
  <c r="H37" i="85"/>
  <c r="H36" i="85"/>
  <c r="H35" i="85"/>
  <c r="H34" i="85"/>
  <c r="H33" i="85"/>
  <c r="H32" i="85"/>
  <c r="H31" i="85"/>
  <c r="H30" i="85"/>
  <c r="H29" i="85"/>
  <c r="H28" i="85"/>
  <c r="H27" i="85"/>
  <c r="H26" i="85"/>
  <c r="H25" i="85"/>
  <c r="H24" i="85"/>
  <c r="H23" i="85"/>
  <c r="H22" i="85"/>
  <c r="H21" i="85"/>
  <c r="H20" i="85"/>
  <c r="H19" i="85"/>
  <c r="H82" i="85" s="1"/>
  <c r="S80" i="85"/>
  <c r="S79" i="85"/>
  <c r="S78" i="85"/>
  <c r="S77" i="85"/>
  <c r="S76" i="85"/>
  <c r="S75" i="85"/>
  <c r="S74" i="85"/>
  <c r="S73" i="85"/>
  <c r="S72" i="85"/>
  <c r="S71" i="85"/>
  <c r="S70" i="85"/>
  <c r="S69" i="85"/>
  <c r="S68" i="85"/>
  <c r="S67" i="85"/>
  <c r="S66" i="85"/>
  <c r="S65" i="85"/>
  <c r="S64" i="85"/>
  <c r="S63" i="85"/>
  <c r="S62" i="85"/>
  <c r="S61" i="85"/>
  <c r="S60" i="85"/>
  <c r="S59" i="85"/>
  <c r="S58" i="85"/>
  <c r="S57" i="85"/>
  <c r="S56" i="85"/>
  <c r="S55" i="85"/>
  <c r="S54" i="85"/>
  <c r="S53" i="85"/>
  <c r="S52" i="85"/>
  <c r="S51" i="85"/>
  <c r="S50" i="85"/>
  <c r="S49" i="85"/>
  <c r="S48" i="85"/>
  <c r="S47" i="85"/>
  <c r="S46" i="85"/>
  <c r="S45" i="85"/>
  <c r="S44" i="85"/>
  <c r="S43" i="85"/>
  <c r="S42" i="85"/>
  <c r="S41" i="85"/>
  <c r="S40" i="85"/>
  <c r="S39" i="85"/>
  <c r="S38" i="85"/>
  <c r="S37" i="85"/>
  <c r="S36" i="85"/>
  <c r="S35" i="85"/>
  <c r="S34" i="85"/>
  <c r="S33" i="85"/>
  <c r="S32" i="85"/>
  <c r="S31" i="85"/>
  <c r="S30" i="85"/>
  <c r="S29" i="85"/>
  <c r="S28" i="85"/>
  <c r="S27" i="85"/>
  <c r="S26" i="85"/>
  <c r="S25" i="85"/>
  <c r="S24" i="85"/>
  <c r="S23" i="85"/>
  <c r="S22" i="85"/>
  <c r="S21" i="85"/>
  <c r="S20" i="85"/>
  <c r="S19" i="85"/>
  <c r="S18" i="85"/>
  <c r="S81" i="85" s="1"/>
  <c r="I81" i="85"/>
  <c r="I80" i="85"/>
  <c r="I79" i="85"/>
  <c r="I78" i="85"/>
  <c r="I77" i="85"/>
  <c r="I76" i="85"/>
  <c r="I75" i="85"/>
  <c r="I74" i="85"/>
  <c r="I73" i="85"/>
  <c r="I72" i="85"/>
  <c r="I71" i="85"/>
  <c r="I70" i="85"/>
  <c r="I69" i="85"/>
  <c r="I68" i="85"/>
  <c r="I67" i="85"/>
  <c r="I66" i="85"/>
  <c r="I65" i="85"/>
  <c r="I64" i="85"/>
  <c r="I63" i="85"/>
  <c r="I62" i="85"/>
  <c r="I61" i="85"/>
  <c r="I60" i="85"/>
  <c r="I59" i="85"/>
  <c r="I58" i="85"/>
  <c r="I57" i="85"/>
  <c r="I56" i="85"/>
  <c r="I55" i="85"/>
  <c r="I54" i="85"/>
  <c r="I53" i="85"/>
  <c r="I52" i="85"/>
  <c r="I51" i="85"/>
  <c r="I50" i="85"/>
  <c r="I49" i="85"/>
  <c r="I48" i="85"/>
  <c r="I47" i="85"/>
  <c r="I46" i="85"/>
  <c r="I45" i="85"/>
  <c r="I44" i="85"/>
  <c r="I43" i="85"/>
  <c r="I42" i="85"/>
  <c r="I41" i="85"/>
  <c r="I40" i="85"/>
  <c r="I39" i="85"/>
  <c r="I38" i="85"/>
  <c r="I37" i="85"/>
  <c r="I36" i="85"/>
  <c r="I35" i="85"/>
  <c r="I34" i="85"/>
  <c r="I33" i="85"/>
  <c r="I32" i="85"/>
  <c r="I31" i="85"/>
  <c r="I30" i="85"/>
  <c r="I29" i="85"/>
  <c r="I28" i="85"/>
  <c r="I27" i="85"/>
  <c r="I26" i="85"/>
  <c r="I25" i="85"/>
  <c r="I24" i="85"/>
  <c r="I23" i="85"/>
  <c r="I22" i="85"/>
  <c r="I21" i="85"/>
  <c r="I20" i="85"/>
  <c r="I19" i="85"/>
  <c r="I82" i="85" s="1"/>
  <c r="Q2" i="85" s="1"/>
  <c r="K81" i="85"/>
  <c r="M18" i="85"/>
  <c r="L81" i="85"/>
  <c r="W18" i="85"/>
  <c r="V18" i="85"/>
  <c r="U19" i="85"/>
  <c r="T19" i="85" s="1"/>
  <c r="W19" i="85"/>
  <c r="V19" i="85"/>
  <c r="U20" i="85"/>
  <c r="T20" i="85" s="1"/>
  <c r="W20" i="85"/>
  <c r="V20" i="85"/>
  <c r="U21" i="85"/>
  <c r="T21" i="85" s="1"/>
  <c r="W21" i="85"/>
  <c r="V21" i="85"/>
  <c r="U22" i="85"/>
  <c r="T22" i="85" s="1"/>
  <c r="W22" i="85"/>
  <c r="V22" i="85"/>
  <c r="U23" i="85"/>
  <c r="T23" i="85" s="1"/>
  <c r="W23" i="85"/>
  <c r="V23" i="85"/>
  <c r="U24" i="85"/>
  <c r="T24" i="85" s="1"/>
  <c r="W24" i="85"/>
  <c r="V24" i="85"/>
  <c r="U25" i="85"/>
  <c r="T25" i="85" s="1"/>
  <c r="W25" i="85"/>
  <c r="V25" i="85"/>
  <c r="U26" i="85"/>
  <c r="T26" i="85" s="1"/>
  <c r="W26" i="85"/>
  <c r="V26" i="85"/>
  <c r="U27" i="85"/>
  <c r="T27" i="85" s="1"/>
  <c r="W27" i="85"/>
  <c r="V27" i="85"/>
  <c r="U28" i="85"/>
  <c r="T28" i="85" s="1"/>
  <c r="W28" i="85"/>
  <c r="V28" i="85"/>
  <c r="U29" i="85"/>
  <c r="T29" i="85" s="1"/>
  <c r="W29" i="85"/>
  <c r="V29" i="85"/>
  <c r="U30" i="85"/>
  <c r="T30" i="85" s="1"/>
  <c r="W30" i="85"/>
  <c r="V30" i="85"/>
  <c r="U31" i="85"/>
  <c r="T31" i="85" s="1"/>
  <c r="W31" i="85"/>
  <c r="V31" i="85"/>
  <c r="U32" i="85"/>
  <c r="T32" i="85" s="1"/>
  <c r="W32" i="85"/>
  <c r="V32" i="85"/>
  <c r="U33" i="85"/>
  <c r="T33" i="85" s="1"/>
  <c r="W33" i="85"/>
  <c r="V33" i="85"/>
  <c r="U34" i="85"/>
  <c r="T34" i="85" s="1"/>
  <c r="W34" i="85"/>
  <c r="V34" i="85"/>
  <c r="U35" i="85"/>
  <c r="T35" i="85" s="1"/>
  <c r="W35" i="85"/>
  <c r="V35" i="85"/>
  <c r="U36" i="85"/>
  <c r="T36" i="85" s="1"/>
  <c r="W36" i="85"/>
  <c r="V36" i="85"/>
  <c r="U37" i="85"/>
  <c r="T37" i="85" s="1"/>
  <c r="W37" i="85"/>
  <c r="V37" i="85"/>
  <c r="U38" i="85"/>
  <c r="T38" i="85" s="1"/>
  <c r="W38" i="85"/>
  <c r="V38" i="85"/>
  <c r="U39" i="85"/>
  <c r="T39" i="85" s="1"/>
  <c r="W39" i="85"/>
  <c r="V39" i="85"/>
  <c r="U40" i="85"/>
  <c r="T40" i="85" s="1"/>
  <c r="W40" i="85"/>
  <c r="V40" i="85"/>
  <c r="U41" i="85"/>
  <c r="T41" i="85" s="1"/>
  <c r="W41" i="85"/>
  <c r="V41" i="85"/>
  <c r="U42" i="85"/>
  <c r="T42" i="85" s="1"/>
  <c r="W42" i="85"/>
  <c r="V42" i="85"/>
  <c r="U43" i="85"/>
  <c r="T43" i="85" s="1"/>
  <c r="W43" i="85"/>
  <c r="V43" i="85"/>
  <c r="U44" i="85"/>
  <c r="T44" i="85" s="1"/>
  <c r="W44" i="85"/>
  <c r="V44" i="85"/>
  <c r="U45" i="85"/>
  <c r="T45" i="85" s="1"/>
  <c r="W45" i="85"/>
  <c r="V45" i="85"/>
  <c r="U46" i="85"/>
  <c r="T46" i="85" s="1"/>
  <c r="W46" i="85"/>
  <c r="V46" i="85"/>
  <c r="U47" i="85"/>
  <c r="T47" i="85" s="1"/>
  <c r="W47" i="85"/>
  <c r="V47" i="85"/>
  <c r="U48" i="85"/>
  <c r="T48" i="85" s="1"/>
  <c r="W48" i="85"/>
  <c r="V48" i="85"/>
  <c r="U49" i="85"/>
  <c r="T49" i="85" s="1"/>
  <c r="W49" i="85"/>
  <c r="V49" i="85"/>
  <c r="U50" i="85"/>
  <c r="T50" i="85" s="1"/>
  <c r="W50" i="85"/>
  <c r="V50" i="85"/>
  <c r="U51" i="85"/>
  <c r="T51" i="85" s="1"/>
  <c r="W51" i="85"/>
  <c r="V51" i="85"/>
  <c r="U52" i="85"/>
  <c r="T52" i="85" s="1"/>
  <c r="W52" i="85"/>
  <c r="V52" i="85"/>
  <c r="U53" i="85"/>
  <c r="T53" i="85" s="1"/>
  <c r="W53" i="85"/>
  <c r="V53" i="85"/>
  <c r="U54" i="85"/>
  <c r="T54" i="85" s="1"/>
  <c r="W54" i="85"/>
  <c r="V54" i="85"/>
  <c r="U55" i="85"/>
  <c r="T55" i="85" s="1"/>
  <c r="W55" i="85"/>
  <c r="V55" i="85"/>
  <c r="U56" i="85"/>
  <c r="T56" i="85" s="1"/>
  <c r="W56" i="85"/>
  <c r="V56" i="85"/>
  <c r="U57" i="85"/>
  <c r="T57" i="85" s="1"/>
  <c r="W57" i="85"/>
  <c r="V57" i="85"/>
  <c r="U58" i="85"/>
  <c r="T58" i="85" s="1"/>
  <c r="W58" i="85"/>
  <c r="V58" i="85"/>
  <c r="U59" i="85"/>
  <c r="T59" i="85" s="1"/>
  <c r="W59" i="85"/>
  <c r="V59" i="85"/>
  <c r="U60" i="85"/>
  <c r="T60" i="85" s="1"/>
  <c r="W60" i="85"/>
  <c r="V60" i="85"/>
  <c r="U61" i="85"/>
  <c r="T61" i="85" s="1"/>
  <c r="W61" i="85"/>
  <c r="V61" i="85"/>
  <c r="U62" i="85"/>
  <c r="T62" i="85" s="1"/>
  <c r="W62" i="85"/>
  <c r="V62" i="85"/>
  <c r="U63" i="85"/>
  <c r="T63" i="85" s="1"/>
  <c r="W63" i="85"/>
  <c r="V63" i="85"/>
  <c r="U64" i="85"/>
  <c r="T64" i="85" s="1"/>
  <c r="W64" i="85"/>
  <c r="V64" i="85"/>
  <c r="U65" i="85"/>
  <c r="T65" i="85" s="1"/>
  <c r="W65" i="85"/>
  <c r="V65" i="85"/>
  <c r="U66" i="85"/>
  <c r="T66" i="85" s="1"/>
  <c r="W66" i="85"/>
  <c r="V66" i="85"/>
  <c r="U67" i="85"/>
  <c r="T67" i="85" s="1"/>
  <c r="W67" i="85"/>
  <c r="V67" i="85"/>
  <c r="U68" i="85"/>
  <c r="T68" i="85" s="1"/>
  <c r="W68" i="85"/>
  <c r="V68" i="85"/>
  <c r="U69" i="85"/>
  <c r="T69" i="85" s="1"/>
  <c r="W69" i="85"/>
  <c r="V69" i="85"/>
  <c r="U70" i="85"/>
  <c r="T70" i="85" s="1"/>
  <c r="W70" i="85"/>
  <c r="V70" i="85"/>
  <c r="U71" i="85"/>
  <c r="T71" i="85" s="1"/>
  <c r="W71" i="85"/>
  <c r="V71" i="85"/>
  <c r="U72" i="85"/>
  <c r="T72" i="85" s="1"/>
  <c r="W72" i="85"/>
  <c r="V72" i="85"/>
  <c r="U73" i="85"/>
  <c r="T73" i="85" s="1"/>
  <c r="W73" i="85"/>
  <c r="V73" i="85"/>
  <c r="U74" i="85"/>
  <c r="T74" i="85" s="1"/>
  <c r="W74" i="85"/>
  <c r="V74" i="85"/>
  <c r="U75" i="85"/>
  <c r="T75" i="85" s="1"/>
  <c r="W75" i="85"/>
  <c r="V75" i="85"/>
  <c r="U76" i="85"/>
  <c r="T76" i="85" s="1"/>
  <c r="W76" i="85"/>
  <c r="V76" i="85"/>
  <c r="U77" i="85"/>
  <c r="T77" i="85" s="1"/>
  <c r="W77" i="85"/>
  <c r="V77" i="85"/>
  <c r="U78" i="85"/>
  <c r="T78" i="85" s="1"/>
  <c r="W78" i="85"/>
  <c r="V78" i="85"/>
  <c r="U79" i="85"/>
  <c r="T79" i="85" s="1"/>
  <c r="W79" i="85"/>
  <c r="V79" i="85"/>
  <c r="U80" i="85"/>
  <c r="T80" i="85" s="1"/>
  <c r="W80" i="85"/>
  <c r="V80" i="85"/>
  <c r="Q7" i="84"/>
  <c r="W14" i="84"/>
  <c r="Q9" i="84" s="1"/>
  <c r="Q4" i="84"/>
  <c r="Q5" i="84"/>
  <c r="H19" i="83"/>
  <c r="H20" i="83"/>
  <c r="H21" i="83"/>
  <c r="H22" i="83"/>
  <c r="H23" i="83"/>
  <c r="H24" i="83"/>
  <c r="H25" i="83"/>
  <c r="H26" i="83"/>
  <c r="H27" i="83"/>
  <c r="H28" i="83"/>
  <c r="H29" i="83"/>
  <c r="H30" i="83"/>
  <c r="H31" i="83"/>
  <c r="H32" i="83"/>
  <c r="H33" i="83"/>
  <c r="H34" i="83"/>
  <c r="H35" i="83"/>
  <c r="H36" i="83"/>
  <c r="H37" i="83"/>
  <c r="H38" i="83"/>
  <c r="H39" i="83"/>
  <c r="H40" i="83"/>
  <c r="H41" i="83"/>
  <c r="H42" i="83"/>
  <c r="H43" i="83"/>
  <c r="H44" i="83"/>
  <c r="H45" i="83"/>
  <c r="H46" i="83"/>
  <c r="H47" i="83"/>
  <c r="H48" i="83"/>
  <c r="H49" i="83"/>
  <c r="H50" i="83"/>
  <c r="H51" i="83"/>
  <c r="H52" i="83"/>
  <c r="H53" i="83"/>
  <c r="H54" i="83"/>
  <c r="H55" i="83"/>
  <c r="H56" i="83"/>
  <c r="H57" i="83"/>
  <c r="H58" i="83"/>
  <c r="H59" i="83"/>
  <c r="H60" i="83"/>
  <c r="H61" i="83"/>
  <c r="H62" i="83"/>
  <c r="H63" i="83"/>
  <c r="H64" i="83"/>
  <c r="H65" i="83"/>
  <c r="H66" i="83"/>
  <c r="H67" i="83"/>
  <c r="H68" i="83"/>
  <c r="H69" i="83"/>
  <c r="H70" i="83"/>
  <c r="H71" i="83"/>
  <c r="H72" i="83"/>
  <c r="H73" i="83"/>
  <c r="H74" i="83"/>
  <c r="H75" i="83"/>
  <c r="H76" i="83"/>
  <c r="H77" i="83"/>
  <c r="H78" i="83"/>
  <c r="H79" i="83"/>
  <c r="H80" i="83"/>
  <c r="H81" i="83"/>
  <c r="H19" i="82"/>
  <c r="H20" i="82"/>
  <c r="H21" i="82"/>
  <c r="H22" i="82"/>
  <c r="H23" i="82"/>
  <c r="H24" i="82"/>
  <c r="H25" i="82"/>
  <c r="H26" i="82"/>
  <c r="H27" i="82"/>
  <c r="H28" i="82"/>
  <c r="H29" i="82"/>
  <c r="H30" i="82"/>
  <c r="H31" i="82"/>
  <c r="H32" i="82"/>
  <c r="H33" i="82"/>
  <c r="H34" i="82"/>
  <c r="H35" i="82"/>
  <c r="H36" i="82"/>
  <c r="H37" i="82"/>
  <c r="H38" i="82"/>
  <c r="H39" i="82"/>
  <c r="H40" i="82"/>
  <c r="H41" i="82"/>
  <c r="H42" i="82"/>
  <c r="H43" i="82"/>
  <c r="H44" i="82"/>
  <c r="H45" i="82"/>
  <c r="H46" i="82"/>
  <c r="H47" i="82"/>
  <c r="H48" i="82"/>
  <c r="H49" i="82"/>
  <c r="H50" i="82"/>
  <c r="H51" i="82"/>
  <c r="H52" i="82"/>
  <c r="H53" i="82"/>
  <c r="H54" i="82"/>
  <c r="H55" i="82"/>
  <c r="H56" i="82"/>
  <c r="H57" i="82"/>
  <c r="H58" i="82"/>
  <c r="H59" i="82"/>
  <c r="H60" i="82"/>
  <c r="H61" i="82"/>
  <c r="H62" i="82"/>
  <c r="H63" i="82"/>
  <c r="H64" i="82"/>
  <c r="H65" i="82"/>
  <c r="H66" i="82"/>
  <c r="H67" i="82"/>
  <c r="H68" i="82"/>
  <c r="H69" i="82"/>
  <c r="H70" i="82"/>
  <c r="H71" i="82"/>
  <c r="H72" i="82"/>
  <c r="H73" i="82"/>
  <c r="H74" i="82"/>
  <c r="H75" i="82"/>
  <c r="H76" i="82"/>
  <c r="H77" i="82"/>
  <c r="H78" i="82"/>
  <c r="H79" i="82"/>
  <c r="H80" i="82"/>
  <c r="H81" i="82"/>
  <c r="H19" i="81"/>
  <c r="H20" i="81"/>
  <c r="H21" i="81"/>
  <c r="H22" i="81"/>
  <c r="H23" i="81"/>
  <c r="H24" i="81"/>
  <c r="H25" i="81"/>
  <c r="H26" i="81"/>
  <c r="H27" i="81"/>
  <c r="H28" i="81"/>
  <c r="H29" i="81"/>
  <c r="H30" i="81"/>
  <c r="H31" i="81"/>
  <c r="H32" i="81"/>
  <c r="H33" i="81"/>
  <c r="H34" i="81"/>
  <c r="H35" i="81"/>
  <c r="H36" i="81"/>
  <c r="H37" i="81"/>
  <c r="H38" i="81"/>
  <c r="H39" i="81"/>
  <c r="H40" i="81"/>
  <c r="H41" i="81"/>
  <c r="H42" i="81"/>
  <c r="H43" i="81"/>
  <c r="H44" i="81"/>
  <c r="H45" i="81"/>
  <c r="H46" i="81"/>
  <c r="H47" i="81"/>
  <c r="H48" i="81"/>
  <c r="H49" i="81"/>
  <c r="H50" i="81"/>
  <c r="H51" i="81"/>
  <c r="H52" i="81"/>
  <c r="H53" i="81"/>
  <c r="H54" i="81"/>
  <c r="H55" i="81"/>
  <c r="H56" i="81"/>
  <c r="H57" i="81"/>
  <c r="H58" i="81"/>
  <c r="H59" i="81"/>
  <c r="H60" i="81"/>
  <c r="H61" i="81"/>
  <c r="H62" i="81"/>
  <c r="H63" i="81"/>
  <c r="H64" i="81"/>
  <c r="H65" i="81"/>
  <c r="H66" i="81"/>
  <c r="H67" i="81"/>
  <c r="H68" i="81"/>
  <c r="H69" i="81"/>
  <c r="H70" i="81"/>
  <c r="H71" i="81"/>
  <c r="H72" i="81"/>
  <c r="H73" i="81"/>
  <c r="H74" i="81"/>
  <c r="H75" i="81"/>
  <c r="H76" i="81"/>
  <c r="H77" i="81"/>
  <c r="H78" i="81"/>
  <c r="H79" i="81"/>
  <c r="H80" i="81"/>
  <c r="H81" i="81"/>
  <c r="H81" i="80"/>
  <c r="H80" i="80"/>
  <c r="H79" i="80"/>
  <c r="H78" i="80"/>
  <c r="H77" i="80"/>
  <c r="H76" i="80"/>
  <c r="H75" i="80"/>
  <c r="H74" i="80"/>
  <c r="H73" i="80"/>
  <c r="H72" i="80"/>
  <c r="H71" i="80"/>
  <c r="H70" i="80"/>
  <c r="H69" i="80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82" i="80" s="1"/>
  <c r="S80" i="80"/>
  <c r="S79" i="80"/>
  <c r="S78" i="80"/>
  <c r="S77" i="80"/>
  <c r="S76" i="80"/>
  <c r="S75" i="80"/>
  <c r="S74" i="80"/>
  <c r="S73" i="80"/>
  <c r="S72" i="80"/>
  <c r="S71" i="80"/>
  <c r="S70" i="80"/>
  <c r="S69" i="80"/>
  <c r="S68" i="80"/>
  <c r="S67" i="80"/>
  <c r="S66" i="80"/>
  <c r="S65" i="80"/>
  <c r="S64" i="80"/>
  <c r="S63" i="80"/>
  <c r="S62" i="80"/>
  <c r="S61" i="80"/>
  <c r="S60" i="80"/>
  <c r="S59" i="80"/>
  <c r="S58" i="80"/>
  <c r="S57" i="80"/>
  <c r="S56" i="80"/>
  <c r="S55" i="80"/>
  <c r="S54" i="80"/>
  <c r="S53" i="80"/>
  <c r="S52" i="80"/>
  <c r="S51" i="80"/>
  <c r="S50" i="80"/>
  <c r="S49" i="80"/>
  <c r="S48" i="80"/>
  <c r="S47" i="80"/>
  <c r="S46" i="80"/>
  <c r="S45" i="80"/>
  <c r="S44" i="80"/>
  <c r="S43" i="80"/>
  <c r="S42" i="80"/>
  <c r="S41" i="80"/>
  <c r="S40" i="80"/>
  <c r="S39" i="80"/>
  <c r="S38" i="80"/>
  <c r="S37" i="80"/>
  <c r="S36" i="80"/>
  <c r="S35" i="80"/>
  <c r="S34" i="80"/>
  <c r="S33" i="80"/>
  <c r="S32" i="80"/>
  <c r="S31" i="80"/>
  <c r="S30" i="80"/>
  <c r="S29" i="80"/>
  <c r="S28" i="80"/>
  <c r="S27" i="80"/>
  <c r="S26" i="80"/>
  <c r="S25" i="80"/>
  <c r="S24" i="80"/>
  <c r="S23" i="80"/>
  <c r="S22" i="80"/>
  <c r="S21" i="80"/>
  <c r="S20" i="80"/>
  <c r="S19" i="80"/>
  <c r="S18" i="80"/>
  <c r="S81" i="80" s="1"/>
  <c r="I81" i="80"/>
  <c r="I80" i="80"/>
  <c r="I79" i="80"/>
  <c r="I78" i="80"/>
  <c r="I77" i="80"/>
  <c r="I76" i="80"/>
  <c r="I75" i="80"/>
  <c r="I74" i="80"/>
  <c r="I73" i="80"/>
  <c r="I72" i="80"/>
  <c r="I71" i="80"/>
  <c r="I70" i="80"/>
  <c r="I69" i="80"/>
  <c r="I68" i="80"/>
  <c r="I67" i="80"/>
  <c r="I66" i="80"/>
  <c r="I65" i="80"/>
  <c r="I64" i="80"/>
  <c r="I63" i="80"/>
  <c r="I62" i="80"/>
  <c r="I61" i="80"/>
  <c r="I60" i="80"/>
  <c r="I59" i="80"/>
  <c r="I58" i="80"/>
  <c r="I57" i="80"/>
  <c r="I56" i="80"/>
  <c r="I55" i="80"/>
  <c r="I54" i="80"/>
  <c r="I53" i="80"/>
  <c r="I52" i="80"/>
  <c r="I51" i="80"/>
  <c r="I50" i="80"/>
  <c r="I49" i="80"/>
  <c r="I48" i="80"/>
  <c r="I47" i="80"/>
  <c r="I46" i="80"/>
  <c r="I45" i="80"/>
  <c r="I44" i="80"/>
  <c r="I43" i="80"/>
  <c r="I42" i="80"/>
  <c r="I41" i="80"/>
  <c r="I40" i="80"/>
  <c r="I39" i="80"/>
  <c r="I38" i="80"/>
  <c r="I37" i="80"/>
  <c r="I36" i="80"/>
  <c r="I35" i="80"/>
  <c r="I34" i="80"/>
  <c r="I33" i="80"/>
  <c r="I32" i="80"/>
  <c r="I31" i="80"/>
  <c r="I30" i="80"/>
  <c r="I29" i="80"/>
  <c r="I28" i="80"/>
  <c r="I27" i="80"/>
  <c r="I26" i="80"/>
  <c r="I25" i="80"/>
  <c r="I24" i="80"/>
  <c r="I23" i="80"/>
  <c r="I22" i="80"/>
  <c r="I21" i="80"/>
  <c r="I20" i="80"/>
  <c r="I19" i="80"/>
  <c r="I82" i="80" s="1"/>
  <c r="Q2" i="80" s="1"/>
  <c r="K81" i="80"/>
  <c r="M18" i="80"/>
  <c r="L81" i="80"/>
  <c r="W18" i="80"/>
  <c r="V18" i="80"/>
  <c r="U19" i="80"/>
  <c r="T19" i="80" s="1"/>
  <c r="W19" i="80"/>
  <c r="V19" i="80"/>
  <c r="U20" i="80"/>
  <c r="T20" i="80" s="1"/>
  <c r="W20" i="80"/>
  <c r="V20" i="80"/>
  <c r="U21" i="80"/>
  <c r="T21" i="80" s="1"/>
  <c r="W21" i="80"/>
  <c r="V21" i="80"/>
  <c r="U22" i="80"/>
  <c r="T22" i="80" s="1"/>
  <c r="W22" i="80"/>
  <c r="V22" i="80"/>
  <c r="U23" i="80"/>
  <c r="T23" i="80" s="1"/>
  <c r="W23" i="80"/>
  <c r="V23" i="80"/>
  <c r="U24" i="80"/>
  <c r="T24" i="80" s="1"/>
  <c r="W24" i="80"/>
  <c r="V24" i="80"/>
  <c r="U25" i="80"/>
  <c r="T25" i="80" s="1"/>
  <c r="W25" i="80"/>
  <c r="V25" i="80"/>
  <c r="U26" i="80"/>
  <c r="T26" i="80" s="1"/>
  <c r="W26" i="80"/>
  <c r="V26" i="80"/>
  <c r="U27" i="80"/>
  <c r="T27" i="80" s="1"/>
  <c r="W27" i="80"/>
  <c r="V27" i="80"/>
  <c r="U28" i="80"/>
  <c r="T28" i="80" s="1"/>
  <c r="W28" i="80"/>
  <c r="V28" i="80"/>
  <c r="U29" i="80"/>
  <c r="T29" i="80" s="1"/>
  <c r="W29" i="80"/>
  <c r="V29" i="80"/>
  <c r="U30" i="80"/>
  <c r="T30" i="80" s="1"/>
  <c r="W30" i="80"/>
  <c r="V30" i="80"/>
  <c r="U31" i="80"/>
  <c r="T31" i="80" s="1"/>
  <c r="W31" i="80"/>
  <c r="V31" i="80"/>
  <c r="U32" i="80"/>
  <c r="T32" i="80" s="1"/>
  <c r="W32" i="80"/>
  <c r="V32" i="80"/>
  <c r="U33" i="80"/>
  <c r="T33" i="80" s="1"/>
  <c r="W33" i="80"/>
  <c r="V33" i="80"/>
  <c r="U34" i="80"/>
  <c r="T34" i="80" s="1"/>
  <c r="W34" i="80"/>
  <c r="V34" i="80"/>
  <c r="U35" i="80"/>
  <c r="T35" i="80" s="1"/>
  <c r="W35" i="80"/>
  <c r="V35" i="80"/>
  <c r="U36" i="80"/>
  <c r="T36" i="80" s="1"/>
  <c r="W36" i="80"/>
  <c r="V36" i="80"/>
  <c r="U37" i="80"/>
  <c r="T37" i="80" s="1"/>
  <c r="W37" i="80"/>
  <c r="V37" i="80"/>
  <c r="U38" i="80"/>
  <c r="T38" i="80" s="1"/>
  <c r="W38" i="80"/>
  <c r="V38" i="80"/>
  <c r="U39" i="80"/>
  <c r="T39" i="80" s="1"/>
  <c r="W39" i="80"/>
  <c r="V39" i="80"/>
  <c r="U40" i="80"/>
  <c r="T40" i="80" s="1"/>
  <c r="W40" i="80"/>
  <c r="V40" i="80"/>
  <c r="U41" i="80"/>
  <c r="T41" i="80" s="1"/>
  <c r="W41" i="80"/>
  <c r="V41" i="80"/>
  <c r="U42" i="80"/>
  <c r="T42" i="80" s="1"/>
  <c r="W42" i="80"/>
  <c r="V42" i="80"/>
  <c r="U43" i="80"/>
  <c r="T43" i="80" s="1"/>
  <c r="W43" i="80"/>
  <c r="V43" i="80"/>
  <c r="U44" i="80"/>
  <c r="T44" i="80" s="1"/>
  <c r="W44" i="80"/>
  <c r="V44" i="80"/>
  <c r="U45" i="80"/>
  <c r="T45" i="80" s="1"/>
  <c r="W45" i="80"/>
  <c r="V45" i="80"/>
  <c r="U46" i="80"/>
  <c r="T46" i="80" s="1"/>
  <c r="W46" i="80"/>
  <c r="V46" i="80"/>
  <c r="U47" i="80"/>
  <c r="T47" i="80" s="1"/>
  <c r="W47" i="80"/>
  <c r="V47" i="80"/>
  <c r="U48" i="80"/>
  <c r="T48" i="80" s="1"/>
  <c r="W48" i="80"/>
  <c r="V48" i="80"/>
  <c r="U49" i="80"/>
  <c r="T49" i="80" s="1"/>
  <c r="W49" i="80"/>
  <c r="V49" i="80"/>
  <c r="U50" i="80"/>
  <c r="T50" i="80" s="1"/>
  <c r="W50" i="80"/>
  <c r="V50" i="80"/>
  <c r="U51" i="80"/>
  <c r="T51" i="80" s="1"/>
  <c r="W51" i="80"/>
  <c r="V51" i="80"/>
  <c r="U52" i="80"/>
  <c r="T52" i="80" s="1"/>
  <c r="W52" i="80"/>
  <c r="V52" i="80"/>
  <c r="U53" i="80"/>
  <c r="T53" i="80" s="1"/>
  <c r="W53" i="80"/>
  <c r="V53" i="80"/>
  <c r="U54" i="80"/>
  <c r="T54" i="80" s="1"/>
  <c r="W54" i="80"/>
  <c r="V54" i="80"/>
  <c r="U55" i="80"/>
  <c r="T55" i="80" s="1"/>
  <c r="W55" i="80"/>
  <c r="V55" i="80"/>
  <c r="U56" i="80"/>
  <c r="T56" i="80" s="1"/>
  <c r="W56" i="80"/>
  <c r="V56" i="80"/>
  <c r="U57" i="80"/>
  <c r="T57" i="80" s="1"/>
  <c r="W57" i="80"/>
  <c r="V57" i="80"/>
  <c r="U58" i="80"/>
  <c r="T58" i="80" s="1"/>
  <c r="W58" i="80"/>
  <c r="V58" i="80"/>
  <c r="U59" i="80"/>
  <c r="T59" i="80" s="1"/>
  <c r="W59" i="80"/>
  <c r="V59" i="80"/>
  <c r="U60" i="80"/>
  <c r="T60" i="80" s="1"/>
  <c r="W60" i="80"/>
  <c r="V60" i="80"/>
  <c r="U61" i="80"/>
  <c r="T61" i="80" s="1"/>
  <c r="W61" i="80"/>
  <c r="V61" i="80"/>
  <c r="U62" i="80"/>
  <c r="T62" i="80" s="1"/>
  <c r="W62" i="80"/>
  <c r="V62" i="80"/>
  <c r="U63" i="80"/>
  <c r="T63" i="80" s="1"/>
  <c r="W63" i="80"/>
  <c r="V63" i="80"/>
  <c r="U64" i="80"/>
  <c r="T64" i="80" s="1"/>
  <c r="W64" i="80"/>
  <c r="V64" i="80"/>
  <c r="U65" i="80"/>
  <c r="T65" i="80" s="1"/>
  <c r="W65" i="80"/>
  <c r="V65" i="80"/>
  <c r="U66" i="80"/>
  <c r="T66" i="80" s="1"/>
  <c r="W66" i="80"/>
  <c r="V66" i="80"/>
  <c r="U67" i="80"/>
  <c r="T67" i="80" s="1"/>
  <c r="W67" i="80"/>
  <c r="V67" i="80"/>
  <c r="U68" i="80"/>
  <c r="T68" i="80" s="1"/>
  <c r="W68" i="80"/>
  <c r="V68" i="80"/>
  <c r="U69" i="80"/>
  <c r="T69" i="80" s="1"/>
  <c r="W69" i="80"/>
  <c r="V69" i="80"/>
  <c r="U70" i="80"/>
  <c r="T70" i="80" s="1"/>
  <c r="W70" i="80"/>
  <c r="V70" i="80"/>
  <c r="U71" i="80"/>
  <c r="T71" i="80" s="1"/>
  <c r="W71" i="80"/>
  <c r="V71" i="80"/>
  <c r="U72" i="80"/>
  <c r="T72" i="80" s="1"/>
  <c r="W72" i="80"/>
  <c r="V72" i="80"/>
  <c r="U73" i="80"/>
  <c r="T73" i="80" s="1"/>
  <c r="W73" i="80"/>
  <c r="V73" i="80"/>
  <c r="U74" i="80"/>
  <c r="T74" i="80" s="1"/>
  <c r="W74" i="80"/>
  <c r="V74" i="80"/>
  <c r="U75" i="80"/>
  <c r="T75" i="80" s="1"/>
  <c r="W75" i="80"/>
  <c r="V75" i="80"/>
  <c r="U76" i="80"/>
  <c r="T76" i="80" s="1"/>
  <c r="W76" i="80"/>
  <c r="V76" i="80"/>
  <c r="U77" i="80"/>
  <c r="T77" i="80" s="1"/>
  <c r="W77" i="80"/>
  <c r="V77" i="80"/>
  <c r="U78" i="80"/>
  <c r="T78" i="80" s="1"/>
  <c r="W78" i="80"/>
  <c r="V78" i="80"/>
  <c r="U79" i="80"/>
  <c r="T79" i="80" s="1"/>
  <c r="W79" i="80"/>
  <c r="V79" i="80"/>
  <c r="U80" i="80"/>
  <c r="T80" i="80" s="1"/>
  <c r="W80" i="80"/>
  <c r="V80" i="80"/>
  <c r="Q7" i="79"/>
  <c r="W14" i="79"/>
  <c r="Q9" i="79" s="1"/>
  <c r="Q4" i="79"/>
  <c r="Q5" i="79"/>
  <c r="H81" i="78"/>
  <c r="H80" i="78"/>
  <c r="H79" i="78"/>
  <c r="H78" i="78"/>
  <c r="H77" i="78"/>
  <c r="H76" i="78"/>
  <c r="H75" i="78"/>
  <c r="H74" i="78"/>
  <c r="H73" i="78"/>
  <c r="H72" i="78"/>
  <c r="H71" i="78"/>
  <c r="H70" i="78"/>
  <c r="H69" i="78"/>
  <c r="H68" i="78"/>
  <c r="H67" i="78"/>
  <c r="H66" i="78"/>
  <c r="H65" i="78"/>
  <c r="H64" i="78"/>
  <c r="H63" i="78"/>
  <c r="H62" i="78"/>
  <c r="H61" i="78"/>
  <c r="H60" i="78"/>
  <c r="H59" i="78"/>
  <c r="H58" i="78"/>
  <c r="H57" i="78"/>
  <c r="H56" i="78"/>
  <c r="H55" i="78"/>
  <c r="H54" i="78"/>
  <c r="H53" i="78"/>
  <c r="H52" i="78"/>
  <c r="H51" i="78"/>
  <c r="H50" i="78"/>
  <c r="H49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H22" i="78"/>
  <c r="H21" i="78"/>
  <c r="H20" i="78"/>
  <c r="H19" i="78"/>
  <c r="H82" i="78" s="1"/>
  <c r="S80" i="78"/>
  <c r="S79" i="78"/>
  <c r="S78" i="78"/>
  <c r="S77" i="78"/>
  <c r="S76" i="78"/>
  <c r="S75" i="78"/>
  <c r="S74" i="78"/>
  <c r="S73" i="78"/>
  <c r="S72" i="78"/>
  <c r="S71" i="78"/>
  <c r="S70" i="78"/>
  <c r="S69" i="78"/>
  <c r="S68" i="78"/>
  <c r="S67" i="78"/>
  <c r="S66" i="78"/>
  <c r="S65" i="78"/>
  <c r="S64" i="78"/>
  <c r="S63" i="78"/>
  <c r="S62" i="78"/>
  <c r="S61" i="78"/>
  <c r="S60" i="78"/>
  <c r="S59" i="78"/>
  <c r="S58" i="78"/>
  <c r="S57" i="78"/>
  <c r="S56" i="78"/>
  <c r="S55" i="78"/>
  <c r="S54" i="78"/>
  <c r="S53" i="78"/>
  <c r="S52" i="78"/>
  <c r="S51" i="78"/>
  <c r="S50" i="78"/>
  <c r="S49" i="78"/>
  <c r="S48" i="78"/>
  <c r="S47" i="78"/>
  <c r="S46" i="78"/>
  <c r="S45" i="78"/>
  <c r="S44" i="78"/>
  <c r="S43" i="78"/>
  <c r="S42" i="78"/>
  <c r="S41" i="78"/>
  <c r="S40" i="78"/>
  <c r="S39" i="78"/>
  <c r="S38" i="78"/>
  <c r="S37" i="78"/>
  <c r="S36" i="78"/>
  <c r="S35" i="78"/>
  <c r="S34" i="78"/>
  <c r="S33" i="78"/>
  <c r="S32" i="78"/>
  <c r="S31" i="78"/>
  <c r="S30" i="78"/>
  <c r="S29" i="78"/>
  <c r="S28" i="78"/>
  <c r="S27" i="78"/>
  <c r="S26" i="78"/>
  <c r="S25" i="78"/>
  <c r="S24" i="78"/>
  <c r="S23" i="78"/>
  <c r="S22" i="78"/>
  <c r="S21" i="78"/>
  <c r="S20" i="78"/>
  <c r="S19" i="78"/>
  <c r="S18" i="78"/>
  <c r="S81" i="78" s="1"/>
  <c r="I81" i="78"/>
  <c r="I80" i="78"/>
  <c r="I79" i="78"/>
  <c r="I78" i="78"/>
  <c r="I77" i="78"/>
  <c r="I76" i="78"/>
  <c r="I75" i="78"/>
  <c r="I74" i="78"/>
  <c r="I73" i="78"/>
  <c r="I72" i="78"/>
  <c r="I71" i="78"/>
  <c r="I70" i="78"/>
  <c r="I69" i="78"/>
  <c r="I68" i="78"/>
  <c r="I67" i="78"/>
  <c r="I66" i="78"/>
  <c r="I65" i="78"/>
  <c r="I64" i="78"/>
  <c r="I63" i="78"/>
  <c r="I62" i="78"/>
  <c r="I61" i="78"/>
  <c r="I60" i="78"/>
  <c r="I59" i="78"/>
  <c r="I58" i="78"/>
  <c r="I57" i="78"/>
  <c r="I56" i="78"/>
  <c r="I55" i="78"/>
  <c r="I54" i="78"/>
  <c r="I53" i="78"/>
  <c r="I52" i="78"/>
  <c r="I51" i="78"/>
  <c r="I50" i="78"/>
  <c r="I49" i="78"/>
  <c r="I48" i="78"/>
  <c r="I47" i="78"/>
  <c r="I46" i="78"/>
  <c r="I45" i="78"/>
  <c r="I44" i="78"/>
  <c r="I43" i="78"/>
  <c r="I42" i="78"/>
  <c r="I41" i="78"/>
  <c r="I40" i="78"/>
  <c r="I39" i="78"/>
  <c r="I38" i="78"/>
  <c r="I37" i="78"/>
  <c r="I36" i="78"/>
  <c r="I35" i="78"/>
  <c r="I34" i="78"/>
  <c r="I33" i="78"/>
  <c r="I32" i="78"/>
  <c r="I31" i="78"/>
  <c r="I30" i="78"/>
  <c r="I29" i="78"/>
  <c r="I28" i="78"/>
  <c r="I27" i="78"/>
  <c r="I26" i="78"/>
  <c r="I25" i="78"/>
  <c r="I24" i="78"/>
  <c r="I23" i="78"/>
  <c r="I22" i="78"/>
  <c r="I21" i="78"/>
  <c r="I20" i="78"/>
  <c r="I19" i="78"/>
  <c r="I82" i="78" s="1"/>
  <c r="Q2" i="78" s="1"/>
  <c r="K81" i="78"/>
  <c r="M18" i="78"/>
  <c r="L81" i="78"/>
  <c r="W18" i="78"/>
  <c r="V18" i="78"/>
  <c r="U19" i="78"/>
  <c r="T19" i="78" s="1"/>
  <c r="W19" i="78"/>
  <c r="V19" i="78"/>
  <c r="U20" i="78"/>
  <c r="T20" i="78" s="1"/>
  <c r="W20" i="78"/>
  <c r="V20" i="78"/>
  <c r="U21" i="78"/>
  <c r="T21" i="78" s="1"/>
  <c r="W21" i="78"/>
  <c r="V21" i="78"/>
  <c r="U22" i="78"/>
  <c r="T22" i="78" s="1"/>
  <c r="W22" i="78"/>
  <c r="V22" i="78"/>
  <c r="U23" i="78"/>
  <c r="T23" i="78" s="1"/>
  <c r="W23" i="78"/>
  <c r="V23" i="78"/>
  <c r="U24" i="78"/>
  <c r="T24" i="78" s="1"/>
  <c r="W24" i="78"/>
  <c r="V24" i="78"/>
  <c r="U25" i="78"/>
  <c r="T25" i="78" s="1"/>
  <c r="W25" i="78"/>
  <c r="V25" i="78"/>
  <c r="U26" i="78"/>
  <c r="T26" i="78" s="1"/>
  <c r="W26" i="78"/>
  <c r="V26" i="78"/>
  <c r="U27" i="78"/>
  <c r="T27" i="78" s="1"/>
  <c r="W27" i="78"/>
  <c r="V27" i="78"/>
  <c r="U28" i="78"/>
  <c r="T28" i="78" s="1"/>
  <c r="W28" i="78"/>
  <c r="V28" i="78"/>
  <c r="U29" i="78"/>
  <c r="T29" i="78" s="1"/>
  <c r="W29" i="78"/>
  <c r="V29" i="78"/>
  <c r="U30" i="78"/>
  <c r="T30" i="78" s="1"/>
  <c r="W30" i="78"/>
  <c r="V30" i="78"/>
  <c r="U31" i="78"/>
  <c r="T31" i="78" s="1"/>
  <c r="W31" i="78"/>
  <c r="V31" i="78"/>
  <c r="U32" i="78"/>
  <c r="T32" i="78" s="1"/>
  <c r="W32" i="78"/>
  <c r="V32" i="78"/>
  <c r="U33" i="78"/>
  <c r="T33" i="78" s="1"/>
  <c r="W33" i="78"/>
  <c r="V33" i="78"/>
  <c r="U34" i="78"/>
  <c r="T34" i="78" s="1"/>
  <c r="W34" i="78"/>
  <c r="V34" i="78"/>
  <c r="U35" i="78"/>
  <c r="T35" i="78" s="1"/>
  <c r="W35" i="78"/>
  <c r="V35" i="78"/>
  <c r="U36" i="78"/>
  <c r="T36" i="78" s="1"/>
  <c r="W36" i="78"/>
  <c r="V36" i="78"/>
  <c r="U37" i="78"/>
  <c r="T37" i="78" s="1"/>
  <c r="W37" i="78"/>
  <c r="V37" i="78"/>
  <c r="U38" i="78"/>
  <c r="T38" i="78" s="1"/>
  <c r="W38" i="78"/>
  <c r="V38" i="78"/>
  <c r="U39" i="78"/>
  <c r="T39" i="78" s="1"/>
  <c r="W39" i="78"/>
  <c r="V39" i="78"/>
  <c r="U40" i="78"/>
  <c r="T40" i="78" s="1"/>
  <c r="W40" i="78"/>
  <c r="V40" i="78"/>
  <c r="U41" i="78"/>
  <c r="T41" i="78" s="1"/>
  <c r="W41" i="78"/>
  <c r="V41" i="78"/>
  <c r="U42" i="78"/>
  <c r="T42" i="78" s="1"/>
  <c r="W42" i="78"/>
  <c r="V42" i="78"/>
  <c r="U43" i="78"/>
  <c r="T43" i="78" s="1"/>
  <c r="W43" i="78"/>
  <c r="V43" i="78"/>
  <c r="U44" i="78"/>
  <c r="T44" i="78" s="1"/>
  <c r="W44" i="78"/>
  <c r="V44" i="78"/>
  <c r="U45" i="78"/>
  <c r="T45" i="78" s="1"/>
  <c r="W45" i="78"/>
  <c r="V45" i="78"/>
  <c r="U46" i="78"/>
  <c r="T46" i="78" s="1"/>
  <c r="W46" i="78"/>
  <c r="V46" i="78"/>
  <c r="U47" i="78"/>
  <c r="T47" i="78" s="1"/>
  <c r="W47" i="78"/>
  <c r="V47" i="78"/>
  <c r="U48" i="78"/>
  <c r="T48" i="78" s="1"/>
  <c r="W48" i="78"/>
  <c r="V48" i="78"/>
  <c r="U49" i="78"/>
  <c r="T49" i="78" s="1"/>
  <c r="W49" i="78"/>
  <c r="V49" i="78"/>
  <c r="U50" i="78"/>
  <c r="T50" i="78" s="1"/>
  <c r="W50" i="78"/>
  <c r="V50" i="78"/>
  <c r="U51" i="78"/>
  <c r="T51" i="78" s="1"/>
  <c r="W51" i="78"/>
  <c r="V51" i="78"/>
  <c r="U52" i="78"/>
  <c r="T52" i="78" s="1"/>
  <c r="W52" i="78"/>
  <c r="V52" i="78"/>
  <c r="U53" i="78"/>
  <c r="T53" i="78" s="1"/>
  <c r="W53" i="78"/>
  <c r="V53" i="78"/>
  <c r="U54" i="78"/>
  <c r="T54" i="78" s="1"/>
  <c r="W54" i="78"/>
  <c r="V54" i="78"/>
  <c r="U55" i="78"/>
  <c r="T55" i="78" s="1"/>
  <c r="W55" i="78"/>
  <c r="V55" i="78"/>
  <c r="U56" i="78"/>
  <c r="T56" i="78" s="1"/>
  <c r="W56" i="78"/>
  <c r="V56" i="78"/>
  <c r="U57" i="78"/>
  <c r="T57" i="78" s="1"/>
  <c r="W57" i="78"/>
  <c r="V57" i="78"/>
  <c r="U58" i="78"/>
  <c r="T58" i="78" s="1"/>
  <c r="W58" i="78"/>
  <c r="V58" i="78"/>
  <c r="U59" i="78"/>
  <c r="T59" i="78" s="1"/>
  <c r="W59" i="78"/>
  <c r="V59" i="78"/>
  <c r="U60" i="78"/>
  <c r="T60" i="78" s="1"/>
  <c r="W60" i="78"/>
  <c r="V60" i="78"/>
  <c r="U61" i="78"/>
  <c r="T61" i="78" s="1"/>
  <c r="W61" i="78"/>
  <c r="V61" i="78"/>
  <c r="U62" i="78"/>
  <c r="T62" i="78" s="1"/>
  <c r="W62" i="78"/>
  <c r="V62" i="78"/>
  <c r="U63" i="78"/>
  <c r="T63" i="78" s="1"/>
  <c r="W63" i="78"/>
  <c r="V63" i="78"/>
  <c r="U64" i="78"/>
  <c r="T64" i="78" s="1"/>
  <c r="W64" i="78"/>
  <c r="V64" i="78"/>
  <c r="U65" i="78"/>
  <c r="T65" i="78" s="1"/>
  <c r="W65" i="78"/>
  <c r="V65" i="78"/>
  <c r="U66" i="78"/>
  <c r="T66" i="78" s="1"/>
  <c r="W66" i="78"/>
  <c r="V66" i="78"/>
  <c r="U67" i="78"/>
  <c r="T67" i="78" s="1"/>
  <c r="W67" i="78"/>
  <c r="V67" i="78"/>
  <c r="U68" i="78"/>
  <c r="T68" i="78" s="1"/>
  <c r="W68" i="78"/>
  <c r="V68" i="78"/>
  <c r="U69" i="78"/>
  <c r="T69" i="78" s="1"/>
  <c r="W69" i="78"/>
  <c r="V69" i="78"/>
  <c r="U70" i="78"/>
  <c r="T70" i="78" s="1"/>
  <c r="W70" i="78"/>
  <c r="V70" i="78"/>
  <c r="U71" i="78"/>
  <c r="T71" i="78" s="1"/>
  <c r="W71" i="78"/>
  <c r="V71" i="78"/>
  <c r="U72" i="78"/>
  <c r="T72" i="78" s="1"/>
  <c r="W72" i="78"/>
  <c r="V72" i="78"/>
  <c r="U73" i="78"/>
  <c r="T73" i="78" s="1"/>
  <c r="W73" i="78"/>
  <c r="V73" i="78"/>
  <c r="U74" i="78"/>
  <c r="T74" i="78" s="1"/>
  <c r="W74" i="78"/>
  <c r="V74" i="78"/>
  <c r="U75" i="78"/>
  <c r="T75" i="78" s="1"/>
  <c r="W75" i="78"/>
  <c r="V75" i="78"/>
  <c r="U76" i="78"/>
  <c r="T76" i="78" s="1"/>
  <c r="W76" i="78"/>
  <c r="V76" i="78"/>
  <c r="U77" i="78"/>
  <c r="T77" i="78" s="1"/>
  <c r="W77" i="78"/>
  <c r="V77" i="78"/>
  <c r="U78" i="78"/>
  <c r="T78" i="78" s="1"/>
  <c r="W78" i="78"/>
  <c r="V78" i="78"/>
  <c r="U79" i="78"/>
  <c r="T79" i="78" s="1"/>
  <c r="W79" i="78"/>
  <c r="V79" i="78"/>
  <c r="U80" i="78"/>
  <c r="T80" i="78" s="1"/>
  <c r="W80" i="78"/>
  <c r="V80" i="78"/>
  <c r="H81" i="76"/>
  <c r="H80" i="76"/>
  <c r="H79" i="76"/>
  <c r="H78" i="76"/>
  <c r="H77" i="76"/>
  <c r="H76" i="76"/>
  <c r="H75" i="76"/>
  <c r="H74" i="76"/>
  <c r="H73" i="76"/>
  <c r="H72" i="76"/>
  <c r="H71" i="76"/>
  <c r="H70" i="76"/>
  <c r="H69" i="76"/>
  <c r="H68" i="76"/>
  <c r="H67" i="76"/>
  <c r="H66" i="76"/>
  <c r="H65" i="76"/>
  <c r="H64" i="76"/>
  <c r="H63" i="76"/>
  <c r="H62" i="76"/>
  <c r="H61" i="76"/>
  <c r="H60" i="76"/>
  <c r="H59" i="76"/>
  <c r="H58" i="76"/>
  <c r="H57" i="76"/>
  <c r="H56" i="76"/>
  <c r="H55" i="76"/>
  <c r="H54" i="76"/>
  <c r="H53" i="76"/>
  <c r="H52" i="76"/>
  <c r="H51" i="76"/>
  <c r="H50" i="76"/>
  <c r="H49" i="76"/>
  <c r="H48" i="76"/>
  <c r="H47" i="76"/>
  <c r="H46" i="76"/>
  <c r="H45" i="76"/>
  <c r="H44" i="76"/>
  <c r="H43" i="76"/>
  <c r="H42" i="76"/>
  <c r="H41" i="76"/>
  <c r="H40" i="76"/>
  <c r="H39" i="76"/>
  <c r="H38" i="76"/>
  <c r="H37" i="76"/>
  <c r="H36" i="76"/>
  <c r="H35" i="76"/>
  <c r="H34" i="76"/>
  <c r="H33" i="76"/>
  <c r="H32" i="76"/>
  <c r="H31" i="76"/>
  <c r="H30" i="76"/>
  <c r="H29" i="76"/>
  <c r="H28" i="76"/>
  <c r="H27" i="76"/>
  <c r="H26" i="76"/>
  <c r="H25" i="76"/>
  <c r="H24" i="76"/>
  <c r="H23" i="76"/>
  <c r="H22" i="76"/>
  <c r="H21" i="76"/>
  <c r="H20" i="76"/>
  <c r="H19" i="76"/>
  <c r="H82" i="76" s="1"/>
  <c r="S80" i="76"/>
  <c r="S79" i="76"/>
  <c r="S78" i="76"/>
  <c r="S77" i="76"/>
  <c r="S76" i="76"/>
  <c r="S75" i="76"/>
  <c r="S74" i="76"/>
  <c r="S73" i="76"/>
  <c r="S72" i="76"/>
  <c r="S71" i="76"/>
  <c r="S70" i="76"/>
  <c r="S69" i="76"/>
  <c r="S68" i="76"/>
  <c r="S67" i="76"/>
  <c r="S66" i="76"/>
  <c r="S65" i="76"/>
  <c r="S64" i="76"/>
  <c r="S63" i="76"/>
  <c r="S62" i="76"/>
  <c r="S61" i="76"/>
  <c r="S60" i="76"/>
  <c r="S59" i="76"/>
  <c r="S58" i="76"/>
  <c r="S57" i="76"/>
  <c r="S56" i="76"/>
  <c r="S55" i="76"/>
  <c r="S54" i="76"/>
  <c r="S53" i="76"/>
  <c r="S52" i="76"/>
  <c r="S51" i="76"/>
  <c r="S50" i="76"/>
  <c r="S49" i="76"/>
  <c r="S48" i="76"/>
  <c r="S47" i="76"/>
  <c r="S46" i="76"/>
  <c r="S45" i="76"/>
  <c r="S44" i="76"/>
  <c r="S43" i="76"/>
  <c r="S42" i="76"/>
  <c r="S41" i="76"/>
  <c r="S40" i="76"/>
  <c r="S39" i="76"/>
  <c r="S38" i="76"/>
  <c r="S37" i="76"/>
  <c r="S36" i="76"/>
  <c r="S35" i="76"/>
  <c r="S34" i="76"/>
  <c r="S33" i="76"/>
  <c r="S32" i="76"/>
  <c r="S31" i="76"/>
  <c r="S30" i="76"/>
  <c r="S29" i="76"/>
  <c r="S28" i="76"/>
  <c r="S27" i="76"/>
  <c r="S26" i="76"/>
  <c r="S25" i="76"/>
  <c r="S24" i="76"/>
  <c r="S23" i="76"/>
  <c r="S22" i="76"/>
  <c r="S21" i="76"/>
  <c r="S20" i="76"/>
  <c r="S19" i="76"/>
  <c r="S18" i="76"/>
  <c r="S81" i="76" s="1"/>
  <c r="I81" i="76"/>
  <c r="I80" i="76"/>
  <c r="I79" i="76"/>
  <c r="I78" i="76"/>
  <c r="I77" i="76"/>
  <c r="I76" i="76"/>
  <c r="I75" i="76"/>
  <c r="I74" i="76"/>
  <c r="I73" i="76"/>
  <c r="I72" i="76"/>
  <c r="I71" i="76"/>
  <c r="I70" i="76"/>
  <c r="I69" i="76"/>
  <c r="I68" i="76"/>
  <c r="I67" i="76"/>
  <c r="I66" i="76"/>
  <c r="I65" i="76"/>
  <c r="I64" i="76"/>
  <c r="I63" i="76"/>
  <c r="I62" i="76"/>
  <c r="I61" i="76"/>
  <c r="I60" i="76"/>
  <c r="I59" i="76"/>
  <c r="I58" i="76"/>
  <c r="I57" i="76"/>
  <c r="I56" i="76"/>
  <c r="I55" i="76"/>
  <c r="I54" i="76"/>
  <c r="I53" i="76"/>
  <c r="I52" i="76"/>
  <c r="I51" i="76"/>
  <c r="I50" i="76"/>
  <c r="I49" i="76"/>
  <c r="I48" i="76"/>
  <c r="I47" i="76"/>
  <c r="I46" i="76"/>
  <c r="I45" i="76"/>
  <c r="I44" i="76"/>
  <c r="I43" i="76"/>
  <c r="I42" i="76"/>
  <c r="I41" i="76"/>
  <c r="I40" i="76"/>
  <c r="I39" i="76"/>
  <c r="I38" i="76"/>
  <c r="I37" i="76"/>
  <c r="I36" i="76"/>
  <c r="I35" i="76"/>
  <c r="I34" i="76"/>
  <c r="I33" i="76"/>
  <c r="I32" i="76"/>
  <c r="I31" i="76"/>
  <c r="I30" i="76"/>
  <c r="I29" i="76"/>
  <c r="I28" i="76"/>
  <c r="I27" i="76"/>
  <c r="I26" i="76"/>
  <c r="I25" i="76"/>
  <c r="I24" i="76"/>
  <c r="I23" i="76"/>
  <c r="I22" i="76"/>
  <c r="I21" i="76"/>
  <c r="I20" i="76"/>
  <c r="I19" i="76"/>
  <c r="I82" i="76" s="1"/>
  <c r="Q2" i="76" s="1"/>
  <c r="K81" i="76"/>
  <c r="M18" i="76"/>
  <c r="L81" i="76"/>
  <c r="W18" i="76"/>
  <c r="V18" i="76"/>
  <c r="U19" i="76"/>
  <c r="T19" i="76" s="1"/>
  <c r="W19" i="76"/>
  <c r="V19" i="76"/>
  <c r="U20" i="76"/>
  <c r="T20" i="76" s="1"/>
  <c r="W20" i="76"/>
  <c r="V20" i="76"/>
  <c r="U21" i="76"/>
  <c r="T21" i="76" s="1"/>
  <c r="W21" i="76"/>
  <c r="V21" i="76"/>
  <c r="U22" i="76"/>
  <c r="T22" i="76" s="1"/>
  <c r="W22" i="76"/>
  <c r="V22" i="76"/>
  <c r="U23" i="76"/>
  <c r="T23" i="76" s="1"/>
  <c r="W23" i="76"/>
  <c r="V23" i="76"/>
  <c r="U24" i="76"/>
  <c r="T24" i="76" s="1"/>
  <c r="W24" i="76"/>
  <c r="V24" i="76"/>
  <c r="U25" i="76"/>
  <c r="T25" i="76" s="1"/>
  <c r="W25" i="76"/>
  <c r="V25" i="76"/>
  <c r="U26" i="76"/>
  <c r="T26" i="76" s="1"/>
  <c r="W26" i="76"/>
  <c r="V26" i="76"/>
  <c r="U27" i="76"/>
  <c r="T27" i="76" s="1"/>
  <c r="W27" i="76"/>
  <c r="V27" i="76"/>
  <c r="U28" i="76"/>
  <c r="T28" i="76" s="1"/>
  <c r="W28" i="76"/>
  <c r="V28" i="76"/>
  <c r="U29" i="76"/>
  <c r="T29" i="76" s="1"/>
  <c r="W29" i="76"/>
  <c r="V29" i="76"/>
  <c r="U30" i="76"/>
  <c r="T30" i="76" s="1"/>
  <c r="W30" i="76"/>
  <c r="V30" i="76"/>
  <c r="U31" i="76"/>
  <c r="T31" i="76" s="1"/>
  <c r="W31" i="76"/>
  <c r="V31" i="76"/>
  <c r="U32" i="76"/>
  <c r="T32" i="76" s="1"/>
  <c r="W32" i="76"/>
  <c r="V32" i="76"/>
  <c r="U33" i="76"/>
  <c r="T33" i="76" s="1"/>
  <c r="W33" i="76"/>
  <c r="V33" i="76"/>
  <c r="U34" i="76"/>
  <c r="T34" i="76" s="1"/>
  <c r="W34" i="76"/>
  <c r="V34" i="76"/>
  <c r="U35" i="76"/>
  <c r="T35" i="76" s="1"/>
  <c r="W35" i="76"/>
  <c r="V35" i="76"/>
  <c r="U36" i="76"/>
  <c r="T36" i="76" s="1"/>
  <c r="W36" i="76"/>
  <c r="V36" i="76"/>
  <c r="U37" i="76"/>
  <c r="T37" i="76" s="1"/>
  <c r="W37" i="76"/>
  <c r="V37" i="76"/>
  <c r="U38" i="76"/>
  <c r="T38" i="76" s="1"/>
  <c r="W38" i="76"/>
  <c r="V38" i="76"/>
  <c r="U39" i="76"/>
  <c r="T39" i="76" s="1"/>
  <c r="W39" i="76"/>
  <c r="V39" i="76"/>
  <c r="U40" i="76"/>
  <c r="T40" i="76" s="1"/>
  <c r="W40" i="76"/>
  <c r="V40" i="76"/>
  <c r="U41" i="76"/>
  <c r="T41" i="76" s="1"/>
  <c r="W41" i="76"/>
  <c r="V41" i="76"/>
  <c r="U42" i="76"/>
  <c r="T42" i="76" s="1"/>
  <c r="W42" i="76"/>
  <c r="V42" i="76"/>
  <c r="U43" i="76"/>
  <c r="T43" i="76" s="1"/>
  <c r="W43" i="76"/>
  <c r="V43" i="76"/>
  <c r="U44" i="76"/>
  <c r="T44" i="76" s="1"/>
  <c r="W44" i="76"/>
  <c r="V44" i="76"/>
  <c r="U45" i="76"/>
  <c r="T45" i="76" s="1"/>
  <c r="W45" i="76"/>
  <c r="V45" i="76"/>
  <c r="U46" i="76"/>
  <c r="T46" i="76" s="1"/>
  <c r="W46" i="76"/>
  <c r="V46" i="76"/>
  <c r="U47" i="76"/>
  <c r="T47" i="76" s="1"/>
  <c r="W47" i="76"/>
  <c r="V47" i="76"/>
  <c r="U48" i="76"/>
  <c r="T48" i="76" s="1"/>
  <c r="W48" i="76"/>
  <c r="V48" i="76"/>
  <c r="U49" i="76"/>
  <c r="T49" i="76" s="1"/>
  <c r="W49" i="76"/>
  <c r="V49" i="76"/>
  <c r="U50" i="76"/>
  <c r="T50" i="76" s="1"/>
  <c r="W50" i="76"/>
  <c r="V50" i="76"/>
  <c r="U51" i="76"/>
  <c r="T51" i="76" s="1"/>
  <c r="W51" i="76"/>
  <c r="V51" i="76"/>
  <c r="U52" i="76"/>
  <c r="T52" i="76" s="1"/>
  <c r="W52" i="76"/>
  <c r="V52" i="76"/>
  <c r="U53" i="76"/>
  <c r="T53" i="76" s="1"/>
  <c r="W53" i="76"/>
  <c r="V53" i="76"/>
  <c r="U54" i="76"/>
  <c r="T54" i="76" s="1"/>
  <c r="W54" i="76"/>
  <c r="V54" i="76"/>
  <c r="U55" i="76"/>
  <c r="T55" i="76" s="1"/>
  <c r="W55" i="76"/>
  <c r="V55" i="76"/>
  <c r="U56" i="76"/>
  <c r="T56" i="76" s="1"/>
  <c r="W56" i="76"/>
  <c r="V56" i="76"/>
  <c r="U57" i="76"/>
  <c r="T57" i="76" s="1"/>
  <c r="W57" i="76"/>
  <c r="V57" i="76"/>
  <c r="U58" i="76"/>
  <c r="T58" i="76" s="1"/>
  <c r="W58" i="76"/>
  <c r="V58" i="76"/>
  <c r="U59" i="76"/>
  <c r="T59" i="76" s="1"/>
  <c r="W59" i="76"/>
  <c r="V59" i="76"/>
  <c r="U60" i="76"/>
  <c r="T60" i="76" s="1"/>
  <c r="W60" i="76"/>
  <c r="V60" i="76"/>
  <c r="U61" i="76"/>
  <c r="T61" i="76" s="1"/>
  <c r="W61" i="76"/>
  <c r="V61" i="76"/>
  <c r="U62" i="76"/>
  <c r="T62" i="76" s="1"/>
  <c r="W62" i="76"/>
  <c r="V62" i="76"/>
  <c r="U63" i="76"/>
  <c r="T63" i="76" s="1"/>
  <c r="W63" i="76"/>
  <c r="V63" i="76"/>
  <c r="U64" i="76"/>
  <c r="T64" i="76" s="1"/>
  <c r="W64" i="76"/>
  <c r="V64" i="76"/>
  <c r="U65" i="76"/>
  <c r="T65" i="76" s="1"/>
  <c r="W65" i="76"/>
  <c r="V65" i="76"/>
  <c r="U66" i="76"/>
  <c r="T66" i="76" s="1"/>
  <c r="W66" i="76"/>
  <c r="V66" i="76"/>
  <c r="U67" i="76"/>
  <c r="T67" i="76" s="1"/>
  <c r="W67" i="76"/>
  <c r="V67" i="76"/>
  <c r="U68" i="76"/>
  <c r="T68" i="76" s="1"/>
  <c r="W68" i="76"/>
  <c r="V68" i="76"/>
  <c r="U69" i="76"/>
  <c r="T69" i="76" s="1"/>
  <c r="W69" i="76"/>
  <c r="V69" i="76"/>
  <c r="U70" i="76"/>
  <c r="T70" i="76" s="1"/>
  <c r="W70" i="76"/>
  <c r="V70" i="76"/>
  <c r="U71" i="76"/>
  <c r="T71" i="76" s="1"/>
  <c r="W71" i="76"/>
  <c r="V71" i="76"/>
  <c r="U72" i="76"/>
  <c r="T72" i="76" s="1"/>
  <c r="W72" i="76"/>
  <c r="V72" i="76"/>
  <c r="U73" i="76"/>
  <c r="T73" i="76" s="1"/>
  <c r="W73" i="76"/>
  <c r="V73" i="76"/>
  <c r="U74" i="76"/>
  <c r="T74" i="76" s="1"/>
  <c r="W74" i="76"/>
  <c r="V74" i="76"/>
  <c r="U75" i="76"/>
  <c r="T75" i="76" s="1"/>
  <c r="W75" i="76"/>
  <c r="V75" i="76"/>
  <c r="U76" i="76"/>
  <c r="T76" i="76" s="1"/>
  <c r="W76" i="76"/>
  <c r="V76" i="76"/>
  <c r="U77" i="76"/>
  <c r="T77" i="76" s="1"/>
  <c r="W77" i="76"/>
  <c r="V77" i="76"/>
  <c r="U78" i="76"/>
  <c r="T78" i="76" s="1"/>
  <c r="W78" i="76"/>
  <c r="V78" i="76"/>
  <c r="U79" i="76"/>
  <c r="T79" i="76" s="1"/>
  <c r="W79" i="76"/>
  <c r="V79" i="76"/>
  <c r="U80" i="76"/>
  <c r="T80" i="76" s="1"/>
  <c r="W80" i="76"/>
  <c r="V80" i="76"/>
  <c r="H81" i="75"/>
  <c r="H80" i="75"/>
  <c r="H79" i="75"/>
  <c r="H78" i="75"/>
  <c r="H77" i="75"/>
  <c r="H76" i="75"/>
  <c r="H75" i="75"/>
  <c r="H74" i="75"/>
  <c r="H73" i="75"/>
  <c r="H72" i="75"/>
  <c r="H71" i="75"/>
  <c r="H70" i="75"/>
  <c r="H69" i="75"/>
  <c r="H68" i="75"/>
  <c r="H67" i="75"/>
  <c r="H66" i="75"/>
  <c r="H65" i="75"/>
  <c r="H64" i="75"/>
  <c r="H63" i="75"/>
  <c r="H62" i="75"/>
  <c r="H61" i="75"/>
  <c r="H60" i="75"/>
  <c r="H59" i="75"/>
  <c r="H58" i="75"/>
  <c r="H57" i="75"/>
  <c r="H56" i="75"/>
  <c r="H55" i="75"/>
  <c r="H54" i="75"/>
  <c r="H53" i="75"/>
  <c r="H52" i="75"/>
  <c r="H51" i="75"/>
  <c r="H50" i="75"/>
  <c r="H49" i="75"/>
  <c r="H48" i="75"/>
  <c r="H47" i="75"/>
  <c r="H46" i="75"/>
  <c r="H45" i="75"/>
  <c r="H44" i="75"/>
  <c r="H43" i="75"/>
  <c r="H42" i="75"/>
  <c r="H41" i="75"/>
  <c r="H40" i="75"/>
  <c r="H39" i="75"/>
  <c r="H38" i="75"/>
  <c r="H37" i="75"/>
  <c r="H36" i="75"/>
  <c r="H35" i="75"/>
  <c r="H34" i="75"/>
  <c r="H33" i="75"/>
  <c r="H32" i="75"/>
  <c r="H31" i="75"/>
  <c r="H30" i="75"/>
  <c r="H29" i="75"/>
  <c r="H28" i="75"/>
  <c r="H27" i="75"/>
  <c r="H26" i="75"/>
  <c r="H25" i="75"/>
  <c r="H24" i="75"/>
  <c r="H23" i="75"/>
  <c r="H22" i="75"/>
  <c r="H21" i="75"/>
  <c r="H20" i="75"/>
  <c r="H19" i="75"/>
  <c r="H82" i="75" s="1"/>
  <c r="S80" i="75"/>
  <c r="S79" i="75"/>
  <c r="S78" i="75"/>
  <c r="S77" i="75"/>
  <c r="S76" i="75"/>
  <c r="S75" i="75"/>
  <c r="S74" i="75"/>
  <c r="S73" i="75"/>
  <c r="S72" i="75"/>
  <c r="S71" i="75"/>
  <c r="S70" i="75"/>
  <c r="S69" i="75"/>
  <c r="S68" i="75"/>
  <c r="S67" i="75"/>
  <c r="S66" i="75"/>
  <c r="S65" i="75"/>
  <c r="S64" i="75"/>
  <c r="S63" i="75"/>
  <c r="S62" i="75"/>
  <c r="S61" i="75"/>
  <c r="S60" i="75"/>
  <c r="S59" i="75"/>
  <c r="S58" i="75"/>
  <c r="S57" i="75"/>
  <c r="S56" i="75"/>
  <c r="S55" i="75"/>
  <c r="S54" i="75"/>
  <c r="S53" i="75"/>
  <c r="S52" i="75"/>
  <c r="S51" i="75"/>
  <c r="S50" i="75"/>
  <c r="S49" i="75"/>
  <c r="S48" i="75"/>
  <c r="S47" i="75"/>
  <c r="S46" i="75"/>
  <c r="S45" i="75"/>
  <c r="S44" i="75"/>
  <c r="S43" i="75"/>
  <c r="S42" i="75"/>
  <c r="S41" i="75"/>
  <c r="S40" i="75"/>
  <c r="S39" i="75"/>
  <c r="S38" i="75"/>
  <c r="S37" i="75"/>
  <c r="S36" i="75"/>
  <c r="S35" i="75"/>
  <c r="S34" i="75"/>
  <c r="S33" i="75"/>
  <c r="S32" i="75"/>
  <c r="S31" i="75"/>
  <c r="S30" i="75"/>
  <c r="S29" i="75"/>
  <c r="S28" i="75"/>
  <c r="S27" i="75"/>
  <c r="S26" i="75"/>
  <c r="S25" i="75"/>
  <c r="S24" i="75"/>
  <c r="S23" i="75"/>
  <c r="S22" i="75"/>
  <c r="S21" i="75"/>
  <c r="S20" i="75"/>
  <c r="S19" i="75"/>
  <c r="S18" i="75"/>
  <c r="S81" i="75" s="1"/>
  <c r="I81" i="75"/>
  <c r="I80" i="75"/>
  <c r="I79" i="75"/>
  <c r="I78" i="75"/>
  <c r="I77" i="75"/>
  <c r="I76" i="75"/>
  <c r="I75" i="75"/>
  <c r="I74" i="75"/>
  <c r="I73" i="75"/>
  <c r="I72" i="75"/>
  <c r="I71" i="75"/>
  <c r="I70" i="75"/>
  <c r="I69" i="75"/>
  <c r="I68" i="75"/>
  <c r="I67" i="75"/>
  <c r="I66" i="75"/>
  <c r="I65" i="75"/>
  <c r="I64" i="75"/>
  <c r="I63" i="75"/>
  <c r="I62" i="75"/>
  <c r="I61" i="75"/>
  <c r="I60" i="75"/>
  <c r="I59" i="75"/>
  <c r="I58" i="75"/>
  <c r="I57" i="75"/>
  <c r="I56" i="75"/>
  <c r="I55" i="75"/>
  <c r="I54" i="75"/>
  <c r="I53" i="75"/>
  <c r="I52" i="75"/>
  <c r="I51" i="75"/>
  <c r="I50" i="75"/>
  <c r="I49" i="75"/>
  <c r="I48" i="75"/>
  <c r="I47" i="75"/>
  <c r="I46" i="75"/>
  <c r="I45" i="75"/>
  <c r="I44" i="75"/>
  <c r="I43" i="75"/>
  <c r="I42" i="75"/>
  <c r="I41" i="75"/>
  <c r="I40" i="75"/>
  <c r="I39" i="75"/>
  <c r="I38" i="75"/>
  <c r="I37" i="75"/>
  <c r="I36" i="75"/>
  <c r="I35" i="75"/>
  <c r="I34" i="75"/>
  <c r="I33" i="75"/>
  <c r="I32" i="75"/>
  <c r="I31" i="75"/>
  <c r="I30" i="75"/>
  <c r="I29" i="75"/>
  <c r="I28" i="75"/>
  <c r="I27" i="75"/>
  <c r="I26" i="75"/>
  <c r="I25" i="75"/>
  <c r="I24" i="75"/>
  <c r="I23" i="75"/>
  <c r="I22" i="75"/>
  <c r="I21" i="75"/>
  <c r="I20" i="75"/>
  <c r="I19" i="75"/>
  <c r="I82" i="75" s="1"/>
  <c r="Q2" i="75" s="1"/>
  <c r="K81" i="75"/>
  <c r="M18" i="75"/>
  <c r="L81" i="75"/>
  <c r="W18" i="75"/>
  <c r="V18" i="75"/>
  <c r="U19" i="75"/>
  <c r="T19" i="75" s="1"/>
  <c r="W19" i="75"/>
  <c r="V19" i="75"/>
  <c r="U20" i="75"/>
  <c r="T20" i="75" s="1"/>
  <c r="W20" i="75"/>
  <c r="V20" i="75"/>
  <c r="U21" i="75"/>
  <c r="T21" i="75" s="1"/>
  <c r="W21" i="75"/>
  <c r="V21" i="75"/>
  <c r="U22" i="75"/>
  <c r="T22" i="75" s="1"/>
  <c r="W22" i="75"/>
  <c r="V22" i="75"/>
  <c r="U23" i="75"/>
  <c r="T23" i="75" s="1"/>
  <c r="W23" i="75"/>
  <c r="V23" i="75"/>
  <c r="U24" i="75"/>
  <c r="T24" i="75" s="1"/>
  <c r="W24" i="75"/>
  <c r="V24" i="75"/>
  <c r="U25" i="75"/>
  <c r="T25" i="75" s="1"/>
  <c r="W25" i="75"/>
  <c r="V25" i="75"/>
  <c r="U26" i="75"/>
  <c r="T26" i="75" s="1"/>
  <c r="W26" i="75"/>
  <c r="V26" i="75"/>
  <c r="U27" i="75"/>
  <c r="T27" i="75" s="1"/>
  <c r="W27" i="75"/>
  <c r="V27" i="75"/>
  <c r="U28" i="75"/>
  <c r="T28" i="75" s="1"/>
  <c r="W28" i="75"/>
  <c r="V28" i="75"/>
  <c r="U29" i="75"/>
  <c r="T29" i="75" s="1"/>
  <c r="W29" i="75"/>
  <c r="V29" i="75"/>
  <c r="U30" i="75"/>
  <c r="T30" i="75" s="1"/>
  <c r="W30" i="75"/>
  <c r="V30" i="75"/>
  <c r="U31" i="75"/>
  <c r="T31" i="75" s="1"/>
  <c r="W31" i="75"/>
  <c r="V31" i="75"/>
  <c r="U32" i="75"/>
  <c r="T32" i="75" s="1"/>
  <c r="W32" i="75"/>
  <c r="V32" i="75"/>
  <c r="U33" i="75"/>
  <c r="T33" i="75" s="1"/>
  <c r="W33" i="75"/>
  <c r="V33" i="75"/>
  <c r="U34" i="75"/>
  <c r="T34" i="75" s="1"/>
  <c r="W34" i="75"/>
  <c r="V34" i="75"/>
  <c r="U35" i="75"/>
  <c r="T35" i="75" s="1"/>
  <c r="W35" i="75"/>
  <c r="V35" i="75"/>
  <c r="U36" i="75"/>
  <c r="T36" i="75" s="1"/>
  <c r="W36" i="75"/>
  <c r="V36" i="75"/>
  <c r="U37" i="75"/>
  <c r="T37" i="75" s="1"/>
  <c r="W37" i="75"/>
  <c r="V37" i="75"/>
  <c r="U38" i="75"/>
  <c r="T38" i="75" s="1"/>
  <c r="W38" i="75"/>
  <c r="V38" i="75"/>
  <c r="U39" i="75"/>
  <c r="T39" i="75" s="1"/>
  <c r="W39" i="75"/>
  <c r="V39" i="75"/>
  <c r="U40" i="75"/>
  <c r="T40" i="75" s="1"/>
  <c r="W40" i="75"/>
  <c r="V40" i="75"/>
  <c r="U41" i="75"/>
  <c r="T41" i="75" s="1"/>
  <c r="W41" i="75"/>
  <c r="V41" i="75"/>
  <c r="U42" i="75"/>
  <c r="T42" i="75" s="1"/>
  <c r="W42" i="75"/>
  <c r="V42" i="75"/>
  <c r="U43" i="75"/>
  <c r="T43" i="75" s="1"/>
  <c r="W43" i="75"/>
  <c r="V43" i="75"/>
  <c r="U44" i="75"/>
  <c r="T44" i="75" s="1"/>
  <c r="W44" i="75"/>
  <c r="V44" i="75"/>
  <c r="U45" i="75"/>
  <c r="T45" i="75" s="1"/>
  <c r="W45" i="75"/>
  <c r="V45" i="75"/>
  <c r="U46" i="75"/>
  <c r="T46" i="75" s="1"/>
  <c r="W46" i="75"/>
  <c r="V46" i="75"/>
  <c r="U47" i="75"/>
  <c r="T47" i="75" s="1"/>
  <c r="W47" i="75"/>
  <c r="V47" i="75"/>
  <c r="U48" i="75"/>
  <c r="T48" i="75" s="1"/>
  <c r="W48" i="75"/>
  <c r="V48" i="75"/>
  <c r="U49" i="75"/>
  <c r="T49" i="75" s="1"/>
  <c r="W49" i="75"/>
  <c r="V49" i="75"/>
  <c r="U50" i="75"/>
  <c r="T50" i="75" s="1"/>
  <c r="W50" i="75"/>
  <c r="V50" i="75"/>
  <c r="U51" i="75"/>
  <c r="T51" i="75" s="1"/>
  <c r="W51" i="75"/>
  <c r="V51" i="75"/>
  <c r="U52" i="75"/>
  <c r="T52" i="75" s="1"/>
  <c r="W52" i="75"/>
  <c r="V52" i="75"/>
  <c r="U53" i="75"/>
  <c r="T53" i="75" s="1"/>
  <c r="W53" i="75"/>
  <c r="V53" i="75"/>
  <c r="U54" i="75"/>
  <c r="T54" i="75" s="1"/>
  <c r="W54" i="75"/>
  <c r="V54" i="75"/>
  <c r="U55" i="75"/>
  <c r="T55" i="75" s="1"/>
  <c r="W55" i="75"/>
  <c r="V55" i="75"/>
  <c r="U56" i="75"/>
  <c r="T56" i="75" s="1"/>
  <c r="W56" i="75"/>
  <c r="V56" i="75"/>
  <c r="U57" i="75"/>
  <c r="T57" i="75" s="1"/>
  <c r="W57" i="75"/>
  <c r="V57" i="75"/>
  <c r="U58" i="75"/>
  <c r="T58" i="75" s="1"/>
  <c r="W58" i="75"/>
  <c r="V58" i="75"/>
  <c r="U59" i="75"/>
  <c r="T59" i="75" s="1"/>
  <c r="W59" i="75"/>
  <c r="V59" i="75"/>
  <c r="U60" i="75"/>
  <c r="T60" i="75" s="1"/>
  <c r="W60" i="75"/>
  <c r="V60" i="75"/>
  <c r="U61" i="75"/>
  <c r="T61" i="75" s="1"/>
  <c r="W61" i="75"/>
  <c r="V61" i="75"/>
  <c r="U62" i="75"/>
  <c r="T62" i="75" s="1"/>
  <c r="W62" i="75"/>
  <c r="V62" i="75"/>
  <c r="U63" i="75"/>
  <c r="T63" i="75" s="1"/>
  <c r="W63" i="75"/>
  <c r="V63" i="75"/>
  <c r="U64" i="75"/>
  <c r="T64" i="75" s="1"/>
  <c r="W64" i="75"/>
  <c r="V64" i="75"/>
  <c r="U65" i="75"/>
  <c r="T65" i="75" s="1"/>
  <c r="W65" i="75"/>
  <c r="V65" i="75"/>
  <c r="U66" i="75"/>
  <c r="T66" i="75" s="1"/>
  <c r="W66" i="75"/>
  <c r="V66" i="75"/>
  <c r="U67" i="75"/>
  <c r="T67" i="75" s="1"/>
  <c r="W67" i="75"/>
  <c r="V67" i="75"/>
  <c r="U68" i="75"/>
  <c r="T68" i="75" s="1"/>
  <c r="W68" i="75"/>
  <c r="V68" i="75"/>
  <c r="U69" i="75"/>
  <c r="T69" i="75" s="1"/>
  <c r="W69" i="75"/>
  <c r="V69" i="75"/>
  <c r="U70" i="75"/>
  <c r="T70" i="75" s="1"/>
  <c r="W70" i="75"/>
  <c r="V70" i="75"/>
  <c r="U71" i="75"/>
  <c r="T71" i="75" s="1"/>
  <c r="W71" i="75"/>
  <c r="V71" i="75"/>
  <c r="U72" i="75"/>
  <c r="T72" i="75" s="1"/>
  <c r="W72" i="75"/>
  <c r="V72" i="75"/>
  <c r="U73" i="75"/>
  <c r="T73" i="75" s="1"/>
  <c r="W73" i="75"/>
  <c r="V73" i="75"/>
  <c r="U74" i="75"/>
  <c r="T74" i="75" s="1"/>
  <c r="W74" i="75"/>
  <c r="V74" i="75"/>
  <c r="U75" i="75"/>
  <c r="T75" i="75" s="1"/>
  <c r="W75" i="75"/>
  <c r="V75" i="75"/>
  <c r="U76" i="75"/>
  <c r="T76" i="75" s="1"/>
  <c r="W76" i="75"/>
  <c r="V76" i="75"/>
  <c r="U77" i="75"/>
  <c r="T77" i="75" s="1"/>
  <c r="W77" i="75"/>
  <c r="V77" i="75"/>
  <c r="U78" i="75"/>
  <c r="T78" i="75" s="1"/>
  <c r="W78" i="75"/>
  <c r="V78" i="75"/>
  <c r="U79" i="75"/>
  <c r="T79" i="75" s="1"/>
  <c r="W79" i="75"/>
  <c r="V79" i="75"/>
  <c r="U80" i="75"/>
  <c r="T80" i="75" s="1"/>
  <c r="W80" i="75"/>
  <c r="V80" i="75"/>
  <c r="H81" i="74"/>
  <c r="H80" i="74"/>
  <c r="H79" i="74"/>
  <c r="H78" i="74"/>
  <c r="H77" i="74"/>
  <c r="H76" i="74"/>
  <c r="H75" i="74"/>
  <c r="H74" i="74"/>
  <c r="H73" i="74"/>
  <c r="H72" i="74"/>
  <c r="H71" i="74"/>
  <c r="H70" i="74"/>
  <c r="H69" i="74"/>
  <c r="H68" i="74"/>
  <c r="H67" i="74"/>
  <c r="H66" i="74"/>
  <c r="H65" i="74"/>
  <c r="H64" i="74"/>
  <c r="H63" i="74"/>
  <c r="H62" i="74"/>
  <c r="H61" i="74"/>
  <c r="H60" i="74"/>
  <c r="H59" i="74"/>
  <c r="H58" i="74"/>
  <c r="H57" i="74"/>
  <c r="H56" i="74"/>
  <c r="H55" i="74"/>
  <c r="H54" i="74"/>
  <c r="H53" i="74"/>
  <c r="H52" i="74"/>
  <c r="H51" i="74"/>
  <c r="H50" i="74"/>
  <c r="H49" i="74"/>
  <c r="H48" i="74"/>
  <c r="H47" i="74"/>
  <c r="H46" i="74"/>
  <c r="H45" i="74"/>
  <c r="H44" i="74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82" i="74" s="1"/>
  <c r="S80" i="74"/>
  <c r="S79" i="74"/>
  <c r="S78" i="74"/>
  <c r="S77" i="74"/>
  <c r="S76" i="74"/>
  <c r="S75" i="74"/>
  <c r="S74" i="74"/>
  <c r="S73" i="74"/>
  <c r="S72" i="74"/>
  <c r="S71" i="74"/>
  <c r="S70" i="74"/>
  <c r="S69" i="74"/>
  <c r="S68" i="74"/>
  <c r="S67" i="74"/>
  <c r="S66" i="74"/>
  <c r="S65" i="74"/>
  <c r="S64" i="74"/>
  <c r="S63" i="74"/>
  <c r="S62" i="74"/>
  <c r="S61" i="74"/>
  <c r="S60" i="74"/>
  <c r="S59" i="74"/>
  <c r="S58" i="74"/>
  <c r="S57" i="74"/>
  <c r="S56" i="74"/>
  <c r="S55" i="74"/>
  <c r="S54" i="74"/>
  <c r="S53" i="74"/>
  <c r="S52" i="74"/>
  <c r="S51" i="74"/>
  <c r="S50" i="74"/>
  <c r="S49" i="74"/>
  <c r="S48" i="74"/>
  <c r="S47" i="74"/>
  <c r="S46" i="74"/>
  <c r="S45" i="74"/>
  <c r="S44" i="74"/>
  <c r="S43" i="74"/>
  <c r="S42" i="74"/>
  <c r="S41" i="74"/>
  <c r="S40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81" i="74" s="1"/>
  <c r="I81" i="74"/>
  <c r="I80" i="74"/>
  <c r="I79" i="74"/>
  <c r="I78" i="74"/>
  <c r="I77" i="74"/>
  <c r="I76" i="74"/>
  <c r="I75" i="74"/>
  <c r="I74" i="74"/>
  <c r="I73" i="74"/>
  <c r="I72" i="74"/>
  <c r="I71" i="74"/>
  <c r="I70" i="74"/>
  <c r="I69" i="74"/>
  <c r="I68" i="74"/>
  <c r="I67" i="74"/>
  <c r="I66" i="74"/>
  <c r="I65" i="74"/>
  <c r="I64" i="74"/>
  <c r="I63" i="74"/>
  <c r="I62" i="74"/>
  <c r="I61" i="74"/>
  <c r="I60" i="74"/>
  <c r="I59" i="74"/>
  <c r="I58" i="74"/>
  <c r="I57" i="74"/>
  <c r="I56" i="74"/>
  <c r="I55" i="74"/>
  <c r="I54" i="74"/>
  <c r="I53" i="74"/>
  <c r="I52" i="74"/>
  <c r="I51" i="74"/>
  <c r="I50" i="74"/>
  <c r="I49" i="74"/>
  <c r="I48" i="74"/>
  <c r="I47" i="74"/>
  <c r="I46" i="74"/>
  <c r="I45" i="74"/>
  <c r="I44" i="74"/>
  <c r="I43" i="74"/>
  <c r="I42" i="74"/>
  <c r="I41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82" i="74" s="1"/>
  <c r="Q2" i="74" s="1"/>
  <c r="K81" i="74"/>
  <c r="M18" i="74"/>
  <c r="L81" i="74"/>
  <c r="W18" i="74"/>
  <c r="V18" i="74"/>
  <c r="U19" i="74"/>
  <c r="T19" i="74" s="1"/>
  <c r="W19" i="74"/>
  <c r="V19" i="74"/>
  <c r="U20" i="74"/>
  <c r="T20" i="74" s="1"/>
  <c r="W20" i="74"/>
  <c r="V20" i="74"/>
  <c r="U21" i="74"/>
  <c r="T21" i="74" s="1"/>
  <c r="W21" i="74"/>
  <c r="V21" i="74"/>
  <c r="U22" i="74"/>
  <c r="T22" i="74" s="1"/>
  <c r="W22" i="74"/>
  <c r="V22" i="74"/>
  <c r="U23" i="74"/>
  <c r="T23" i="74" s="1"/>
  <c r="W23" i="74"/>
  <c r="V23" i="74"/>
  <c r="U24" i="74"/>
  <c r="T24" i="74" s="1"/>
  <c r="W24" i="74"/>
  <c r="V24" i="74"/>
  <c r="U25" i="74"/>
  <c r="T25" i="74" s="1"/>
  <c r="W25" i="74"/>
  <c r="V25" i="74"/>
  <c r="U26" i="74"/>
  <c r="T26" i="74" s="1"/>
  <c r="W26" i="74"/>
  <c r="V26" i="74"/>
  <c r="U27" i="74"/>
  <c r="T27" i="74" s="1"/>
  <c r="W27" i="74"/>
  <c r="V27" i="74"/>
  <c r="U28" i="74"/>
  <c r="T28" i="74" s="1"/>
  <c r="W28" i="74"/>
  <c r="V28" i="74"/>
  <c r="U29" i="74"/>
  <c r="T29" i="74" s="1"/>
  <c r="W29" i="74"/>
  <c r="V29" i="74"/>
  <c r="U30" i="74"/>
  <c r="T30" i="74" s="1"/>
  <c r="W30" i="74"/>
  <c r="V30" i="74"/>
  <c r="U31" i="74"/>
  <c r="T31" i="74" s="1"/>
  <c r="W31" i="74"/>
  <c r="V31" i="74"/>
  <c r="U32" i="74"/>
  <c r="T32" i="74" s="1"/>
  <c r="W32" i="74"/>
  <c r="V32" i="74"/>
  <c r="U33" i="74"/>
  <c r="T33" i="74" s="1"/>
  <c r="W33" i="74"/>
  <c r="V33" i="74"/>
  <c r="U34" i="74"/>
  <c r="T34" i="74" s="1"/>
  <c r="W34" i="74"/>
  <c r="V34" i="74"/>
  <c r="U35" i="74"/>
  <c r="T35" i="74" s="1"/>
  <c r="W35" i="74"/>
  <c r="V35" i="74"/>
  <c r="U36" i="74"/>
  <c r="T36" i="74" s="1"/>
  <c r="W36" i="74"/>
  <c r="V36" i="74"/>
  <c r="U37" i="74"/>
  <c r="T37" i="74" s="1"/>
  <c r="W37" i="74"/>
  <c r="V37" i="74"/>
  <c r="U38" i="74"/>
  <c r="T38" i="74" s="1"/>
  <c r="W38" i="74"/>
  <c r="V38" i="74"/>
  <c r="U39" i="74"/>
  <c r="T39" i="74" s="1"/>
  <c r="W39" i="74"/>
  <c r="V39" i="74"/>
  <c r="U40" i="74"/>
  <c r="T40" i="74" s="1"/>
  <c r="W40" i="74"/>
  <c r="V40" i="74"/>
  <c r="U41" i="74"/>
  <c r="T41" i="74" s="1"/>
  <c r="W41" i="74"/>
  <c r="V41" i="74"/>
  <c r="U42" i="74"/>
  <c r="T42" i="74" s="1"/>
  <c r="W42" i="74"/>
  <c r="V42" i="74"/>
  <c r="U43" i="74"/>
  <c r="T43" i="74" s="1"/>
  <c r="W43" i="74"/>
  <c r="V43" i="74"/>
  <c r="U44" i="74"/>
  <c r="T44" i="74" s="1"/>
  <c r="W44" i="74"/>
  <c r="V44" i="74"/>
  <c r="U45" i="74"/>
  <c r="T45" i="74" s="1"/>
  <c r="W45" i="74"/>
  <c r="V45" i="74"/>
  <c r="U46" i="74"/>
  <c r="T46" i="74" s="1"/>
  <c r="W46" i="74"/>
  <c r="V46" i="74"/>
  <c r="U47" i="74"/>
  <c r="T47" i="74" s="1"/>
  <c r="W47" i="74"/>
  <c r="V47" i="74"/>
  <c r="U48" i="74"/>
  <c r="T48" i="74" s="1"/>
  <c r="W48" i="74"/>
  <c r="V48" i="74"/>
  <c r="U49" i="74"/>
  <c r="T49" i="74" s="1"/>
  <c r="W49" i="74"/>
  <c r="V49" i="74"/>
  <c r="U50" i="74"/>
  <c r="T50" i="74" s="1"/>
  <c r="W50" i="74"/>
  <c r="V50" i="74"/>
  <c r="U51" i="74"/>
  <c r="T51" i="74" s="1"/>
  <c r="W51" i="74"/>
  <c r="V51" i="74"/>
  <c r="U52" i="74"/>
  <c r="T52" i="74" s="1"/>
  <c r="W52" i="74"/>
  <c r="V52" i="74"/>
  <c r="U53" i="74"/>
  <c r="T53" i="74" s="1"/>
  <c r="W53" i="74"/>
  <c r="V53" i="74"/>
  <c r="U54" i="74"/>
  <c r="T54" i="74" s="1"/>
  <c r="W54" i="74"/>
  <c r="V54" i="74"/>
  <c r="U55" i="74"/>
  <c r="T55" i="74" s="1"/>
  <c r="W55" i="74"/>
  <c r="V55" i="74"/>
  <c r="U56" i="74"/>
  <c r="T56" i="74" s="1"/>
  <c r="W56" i="74"/>
  <c r="V56" i="74"/>
  <c r="U57" i="74"/>
  <c r="T57" i="74" s="1"/>
  <c r="W57" i="74"/>
  <c r="V57" i="74"/>
  <c r="U58" i="74"/>
  <c r="T58" i="74" s="1"/>
  <c r="W58" i="74"/>
  <c r="V58" i="74"/>
  <c r="U59" i="74"/>
  <c r="T59" i="74" s="1"/>
  <c r="W59" i="74"/>
  <c r="V59" i="74"/>
  <c r="U60" i="74"/>
  <c r="T60" i="74" s="1"/>
  <c r="W60" i="74"/>
  <c r="V60" i="74"/>
  <c r="U61" i="74"/>
  <c r="T61" i="74" s="1"/>
  <c r="W61" i="74"/>
  <c r="V61" i="74"/>
  <c r="U62" i="74"/>
  <c r="T62" i="74" s="1"/>
  <c r="W62" i="74"/>
  <c r="V62" i="74"/>
  <c r="U63" i="74"/>
  <c r="T63" i="74" s="1"/>
  <c r="W63" i="74"/>
  <c r="V63" i="74"/>
  <c r="U64" i="74"/>
  <c r="T64" i="74" s="1"/>
  <c r="W64" i="74"/>
  <c r="V64" i="74"/>
  <c r="U65" i="74"/>
  <c r="T65" i="74" s="1"/>
  <c r="W65" i="74"/>
  <c r="V65" i="74"/>
  <c r="U66" i="74"/>
  <c r="T66" i="74" s="1"/>
  <c r="W66" i="74"/>
  <c r="V66" i="74"/>
  <c r="U67" i="74"/>
  <c r="T67" i="74" s="1"/>
  <c r="W67" i="74"/>
  <c r="V67" i="74"/>
  <c r="U68" i="74"/>
  <c r="T68" i="74" s="1"/>
  <c r="W68" i="74"/>
  <c r="V68" i="74"/>
  <c r="U69" i="74"/>
  <c r="T69" i="74" s="1"/>
  <c r="W69" i="74"/>
  <c r="V69" i="74"/>
  <c r="U70" i="74"/>
  <c r="T70" i="74" s="1"/>
  <c r="W70" i="74"/>
  <c r="V70" i="74"/>
  <c r="U71" i="74"/>
  <c r="T71" i="74" s="1"/>
  <c r="W71" i="74"/>
  <c r="V71" i="74"/>
  <c r="U72" i="74"/>
  <c r="T72" i="74" s="1"/>
  <c r="W72" i="74"/>
  <c r="V72" i="74"/>
  <c r="U73" i="74"/>
  <c r="T73" i="74" s="1"/>
  <c r="W73" i="74"/>
  <c r="V73" i="74"/>
  <c r="U74" i="74"/>
  <c r="T74" i="74" s="1"/>
  <c r="W74" i="74"/>
  <c r="V74" i="74"/>
  <c r="U75" i="74"/>
  <c r="T75" i="74" s="1"/>
  <c r="W75" i="74"/>
  <c r="V75" i="74"/>
  <c r="U76" i="74"/>
  <c r="T76" i="74" s="1"/>
  <c r="W76" i="74"/>
  <c r="V76" i="74"/>
  <c r="U77" i="74"/>
  <c r="T77" i="74" s="1"/>
  <c r="W77" i="74"/>
  <c r="V77" i="74"/>
  <c r="U78" i="74"/>
  <c r="T78" i="74" s="1"/>
  <c r="W78" i="74"/>
  <c r="V78" i="74"/>
  <c r="U79" i="74"/>
  <c r="T79" i="74" s="1"/>
  <c r="W79" i="74"/>
  <c r="V79" i="74"/>
  <c r="U80" i="74"/>
  <c r="T80" i="74" s="1"/>
  <c r="W80" i="74"/>
  <c r="V80" i="74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82" i="69" s="1"/>
  <c r="S80" i="69"/>
  <c r="S79" i="69"/>
  <c r="S78" i="69"/>
  <c r="S77" i="69"/>
  <c r="S76" i="69"/>
  <c r="S75" i="69"/>
  <c r="S74" i="69"/>
  <c r="S73" i="69"/>
  <c r="S72" i="69"/>
  <c r="S71" i="69"/>
  <c r="S70" i="69"/>
  <c r="S69" i="69"/>
  <c r="S68" i="69"/>
  <c r="S67" i="69"/>
  <c r="S66" i="69"/>
  <c r="S65" i="69"/>
  <c r="S64" i="69"/>
  <c r="S63" i="69"/>
  <c r="S62" i="69"/>
  <c r="S61" i="69"/>
  <c r="S60" i="69"/>
  <c r="S59" i="69"/>
  <c r="S58" i="69"/>
  <c r="S57" i="69"/>
  <c r="S56" i="69"/>
  <c r="S55" i="69"/>
  <c r="S54" i="69"/>
  <c r="S53" i="69"/>
  <c r="S52" i="69"/>
  <c r="S51" i="69"/>
  <c r="S50" i="69"/>
  <c r="S49" i="69"/>
  <c r="S48" i="69"/>
  <c r="S47" i="69"/>
  <c r="S46" i="69"/>
  <c r="S45" i="69"/>
  <c r="S44" i="69"/>
  <c r="S43" i="69"/>
  <c r="S42" i="69"/>
  <c r="S41" i="69"/>
  <c r="S40" i="69"/>
  <c r="S39" i="69"/>
  <c r="S38" i="69"/>
  <c r="S37" i="69"/>
  <c r="S36" i="69"/>
  <c r="S35" i="69"/>
  <c r="S34" i="69"/>
  <c r="S33" i="69"/>
  <c r="S32" i="69"/>
  <c r="S31" i="69"/>
  <c r="S30" i="69"/>
  <c r="S29" i="69"/>
  <c r="S28" i="69"/>
  <c r="S27" i="69"/>
  <c r="S26" i="69"/>
  <c r="S25" i="69"/>
  <c r="S24" i="69"/>
  <c r="S23" i="69"/>
  <c r="S22" i="69"/>
  <c r="S21" i="69"/>
  <c r="S20" i="69"/>
  <c r="S19" i="69"/>
  <c r="S18" i="69"/>
  <c r="S81" i="69" s="1"/>
  <c r="I81" i="69"/>
  <c r="I80" i="69"/>
  <c r="I79" i="69"/>
  <c r="I78" i="69"/>
  <c r="I77" i="69"/>
  <c r="I76" i="69"/>
  <c r="I75" i="69"/>
  <c r="I74" i="69"/>
  <c r="I73" i="69"/>
  <c r="I72" i="69"/>
  <c r="I71" i="69"/>
  <c r="I70" i="69"/>
  <c r="I69" i="69"/>
  <c r="I68" i="69"/>
  <c r="I67" i="69"/>
  <c r="I66" i="69"/>
  <c r="I65" i="69"/>
  <c r="I64" i="69"/>
  <c r="I63" i="69"/>
  <c r="I62" i="69"/>
  <c r="I61" i="69"/>
  <c r="I60" i="69"/>
  <c r="I59" i="69"/>
  <c r="I58" i="69"/>
  <c r="I57" i="69"/>
  <c r="I56" i="69"/>
  <c r="I55" i="69"/>
  <c r="I54" i="69"/>
  <c r="I53" i="69"/>
  <c r="I52" i="69"/>
  <c r="I51" i="69"/>
  <c r="I50" i="69"/>
  <c r="I49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I82" i="69" s="1"/>
  <c r="Q2" i="69" s="1"/>
  <c r="K81" i="69"/>
  <c r="M18" i="69"/>
  <c r="L81" i="69"/>
  <c r="W18" i="69"/>
  <c r="V18" i="69"/>
  <c r="U19" i="69"/>
  <c r="T19" i="69" s="1"/>
  <c r="W19" i="69"/>
  <c r="V19" i="69"/>
  <c r="U20" i="69"/>
  <c r="T20" i="69" s="1"/>
  <c r="W20" i="69"/>
  <c r="V20" i="69"/>
  <c r="U21" i="69"/>
  <c r="T21" i="69" s="1"/>
  <c r="W21" i="69"/>
  <c r="V21" i="69"/>
  <c r="U22" i="69"/>
  <c r="T22" i="69" s="1"/>
  <c r="W22" i="69"/>
  <c r="V22" i="69"/>
  <c r="U23" i="69"/>
  <c r="T23" i="69" s="1"/>
  <c r="W23" i="69"/>
  <c r="V23" i="69"/>
  <c r="U24" i="69"/>
  <c r="T24" i="69" s="1"/>
  <c r="W24" i="69"/>
  <c r="V24" i="69"/>
  <c r="U25" i="69"/>
  <c r="T25" i="69" s="1"/>
  <c r="W25" i="69"/>
  <c r="V25" i="69"/>
  <c r="U26" i="69"/>
  <c r="T26" i="69" s="1"/>
  <c r="W26" i="69"/>
  <c r="V26" i="69"/>
  <c r="U27" i="69"/>
  <c r="T27" i="69" s="1"/>
  <c r="W27" i="69"/>
  <c r="V27" i="69"/>
  <c r="U28" i="69"/>
  <c r="T28" i="69" s="1"/>
  <c r="W28" i="69"/>
  <c r="V28" i="69"/>
  <c r="U29" i="69"/>
  <c r="T29" i="69" s="1"/>
  <c r="W29" i="69"/>
  <c r="V29" i="69"/>
  <c r="U30" i="69"/>
  <c r="T30" i="69" s="1"/>
  <c r="W30" i="69"/>
  <c r="V30" i="69"/>
  <c r="U31" i="69"/>
  <c r="T31" i="69" s="1"/>
  <c r="W31" i="69"/>
  <c r="V31" i="69"/>
  <c r="U32" i="69"/>
  <c r="T32" i="69" s="1"/>
  <c r="W32" i="69"/>
  <c r="V32" i="69"/>
  <c r="U33" i="69"/>
  <c r="T33" i="69" s="1"/>
  <c r="W33" i="69"/>
  <c r="V33" i="69"/>
  <c r="U34" i="69"/>
  <c r="T34" i="69" s="1"/>
  <c r="W34" i="69"/>
  <c r="V34" i="69"/>
  <c r="U35" i="69"/>
  <c r="T35" i="69" s="1"/>
  <c r="W35" i="69"/>
  <c r="V35" i="69"/>
  <c r="U36" i="69"/>
  <c r="T36" i="69" s="1"/>
  <c r="W36" i="69"/>
  <c r="V36" i="69"/>
  <c r="U37" i="69"/>
  <c r="T37" i="69" s="1"/>
  <c r="W37" i="69"/>
  <c r="V37" i="69"/>
  <c r="U38" i="69"/>
  <c r="T38" i="69" s="1"/>
  <c r="W38" i="69"/>
  <c r="V38" i="69"/>
  <c r="U39" i="69"/>
  <c r="T39" i="69" s="1"/>
  <c r="W39" i="69"/>
  <c r="V39" i="69"/>
  <c r="U40" i="69"/>
  <c r="T40" i="69" s="1"/>
  <c r="W40" i="69"/>
  <c r="V40" i="69"/>
  <c r="U41" i="69"/>
  <c r="T41" i="69" s="1"/>
  <c r="W41" i="69"/>
  <c r="V41" i="69"/>
  <c r="U42" i="69"/>
  <c r="T42" i="69" s="1"/>
  <c r="W42" i="69"/>
  <c r="V42" i="69"/>
  <c r="U43" i="69"/>
  <c r="T43" i="69" s="1"/>
  <c r="W43" i="69"/>
  <c r="V43" i="69"/>
  <c r="U44" i="69"/>
  <c r="T44" i="69" s="1"/>
  <c r="W44" i="69"/>
  <c r="V44" i="69"/>
  <c r="U45" i="69"/>
  <c r="T45" i="69" s="1"/>
  <c r="W45" i="69"/>
  <c r="V45" i="69"/>
  <c r="U46" i="69"/>
  <c r="T46" i="69" s="1"/>
  <c r="W46" i="69"/>
  <c r="V46" i="69"/>
  <c r="U47" i="69"/>
  <c r="T47" i="69" s="1"/>
  <c r="W47" i="69"/>
  <c r="V47" i="69"/>
  <c r="U48" i="69"/>
  <c r="T48" i="69" s="1"/>
  <c r="W48" i="69"/>
  <c r="V48" i="69"/>
  <c r="U49" i="69"/>
  <c r="T49" i="69" s="1"/>
  <c r="W49" i="69"/>
  <c r="V49" i="69"/>
  <c r="U50" i="69"/>
  <c r="T50" i="69" s="1"/>
  <c r="W50" i="69"/>
  <c r="V50" i="69"/>
  <c r="U51" i="69"/>
  <c r="T51" i="69" s="1"/>
  <c r="W51" i="69"/>
  <c r="V51" i="69"/>
  <c r="U52" i="69"/>
  <c r="T52" i="69" s="1"/>
  <c r="W52" i="69"/>
  <c r="V52" i="69"/>
  <c r="U53" i="69"/>
  <c r="T53" i="69" s="1"/>
  <c r="W53" i="69"/>
  <c r="V53" i="69"/>
  <c r="U54" i="69"/>
  <c r="T54" i="69" s="1"/>
  <c r="W54" i="69"/>
  <c r="V54" i="69"/>
  <c r="U55" i="69"/>
  <c r="T55" i="69" s="1"/>
  <c r="W55" i="69"/>
  <c r="V55" i="69"/>
  <c r="U56" i="69"/>
  <c r="T56" i="69" s="1"/>
  <c r="W56" i="69"/>
  <c r="V56" i="69"/>
  <c r="U57" i="69"/>
  <c r="T57" i="69" s="1"/>
  <c r="W57" i="69"/>
  <c r="V57" i="69"/>
  <c r="U58" i="69"/>
  <c r="T58" i="69" s="1"/>
  <c r="W58" i="69"/>
  <c r="V58" i="69"/>
  <c r="U59" i="69"/>
  <c r="T59" i="69" s="1"/>
  <c r="W59" i="69"/>
  <c r="V59" i="69"/>
  <c r="U60" i="69"/>
  <c r="T60" i="69" s="1"/>
  <c r="W60" i="69"/>
  <c r="V60" i="69"/>
  <c r="U61" i="69"/>
  <c r="T61" i="69" s="1"/>
  <c r="W61" i="69"/>
  <c r="V61" i="69"/>
  <c r="U62" i="69"/>
  <c r="T62" i="69" s="1"/>
  <c r="W62" i="69"/>
  <c r="V62" i="69"/>
  <c r="U63" i="69"/>
  <c r="T63" i="69" s="1"/>
  <c r="W63" i="69"/>
  <c r="V63" i="69"/>
  <c r="U64" i="69"/>
  <c r="T64" i="69" s="1"/>
  <c r="W64" i="69"/>
  <c r="V64" i="69"/>
  <c r="U65" i="69"/>
  <c r="T65" i="69" s="1"/>
  <c r="W65" i="69"/>
  <c r="V65" i="69"/>
  <c r="U66" i="69"/>
  <c r="T66" i="69" s="1"/>
  <c r="W66" i="69"/>
  <c r="V66" i="69"/>
  <c r="U67" i="69"/>
  <c r="T67" i="69" s="1"/>
  <c r="W67" i="69"/>
  <c r="V67" i="69"/>
  <c r="U68" i="69"/>
  <c r="T68" i="69" s="1"/>
  <c r="W68" i="69"/>
  <c r="V68" i="69"/>
  <c r="U69" i="69"/>
  <c r="T69" i="69" s="1"/>
  <c r="W69" i="69"/>
  <c r="V69" i="69"/>
  <c r="U70" i="69"/>
  <c r="T70" i="69" s="1"/>
  <c r="W70" i="69"/>
  <c r="V70" i="69"/>
  <c r="U71" i="69"/>
  <c r="T71" i="69" s="1"/>
  <c r="W71" i="69"/>
  <c r="V71" i="69"/>
  <c r="U72" i="69"/>
  <c r="T72" i="69" s="1"/>
  <c r="W72" i="69"/>
  <c r="V72" i="69"/>
  <c r="U73" i="69"/>
  <c r="T73" i="69" s="1"/>
  <c r="W73" i="69"/>
  <c r="V73" i="69"/>
  <c r="U74" i="69"/>
  <c r="T74" i="69" s="1"/>
  <c r="W74" i="69"/>
  <c r="V74" i="69"/>
  <c r="U75" i="69"/>
  <c r="T75" i="69" s="1"/>
  <c r="W75" i="69"/>
  <c r="V75" i="69"/>
  <c r="U76" i="69"/>
  <c r="T76" i="69" s="1"/>
  <c r="W76" i="69"/>
  <c r="V76" i="69"/>
  <c r="U77" i="69"/>
  <c r="T77" i="69" s="1"/>
  <c r="W77" i="69"/>
  <c r="V77" i="69"/>
  <c r="U78" i="69"/>
  <c r="T78" i="69" s="1"/>
  <c r="W78" i="69"/>
  <c r="V78" i="69"/>
  <c r="U79" i="69"/>
  <c r="T79" i="69" s="1"/>
  <c r="W79" i="69"/>
  <c r="V79" i="69"/>
  <c r="U80" i="69"/>
  <c r="T80" i="69" s="1"/>
  <c r="W80" i="69"/>
  <c r="V80" i="69"/>
  <c r="M52" i="67"/>
  <c r="M51" i="67"/>
  <c r="M45" i="67"/>
  <c r="M44" i="67"/>
  <c r="M40" i="67"/>
  <c r="M39" i="67"/>
  <c r="U39" i="67" s="1"/>
  <c r="T39" i="67" s="1"/>
  <c r="H49" i="67"/>
  <c r="M59" i="67"/>
  <c r="S69" i="67"/>
  <c r="H27" i="67"/>
  <c r="M70" i="67"/>
  <c r="M69" i="67"/>
  <c r="M33" i="67"/>
  <c r="M50" i="67"/>
  <c r="M66" i="67"/>
  <c r="U66" i="67" s="1"/>
  <c r="T66" i="67" s="1"/>
  <c r="M71" i="67"/>
  <c r="M23" i="67"/>
  <c r="M20" i="67"/>
  <c r="M37" i="67"/>
  <c r="H67" i="67"/>
  <c r="I23" i="67"/>
  <c r="V61" i="67"/>
  <c r="M35" i="67"/>
  <c r="U35" i="67" s="1"/>
  <c r="T35" i="67" s="1"/>
  <c r="V57" i="67"/>
  <c r="H25" i="67"/>
  <c r="S37" i="67"/>
  <c r="V37" i="67" s="1"/>
  <c r="M55" i="67"/>
  <c r="H72" i="67"/>
  <c r="I25" i="67"/>
  <c r="I29" i="67"/>
  <c r="I47" i="67"/>
  <c r="I64" i="67"/>
  <c r="I77" i="67"/>
  <c r="V69" i="67"/>
  <c r="H34" i="67"/>
  <c r="S42" i="67"/>
  <c r="W42" i="67" s="1"/>
  <c r="S51" i="67"/>
  <c r="W51" i="67" s="1"/>
  <c r="I65" i="67"/>
  <c r="M22" i="67"/>
  <c r="I34" i="67"/>
  <c r="M43" i="67"/>
  <c r="I52" i="67"/>
  <c r="M73" i="67"/>
  <c r="V19" i="67"/>
  <c r="V39" i="67"/>
  <c r="W39" i="67"/>
  <c r="M36" i="67"/>
  <c r="U29" i="67"/>
  <c r="T29" i="67" s="1"/>
  <c r="W37" i="67"/>
  <c r="U19" i="67"/>
  <c r="T19" i="67" s="1"/>
  <c r="W29" i="67"/>
  <c r="W61" i="67"/>
  <c r="S75" i="67"/>
  <c r="U75" i="67" s="1"/>
  <c r="T75" i="67" s="1"/>
  <c r="S78" i="67"/>
  <c r="U78" i="67" s="1"/>
  <c r="T78" i="67" s="1"/>
  <c r="K81" i="67"/>
  <c r="I41" i="67"/>
  <c r="W48" i="67"/>
  <c r="V48" i="67"/>
  <c r="H63" i="67"/>
  <c r="S73" i="67"/>
  <c r="V73" i="67" s="1"/>
  <c r="L81" i="67"/>
  <c r="M18" i="67"/>
  <c r="H31" i="67"/>
  <c r="H39" i="67"/>
  <c r="I46" i="67"/>
  <c r="M48" i="67"/>
  <c r="U48" i="67" s="1"/>
  <c r="T48" i="67" s="1"/>
  <c r="H61" i="67"/>
  <c r="H66" i="67"/>
  <c r="H79" i="67"/>
  <c r="S21" i="67"/>
  <c r="S33" i="67"/>
  <c r="U33" i="67" s="1"/>
  <c r="T33" i="67" s="1"/>
  <c r="S43" i="67"/>
  <c r="V43" i="67" s="1"/>
  <c r="I61" i="67"/>
  <c r="M54" i="67"/>
  <c r="H77" i="67"/>
  <c r="H71" i="67"/>
  <c r="H65" i="67"/>
  <c r="H59" i="67"/>
  <c r="H53" i="67"/>
  <c r="H47" i="67"/>
  <c r="H41" i="67"/>
  <c r="H35" i="67"/>
  <c r="H29" i="67"/>
  <c r="H23" i="67"/>
  <c r="H80" i="67"/>
  <c r="H74" i="67"/>
  <c r="H68" i="67"/>
  <c r="H62" i="67"/>
  <c r="H56" i="67"/>
  <c r="H50" i="67"/>
  <c r="H44" i="67"/>
  <c r="H38" i="67"/>
  <c r="H32" i="67"/>
  <c r="H26" i="67"/>
  <c r="H20" i="67"/>
  <c r="H64" i="67"/>
  <c r="H46" i="67"/>
  <c r="H28" i="67"/>
  <c r="H73" i="67"/>
  <c r="H55" i="67"/>
  <c r="H37" i="67"/>
  <c r="H19" i="67"/>
  <c r="H78" i="67"/>
  <c r="H69" i="67"/>
  <c r="H60" i="67"/>
  <c r="H51" i="67"/>
  <c r="H42" i="67"/>
  <c r="H33" i="67"/>
  <c r="H24" i="67"/>
  <c r="H76" i="67"/>
  <c r="H58" i="67"/>
  <c r="H40" i="67"/>
  <c r="H22" i="67"/>
  <c r="H52" i="67"/>
  <c r="S80" i="67"/>
  <c r="U80" i="67" s="1"/>
  <c r="T80" i="67" s="1"/>
  <c r="S74" i="67"/>
  <c r="V74" i="67" s="1"/>
  <c r="S68" i="67"/>
  <c r="U68" i="67" s="1"/>
  <c r="T68" i="67" s="1"/>
  <c r="S62" i="67"/>
  <c r="U62" i="67" s="1"/>
  <c r="T62" i="67" s="1"/>
  <c r="S56" i="67"/>
  <c r="U56" i="67" s="1"/>
  <c r="T56" i="67" s="1"/>
  <c r="S50" i="67"/>
  <c r="V50" i="67" s="1"/>
  <c r="S44" i="67"/>
  <c r="S38" i="67"/>
  <c r="U38" i="67" s="1"/>
  <c r="T38" i="67" s="1"/>
  <c r="S32" i="67"/>
  <c r="W32" i="67" s="1"/>
  <c r="S26" i="67"/>
  <c r="U26" i="67" s="1"/>
  <c r="T26" i="67" s="1"/>
  <c r="S20" i="67"/>
  <c r="W20" i="67" s="1"/>
  <c r="S76" i="67"/>
  <c r="S70" i="67"/>
  <c r="S64" i="67"/>
  <c r="U64" i="67" s="1"/>
  <c r="T64" i="67" s="1"/>
  <c r="S58" i="67"/>
  <c r="S52" i="67"/>
  <c r="S46" i="67"/>
  <c r="S40" i="67"/>
  <c r="S34" i="67"/>
  <c r="S28" i="67"/>
  <c r="U28" i="67" s="1"/>
  <c r="T28" i="67" s="1"/>
  <c r="S22" i="67"/>
  <c r="S77" i="67"/>
  <c r="W77" i="67" s="1"/>
  <c r="S71" i="67"/>
  <c r="S65" i="67"/>
  <c r="W65" i="67" s="1"/>
  <c r="S59" i="67"/>
  <c r="U59" i="67" s="1"/>
  <c r="T59" i="67" s="1"/>
  <c r="S53" i="67"/>
  <c r="S47" i="67"/>
  <c r="U47" i="67" s="1"/>
  <c r="T47" i="67" s="1"/>
  <c r="S41" i="67"/>
  <c r="V41" i="67" s="1"/>
  <c r="S35" i="67"/>
  <c r="V35" i="67" s="1"/>
  <c r="S29" i="67"/>
  <c r="S23" i="67"/>
  <c r="S67" i="67"/>
  <c r="S49" i="67"/>
  <c r="S31" i="67"/>
  <c r="W31" i="67" s="1"/>
  <c r="S72" i="67"/>
  <c r="V72" i="67" s="1"/>
  <c r="S63" i="67"/>
  <c r="S54" i="67"/>
  <c r="W54" i="67" s="1"/>
  <c r="S45" i="67"/>
  <c r="U45" i="67" s="1"/>
  <c r="T45" i="67" s="1"/>
  <c r="S36" i="67"/>
  <c r="V36" i="67" s="1"/>
  <c r="S27" i="67"/>
  <c r="S18" i="67"/>
  <c r="S79" i="67"/>
  <c r="V79" i="67" s="1"/>
  <c r="H45" i="67"/>
  <c r="W55" i="67"/>
  <c r="W69" i="67"/>
  <c r="H21" i="67"/>
  <c r="I28" i="67"/>
  <c r="M30" i="67"/>
  <c r="H43" i="67"/>
  <c r="H48" i="67"/>
  <c r="S55" i="67"/>
  <c r="V55" i="67" s="1"/>
  <c r="W57" i="67"/>
  <c r="H70" i="67"/>
  <c r="I78" i="67"/>
  <c r="I72" i="67"/>
  <c r="I66" i="67"/>
  <c r="I60" i="67"/>
  <c r="I54" i="67"/>
  <c r="I48" i="67"/>
  <c r="I42" i="67"/>
  <c r="I36" i="67"/>
  <c r="I30" i="67"/>
  <c r="I24" i="67"/>
  <c r="I80" i="67"/>
  <c r="I74" i="67"/>
  <c r="I68" i="67"/>
  <c r="I62" i="67"/>
  <c r="I56" i="67"/>
  <c r="I50" i="67"/>
  <c r="I44" i="67"/>
  <c r="I38" i="67"/>
  <c r="I32" i="67"/>
  <c r="I26" i="67"/>
  <c r="I20" i="67"/>
  <c r="I81" i="67"/>
  <c r="I75" i="67"/>
  <c r="I69" i="67"/>
  <c r="I63" i="67"/>
  <c r="I57" i="67"/>
  <c r="I51" i="67"/>
  <c r="I45" i="67"/>
  <c r="I39" i="67"/>
  <c r="I33" i="67"/>
  <c r="I27" i="67"/>
  <c r="I21" i="67"/>
  <c r="I73" i="67"/>
  <c r="I55" i="67"/>
  <c r="I37" i="67"/>
  <c r="I19" i="67"/>
  <c r="I71" i="67"/>
  <c r="I53" i="67"/>
  <c r="I35" i="67"/>
  <c r="I76" i="67"/>
  <c r="I58" i="67"/>
  <c r="I40" i="67"/>
  <c r="I22" i="67"/>
  <c r="I67" i="67"/>
  <c r="I49" i="67"/>
  <c r="I31" i="67"/>
  <c r="S25" i="67"/>
  <c r="V25" i="67" s="1"/>
  <c r="S30" i="67"/>
  <c r="W30" i="67" s="1"/>
  <c r="I43" i="67"/>
  <c r="S60" i="67"/>
  <c r="U60" i="67" s="1"/>
  <c r="T60" i="67" s="1"/>
  <c r="U65" i="67"/>
  <c r="T65" i="67" s="1"/>
  <c r="I70" i="67"/>
  <c r="H81" i="67"/>
  <c r="W19" i="67"/>
  <c r="M41" i="67"/>
  <c r="I59" i="67"/>
  <c r="U61" i="67"/>
  <c r="T61" i="67" s="1"/>
  <c r="W66" i="67"/>
  <c r="V66" i="67"/>
  <c r="W67" i="67"/>
  <c r="W72" i="67"/>
  <c r="U63" i="67"/>
  <c r="T63" i="67" s="1"/>
  <c r="M72" i="67"/>
  <c r="U72" i="67" s="1"/>
  <c r="T72" i="67" s="1"/>
  <c r="V20" i="67"/>
  <c r="W24" i="67"/>
  <c r="V24" i="67"/>
  <c r="V29" i="67"/>
  <c r="V60" i="67"/>
  <c r="U24" i="67"/>
  <c r="T24" i="67" s="1"/>
  <c r="U69" i="67"/>
  <c r="T69" i="67" s="1"/>
  <c r="I48" i="34"/>
  <c r="I36" i="34"/>
  <c r="I25" i="34"/>
  <c r="I79" i="34"/>
  <c r="M40" i="34"/>
  <c r="M41" i="34"/>
  <c r="M63" i="34"/>
  <c r="M65" i="34"/>
  <c r="M69" i="34"/>
  <c r="M72" i="34"/>
  <c r="M78" i="34"/>
  <c r="M79" i="34"/>
  <c r="M80" i="34"/>
  <c r="I21" i="31"/>
  <c r="M18" i="31"/>
  <c r="M35" i="31"/>
  <c r="U35" i="31" s="1"/>
  <c r="T35" i="31" s="1"/>
  <c r="M40" i="31"/>
  <c r="U40" i="31" s="1"/>
  <c r="T40" i="31" s="1"/>
  <c r="M45" i="31"/>
  <c r="M46" i="31"/>
  <c r="U46" i="31" s="1"/>
  <c r="T46" i="31" s="1"/>
  <c r="M48" i="31"/>
  <c r="U48" i="31" s="1"/>
  <c r="T48" i="31" s="1"/>
  <c r="M52" i="31"/>
  <c r="U52" i="31" s="1"/>
  <c r="T52" i="31" s="1"/>
  <c r="V53" i="31"/>
  <c r="M53" i="31"/>
  <c r="U53" i="31" s="1"/>
  <c r="T53" i="31" s="1"/>
  <c r="M54" i="31"/>
  <c r="U54" i="31" s="1"/>
  <c r="T54" i="31" s="1"/>
  <c r="V54" i="31"/>
  <c r="M56" i="31"/>
  <c r="U56" i="31" s="1"/>
  <c r="T56" i="31" s="1"/>
  <c r="M57" i="31"/>
  <c r="M58" i="31"/>
  <c r="U58" i="31" s="1"/>
  <c r="T58" i="31" s="1"/>
  <c r="W60" i="31"/>
  <c r="V60" i="31"/>
  <c r="M60" i="31"/>
  <c r="U60" i="31" s="1"/>
  <c r="T60" i="31" s="1"/>
  <c r="V62" i="31"/>
  <c r="W62" i="31"/>
  <c r="M62" i="31"/>
  <c r="U62" i="31" s="1"/>
  <c r="T62" i="31" s="1"/>
  <c r="M63" i="31"/>
  <c r="W66" i="31"/>
  <c r="V66" i="31"/>
  <c r="M66" i="31"/>
  <c r="U66" i="31" s="1"/>
  <c r="T66" i="31" s="1"/>
  <c r="V68" i="31"/>
  <c r="W68" i="31"/>
  <c r="M68" i="31"/>
  <c r="U68" i="31" s="1"/>
  <c r="T68" i="31" s="1"/>
  <c r="M69" i="31"/>
  <c r="M72" i="31"/>
  <c r="W72" i="31"/>
  <c r="V74" i="31"/>
  <c r="W74" i="31"/>
  <c r="M74" i="31"/>
  <c r="U74" i="31" s="1"/>
  <c r="T74" i="31" s="1"/>
  <c r="M75" i="31"/>
  <c r="M76" i="31"/>
  <c r="U76" i="31" s="1"/>
  <c r="T76" i="31" s="1"/>
  <c r="M78" i="31"/>
  <c r="U78" i="31" s="1"/>
  <c r="T78" i="31" s="1"/>
  <c r="V80" i="31"/>
  <c r="W80" i="31"/>
  <c r="M80" i="31"/>
  <c r="U80" i="31" s="1"/>
  <c r="T80" i="31" s="1"/>
  <c r="M79" i="40"/>
  <c r="U79" i="40" s="1"/>
  <c r="T79" i="40" s="1"/>
  <c r="M78" i="40"/>
  <c r="M77" i="40"/>
  <c r="M72" i="40"/>
  <c r="M71" i="40"/>
  <c r="M69" i="40"/>
  <c r="U69" i="40" s="1"/>
  <c r="T69" i="40" s="1"/>
  <c r="M68" i="40"/>
  <c r="U68" i="40" s="1"/>
  <c r="T68" i="40" s="1"/>
  <c r="M65" i="40"/>
  <c r="M63" i="40"/>
  <c r="U63" i="40" s="1"/>
  <c r="T63" i="40" s="1"/>
  <c r="M62" i="40"/>
  <c r="U62" i="40" s="1"/>
  <c r="T62" i="40" s="1"/>
  <c r="M61" i="40"/>
  <c r="U61" i="40" s="1"/>
  <c r="T61" i="40" s="1"/>
  <c r="M59" i="40"/>
  <c r="M55" i="40"/>
  <c r="M54" i="40"/>
  <c r="M37" i="40"/>
  <c r="U37" i="40" s="1"/>
  <c r="T37" i="40" s="1"/>
  <c r="M34" i="40"/>
  <c r="M25" i="40"/>
  <c r="I35" i="40"/>
  <c r="M77" i="35"/>
  <c r="M71" i="35"/>
  <c r="M67" i="35"/>
  <c r="M65" i="35"/>
  <c r="M62" i="35"/>
  <c r="M60" i="35"/>
  <c r="M59" i="35"/>
  <c r="M46" i="35"/>
  <c r="M39" i="35"/>
  <c r="M36" i="35"/>
  <c r="I22" i="30"/>
  <c r="H81" i="28"/>
  <c r="L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H81" i="27"/>
  <c r="L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I74" i="42"/>
  <c r="I76" i="42"/>
  <c r="I75" i="42"/>
  <c r="I70" i="42"/>
  <c r="I69" i="42"/>
  <c r="I64" i="42"/>
  <c r="I63" i="42"/>
  <c r="I58" i="42"/>
  <c r="I57" i="42"/>
  <c r="I52" i="42"/>
  <c r="I51" i="42"/>
  <c r="I46" i="42"/>
  <c r="I45" i="42"/>
  <c r="I40" i="42"/>
  <c r="I39" i="42"/>
  <c r="I34" i="42"/>
  <c r="I33" i="42"/>
  <c r="I28" i="42"/>
  <c r="I27" i="42"/>
  <c r="I22" i="42"/>
  <c r="I21" i="42"/>
  <c r="I77" i="42"/>
  <c r="M20" i="42"/>
  <c r="M23" i="42"/>
  <c r="U23" i="42" s="1"/>
  <c r="T23" i="42" s="1"/>
  <c r="M24" i="42"/>
  <c r="M25" i="42"/>
  <c r="U25" i="42" s="1"/>
  <c r="T25" i="42" s="1"/>
  <c r="M26" i="42"/>
  <c r="M28" i="42"/>
  <c r="U28" i="42" s="1"/>
  <c r="T28" i="42" s="1"/>
  <c r="M38" i="42"/>
  <c r="M42" i="42"/>
  <c r="U42" i="42" s="1"/>
  <c r="T42" i="42" s="1"/>
  <c r="M48" i="42"/>
  <c r="M49" i="42"/>
  <c r="M52" i="42"/>
  <c r="U52" i="42" s="1"/>
  <c r="T52" i="42" s="1"/>
  <c r="M54" i="42"/>
  <c r="U54" i="42"/>
  <c r="T54" i="42" s="1"/>
  <c r="M55" i="42"/>
  <c r="M57" i="42"/>
  <c r="M60" i="42"/>
  <c r="U60" i="42" s="1"/>
  <c r="T60" i="42" s="1"/>
  <c r="M61" i="42"/>
  <c r="M63" i="42"/>
  <c r="M64" i="42"/>
  <c r="U64" i="42" s="1"/>
  <c r="T64" i="42" s="1"/>
  <c r="M66" i="42"/>
  <c r="U66" i="42" s="1"/>
  <c r="T66" i="42" s="1"/>
  <c r="M67" i="42"/>
  <c r="M69" i="42"/>
  <c r="M72" i="42"/>
  <c r="U72" i="42" s="1"/>
  <c r="T72" i="42" s="1"/>
  <c r="M73" i="42"/>
  <c r="M75" i="42"/>
  <c r="M76" i="42"/>
  <c r="U76" i="42" s="1"/>
  <c r="T76" i="42" s="1"/>
  <c r="M78" i="42"/>
  <c r="U78" i="42" s="1"/>
  <c r="T78" i="42" s="1"/>
  <c r="W78" i="42"/>
  <c r="M79" i="42"/>
  <c r="U79" i="42" s="1"/>
  <c r="T79" i="42" s="1"/>
  <c r="W25" i="42"/>
  <c r="V25" i="42"/>
  <c r="I75" i="41"/>
  <c r="I69" i="41"/>
  <c r="I64" i="41"/>
  <c r="I57" i="41"/>
  <c r="I51" i="41"/>
  <c r="I49" i="41"/>
  <c r="I45" i="41"/>
  <c r="I43" i="41"/>
  <c r="I39" i="41"/>
  <c r="I37" i="41"/>
  <c r="I33" i="41"/>
  <c r="I31" i="41"/>
  <c r="I27" i="41"/>
  <c r="I25" i="41"/>
  <c r="I21" i="41"/>
  <c r="I19" i="41"/>
  <c r="I76" i="41"/>
  <c r="M18" i="41"/>
  <c r="M24" i="41"/>
  <c r="M30" i="41"/>
  <c r="M31" i="41"/>
  <c r="M32" i="41"/>
  <c r="M36" i="41"/>
  <c r="M38" i="41"/>
  <c r="M39" i="41"/>
  <c r="M43" i="41"/>
  <c r="M45" i="41"/>
  <c r="M48" i="41"/>
  <c r="V48" i="41"/>
  <c r="M49" i="41"/>
  <c r="M50" i="41"/>
  <c r="M54" i="41"/>
  <c r="M55" i="41"/>
  <c r="M56" i="41"/>
  <c r="M60" i="41"/>
  <c r="M61" i="41"/>
  <c r="M62" i="41"/>
  <c r="M64" i="41"/>
  <c r="M66" i="41"/>
  <c r="U66" i="41" s="1"/>
  <c r="T66" i="41" s="1"/>
  <c r="M67" i="41"/>
  <c r="M68" i="41"/>
  <c r="M72" i="41"/>
  <c r="M73" i="41"/>
  <c r="M74" i="41"/>
  <c r="M78" i="41"/>
  <c r="U78" i="41" s="1"/>
  <c r="T78" i="41" s="1"/>
  <c r="M79" i="41"/>
  <c r="M80" i="41"/>
  <c r="M77" i="51"/>
  <c r="M76" i="51"/>
  <c r="M71" i="51"/>
  <c r="M70" i="51"/>
  <c r="M65" i="51"/>
  <c r="M64" i="51"/>
  <c r="M59" i="51"/>
  <c r="M58" i="51"/>
  <c r="M53" i="51"/>
  <c r="M52" i="51"/>
  <c r="M47" i="51"/>
  <c r="M41" i="51"/>
  <c r="M35" i="51"/>
  <c r="M34" i="51"/>
  <c r="M30" i="51"/>
  <c r="M26" i="51"/>
  <c r="U26" i="51" s="1"/>
  <c r="T26" i="51" s="1"/>
  <c r="M19" i="51"/>
  <c r="U19" i="51" s="1"/>
  <c r="T19" i="51" s="1"/>
  <c r="I22" i="51"/>
  <c r="M49" i="65"/>
  <c r="M55" i="65"/>
  <c r="M36" i="65"/>
  <c r="L37" i="65"/>
  <c r="W37" i="65" s="1"/>
  <c r="M31" i="65"/>
  <c r="M21" i="65"/>
  <c r="M30" i="65"/>
  <c r="M25" i="65"/>
  <c r="M38" i="65"/>
  <c r="M32" i="65"/>
  <c r="U32" i="65" s="1"/>
  <c r="T32" i="65" s="1"/>
  <c r="M24" i="65"/>
  <c r="U24" i="65" s="1"/>
  <c r="T24" i="65" s="1"/>
  <c r="M51" i="65"/>
  <c r="U51" i="65" s="1"/>
  <c r="T51" i="65" s="1"/>
  <c r="U45" i="65"/>
  <c r="T45" i="65" s="1"/>
  <c r="M48" i="65"/>
  <c r="I42" i="65"/>
  <c r="M43" i="65"/>
  <c r="U43" i="65" s="1"/>
  <c r="T43" i="65" s="1"/>
  <c r="M68" i="65"/>
  <c r="U68" i="65" s="1"/>
  <c r="T68" i="65" s="1"/>
  <c r="V68" i="65"/>
  <c r="V27" i="65"/>
  <c r="W27" i="65"/>
  <c r="M27" i="65"/>
  <c r="U27" i="65" s="1"/>
  <c r="T27" i="65" s="1"/>
  <c r="V57" i="65"/>
  <c r="W57" i="65"/>
  <c r="M57" i="65"/>
  <c r="U57" i="65" s="1"/>
  <c r="T57" i="65" s="1"/>
  <c r="M71" i="65"/>
  <c r="M54" i="65"/>
  <c r="M78" i="65"/>
  <c r="M77" i="65"/>
  <c r="I54" i="65"/>
  <c r="M42" i="65"/>
  <c r="I80" i="65"/>
  <c r="M65" i="65"/>
  <c r="M59" i="65"/>
  <c r="V32" i="65"/>
  <c r="M61" i="65"/>
  <c r="M28" i="65"/>
  <c r="M19" i="65"/>
  <c r="U19" i="65" s="1"/>
  <c r="T19" i="65" s="1"/>
  <c r="M52" i="65"/>
  <c r="M46" i="65"/>
  <c r="M34" i="65"/>
  <c r="U34" i="65" s="1"/>
  <c r="T34" i="65" s="1"/>
  <c r="M22" i="65"/>
  <c r="M40" i="65"/>
  <c r="U40" i="65" s="1"/>
  <c r="T40" i="65" s="1"/>
  <c r="M76" i="65"/>
  <c r="M70" i="65"/>
  <c r="M56" i="65"/>
  <c r="M53" i="65"/>
  <c r="M41" i="65"/>
  <c r="M35" i="65"/>
  <c r="M29" i="65"/>
  <c r="I73" i="65"/>
  <c r="M58" i="65"/>
  <c r="I56" i="65"/>
  <c r="I53" i="65"/>
  <c r="M47" i="65"/>
  <c r="M23" i="65"/>
  <c r="M67" i="65"/>
  <c r="M64" i="65"/>
  <c r="M26" i="65"/>
  <c r="I59" i="65"/>
  <c r="I22" i="65"/>
  <c r="I28" i="65"/>
  <c r="I34" i="65"/>
  <c r="I40" i="65"/>
  <c r="I46" i="65"/>
  <c r="I52" i="65"/>
  <c r="I58" i="65"/>
  <c r="I64" i="65"/>
  <c r="I70" i="65"/>
  <c r="I76" i="65"/>
  <c r="I21" i="65"/>
  <c r="I27" i="65"/>
  <c r="I33" i="65"/>
  <c r="I39" i="65"/>
  <c r="I45" i="65"/>
  <c r="I51" i="65"/>
  <c r="I57" i="65"/>
  <c r="I63" i="65"/>
  <c r="I69" i="65"/>
  <c r="I75" i="65"/>
  <c r="I20" i="65"/>
  <c r="I26" i="65"/>
  <c r="I25" i="65"/>
  <c r="I36" i="65"/>
  <c r="I55" i="65"/>
  <c r="I72" i="65"/>
  <c r="I30" i="65"/>
  <c r="I49" i="65"/>
  <c r="I32" i="65"/>
  <c r="I68" i="65"/>
  <c r="I77" i="65"/>
  <c r="I43" i="65"/>
  <c r="I60" i="65"/>
  <c r="I79" i="65"/>
  <c r="I19" i="65"/>
  <c r="I18" i="65"/>
  <c r="I23" i="65"/>
  <c r="I38" i="65"/>
  <c r="I47" i="65"/>
  <c r="I74" i="65"/>
  <c r="I66" i="65"/>
  <c r="I41" i="65"/>
  <c r="I35" i="65"/>
  <c r="I62" i="65"/>
  <c r="I71" i="65"/>
  <c r="S46" i="65"/>
  <c r="I29" i="65"/>
  <c r="M75" i="65"/>
  <c r="W75" i="65"/>
  <c r="V45" i="65"/>
  <c r="W45" i="65"/>
  <c r="K81" i="65"/>
  <c r="U79" i="65"/>
  <c r="T79" i="65" s="1"/>
  <c r="W62" i="65"/>
  <c r="V62" i="65"/>
  <c r="V40" i="65"/>
  <c r="W40" i="65"/>
  <c r="V79" i="65"/>
  <c r="W79" i="65"/>
  <c r="U70" i="65"/>
  <c r="T70" i="65" s="1"/>
  <c r="V51" i="65"/>
  <c r="W51" i="65"/>
  <c r="S18" i="65"/>
  <c r="U18" i="65" s="1"/>
  <c r="S24" i="65"/>
  <c r="V24" i="65" s="1"/>
  <c r="S30" i="65"/>
  <c r="W30" i="65" s="1"/>
  <c r="S36" i="65"/>
  <c r="W36" i="65" s="1"/>
  <c r="S42" i="65"/>
  <c r="W42" i="65" s="1"/>
  <c r="S48" i="65"/>
  <c r="V48" i="65" s="1"/>
  <c r="S54" i="65"/>
  <c r="W54" i="65" s="1"/>
  <c r="S60" i="65"/>
  <c r="U60" i="65" s="1"/>
  <c r="T60" i="65" s="1"/>
  <c r="S66" i="65"/>
  <c r="W66" i="65" s="1"/>
  <c r="S72" i="65"/>
  <c r="W72" i="65" s="1"/>
  <c r="S78" i="65"/>
  <c r="W78" i="65" s="1"/>
  <c r="S23" i="65"/>
  <c r="S29" i="65"/>
  <c r="S35" i="65"/>
  <c r="S41" i="65"/>
  <c r="S47" i="65"/>
  <c r="S53" i="65"/>
  <c r="S59" i="65"/>
  <c r="S65" i="65"/>
  <c r="S71" i="65"/>
  <c r="S77" i="65"/>
  <c r="S22" i="65"/>
  <c r="S28" i="65"/>
  <c r="S21" i="65"/>
  <c r="U21" i="65" s="1"/>
  <c r="T21" i="65" s="1"/>
  <c r="S31" i="65"/>
  <c r="V31" i="65" s="1"/>
  <c r="S67" i="65"/>
  <c r="V67" i="65" s="1"/>
  <c r="S69" i="65"/>
  <c r="S20" i="65"/>
  <c r="W20" i="65" s="1"/>
  <c r="S25" i="65"/>
  <c r="V25" i="65" s="1"/>
  <c r="S55" i="65"/>
  <c r="V55" i="65" s="1"/>
  <c r="S39" i="65"/>
  <c r="V39" i="65" s="1"/>
  <c r="S50" i="65"/>
  <c r="W50" i="65" s="1"/>
  <c r="S64" i="65"/>
  <c r="S75" i="65"/>
  <c r="V75" i="65" s="1"/>
  <c r="S61" i="65"/>
  <c r="S33" i="65"/>
  <c r="S44" i="65"/>
  <c r="W44" i="65" s="1"/>
  <c r="S58" i="65"/>
  <c r="S80" i="65"/>
  <c r="S38" i="65"/>
  <c r="W38" i="65" s="1"/>
  <c r="S52" i="65"/>
  <c r="S63" i="65"/>
  <c r="S74" i="65"/>
  <c r="S76" i="65"/>
  <c r="V50" i="65"/>
  <c r="I44" i="65"/>
  <c r="M39" i="65"/>
  <c r="I31" i="65"/>
  <c r="S19" i="65"/>
  <c r="I61" i="65"/>
  <c r="M50" i="65"/>
  <c r="I48" i="65"/>
  <c r="I78" i="65"/>
  <c r="S56" i="65"/>
  <c r="V56" i="65" s="1"/>
  <c r="I50" i="65"/>
  <c r="S26" i="65"/>
  <c r="W26" i="65" s="1"/>
  <c r="I24" i="65"/>
  <c r="V19" i="65"/>
  <c r="W19" i="65"/>
  <c r="V73" i="65"/>
  <c r="W73" i="65"/>
  <c r="V60" i="65"/>
  <c r="V43" i="65"/>
  <c r="W43" i="65"/>
  <c r="U64" i="65"/>
  <c r="T64" i="65" s="1"/>
  <c r="V70" i="65"/>
  <c r="W70" i="65"/>
  <c r="W60" i="65"/>
  <c r="V34" i="65"/>
  <c r="W34" i="65"/>
  <c r="W68" i="65"/>
  <c r="U66" i="65"/>
  <c r="T66" i="65" s="1"/>
  <c r="U49" i="65"/>
  <c r="T49" i="65" s="1"/>
  <c r="W32" i="65"/>
  <c r="W74" i="65"/>
  <c r="V18" i="65"/>
  <c r="W18" i="65"/>
  <c r="V72" i="65"/>
  <c r="V66" i="65"/>
  <c r="V49" i="65"/>
  <c r="W49" i="65"/>
  <c r="U72" i="65"/>
  <c r="T72" i="65" s="1"/>
  <c r="U55" i="65"/>
  <c r="T55" i="65" s="1"/>
  <c r="V61" i="65"/>
  <c r="W61" i="65"/>
  <c r="H81" i="65"/>
  <c r="V32" i="51"/>
  <c r="V27" i="51"/>
  <c r="W26" i="51"/>
  <c r="M28" i="51"/>
  <c r="V25" i="51"/>
  <c r="M32" i="51"/>
  <c r="U32" i="51" s="1"/>
  <c r="T32" i="51" s="1"/>
  <c r="M31" i="51"/>
  <c r="U31" i="51" s="1"/>
  <c r="T31" i="51" s="1"/>
  <c r="V33" i="51"/>
  <c r="M29" i="51"/>
  <c r="W27" i="51"/>
  <c r="M27" i="51"/>
  <c r="U27" i="51" s="1"/>
  <c r="T27" i="51" s="1"/>
  <c r="M25" i="51"/>
  <c r="U25" i="51" s="1"/>
  <c r="T25" i="51" s="1"/>
  <c r="M33" i="51"/>
  <c r="U33" i="51" s="1"/>
  <c r="T33" i="51" s="1"/>
  <c r="V31" i="51"/>
  <c r="W33" i="51"/>
  <c r="W32" i="51"/>
  <c r="V37" i="51"/>
  <c r="U37" i="51"/>
  <c r="T37" i="51" s="1"/>
  <c r="W20" i="51"/>
  <c r="V20" i="51"/>
  <c r="V44" i="51"/>
  <c r="K81" i="51"/>
  <c r="U43" i="51"/>
  <c r="T43" i="51" s="1"/>
  <c r="V43" i="51"/>
  <c r="V19" i="51"/>
  <c r="H81" i="51"/>
  <c r="M23" i="51"/>
  <c r="U30" i="51"/>
  <c r="T30" i="51" s="1"/>
  <c r="V30" i="51"/>
  <c r="U72" i="51"/>
  <c r="T72" i="51" s="1"/>
  <c r="U59" i="51"/>
  <c r="T59" i="51" s="1"/>
  <c r="T18" i="51"/>
  <c r="V72" i="51"/>
  <c r="U54" i="51"/>
  <c r="T54" i="51" s="1"/>
  <c r="U71" i="51"/>
  <c r="T71" i="51" s="1"/>
  <c r="U60" i="51"/>
  <c r="T60" i="51" s="1"/>
  <c r="U40" i="51"/>
  <c r="T40" i="51" s="1"/>
  <c r="V36" i="51"/>
  <c r="U77" i="51"/>
  <c r="T77" i="51" s="1"/>
  <c r="U66" i="51"/>
  <c r="T66" i="51" s="1"/>
  <c r="U53" i="51"/>
  <c r="T53" i="51" s="1"/>
  <c r="U46" i="51"/>
  <c r="T46" i="51" s="1"/>
  <c r="L81" i="51"/>
  <c r="I80" i="51"/>
  <c r="S76" i="51"/>
  <c r="U76" i="51" s="1"/>
  <c r="T76" i="51" s="1"/>
  <c r="I74" i="51"/>
  <c r="W72" i="51"/>
  <c r="S70" i="51"/>
  <c r="I68" i="51"/>
  <c r="W66" i="51"/>
  <c r="S64" i="51"/>
  <c r="U64" i="51" s="1"/>
  <c r="T64" i="51" s="1"/>
  <c r="I62" i="51"/>
  <c r="S58" i="51"/>
  <c r="I56" i="51"/>
  <c r="S52" i="51"/>
  <c r="I50" i="51"/>
  <c r="W48" i="51"/>
  <c r="S46" i="51"/>
  <c r="I44" i="51"/>
  <c r="S40" i="51"/>
  <c r="I38" i="51"/>
  <c r="W36" i="51"/>
  <c r="S34" i="51"/>
  <c r="I32" i="51"/>
  <c r="W30" i="51"/>
  <c r="S28" i="51"/>
  <c r="I26" i="51"/>
  <c r="S22" i="51"/>
  <c r="I20" i="51"/>
  <c r="W18" i="51"/>
  <c r="W79" i="51"/>
  <c r="S77" i="51"/>
  <c r="I75" i="51"/>
  <c r="W73" i="51"/>
  <c r="S71" i="51"/>
  <c r="I69" i="51"/>
  <c r="W67" i="51"/>
  <c r="S65" i="51"/>
  <c r="I63" i="51"/>
  <c r="W61" i="51"/>
  <c r="S59" i="51"/>
  <c r="I57" i="51"/>
  <c r="W55" i="51"/>
  <c r="S53" i="51"/>
  <c r="I51" i="51"/>
  <c r="W49" i="51"/>
  <c r="S47" i="51"/>
  <c r="I45" i="51"/>
  <c r="W43" i="51"/>
  <c r="S41" i="51"/>
  <c r="I39" i="51"/>
  <c r="W37" i="51"/>
  <c r="S35" i="51"/>
  <c r="I33" i="51"/>
  <c r="W31" i="51"/>
  <c r="S29" i="51"/>
  <c r="I27" i="51"/>
  <c r="W25" i="51"/>
  <c r="S23" i="51"/>
  <c r="I21" i="51"/>
  <c r="W19" i="51"/>
  <c r="S78" i="51"/>
  <c r="U78" i="51" s="1"/>
  <c r="T78" i="51" s="1"/>
  <c r="I76" i="51"/>
  <c r="S72" i="51"/>
  <c r="I70" i="51"/>
  <c r="S66" i="51"/>
  <c r="V66" i="51" s="1"/>
  <c r="I64" i="51"/>
  <c r="S60" i="51"/>
  <c r="V60" i="51" s="1"/>
  <c r="I58" i="51"/>
  <c r="S54" i="51"/>
  <c r="V54" i="51" s="1"/>
  <c r="I52" i="51"/>
  <c r="S48" i="51"/>
  <c r="V48" i="51" s="1"/>
  <c r="I46" i="51"/>
  <c r="S42" i="51"/>
  <c r="U42" i="51" s="1"/>
  <c r="T42" i="51" s="1"/>
  <c r="I40" i="51"/>
  <c r="S36" i="51"/>
  <c r="U36" i="51" s="1"/>
  <c r="T36" i="51" s="1"/>
  <c r="I34" i="51"/>
  <c r="S30" i="51"/>
  <c r="I28" i="51"/>
  <c r="S24" i="51"/>
  <c r="V24" i="51" s="1"/>
  <c r="M19" i="46"/>
  <c r="M52" i="46"/>
  <c r="M51" i="46"/>
  <c r="M49" i="46"/>
  <c r="M48" i="46"/>
  <c r="M45" i="46"/>
  <c r="M41" i="46"/>
  <c r="U41" i="46" s="1"/>
  <c r="T41" i="46" s="1"/>
  <c r="M37" i="46"/>
  <c r="M36" i="46"/>
  <c r="U36" i="46" s="1"/>
  <c r="T36" i="46" s="1"/>
  <c r="M31" i="46"/>
  <c r="M24" i="46"/>
  <c r="U24" i="46" s="1"/>
  <c r="T24" i="46" s="1"/>
  <c r="W24" i="46"/>
  <c r="M18" i="46"/>
  <c r="U18" i="46" s="1"/>
  <c r="T18" i="46" s="1"/>
  <c r="M55" i="46"/>
  <c r="M47" i="46"/>
  <c r="U47" i="46" s="1"/>
  <c r="T47" i="46" s="1"/>
  <c r="W30" i="46"/>
  <c r="W42" i="46"/>
  <c r="M33" i="46"/>
  <c r="W48" i="46"/>
  <c r="M46" i="46"/>
  <c r="M40" i="46"/>
  <c r="W36" i="46"/>
  <c r="W54" i="46"/>
  <c r="W23" i="46"/>
  <c r="V23" i="46"/>
  <c r="U27" i="46"/>
  <c r="T27" i="46" s="1"/>
  <c r="V42" i="46"/>
  <c r="W71" i="46"/>
  <c r="V71" i="46"/>
  <c r="W75" i="46"/>
  <c r="W35" i="46"/>
  <c r="V35" i="46"/>
  <c r="W53" i="46"/>
  <c r="V53" i="46"/>
  <c r="W69" i="46"/>
  <c r="W22" i="46"/>
  <c r="V22" i="46"/>
  <c r="M35" i="46"/>
  <c r="U35" i="46" s="1"/>
  <c r="T35" i="46" s="1"/>
  <c r="U48" i="46"/>
  <c r="T48" i="46" s="1"/>
  <c r="M53" i="46"/>
  <c r="U53" i="46" s="1"/>
  <c r="T53" i="46" s="1"/>
  <c r="W65" i="46"/>
  <c r="V65" i="46"/>
  <c r="W77" i="46"/>
  <c r="V77" i="46"/>
  <c r="V48" i="46"/>
  <c r="V60" i="46"/>
  <c r="W60" i="46"/>
  <c r="M65" i="46"/>
  <c r="U65" i="46" s="1"/>
  <c r="T65" i="46" s="1"/>
  <c r="U70" i="46"/>
  <c r="T70" i="46" s="1"/>
  <c r="U72" i="46"/>
  <c r="T72" i="46" s="1"/>
  <c r="W79" i="46"/>
  <c r="L81" i="46"/>
  <c r="W29" i="46"/>
  <c r="V29" i="46"/>
  <c r="W70" i="46"/>
  <c r="V72" i="46"/>
  <c r="W18" i="46"/>
  <c r="V24" i="46"/>
  <c r="M29" i="46"/>
  <c r="U29" i="46" s="1"/>
  <c r="T29" i="46" s="1"/>
  <c r="W33" i="46"/>
  <c r="W47" i="46"/>
  <c r="V47" i="46"/>
  <c r="V18" i="46"/>
  <c r="W34" i="46"/>
  <c r="V34" i="46"/>
  <c r="V66" i="46"/>
  <c r="W66" i="46"/>
  <c r="W78" i="46"/>
  <c r="V78" i="46"/>
  <c r="W41" i="46"/>
  <c r="V41" i="46"/>
  <c r="U45" i="46"/>
  <c r="T45" i="46" s="1"/>
  <c r="W59" i="46"/>
  <c r="V59" i="46"/>
  <c r="M77" i="46"/>
  <c r="U77" i="46" s="1"/>
  <c r="T77" i="46" s="1"/>
  <c r="W76" i="46"/>
  <c r="V76" i="46"/>
  <c r="U78" i="46"/>
  <c r="T78" i="46" s="1"/>
  <c r="W21" i="46"/>
  <c r="W28" i="46"/>
  <c r="V28" i="46"/>
  <c r="V36" i="46"/>
  <c r="V54" i="46"/>
  <c r="M76" i="46"/>
  <c r="U76" i="46" s="1"/>
  <c r="T76" i="46" s="1"/>
  <c r="H80" i="46"/>
  <c r="K81" i="46"/>
  <c r="S40" i="46"/>
  <c r="W40" i="46" s="1"/>
  <c r="S46" i="46"/>
  <c r="W46" i="46" s="1"/>
  <c r="S52" i="46"/>
  <c r="W52" i="46" s="1"/>
  <c r="S58" i="46"/>
  <c r="W58" i="46" s="1"/>
  <c r="S64" i="46"/>
  <c r="W64" i="46" s="1"/>
  <c r="S70" i="46"/>
  <c r="V70" i="46" s="1"/>
  <c r="S76" i="46"/>
  <c r="H19" i="46"/>
  <c r="H25" i="46"/>
  <c r="H31" i="46"/>
  <c r="H37" i="46"/>
  <c r="H43" i="46"/>
  <c r="H49" i="46"/>
  <c r="H55" i="46"/>
  <c r="H61" i="46"/>
  <c r="H67" i="46"/>
  <c r="H73" i="46"/>
  <c r="H79" i="46"/>
  <c r="S33" i="46"/>
  <c r="M20" i="46"/>
  <c r="M26" i="46"/>
  <c r="M32" i="46"/>
  <c r="M38" i="46"/>
  <c r="M44" i="46"/>
  <c r="M50" i="46"/>
  <c r="M56" i="46"/>
  <c r="M62" i="46"/>
  <c r="M68" i="46"/>
  <c r="U68" i="46" s="1"/>
  <c r="T68" i="46" s="1"/>
  <c r="M74" i="46"/>
  <c r="U74" i="46" s="1"/>
  <c r="T74" i="46" s="1"/>
  <c r="S39" i="46"/>
  <c r="W39" i="46" s="1"/>
  <c r="S57" i="46"/>
  <c r="W57" i="46" s="1"/>
  <c r="S69" i="46"/>
  <c r="U69" i="46" s="1"/>
  <c r="T69" i="46" s="1"/>
  <c r="S75" i="46"/>
  <c r="U75" i="46" s="1"/>
  <c r="T75" i="46" s="1"/>
  <c r="S20" i="46"/>
  <c r="W20" i="46" s="1"/>
  <c r="I24" i="46"/>
  <c r="S26" i="46"/>
  <c r="W26" i="46" s="1"/>
  <c r="I30" i="46"/>
  <c r="S32" i="46"/>
  <c r="W32" i="46" s="1"/>
  <c r="I36" i="46"/>
  <c r="S38" i="46"/>
  <c r="W38" i="46" s="1"/>
  <c r="I42" i="46"/>
  <c r="S44" i="46"/>
  <c r="W44" i="46" s="1"/>
  <c r="I48" i="46"/>
  <c r="S50" i="46"/>
  <c r="W50" i="46" s="1"/>
  <c r="I54" i="46"/>
  <c r="S56" i="46"/>
  <c r="W56" i="46" s="1"/>
  <c r="I60" i="46"/>
  <c r="S62" i="46"/>
  <c r="W62" i="46" s="1"/>
  <c r="I66" i="46"/>
  <c r="S68" i="46"/>
  <c r="W68" i="46" s="1"/>
  <c r="I72" i="46"/>
  <c r="S74" i="46"/>
  <c r="W74" i="46" s="1"/>
  <c r="S80" i="46"/>
  <c r="S21" i="46"/>
  <c r="U21" i="46" s="1"/>
  <c r="T21" i="46" s="1"/>
  <c r="S27" i="46"/>
  <c r="W27" i="46" s="1"/>
  <c r="S45" i="46"/>
  <c r="W45" i="46" s="1"/>
  <c r="S51" i="46"/>
  <c r="W51" i="46" s="1"/>
  <c r="S63" i="46"/>
  <c r="W63" i="46" s="1"/>
  <c r="H23" i="46"/>
  <c r="V27" i="46"/>
  <c r="H29" i="46"/>
  <c r="H35" i="46"/>
  <c r="H41" i="46"/>
  <c r="H47" i="46"/>
  <c r="H53" i="46"/>
  <c r="V57" i="46"/>
  <c r="H59" i="46"/>
  <c r="V63" i="46"/>
  <c r="H65" i="46"/>
  <c r="V69" i="46"/>
  <c r="H71" i="46"/>
  <c r="V75" i="46"/>
  <c r="H77" i="46"/>
  <c r="S19" i="46"/>
  <c r="S25" i="46"/>
  <c r="U25" i="46" s="1"/>
  <c r="T25" i="46" s="1"/>
  <c r="S31" i="46"/>
  <c r="U31" i="46" s="1"/>
  <c r="T31" i="46" s="1"/>
  <c r="S37" i="46"/>
  <c r="U37" i="46" s="1"/>
  <c r="T37" i="46" s="1"/>
  <c r="S43" i="46"/>
  <c r="S49" i="46"/>
  <c r="S55" i="46"/>
  <c r="S61" i="46"/>
  <c r="S67" i="46"/>
  <c r="U67" i="46" s="1"/>
  <c r="T67" i="46" s="1"/>
  <c r="S73" i="46"/>
  <c r="H22" i="46"/>
  <c r="H28" i="46"/>
  <c r="H34" i="46"/>
  <c r="H40" i="46"/>
  <c r="H46" i="46"/>
  <c r="H52" i="46"/>
  <c r="H58" i="46"/>
  <c r="H64" i="46"/>
  <c r="H70" i="46"/>
  <c r="H76" i="46"/>
  <c r="W46" i="43"/>
  <c r="V46" i="43"/>
  <c r="M24" i="43"/>
  <c r="U24" i="43" s="1"/>
  <c r="T24" i="43" s="1"/>
  <c r="M19" i="43"/>
  <c r="M18" i="43"/>
  <c r="W52" i="43"/>
  <c r="M49" i="43"/>
  <c r="M54" i="43"/>
  <c r="M44" i="43"/>
  <c r="V42" i="43"/>
  <c r="W40" i="43"/>
  <c r="V40" i="43"/>
  <c r="M30" i="43"/>
  <c r="U30" i="43" s="1"/>
  <c r="T30" i="43" s="1"/>
  <c r="M41" i="43"/>
  <c r="M38" i="43"/>
  <c r="V24" i="43"/>
  <c r="M22" i="43"/>
  <c r="U22" i="43" s="1"/>
  <c r="T22" i="43" s="1"/>
  <c r="V22" i="43"/>
  <c r="W22" i="43"/>
  <c r="M37" i="43"/>
  <c r="M29" i="43"/>
  <c r="M36" i="43"/>
  <c r="U36" i="43" s="1"/>
  <c r="T36" i="43" s="1"/>
  <c r="V30" i="43"/>
  <c r="M34" i="43"/>
  <c r="U34" i="43" s="1"/>
  <c r="T34" i="43" s="1"/>
  <c r="W34" i="43"/>
  <c r="V36" i="43"/>
  <c r="V54" i="43"/>
  <c r="V52" i="43"/>
  <c r="M56" i="43"/>
  <c r="M55" i="43"/>
  <c r="M52" i="43"/>
  <c r="U52" i="43" s="1"/>
  <c r="T52" i="43" s="1"/>
  <c r="W28" i="43"/>
  <c r="V28" i="43"/>
  <c r="M28" i="40"/>
  <c r="V48" i="43"/>
  <c r="W28" i="40"/>
  <c r="M26" i="43"/>
  <c r="M23" i="43"/>
  <c r="M30" i="40"/>
  <c r="M27" i="40"/>
  <c r="W36" i="43"/>
  <c r="W72" i="43"/>
  <c r="U18" i="43"/>
  <c r="V18" i="43"/>
  <c r="W18" i="43"/>
  <c r="U54" i="43"/>
  <c r="T54" i="43" s="1"/>
  <c r="U70" i="43"/>
  <c r="T70" i="43" s="1"/>
  <c r="W54" i="43"/>
  <c r="U45" i="43"/>
  <c r="T45" i="43" s="1"/>
  <c r="W21" i="43"/>
  <c r="V21" i="43"/>
  <c r="W39" i="43"/>
  <c r="V39" i="43"/>
  <c r="W57" i="43"/>
  <c r="V57" i="43"/>
  <c r="M21" i="43"/>
  <c r="U21" i="43" s="1"/>
  <c r="T21" i="43" s="1"/>
  <c r="M39" i="43"/>
  <c r="U39" i="43" s="1"/>
  <c r="T39" i="43" s="1"/>
  <c r="M57" i="43"/>
  <c r="U57" i="43" s="1"/>
  <c r="T57" i="43" s="1"/>
  <c r="H77" i="43"/>
  <c r="H71" i="43"/>
  <c r="H65" i="43"/>
  <c r="H59" i="43"/>
  <c r="H47" i="43"/>
  <c r="H41" i="43"/>
  <c r="H35" i="43"/>
  <c r="H29" i="43"/>
  <c r="H23" i="43"/>
  <c r="H78" i="43"/>
  <c r="H72" i="43"/>
  <c r="H66" i="43"/>
  <c r="H60" i="43"/>
  <c r="H48" i="43"/>
  <c r="H42" i="43"/>
  <c r="H36" i="43"/>
  <c r="H30" i="43"/>
  <c r="H24" i="43"/>
  <c r="H80" i="43"/>
  <c r="H74" i="43"/>
  <c r="H68" i="43"/>
  <c r="H62" i="43"/>
  <c r="H44" i="43"/>
  <c r="H38" i="43"/>
  <c r="H32" i="43"/>
  <c r="H26" i="43"/>
  <c r="H20" i="43"/>
  <c r="H81" i="43"/>
  <c r="H75" i="43"/>
  <c r="H69" i="43"/>
  <c r="H63" i="43"/>
  <c r="H39" i="43"/>
  <c r="H33" i="43"/>
  <c r="H45" i="43"/>
  <c r="H27" i="43"/>
  <c r="H21" i="43"/>
  <c r="H22" i="43"/>
  <c r="W30" i="43"/>
  <c r="H40" i="43"/>
  <c r="W48" i="43"/>
  <c r="W66" i="43"/>
  <c r="H76" i="43"/>
  <c r="S79" i="43"/>
  <c r="S73" i="43"/>
  <c r="U73" i="43" s="1"/>
  <c r="T73" i="43" s="1"/>
  <c r="S67" i="43"/>
  <c r="S61" i="43"/>
  <c r="U61" i="43" s="1"/>
  <c r="T61" i="43" s="1"/>
  <c r="S55" i="43"/>
  <c r="U55" i="43" s="1"/>
  <c r="T55" i="43" s="1"/>
  <c r="S49" i="43"/>
  <c r="S43" i="43"/>
  <c r="U43" i="43" s="1"/>
  <c r="T43" i="43" s="1"/>
  <c r="S37" i="43"/>
  <c r="S31" i="43"/>
  <c r="S25" i="43"/>
  <c r="U25" i="43" s="1"/>
  <c r="T25" i="43" s="1"/>
  <c r="S19" i="43"/>
  <c r="S80" i="43"/>
  <c r="S74" i="43"/>
  <c r="S68" i="43"/>
  <c r="V68" i="43" s="1"/>
  <c r="S62" i="43"/>
  <c r="W62" i="43" s="1"/>
  <c r="S56" i="43"/>
  <c r="S50" i="43"/>
  <c r="V50" i="43" s="1"/>
  <c r="S44" i="43"/>
  <c r="W44" i="43" s="1"/>
  <c r="S38" i="43"/>
  <c r="S32" i="43"/>
  <c r="W32" i="43" s="1"/>
  <c r="S26" i="43"/>
  <c r="S20" i="43"/>
  <c r="U20" i="43" s="1"/>
  <c r="T20" i="43" s="1"/>
  <c r="S77" i="43"/>
  <c r="S71" i="43"/>
  <c r="S65" i="43"/>
  <c r="U65" i="43" s="1"/>
  <c r="T65" i="43" s="1"/>
  <c r="S59" i="43"/>
  <c r="U59" i="43" s="1"/>
  <c r="T59" i="43" s="1"/>
  <c r="S53" i="43"/>
  <c r="W53" i="43" s="1"/>
  <c r="S47" i="43"/>
  <c r="S41" i="43"/>
  <c r="V41" i="43" s="1"/>
  <c r="S35" i="43"/>
  <c r="W35" i="43" s="1"/>
  <c r="S29" i="43"/>
  <c r="S23" i="43"/>
  <c r="H31" i="43"/>
  <c r="W33" i="43"/>
  <c r="V33" i="43"/>
  <c r="W51" i="43"/>
  <c r="V51" i="43"/>
  <c r="H67" i="43"/>
  <c r="W69" i="43"/>
  <c r="V69" i="43"/>
  <c r="M33" i="43"/>
  <c r="U33" i="43" s="1"/>
  <c r="T33" i="43" s="1"/>
  <c r="U42" i="43"/>
  <c r="T42" i="43" s="1"/>
  <c r="M51" i="43"/>
  <c r="U51" i="43" s="1"/>
  <c r="T51" i="43" s="1"/>
  <c r="U60" i="43"/>
  <c r="T60" i="43" s="1"/>
  <c r="M69" i="43"/>
  <c r="U69" i="43" s="1"/>
  <c r="T69" i="43" s="1"/>
  <c r="V71" i="43"/>
  <c r="U76" i="43"/>
  <c r="T76" i="43" s="1"/>
  <c r="S78" i="43"/>
  <c r="U78" i="43" s="1"/>
  <c r="T78" i="43" s="1"/>
  <c r="K81" i="43"/>
  <c r="H79" i="43"/>
  <c r="W75" i="43"/>
  <c r="V75" i="43"/>
  <c r="M75" i="43"/>
  <c r="U75" i="43" s="1"/>
  <c r="T75" i="43" s="1"/>
  <c r="W24" i="43"/>
  <c r="H34" i="43"/>
  <c r="U38" i="43"/>
  <c r="T38" i="43" s="1"/>
  <c r="W42" i="43"/>
  <c r="W60" i="43"/>
  <c r="H70" i="43"/>
  <c r="L81" i="43"/>
  <c r="W27" i="43"/>
  <c r="V27" i="43"/>
  <c r="H43" i="43"/>
  <c r="W45" i="43"/>
  <c r="V45" i="43"/>
  <c r="H61" i="43"/>
  <c r="W63" i="43"/>
  <c r="V63" i="43"/>
  <c r="I21" i="43"/>
  <c r="I27" i="43"/>
  <c r="I33" i="43"/>
  <c r="I39" i="43"/>
  <c r="I45" i="43"/>
  <c r="I63" i="43"/>
  <c r="I69" i="43"/>
  <c r="I81" i="43"/>
  <c r="I24" i="43"/>
  <c r="I30" i="43"/>
  <c r="I36" i="43"/>
  <c r="I42" i="43"/>
  <c r="I48" i="43"/>
  <c r="I60" i="43"/>
  <c r="I66" i="43"/>
  <c r="I72" i="43"/>
  <c r="I78" i="43"/>
  <c r="I23" i="43"/>
  <c r="I29" i="43"/>
  <c r="I35" i="43"/>
  <c r="I41" i="43"/>
  <c r="I47" i="43"/>
  <c r="I59" i="43"/>
  <c r="I65" i="43"/>
  <c r="I71" i="43"/>
  <c r="M32" i="42"/>
  <c r="M19" i="40"/>
  <c r="U19" i="40" s="1"/>
  <c r="T19" i="40" s="1"/>
  <c r="M53" i="40"/>
  <c r="M39" i="42"/>
  <c r="M50" i="42"/>
  <c r="M30" i="42"/>
  <c r="W24" i="42"/>
  <c r="M52" i="40"/>
  <c r="U52" i="40" s="1"/>
  <c r="T52" i="40" s="1"/>
  <c r="W52" i="40"/>
  <c r="W19" i="42"/>
  <c r="M33" i="42"/>
  <c r="U33" i="42" s="1"/>
  <c r="T33" i="42" s="1"/>
  <c r="M47" i="42"/>
  <c r="U47" i="42" s="1"/>
  <c r="T47" i="42" s="1"/>
  <c r="U53" i="42"/>
  <c r="T53" i="42" s="1"/>
  <c r="M31" i="42"/>
  <c r="M34" i="42"/>
  <c r="U34" i="42" s="1"/>
  <c r="T34" i="42" s="1"/>
  <c r="U36" i="42"/>
  <c r="T36" i="42" s="1"/>
  <c r="M45" i="42"/>
  <c r="M51" i="42"/>
  <c r="M37" i="42"/>
  <c r="M40" i="42"/>
  <c r="U40" i="42" s="1"/>
  <c r="T40" i="42" s="1"/>
  <c r="M27" i="42"/>
  <c r="M21" i="42"/>
  <c r="M22" i="42"/>
  <c r="U22" i="42" s="1"/>
  <c r="T22" i="42" s="1"/>
  <c r="M19" i="42"/>
  <c r="U19" i="42" s="1"/>
  <c r="T19" i="42" s="1"/>
  <c r="M46" i="42"/>
  <c r="U46" i="42" s="1"/>
  <c r="T46" i="42" s="1"/>
  <c r="M49" i="40"/>
  <c r="U49" i="40" s="1"/>
  <c r="T49" i="40" s="1"/>
  <c r="M43" i="42"/>
  <c r="M46" i="40"/>
  <c r="U46" i="40" s="1"/>
  <c r="T46" i="40" s="1"/>
  <c r="M43" i="40"/>
  <c r="M40" i="40"/>
  <c r="U40" i="40" s="1"/>
  <c r="T40" i="40" s="1"/>
  <c r="M37" i="41"/>
  <c r="W36" i="41"/>
  <c r="M33" i="41"/>
  <c r="M36" i="40"/>
  <c r="U36" i="40" s="1"/>
  <c r="T36" i="40" s="1"/>
  <c r="V44" i="40"/>
  <c r="M21" i="41"/>
  <c r="M41" i="40"/>
  <c r="M44" i="40"/>
  <c r="U44" i="40" s="1"/>
  <c r="T44" i="40" s="1"/>
  <c r="M42" i="41"/>
  <c r="M42" i="40"/>
  <c r="M44" i="41"/>
  <c r="W66" i="41"/>
  <c r="V66" i="41"/>
  <c r="V22" i="40"/>
  <c r="M22" i="40"/>
  <c r="U22" i="40" s="1"/>
  <c r="T22" i="40" s="1"/>
  <c r="M19" i="41"/>
  <c r="W24" i="41"/>
  <c r="W18" i="41"/>
  <c r="M26" i="41"/>
  <c r="M25" i="41"/>
  <c r="M20" i="40"/>
  <c r="U20" i="40" s="1"/>
  <c r="T20" i="40" s="1"/>
  <c r="W66" i="42"/>
  <c r="V66" i="42"/>
  <c r="V79" i="42"/>
  <c r="W64" i="42"/>
  <c r="V64" i="42"/>
  <c r="W30" i="42"/>
  <c r="V30" i="42"/>
  <c r="W48" i="42"/>
  <c r="V48" i="42"/>
  <c r="W57" i="42"/>
  <c r="H81" i="42"/>
  <c r="W22" i="42"/>
  <c r="V22" i="42"/>
  <c r="W28" i="42"/>
  <c r="V28" i="42"/>
  <c r="W35" i="42"/>
  <c r="V35" i="42"/>
  <c r="W46" i="42"/>
  <c r="V46" i="42"/>
  <c r="W53" i="42"/>
  <c r="V53" i="42"/>
  <c r="W76" i="42"/>
  <c r="V76" i="42"/>
  <c r="U57" i="42"/>
  <c r="T57" i="42" s="1"/>
  <c r="W18" i="42"/>
  <c r="U30" i="42"/>
  <c r="T30" i="42" s="1"/>
  <c r="U48" i="42"/>
  <c r="T48" i="42" s="1"/>
  <c r="W60" i="42"/>
  <c r="V60" i="42"/>
  <c r="U62" i="42"/>
  <c r="T62" i="42" s="1"/>
  <c r="W69" i="42"/>
  <c r="U80" i="42"/>
  <c r="T80" i="42" s="1"/>
  <c r="U75" i="42"/>
  <c r="T75" i="42" s="1"/>
  <c r="W52" i="42"/>
  <c r="V52" i="42"/>
  <c r="L81" i="42"/>
  <c r="M58" i="42"/>
  <c r="U58" i="42" s="1"/>
  <c r="T58" i="42" s="1"/>
  <c r="W65" i="42"/>
  <c r="V65" i="42"/>
  <c r="U56" i="42"/>
  <c r="T56" i="42" s="1"/>
  <c r="W59" i="42"/>
  <c r="V59" i="42"/>
  <c r="W41" i="42"/>
  <c r="V41" i="42"/>
  <c r="U68" i="42"/>
  <c r="T68" i="42" s="1"/>
  <c r="M41" i="42"/>
  <c r="U41" i="42" s="1"/>
  <c r="T41" i="42" s="1"/>
  <c r="W71" i="42"/>
  <c r="V71" i="42"/>
  <c r="K81" i="42"/>
  <c r="U18" i="42"/>
  <c r="U24" i="42"/>
  <c r="T24" i="42" s="1"/>
  <c r="W42" i="42"/>
  <c r="V42" i="42"/>
  <c r="W58" i="42"/>
  <c r="V58" i="42"/>
  <c r="W72" i="42"/>
  <c r="V72" i="42"/>
  <c r="V78" i="42"/>
  <c r="W36" i="42"/>
  <c r="V36" i="42"/>
  <c r="V18" i="42"/>
  <c r="V24" i="42"/>
  <c r="W29" i="42"/>
  <c r="V29" i="42"/>
  <c r="W40" i="42"/>
  <c r="V40" i="42"/>
  <c r="W47" i="42"/>
  <c r="V47" i="42"/>
  <c r="M70" i="42"/>
  <c r="U70" i="42" s="1"/>
  <c r="T70" i="42" s="1"/>
  <c r="W54" i="42"/>
  <c r="V54" i="42"/>
  <c r="W63" i="42"/>
  <c r="W34" i="42"/>
  <c r="V34" i="42"/>
  <c r="M59" i="42"/>
  <c r="U59" i="42" s="1"/>
  <c r="T59" i="42" s="1"/>
  <c r="W23" i="42"/>
  <c r="V23" i="42"/>
  <c r="U29" i="42"/>
  <c r="T29" i="42" s="1"/>
  <c r="U63" i="42"/>
  <c r="T63" i="42" s="1"/>
  <c r="W70" i="42"/>
  <c r="V70" i="42"/>
  <c r="W77" i="42"/>
  <c r="V77" i="42"/>
  <c r="I26" i="42"/>
  <c r="I32" i="42"/>
  <c r="I38" i="42"/>
  <c r="I44" i="42"/>
  <c r="I50" i="42"/>
  <c r="I56" i="42"/>
  <c r="I62" i="42"/>
  <c r="I68" i="42"/>
  <c r="I80" i="42"/>
  <c r="I19" i="42"/>
  <c r="S21" i="42"/>
  <c r="I25" i="42"/>
  <c r="S27" i="42"/>
  <c r="I31" i="42"/>
  <c r="S33" i="42"/>
  <c r="W33" i="42" s="1"/>
  <c r="I37" i="42"/>
  <c r="S39" i="42"/>
  <c r="W39" i="42" s="1"/>
  <c r="I43" i="42"/>
  <c r="S45" i="42"/>
  <c r="U45" i="42" s="1"/>
  <c r="T45" i="42" s="1"/>
  <c r="I49" i="42"/>
  <c r="S51" i="42"/>
  <c r="U51" i="42" s="1"/>
  <c r="T51" i="42" s="1"/>
  <c r="I55" i="42"/>
  <c r="S57" i="42"/>
  <c r="I61" i="42"/>
  <c r="S63" i="42"/>
  <c r="I67" i="42"/>
  <c r="S69" i="42"/>
  <c r="U69" i="42" s="1"/>
  <c r="T69" i="42" s="1"/>
  <c r="I73" i="42"/>
  <c r="S75" i="42"/>
  <c r="W75" i="42" s="1"/>
  <c r="I79" i="42"/>
  <c r="I20" i="42"/>
  <c r="I18" i="42"/>
  <c r="S20" i="42"/>
  <c r="U20" i="42" s="1"/>
  <c r="T20" i="42" s="1"/>
  <c r="I24" i="42"/>
  <c r="S26" i="42"/>
  <c r="U26" i="42" s="1"/>
  <c r="T26" i="42" s="1"/>
  <c r="I30" i="42"/>
  <c r="S32" i="42"/>
  <c r="U32" i="42" s="1"/>
  <c r="T32" i="42" s="1"/>
  <c r="I36" i="42"/>
  <c r="S38" i="42"/>
  <c r="U38" i="42" s="1"/>
  <c r="T38" i="42" s="1"/>
  <c r="I42" i="42"/>
  <c r="S44" i="42"/>
  <c r="I48" i="42"/>
  <c r="S50" i="42"/>
  <c r="I54" i="42"/>
  <c r="S56" i="42"/>
  <c r="I60" i="42"/>
  <c r="S62" i="42"/>
  <c r="I66" i="42"/>
  <c r="S68" i="42"/>
  <c r="I72" i="42"/>
  <c r="S74" i="42"/>
  <c r="I78" i="42"/>
  <c r="S80" i="42"/>
  <c r="V21" i="42"/>
  <c r="V51" i="42"/>
  <c r="V57" i="42"/>
  <c r="V63" i="42"/>
  <c r="I23" i="42"/>
  <c r="I29" i="42"/>
  <c r="S31" i="42"/>
  <c r="I35" i="42"/>
  <c r="S37" i="42"/>
  <c r="U37" i="42" s="1"/>
  <c r="T37" i="42" s="1"/>
  <c r="I41" i="42"/>
  <c r="S43" i="42"/>
  <c r="I47" i="42"/>
  <c r="S49" i="42"/>
  <c r="I53" i="42"/>
  <c r="S55" i="42"/>
  <c r="I59" i="42"/>
  <c r="S61" i="42"/>
  <c r="I65" i="42"/>
  <c r="S67" i="42"/>
  <c r="U67" i="42" s="1"/>
  <c r="T67" i="42" s="1"/>
  <c r="I71" i="42"/>
  <c r="S73" i="42"/>
  <c r="W46" i="41"/>
  <c r="V46" i="41"/>
  <c r="W59" i="41"/>
  <c r="V59" i="41"/>
  <c r="U50" i="41"/>
  <c r="T50" i="41" s="1"/>
  <c r="M59" i="41"/>
  <c r="U59" i="41" s="1"/>
  <c r="T59" i="41" s="1"/>
  <c r="U60" i="41"/>
  <c r="T60" i="41" s="1"/>
  <c r="W70" i="41"/>
  <c r="V70" i="41"/>
  <c r="W77" i="41"/>
  <c r="V77" i="41"/>
  <c r="M77" i="41"/>
  <c r="U77" i="41" s="1"/>
  <c r="T77" i="41" s="1"/>
  <c r="V18" i="41"/>
  <c r="U18" i="41"/>
  <c r="V24" i="41"/>
  <c r="U24" i="41"/>
  <c r="T24" i="41" s="1"/>
  <c r="V30" i="41"/>
  <c r="U30" i="41"/>
  <c r="T30" i="41" s="1"/>
  <c r="V36" i="41"/>
  <c r="U36" i="41"/>
  <c r="T36" i="41" s="1"/>
  <c r="V42" i="41"/>
  <c r="U42" i="41"/>
  <c r="T42" i="41" s="1"/>
  <c r="M20" i="41"/>
  <c r="K81" i="41"/>
  <c r="U38" i="41"/>
  <c r="T38" i="41" s="1"/>
  <c r="L81" i="41"/>
  <c r="V26" i="41"/>
  <c r="V38" i="41"/>
  <c r="U62" i="41"/>
  <c r="T62" i="41" s="1"/>
  <c r="M23" i="41"/>
  <c r="M29" i="41"/>
  <c r="M35" i="41"/>
  <c r="M41" i="41"/>
  <c r="M47" i="41"/>
  <c r="V53" i="41"/>
  <c r="I58" i="41"/>
  <c r="V62" i="41"/>
  <c r="S71" i="41"/>
  <c r="V71" i="41" s="1"/>
  <c r="W78" i="41"/>
  <c r="M71" i="41"/>
  <c r="U71" i="41" s="1"/>
  <c r="T71" i="41" s="1"/>
  <c r="U21" i="41"/>
  <c r="T21" i="41" s="1"/>
  <c r="S23" i="41"/>
  <c r="V23" i="41" s="1"/>
  <c r="U27" i="41"/>
  <c r="T27" i="41" s="1"/>
  <c r="S29" i="41"/>
  <c r="W29" i="41" s="1"/>
  <c r="U33" i="41"/>
  <c r="T33" i="41" s="1"/>
  <c r="S35" i="41"/>
  <c r="W35" i="41" s="1"/>
  <c r="U39" i="41"/>
  <c r="T39" i="41" s="1"/>
  <c r="S41" i="41"/>
  <c r="V41" i="41" s="1"/>
  <c r="U45" i="41"/>
  <c r="T45" i="41" s="1"/>
  <c r="S47" i="41"/>
  <c r="V47" i="41" s="1"/>
  <c r="W53" i="41"/>
  <c r="M58" i="41"/>
  <c r="U58" i="41" s="1"/>
  <c r="T58" i="41" s="1"/>
  <c r="S60" i="41"/>
  <c r="V60" i="41" s="1"/>
  <c r="M76" i="41"/>
  <c r="V50" i="41"/>
  <c r="W50" i="41"/>
  <c r="U48" i="41"/>
  <c r="T48" i="41" s="1"/>
  <c r="U64" i="41"/>
  <c r="T64" i="41" s="1"/>
  <c r="W64" i="41"/>
  <c r="V64" i="41"/>
  <c r="I79" i="41"/>
  <c r="I61" i="41"/>
  <c r="I77" i="41"/>
  <c r="I71" i="41"/>
  <c r="I65" i="41"/>
  <c r="I59" i="41"/>
  <c r="I53" i="41"/>
  <c r="I47" i="41"/>
  <c r="I41" i="41"/>
  <c r="I35" i="41"/>
  <c r="I29" i="41"/>
  <c r="I23" i="41"/>
  <c r="I78" i="41"/>
  <c r="I72" i="41"/>
  <c r="I66" i="41"/>
  <c r="I60" i="41"/>
  <c r="I54" i="41"/>
  <c r="I48" i="41"/>
  <c r="I42" i="41"/>
  <c r="I36" i="41"/>
  <c r="I30" i="41"/>
  <c r="I24" i="41"/>
  <c r="I18" i="41"/>
  <c r="I73" i="41"/>
  <c r="I67" i="41"/>
  <c r="I55" i="41"/>
  <c r="I80" i="41"/>
  <c r="I74" i="41"/>
  <c r="I68" i="41"/>
  <c r="I62" i="41"/>
  <c r="I56" i="41"/>
  <c r="I50" i="41"/>
  <c r="I44" i="41"/>
  <c r="I38" i="41"/>
  <c r="I32" i="41"/>
  <c r="I26" i="41"/>
  <c r="I20" i="41"/>
  <c r="W21" i="41"/>
  <c r="V21" i="41"/>
  <c r="W27" i="41"/>
  <c r="V27" i="41"/>
  <c r="W33" i="41"/>
  <c r="V33" i="41"/>
  <c r="W39" i="41"/>
  <c r="V39" i="41"/>
  <c r="W45" i="41"/>
  <c r="V45" i="41"/>
  <c r="V58" i="41"/>
  <c r="S51" i="41"/>
  <c r="S79" i="41"/>
  <c r="S73" i="41"/>
  <c r="U73" i="41" s="1"/>
  <c r="T73" i="41" s="1"/>
  <c r="S67" i="41"/>
  <c r="S61" i="41"/>
  <c r="S55" i="41"/>
  <c r="S49" i="41"/>
  <c r="S43" i="41"/>
  <c r="S37" i="41"/>
  <c r="S31" i="41"/>
  <c r="S25" i="41"/>
  <c r="S19" i="41"/>
  <c r="S80" i="41"/>
  <c r="W80" i="41" s="1"/>
  <c r="S74" i="41"/>
  <c r="W74" i="41" s="1"/>
  <c r="S68" i="41"/>
  <c r="W68" i="41" s="1"/>
  <c r="S62" i="41"/>
  <c r="W62" i="41" s="1"/>
  <c r="S56" i="41"/>
  <c r="W56" i="41" s="1"/>
  <c r="S50" i="41"/>
  <c r="S44" i="41"/>
  <c r="V44" i="41" s="1"/>
  <c r="S38" i="41"/>
  <c r="W38" i="41" s="1"/>
  <c r="S32" i="41"/>
  <c r="V32" i="41" s="1"/>
  <c r="S26" i="41"/>
  <c r="W26" i="41" s="1"/>
  <c r="S20" i="41"/>
  <c r="V20" i="41" s="1"/>
  <c r="S75" i="41"/>
  <c r="U75" i="41" s="1"/>
  <c r="T75" i="41" s="1"/>
  <c r="S69" i="41"/>
  <c r="S63" i="41"/>
  <c r="U63" i="41" s="1"/>
  <c r="T63" i="41" s="1"/>
  <c r="S57" i="41"/>
  <c r="S76" i="41"/>
  <c r="W76" i="41" s="1"/>
  <c r="S70" i="41"/>
  <c r="S64" i="41"/>
  <c r="S58" i="41"/>
  <c r="W58" i="41" s="1"/>
  <c r="S52" i="41"/>
  <c r="W52" i="41" s="1"/>
  <c r="S46" i="41"/>
  <c r="S40" i="41"/>
  <c r="W40" i="41" s="1"/>
  <c r="S34" i="41"/>
  <c r="W34" i="41" s="1"/>
  <c r="S28" i="41"/>
  <c r="V28" i="41" s="1"/>
  <c r="S22" i="41"/>
  <c r="W22" i="41" s="1"/>
  <c r="I52" i="41"/>
  <c r="U56" i="41"/>
  <c r="T56" i="41" s="1"/>
  <c r="I63" i="41"/>
  <c r="M65" i="41"/>
  <c r="H81" i="41"/>
  <c r="I22" i="41"/>
  <c r="I28" i="41"/>
  <c r="I34" i="41"/>
  <c r="I40" i="41"/>
  <c r="I46" i="41"/>
  <c r="M52" i="41"/>
  <c r="U52" i="41" s="1"/>
  <c r="T52" i="41" s="1"/>
  <c r="W54" i="41"/>
  <c r="V56" i="41"/>
  <c r="S65" i="41"/>
  <c r="W65" i="41" s="1"/>
  <c r="I70" i="41"/>
  <c r="V76" i="41"/>
  <c r="M22" i="41"/>
  <c r="M28" i="41"/>
  <c r="U28" i="41" s="1"/>
  <c r="T28" i="41" s="1"/>
  <c r="M34" i="41"/>
  <c r="M40" i="41"/>
  <c r="M46" i="41"/>
  <c r="U46" i="41" s="1"/>
  <c r="T46" i="41" s="1"/>
  <c r="S54" i="41"/>
  <c r="M70" i="41"/>
  <c r="U70" i="41" s="1"/>
  <c r="T70" i="41" s="1"/>
  <c r="S72" i="41"/>
  <c r="M56" i="37"/>
  <c r="L81" i="40"/>
  <c r="M48" i="40"/>
  <c r="M45" i="40"/>
  <c r="U45" i="40" s="1"/>
  <c r="T45" i="40" s="1"/>
  <c r="M39" i="40"/>
  <c r="M29" i="40"/>
  <c r="M32" i="40"/>
  <c r="M23" i="40"/>
  <c r="U23" i="40" s="1"/>
  <c r="T23" i="40" s="1"/>
  <c r="U50" i="40"/>
  <c r="T50" i="40" s="1"/>
  <c r="M47" i="40"/>
  <c r="M38" i="40"/>
  <c r="U38" i="40" s="1"/>
  <c r="T38" i="40" s="1"/>
  <c r="M18" i="40"/>
  <c r="U34" i="40"/>
  <c r="T34" i="40" s="1"/>
  <c r="V46" i="40"/>
  <c r="M31" i="40"/>
  <c r="U31" i="40" s="1"/>
  <c r="T31" i="40" s="1"/>
  <c r="W22" i="40"/>
  <c r="M35" i="40"/>
  <c r="V40" i="40"/>
  <c r="U51" i="40"/>
  <c r="T51" i="40" s="1"/>
  <c r="M26" i="40"/>
  <c r="U26" i="40" s="1"/>
  <c r="T26" i="40" s="1"/>
  <c r="U27" i="40"/>
  <c r="T27" i="40" s="1"/>
  <c r="H81" i="40"/>
  <c r="M24" i="40"/>
  <c r="V21" i="40"/>
  <c r="M49" i="37"/>
  <c r="M57" i="37"/>
  <c r="M62" i="37"/>
  <c r="V38" i="40"/>
  <c r="U54" i="40"/>
  <c r="T54" i="40" s="1"/>
  <c r="V49" i="40"/>
  <c r="W49" i="40"/>
  <c r="U43" i="40"/>
  <c r="T43" i="40" s="1"/>
  <c r="W74" i="40"/>
  <c r="I71" i="40"/>
  <c r="W63" i="40"/>
  <c r="I55" i="40"/>
  <c r="V43" i="40"/>
  <c r="W43" i="40"/>
  <c r="V25" i="40"/>
  <c r="W25" i="40"/>
  <c r="K81" i="40"/>
  <c r="I80" i="40"/>
  <c r="W68" i="40"/>
  <c r="I65" i="40"/>
  <c r="I49" i="40"/>
  <c r="V37" i="40"/>
  <c r="W37" i="40"/>
  <c r="V31" i="40"/>
  <c r="W31" i="40"/>
  <c r="I19" i="40"/>
  <c r="I61" i="40"/>
  <c r="I74" i="40"/>
  <c r="W70" i="40"/>
  <c r="I59" i="40"/>
  <c r="W51" i="40"/>
  <c r="I43" i="40"/>
  <c r="I25" i="40"/>
  <c r="W21" i="40"/>
  <c r="I77" i="40"/>
  <c r="V19" i="40"/>
  <c r="W19" i="40"/>
  <c r="I68" i="40"/>
  <c r="I53" i="40"/>
  <c r="W45" i="40"/>
  <c r="I37" i="40"/>
  <c r="I31" i="40"/>
  <c r="I23" i="40"/>
  <c r="U25" i="40"/>
  <c r="T25" i="40" s="1"/>
  <c r="I78" i="40"/>
  <c r="I72" i="40"/>
  <c r="V64" i="40"/>
  <c r="I62" i="40"/>
  <c r="W50" i="40"/>
  <c r="I47" i="40"/>
  <c r="S38" i="40"/>
  <c r="W33" i="40"/>
  <c r="S32" i="40"/>
  <c r="V32" i="40" s="1"/>
  <c r="I29" i="40"/>
  <c r="V27" i="40"/>
  <c r="W20" i="40"/>
  <c r="I66" i="40"/>
  <c r="I56" i="40"/>
  <c r="W44" i="40"/>
  <c r="I41" i="40"/>
  <c r="V33" i="40"/>
  <c r="W26" i="40"/>
  <c r="I22" i="40"/>
  <c r="I28" i="40"/>
  <c r="I34" i="40"/>
  <c r="I40" i="40"/>
  <c r="I46" i="40"/>
  <c r="I52" i="40"/>
  <c r="I58" i="40"/>
  <c r="I64" i="40"/>
  <c r="I70" i="40"/>
  <c r="I76" i="40"/>
  <c r="I21" i="40"/>
  <c r="I27" i="40"/>
  <c r="I33" i="40"/>
  <c r="I39" i="40"/>
  <c r="I45" i="40"/>
  <c r="I51" i="40"/>
  <c r="I57" i="40"/>
  <c r="I63" i="40"/>
  <c r="I69" i="40"/>
  <c r="I75" i="40"/>
  <c r="V80" i="40"/>
  <c r="W46" i="40"/>
  <c r="V74" i="40"/>
  <c r="V73" i="40"/>
  <c r="W73" i="40"/>
  <c r="U67" i="40"/>
  <c r="T67" i="40" s="1"/>
  <c r="I54" i="40"/>
  <c r="I44" i="40"/>
  <c r="W40" i="40"/>
  <c r="W34" i="40"/>
  <c r="V28" i="40"/>
  <c r="I26" i="40"/>
  <c r="I18" i="40"/>
  <c r="I79" i="40"/>
  <c r="V68" i="40"/>
  <c r="V67" i="40"/>
  <c r="W67" i="40"/>
  <c r="S58" i="40"/>
  <c r="S55" i="40"/>
  <c r="U55" i="40" s="1"/>
  <c r="T55" i="40" s="1"/>
  <c r="I48" i="40"/>
  <c r="S39" i="40"/>
  <c r="I38" i="40"/>
  <c r="V34" i="40"/>
  <c r="I32" i="40"/>
  <c r="U28" i="40"/>
  <c r="T28" i="40" s="1"/>
  <c r="I24" i="40"/>
  <c r="I36" i="40"/>
  <c r="V79" i="40"/>
  <c r="W79" i="40"/>
  <c r="I60" i="40"/>
  <c r="I50" i="40"/>
  <c r="W38" i="40"/>
  <c r="I20" i="40"/>
  <c r="I73" i="40"/>
  <c r="V62" i="40"/>
  <c r="V61" i="40"/>
  <c r="W61" i="40"/>
  <c r="I42" i="40"/>
  <c r="I30" i="40"/>
  <c r="S18" i="40"/>
  <c r="V18" i="40" s="1"/>
  <c r="S24" i="40"/>
  <c r="V24" i="40" s="1"/>
  <c r="S30" i="40"/>
  <c r="V30" i="40" s="1"/>
  <c r="S36" i="40"/>
  <c r="S42" i="40"/>
  <c r="S48" i="40"/>
  <c r="S54" i="40"/>
  <c r="S60" i="40"/>
  <c r="S66" i="40"/>
  <c r="U66" i="40" s="1"/>
  <c r="T66" i="40" s="1"/>
  <c r="S72" i="40"/>
  <c r="W72" i="40" s="1"/>
  <c r="S78" i="40"/>
  <c r="U78" i="40" s="1"/>
  <c r="T78" i="40" s="1"/>
  <c r="S23" i="40"/>
  <c r="S29" i="40"/>
  <c r="S35" i="40"/>
  <c r="S41" i="40"/>
  <c r="S47" i="40"/>
  <c r="S53" i="40"/>
  <c r="S59" i="40"/>
  <c r="S65" i="40"/>
  <c r="S71" i="40"/>
  <c r="S77" i="40"/>
  <c r="M53" i="35"/>
  <c r="M27" i="37"/>
  <c r="S22" i="37"/>
  <c r="M38" i="37"/>
  <c r="H42" i="37"/>
  <c r="H37" i="37"/>
  <c r="H48" i="37"/>
  <c r="S18" i="37"/>
  <c r="S43" i="37"/>
  <c r="W43" i="37" s="1"/>
  <c r="S33" i="37"/>
  <c r="V33" i="37" s="1"/>
  <c r="M39" i="37"/>
  <c r="H24" i="37"/>
  <c r="H50" i="37"/>
  <c r="H55" i="37"/>
  <c r="M41" i="37"/>
  <c r="H73" i="37"/>
  <c r="S51" i="37"/>
  <c r="H32" i="37"/>
  <c r="H79" i="37"/>
  <c r="S19" i="37"/>
  <c r="S29" i="37"/>
  <c r="W29" i="37" s="1"/>
  <c r="H25" i="37"/>
  <c r="H44" i="37"/>
  <c r="M59" i="37"/>
  <c r="M72" i="37"/>
  <c r="H21" i="37"/>
  <c r="M30" i="37"/>
  <c r="M70" i="37"/>
  <c r="U70" i="37" s="1"/>
  <c r="T70" i="37" s="1"/>
  <c r="M75" i="37"/>
  <c r="M80" i="37"/>
  <c r="M51" i="37"/>
  <c r="U51" i="37" s="1"/>
  <c r="T51" i="37" s="1"/>
  <c r="M77" i="37"/>
  <c r="M78" i="37"/>
  <c r="U78" i="37" s="1"/>
  <c r="T78" i="37" s="1"/>
  <c r="M24" i="37"/>
  <c r="S25" i="37"/>
  <c r="W25" i="37" s="1"/>
  <c r="S30" i="37"/>
  <c r="M61" i="37"/>
  <c r="U61" i="37" s="1"/>
  <c r="T61" i="37" s="1"/>
  <c r="H66" i="37"/>
  <c r="S70" i="37"/>
  <c r="M76" i="37"/>
  <c r="M22" i="37"/>
  <c r="U22" i="37" s="1"/>
  <c r="T22" i="37" s="1"/>
  <c r="M26" i="37"/>
  <c r="H31" i="37"/>
  <c r="M29" i="37"/>
  <c r="W18" i="37"/>
  <c r="M47" i="37"/>
  <c r="W51" i="37"/>
  <c r="W61" i="37"/>
  <c r="I64" i="37"/>
  <c r="M25" i="37"/>
  <c r="M33" i="37"/>
  <c r="S46" i="37"/>
  <c r="V46" i="37" s="1"/>
  <c r="M55" i="37"/>
  <c r="S64" i="37"/>
  <c r="V64" i="37" s="1"/>
  <c r="S23" i="37"/>
  <c r="W23" i="37" s="1"/>
  <c r="S48" i="37"/>
  <c r="V48" i="37" s="1"/>
  <c r="M71" i="37"/>
  <c r="W19" i="37"/>
  <c r="S27" i="37"/>
  <c r="W27" i="37" s="1"/>
  <c r="S35" i="37"/>
  <c r="W35" i="37" s="1"/>
  <c r="S40" i="37"/>
  <c r="V40" i="37" s="1"/>
  <c r="H72" i="37"/>
  <c r="M65" i="37"/>
  <c r="V30" i="37"/>
  <c r="M48" i="37"/>
  <c r="H28" i="37"/>
  <c r="S53" i="37"/>
  <c r="V53" i="37" s="1"/>
  <c r="S58" i="37"/>
  <c r="V58" i="37" s="1"/>
  <c r="S76" i="37"/>
  <c r="V76" i="37" s="1"/>
  <c r="V70" i="37"/>
  <c r="M66" i="37"/>
  <c r="M28" i="37"/>
  <c r="S45" i="37"/>
  <c r="W45" i="37" s="1"/>
  <c r="S63" i="37"/>
  <c r="V63" i="37" s="1"/>
  <c r="M68" i="37"/>
  <c r="U57" i="37"/>
  <c r="T57" i="37" s="1"/>
  <c r="M43" i="37"/>
  <c r="M45" i="37"/>
  <c r="M36" i="37"/>
  <c r="M50" i="37"/>
  <c r="M60" i="37"/>
  <c r="W58" i="37"/>
  <c r="W57" i="37"/>
  <c r="M34" i="37"/>
  <c r="M35" i="37"/>
  <c r="M32" i="37"/>
  <c r="M44" i="37"/>
  <c r="M42" i="37"/>
  <c r="M54" i="37"/>
  <c r="M53" i="37"/>
  <c r="M52" i="37"/>
  <c r="K81" i="37"/>
  <c r="I40" i="37"/>
  <c r="W22" i="37"/>
  <c r="M18" i="37"/>
  <c r="I21" i="37"/>
  <c r="I55" i="37"/>
  <c r="W30" i="37"/>
  <c r="L81" i="37"/>
  <c r="V18" i="37"/>
  <c r="I20" i="37"/>
  <c r="M21" i="37"/>
  <c r="V22" i="37"/>
  <c r="H27" i="37"/>
  <c r="I31" i="37"/>
  <c r="S37" i="37"/>
  <c r="U37" i="37" s="1"/>
  <c r="T37" i="37" s="1"/>
  <c r="S42" i="37"/>
  <c r="W42" i="37" s="1"/>
  <c r="I44" i="37"/>
  <c r="S47" i="37"/>
  <c r="H49" i="37"/>
  <c r="W53" i="37"/>
  <c r="S55" i="37"/>
  <c r="V57" i="37"/>
  <c r="S60" i="37"/>
  <c r="V60" i="37" s="1"/>
  <c r="I62" i="37"/>
  <c r="S65" i="37"/>
  <c r="I67" i="37"/>
  <c r="S71" i="37"/>
  <c r="I73" i="37"/>
  <c r="S77" i="37"/>
  <c r="I79" i="37"/>
  <c r="I68" i="37"/>
  <c r="I80" i="37"/>
  <c r="V19" i="37"/>
  <c r="I28" i="37"/>
  <c r="I37" i="37"/>
  <c r="I75" i="37"/>
  <c r="I39" i="37"/>
  <c r="S21" i="37"/>
  <c r="W21" i="37" s="1"/>
  <c r="I23" i="37"/>
  <c r="I27" i="37"/>
  <c r="S28" i="37"/>
  <c r="W28" i="37" s="1"/>
  <c r="S34" i="37"/>
  <c r="V34" i="37" s="1"/>
  <c r="H36" i="37"/>
  <c r="I41" i="37"/>
  <c r="I46" i="37"/>
  <c r="I49" i="37"/>
  <c r="S52" i="37"/>
  <c r="W52" i="37" s="1"/>
  <c r="S69" i="37"/>
  <c r="U69" i="37" s="1"/>
  <c r="T69" i="37" s="1"/>
  <c r="S75" i="37"/>
  <c r="V75" i="37" s="1"/>
  <c r="I76" i="37"/>
  <c r="I70" i="37"/>
  <c r="I77" i="37"/>
  <c r="I71" i="37"/>
  <c r="I78" i="37"/>
  <c r="I72" i="37"/>
  <c r="I66" i="37"/>
  <c r="I54" i="37"/>
  <c r="I48" i="37"/>
  <c r="I42" i="37"/>
  <c r="I36" i="37"/>
  <c r="I30" i="37"/>
  <c r="I24" i="37"/>
  <c r="I22" i="37"/>
  <c r="I26" i="37"/>
  <c r="I29" i="37"/>
  <c r="I35" i="37"/>
  <c r="I43" i="37"/>
  <c r="I53" i="37"/>
  <c r="I74" i="37"/>
  <c r="I45" i="37"/>
  <c r="I63" i="37"/>
  <c r="I25" i="37"/>
  <c r="H81" i="37"/>
  <c r="H75" i="37"/>
  <c r="H69" i="37"/>
  <c r="H63" i="37"/>
  <c r="H57" i="37"/>
  <c r="H51" i="37"/>
  <c r="H45" i="37"/>
  <c r="H39" i="37"/>
  <c r="H76" i="37"/>
  <c r="H70" i="37"/>
  <c r="H64" i="37"/>
  <c r="H52" i="37"/>
  <c r="H46" i="37"/>
  <c r="H40" i="37"/>
  <c r="H34" i="37"/>
  <c r="H77" i="37"/>
  <c r="H71" i="37"/>
  <c r="H65" i="37"/>
  <c r="H53" i="37"/>
  <c r="H47" i="37"/>
  <c r="H41" i="37"/>
  <c r="H35" i="37"/>
  <c r="H29" i="37"/>
  <c r="H23" i="37"/>
  <c r="H19" i="37"/>
  <c r="S24" i="37"/>
  <c r="H30" i="37"/>
  <c r="I33" i="37"/>
  <c r="S39" i="37"/>
  <c r="W39" i="37" s="1"/>
  <c r="I51" i="37"/>
  <c r="I32" i="37"/>
  <c r="M58" i="37"/>
  <c r="I34" i="37"/>
  <c r="I47" i="37"/>
  <c r="I52" i="37"/>
  <c r="W75" i="37"/>
  <c r="S78" i="37"/>
  <c r="S72" i="37"/>
  <c r="U72" i="37" s="1"/>
  <c r="T72" i="37" s="1"/>
  <c r="S66" i="37"/>
  <c r="S79" i="37"/>
  <c r="S73" i="37"/>
  <c r="U73" i="37" s="1"/>
  <c r="T73" i="37" s="1"/>
  <c r="S67" i="37"/>
  <c r="S80" i="37"/>
  <c r="S74" i="37"/>
  <c r="U74" i="37" s="1"/>
  <c r="T74" i="37" s="1"/>
  <c r="S68" i="37"/>
  <c r="V68" i="37" s="1"/>
  <c r="S62" i="37"/>
  <c r="W62" i="37" s="1"/>
  <c r="S56" i="37"/>
  <c r="W56" i="37" s="1"/>
  <c r="S50" i="37"/>
  <c r="S44" i="37"/>
  <c r="W44" i="37" s="1"/>
  <c r="S38" i="37"/>
  <c r="V38" i="37" s="1"/>
  <c r="S32" i="37"/>
  <c r="W32" i="37" s="1"/>
  <c r="S26" i="37"/>
  <c r="I19" i="37"/>
  <c r="S31" i="37"/>
  <c r="U31" i="37" s="1"/>
  <c r="T31" i="37" s="1"/>
  <c r="H38" i="37"/>
  <c r="H56" i="37"/>
  <c r="M40" i="37"/>
  <c r="I50" i="37"/>
  <c r="V61" i="37"/>
  <c r="I65" i="37"/>
  <c r="I69" i="37"/>
  <c r="I81" i="37"/>
  <c r="I57" i="37"/>
  <c r="M19" i="37"/>
  <c r="U19" i="37" s="1"/>
  <c r="T19" i="37" s="1"/>
  <c r="S20" i="37"/>
  <c r="H22" i="37"/>
  <c r="H26" i="37"/>
  <c r="S36" i="37"/>
  <c r="I38" i="37"/>
  <c r="S41" i="37"/>
  <c r="H43" i="37"/>
  <c r="M46" i="37"/>
  <c r="S49" i="37"/>
  <c r="V51" i="37"/>
  <c r="S54" i="37"/>
  <c r="I56" i="37"/>
  <c r="S59" i="37"/>
  <c r="M64" i="37"/>
  <c r="H68" i="37"/>
  <c r="W70" i="37"/>
  <c r="H74" i="37"/>
  <c r="H80" i="37"/>
  <c r="M30" i="35"/>
  <c r="M27" i="35"/>
  <c r="M31" i="35"/>
  <c r="M41" i="35"/>
  <c r="M34" i="35"/>
  <c r="M25" i="35"/>
  <c r="M38" i="35"/>
  <c r="M28" i="35"/>
  <c r="M44" i="35"/>
  <c r="M32" i="35"/>
  <c r="U32" i="35" s="1"/>
  <c r="T32" i="35" s="1"/>
  <c r="M40" i="35"/>
  <c r="M20" i="35"/>
  <c r="M29" i="35"/>
  <c r="M22" i="35"/>
  <c r="M47" i="35"/>
  <c r="M43" i="35"/>
  <c r="M26" i="35"/>
  <c r="M35" i="35"/>
  <c r="M23" i="35"/>
  <c r="K81" i="35"/>
  <c r="U33" i="35"/>
  <c r="T33" i="35" s="1"/>
  <c r="M37" i="35"/>
  <c r="M19" i="35"/>
  <c r="U19" i="35" s="1"/>
  <c r="T19" i="35" s="1"/>
  <c r="U78" i="35"/>
  <c r="T78" i="35" s="1"/>
  <c r="V75" i="35"/>
  <c r="W75" i="35"/>
  <c r="U75" i="35"/>
  <c r="T75" i="35" s="1"/>
  <c r="V55" i="35"/>
  <c r="W55" i="35"/>
  <c r="U80" i="35"/>
  <c r="T80" i="35" s="1"/>
  <c r="H81" i="35"/>
  <c r="U74" i="35"/>
  <c r="T74" i="35" s="1"/>
  <c r="U21" i="35"/>
  <c r="T21" i="35" s="1"/>
  <c r="V21" i="35"/>
  <c r="W21" i="35"/>
  <c r="W62" i="35"/>
  <c r="V62" i="35"/>
  <c r="U53" i="35"/>
  <c r="T53" i="35" s="1"/>
  <c r="S18" i="35"/>
  <c r="W18" i="35" s="1"/>
  <c r="S24" i="35"/>
  <c r="U24" i="35" s="1"/>
  <c r="T24" i="35" s="1"/>
  <c r="S30" i="35"/>
  <c r="U30" i="35" s="1"/>
  <c r="T30" i="35" s="1"/>
  <c r="S36" i="35"/>
  <c r="U36" i="35" s="1"/>
  <c r="T36" i="35" s="1"/>
  <c r="S42" i="35"/>
  <c r="W42" i="35" s="1"/>
  <c r="S48" i="35"/>
  <c r="U48" i="35" s="1"/>
  <c r="T48" i="35" s="1"/>
  <c r="S54" i="35"/>
  <c r="V54" i="35" s="1"/>
  <c r="S60" i="35"/>
  <c r="U60" i="35" s="1"/>
  <c r="T60" i="35" s="1"/>
  <c r="S66" i="35"/>
  <c r="U66" i="35" s="1"/>
  <c r="T66" i="35" s="1"/>
  <c r="S72" i="35"/>
  <c r="U72" i="35" s="1"/>
  <c r="T72" i="35" s="1"/>
  <c r="S78" i="35"/>
  <c r="S46" i="35"/>
  <c r="S52" i="35"/>
  <c r="S70" i="35"/>
  <c r="S28" i="35"/>
  <c r="S40" i="35"/>
  <c r="S64" i="35"/>
  <c r="S23" i="35"/>
  <c r="S29" i="35"/>
  <c r="S35" i="35"/>
  <c r="S41" i="35"/>
  <c r="S47" i="35"/>
  <c r="S53" i="35"/>
  <c r="S59" i="35"/>
  <c r="S65" i="35"/>
  <c r="S71" i="35"/>
  <c r="S77" i="35"/>
  <c r="S22" i="35"/>
  <c r="S34" i="35"/>
  <c r="S58" i="35"/>
  <c r="S76" i="35"/>
  <c r="V78" i="35"/>
  <c r="W78" i="35"/>
  <c r="S73" i="35"/>
  <c r="V73" i="35" s="1"/>
  <c r="S63" i="35"/>
  <c r="W50" i="35"/>
  <c r="U43" i="35"/>
  <c r="T43" i="35" s="1"/>
  <c r="S38" i="35"/>
  <c r="I22" i="35"/>
  <c r="I28" i="35"/>
  <c r="I34" i="35"/>
  <c r="I40" i="35"/>
  <c r="I46" i="35"/>
  <c r="I52" i="35"/>
  <c r="I58" i="35"/>
  <c r="I64" i="35"/>
  <c r="I70" i="35"/>
  <c r="I76" i="35"/>
  <c r="I26" i="35"/>
  <c r="I38" i="35"/>
  <c r="I50" i="35"/>
  <c r="I20" i="35"/>
  <c r="I74" i="35"/>
  <c r="I21" i="35"/>
  <c r="I27" i="35"/>
  <c r="I33" i="35"/>
  <c r="I39" i="35"/>
  <c r="I45" i="35"/>
  <c r="I51" i="35"/>
  <c r="I57" i="35"/>
  <c r="I63" i="35"/>
  <c r="I69" i="35"/>
  <c r="I75" i="35"/>
  <c r="I32" i="35"/>
  <c r="I44" i="35"/>
  <c r="I56" i="35"/>
  <c r="I62" i="35"/>
  <c r="I68" i="35"/>
  <c r="I80" i="35"/>
  <c r="W80" i="35"/>
  <c r="S68" i="35"/>
  <c r="I55" i="35"/>
  <c r="I48" i="35"/>
  <c r="V43" i="35"/>
  <c r="W43" i="35"/>
  <c r="V36" i="35"/>
  <c r="W36" i="35"/>
  <c r="S31" i="35"/>
  <c r="U31" i="35" s="1"/>
  <c r="T31" i="35" s="1"/>
  <c r="S26" i="35"/>
  <c r="W26" i="35" s="1"/>
  <c r="I78" i="35"/>
  <c r="U71" i="35"/>
  <c r="T71" i="35" s="1"/>
  <c r="S61" i="35"/>
  <c r="S51" i="35"/>
  <c r="I41" i="35"/>
  <c r="W38" i="35"/>
  <c r="V19" i="35"/>
  <c r="W19" i="35"/>
  <c r="I71" i="35"/>
  <c r="W68" i="35"/>
  <c r="U61" i="35"/>
  <c r="T61" i="35" s="1"/>
  <c r="S56" i="35"/>
  <c r="W56" i="35" s="1"/>
  <c r="U54" i="35"/>
  <c r="T54" i="35" s="1"/>
  <c r="I43" i="35"/>
  <c r="I36" i="35"/>
  <c r="L81" i="35"/>
  <c r="I73" i="35"/>
  <c r="I66" i="35"/>
  <c r="V61" i="35"/>
  <c r="W61" i="35"/>
  <c r="U59" i="35"/>
  <c r="T59" i="35" s="1"/>
  <c r="W54" i="35"/>
  <c r="S49" i="35"/>
  <c r="S39" i="35"/>
  <c r="I29" i="35"/>
  <c r="I24" i="35"/>
  <c r="S79" i="35"/>
  <c r="U79" i="35" s="1"/>
  <c r="T79" i="35" s="1"/>
  <c r="S69" i="35"/>
  <c r="I59" i="35"/>
  <c r="U49" i="35"/>
  <c r="T49" i="35" s="1"/>
  <c r="S44" i="35"/>
  <c r="W44" i="35" s="1"/>
  <c r="U42" i="35"/>
  <c r="T42" i="35" s="1"/>
  <c r="I31" i="35"/>
  <c r="S27" i="35"/>
  <c r="I61" i="35"/>
  <c r="I54" i="35"/>
  <c r="V49" i="35"/>
  <c r="W49" i="35"/>
  <c r="V42" i="35"/>
  <c r="S37" i="35"/>
  <c r="W37" i="35" s="1"/>
  <c r="U77" i="35"/>
  <c r="T77" i="35" s="1"/>
  <c r="S67" i="35"/>
  <c r="V67" i="35" s="1"/>
  <c r="S57" i="35"/>
  <c r="V50" i="35"/>
  <c r="I47" i="35"/>
  <c r="W33" i="35"/>
  <c r="S32" i="35"/>
  <c r="V32" i="35" s="1"/>
  <c r="S25" i="35"/>
  <c r="U25" i="35" s="1"/>
  <c r="T25" i="35" s="1"/>
  <c r="V80" i="35"/>
  <c r="I77" i="35"/>
  <c r="S62" i="35"/>
  <c r="U62" i="35" s="1"/>
  <c r="T62" i="35" s="1"/>
  <c r="I49" i="35"/>
  <c r="I42" i="35"/>
  <c r="I19" i="35"/>
  <c r="S74" i="35"/>
  <c r="V74" i="35" s="1"/>
  <c r="S20" i="35"/>
  <c r="I79" i="35"/>
  <c r="I72" i="35"/>
  <c r="U65" i="35"/>
  <c r="T65" i="35" s="1"/>
  <c r="S55" i="35"/>
  <c r="U55" i="35" s="1"/>
  <c r="T55" i="35" s="1"/>
  <c r="S45" i="35"/>
  <c r="U45" i="35" s="1"/>
  <c r="T45" i="35" s="1"/>
  <c r="I35" i="35"/>
  <c r="I23" i="35"/>
  <c r="I18" i="35"/>
  <c r="W51" i="30"/>
  <c r="M39" i="34"/>
  <c r="M28" i="34"/>
  <c r="M29" i="34"/>
  <c r="M53" i="34"/>
  <c r="M49" i="34"/>
  <c r="M36" i="34"/>
  <c r="M43" i="34"/>
  <c r="S62" i="34"/>
  <c r="V62" i="34" s="1"/>
  <c r="M77" i="34"/>
  <c r="S80" i="34"/>
  <c r="M74" i="34"/>
  <c r="I42" i="34"/>
  <c r="M67" i="34"/>
  <c r="S74" i="34"/>
  <c r="I78" i="34"/>
  <c r="M22" i="34"/>
  <c r="M34" i="34"/>
  <c r="M48" i="34"/>
  <c r="M61" i="34"/>
  <c r="M71" i="34"/>
  <c r="M35" i="34"/>
  <c r="W27" i="30"/>
  <c r="V27" i="30"/>
  <c r="M26" i="30"/>
  <c r="U26" i="30" s="1"/>
  <c r="T26" i="30" s="1"/>
  <c r="L81" i="30"/>
  <c r="M25" i="34"/>
  <c r="M42" i="34"/>
  <c r="H81" i="30"/>
  <c r="W19" i="34"/>
  <c r="V19" i="34"/>
  <c r="M19" i="34"/>
  <c r="U19" i="34" s="1"/>
  <c r="T19" i="34" s="1"/>
  <c r="V38" i="34"/>
  <c r="V50" i="34"/>
  <c r="W50" i="34"/>
  <c r="W62" i="34"/>
  <c r="M62" i="34"/>
  <c r="S25" i="34"/>
  <c r="W25" i="34" s="1"/>
  <c r="S27" i="34"/>
  <c r="I49" i="34"/>
  <c r="I55" i="34"/>
  <c r="I61" i="34"/>
  <c r="W20" i="34"/>
  <c r="I31" i="34"/>
  <c r="I67" i="34"/>
  <c r="K81" i="34"/>
  <c r="V80" i="34"/>
  <c r="I80" i="34"/>
  <c r="I74" i="34"/>
  <c r="I62" i="34"/>
  <c r="I56" i="34"/>
  <c r="I44" i="34"/>
  <c r="I38" i="34"/>
  <c r="I69" i="34"/>
  <c r="I63" i="34"/>
  <c r="I45" i="34"/>
  <c r="I27" i="34"/>
  <c r="I21" i="34"/>
  <c r="I52" i="34"/>
  <c r="I40" i="34"/>
  <c r="I34" i="34"/>
  <c r="I28" i="34"/>
  <c r="I22" i="34"/>
  <c r="I53" i="34"/>
  <c r="I41" i="34"/>
  <c r="I35" i="34"/>
  <c r="I72" i="34"/>
  <c r="S76" i="34"/>
  <c r="S70" i="34"/>
  <c r="S64" i="34"/>
  <c r="S58" i="34"/>
  <c r="S52" i="34"/>
  <c r="S46" i="34"/>
  <c r="S40" i="34"/>
  <c r="S34" i="34"/>
  <c r="S28" i="34"/>
  <c r="S22" i="34"/>
  <c r="S77" i="34"/>
  <c r="S71" i="34"/>
  <c r="S65" i="34"/>
  <c r="S59" i="34"/>
  <c r="S53" i="34"/>
  <c r="S41" i="34"/>
  <c r="U41" i="34" s="1"/>
  <c r="T41" i="34" s="1"/>
  <c r="S35" i="34"/>
  <c r="S29" i="34"/>
  <c r="S23" i="34"/>
  <c r="S78" i="34"/>
  <c r="S72" i="34"/>
  <c r="V72" i="34" s="1"/>
  <c r="S66" i="34"/>
  <c r="S60" i="34"/>
  <c r="S54" i="34"/>
  <c r="V54" i="34" s="1"/>
  <c r="S48" i="34"/>
  <c r="V48" i="34" s="1"/>
  <c r="S42" i="34"/>
  <c r="S36" i="34"/>
  <c r="S30" i="34"/>
  <c r="W30" i="34" s="1"/>
  <c r="S24" i="34"/>
  <c r="S18" i="34"/>
  <c r="S79" i="34"/>
  <c r="W79" i="34" s="1"/>
  <c r="S73" i="34"/>
  <c r="S67" i="34"/>
  <c r="U67" i="34" s="1"/>
  <c r="T67" i="34" s="1"/>
  <c r="S61" i="34"/>
  <c r="S55" i="34"/>
  <c r="S49" i="34"/>
  <c r="S43" i="34"/>
  <c r="S37" i="34"/>
  <c r="S33" i="34"/>
  <c r="S39" i="34"/>
  <c r="S45" i="34"/>
  <c r="S51" i="34"/>
  <c r="S57" i="34"/>
  <c r="S63" i="34"/>
  <c r="S31" i="34"/>
  <c r="S69" i="34"/>
  <c r="S75" i="34"/>
  <c r="I19" i="34"/>
  <c r="S26" i="34"/>
  <c r="W42" i="31"/>
  <c r="M30" i="31"/>
  <c r="U30" i="31" s="1"/>
  <c r="T30" i="31" s="1"/>
  <c r="W44" i="31"/>
  <c r="W38" i="31"/>
  <c r="M26" i="31"/>
  <c r="U26" i="31" s="1"/>
  <c r="T26" i="31" s="1"/>
  <c r="W36" i="31"/>
  <c r="V35" i="31"/>
  <c r="M24" i="31"/>
  <c r="U24" i="31" s="1"/>
  <c r="T24" i="31" s="1"/>
  <c r="W24" i="31"/>
  <c r="M21" i="31"/>
  <c r="W26" i="31"/>
  <c r="M28" i="31"/>
  <c r="U28" i="31" s="1"/>
  <c r="T28" i="31" s="1"/>
  <c r="M27" i="31"/>
  <c r="W20" i="31"/>
  <c r="M38" i="31"/>
  <c r="U38" i="31" s="1"/>
  <c r="T38" i="31" s="1"/>
  <c r="M43" i="31"/>
  <c r="M25" i="31"/>
  <c r="V36" i="31"/>
  <c r="M31" i="31"/>
  <c r="V42" i="31"/>
  <c r="V26" i="31"/>
  <c r="M37" i="31"/>
  <c r="M22" i="31"/>
  <c r="U22" i="31" s="1"/>
  <c r="T22" i="31" s="1"/>
  <c r="V24" i="31"/>
  <c r="M44" i="31"/>
  <c r="U44" i="31" s="1"/>
  <c r="T44" i="31" s="1"/>
  <c r="W30" i="31"/>
  <c r="M19" i="31"/>
  <c r="V30" i="31"/>
  <c r="M34" i="31"/>
  <c r="U34" i="31" s="1"/>
  <c r="T34" i="31" s="1"/>
  <c r="M36" i="31"/>
  <c r="U36" i="31" s="1"/>
  <c r="T36" i="31" s="1"/>
  <c r="M42" i="31"/>
  <c r="U42" i="31" s="1"/>
  <c r="T42" i="31" s="1"/>
  <c r="I80" i="31"/>
  <c r="M32" i="31"/>
  <c r="U32" i="31" s="1"/>
  <c r="T32" i="31" s="1"/>
  <c r="W32" i="31"/>
  <c r="W23" i="31"/>
  <c r="V23" i="31"/>
  <c r="V32" i="31"/>
  <c r="I39" i="31"/>
  <c r="W65" i="31"/>
  <c r="V65" i="31"/>
  <c r="M65" i="31"/>
  <c r="U65" i="31" s="1"/>
  <c r="T65" i="31" s="1"/>
  <c r="W70" i="31"/>
  <c r="V70" i="31"/>
  <c r="U72" i="31"/>
  <c r="T72" i="31" s="1"/>
  <c r="H81" i="31"/>
  <c r="M23" i="31"/>
  <c r="U23" i="31" s="1"/>
  <c r="T23" i="31" s="1"/>
  <c r="M70" i="31"/>
  <c r="U70" i="31" s="1"/>
  <c r="T70" i="31" s="1"/>
  <c r="V72" i="31"/>
  <c r="I78" i="31"/>
  <c r="I72" i="31"/>
  <c r="I60" i="31"/>
  <c r="I54" i="31"/>
  <c r="I48" i="31"/>
  <c r="I42" i="31"/>
  <c r="I36" i="31"/>
  <c r="I24" i="31"/>
  <c r="I18" i="31"/>
  <c r="I77" i="31"/>
  <c r="I71" i="31"/>
  <c r="I65" i="31"/>
  <c r="I59" i="31"/>
  <c r="I53" i="31"/>
  <c r="I41" i="31"/>
  <c r="I35" i="31"/>
  <c r="I29" i="31"/>
  <c r="I23" i="31"/>
  <c r="I66" i="31"/>
  <c r="I30" i="31"/>
  <c r="I79" i="31"/>
  <c r="I73" i="31"/>
  <c r="I67" i="31"/>
  <c r="I61" i="31"/>
  <c r="I55" i="31"/>
  <c r="I49" i="31"/>
  <c r="I43" i="31"/>
  <c r="I37" i="31"/>
  <c r="I31" i="31"/>
  <c r="I25" i="31"/>
  <c r="I19" i="31"/>
  <c r="I76" i="31"/>
  <c r="I70" i="31"/>
  <c r="I62" i="31"/>
  <c r="I44" i="31"/>
  <c r="I26" i="31"/>
  <c r="I64" i="31"/>
  <c r="I46" i="31"/>
  <c r="I28" i="31"/>
  <c r="I51" i="31"/>
  <c r="I33" i="31"/>
  <c r="I75" i="31"/>
  <c r="I69" i="31"/>
  <c r="I56" i="31"/>
  <c r="I38" i="31"/>
  <c r="I20" i="31"/>
  <c r="I58" i="31"/>
  <c r="I40" i="31"/>
  <c r="I22" i="31"/>
  <c r="I34" i="31"/>
  <c r="I45" i="31"/>
  <c r="I50" i="31"/>
  <c r="W59" i="31"/>
  <c r="V59" i="31"/>
  <c r="I74" i="31"/>
  <c r="V79" i="31"/>
  <c r="U79" i="31"/>
  <c r="T79" i="31" s="1"/>
  <c r="U45" i="31"/>
  <c r="T45" i="31" s="1"/>
  <c r="M50" i="31"/>
  <c r="U50" i="31" s="1"/>
  <c r="T50" i="31" s="1"/>
  <c r="W50" i="31"/>
  <c r="M59" i="31"/>
  <c r="U59" i="31" s="1"/>
  <c r="T59" i="31" s="1"/>
  <c r="W29" i="31"/>
  <c r="V29" i="31"/>
  <c r="M29" i="31"/>
  <c r="U29" i="31" s="1"/>
  <c r="T29" i="31" s="1"/>
  <c r="W34" i="31"/>
  <c r="V34" i="31"/>
  <c r="V50" i="31"/>
  <c r="I57" i="31"/>
  <c r="W79" i="31"/>
  <c r="U18" i="31"/>
  <c r="I27" i="31"/>
  <c r="I32" i="31"/>
  <c r="W41" i="31"/>
  <c r="V41" i="31"/>
  <c r="W48" i="31"/>
  <c r="V48" i="31"/>
  <c r="V57" i="31"/>
  <c r="I52" i="31"/>
  <c r="I63" i="31"/>
  <c r="I68" i="31"/>
  <c r="W78" i="31"/>
  <c r="V78" i="31"/>
  <c r="M39" i="31"/>
  <c r="U63" i="31"/>
  <c r="T63" i="31" s="1"/>
  <c r="W52" i="31"/>
  <c r="V52" i="31"/>
  <c r="W76" i="31"/>
  <c r="V76" i="31"/>
  <c r="W71" i="31"/>
  <c r="V71" i="31"/>
  <c r="W45" i="31"/>
  <c r="V45" i="31"/>
  <c r="M47" i="31"/>
  <c r="U47" i="31" s="1"/>
  <c r="T47" i="31" s="1"/>
  <c r="W63" i="31"/>
  <c r="M71" i="31"/>
  <c r="U71" i="31" s="1"/>
  <c r="T71" i="31" s="1"/>
  <c r="W77" i="31"/>
  <c r="V77" i="31"/>
  <c r="M20" i="31"/>
  <c r="U20" i="31" s="1"/>
  <c r="T20" i="31" s="1"/>
  <c r="K81" i="31"/>
  <c r="W22" i="31"/>
  <c r="V22" i="31"/>
  <c r="W40" i="31"/>
  <c r="V40" i="31"/>
  <c r="W58" i="31"/>
  <c r="V58" i="31"/>
  <c r="M77" i="31"/>
  <c r="U77" i="31" s="1"/>
  <c r="T77" i="31" s="1"/>
  <c r="V20" i="31"/>
  <c r="V38" i="31"/>
  <c r="V56" i="31"/>
  <c r="V18" i="31"/>
  <c r="W35" i="31"/>
  <c r="W53" i="31"/>
  <c r="V47" i="31"/>
  <c r="W28" i="31"/>
  <c r="V28" i="31"/>
  <c r="M33" i="31"/>
  <c r="W46" i="31"/>
  <c r="V46" i="31"/>
  <c r="M51" i="31"/>
  <c r="U51" i="31" s="1"/>
  <c r="T51" i="31" s="1"/>
  <c r="W64" i="31"/>
  <c r="V64" i="31"/>
  <c r="S21" i="31"/>
  <c r="W21" i="31" s="1"/>
  <c r="S27" i="31"/>
  <c r="U27" i="31" s="1"/>
  <c r="T27" i="31" s="1"/>
  <c r="S33" i="31"/>
  <c r="W33" i="31" s="1"/>
  <c r="S39" i="31"/>
  <c r="V39" i="31" s="1"/>
  <c r="S45" i="31"/>
  <c r="S51" i="31"/>
  <c r="W51" i="31" s="1"/>
  <c r="S57" i="31"/>
  <c r="U57" i="31" s="1"/>
  <c r="T57" i="31" s="1"/>
  <c r="S63" i="31"/>
  <c r="V63" i="31" s="1"/>
  <c r="S69" i="31"/>
  <c r="U69" i="31" s="1"/>
  <c r="T69" i="31" s="1"/>
  <c r="S75" i="31"/>
  <c r="V75" i="31" s="1"/>
  <c r="L81" i="31"/>
  <c r="S19" i="31"/>
  <c r="U19" i="31" s="1"/>
  <c r="T19" i="31" s="1"/>
  <c r="S25" i="31"/>
  <c r="S31" i="31"/>
  <c r="S37" i="31"/>
  <c r="S43" i="31"/>
  <c r="U43" i="31" s="1"/>
  <c r="T43" i="31" s="1"/>
  <c r="S49" i="31"/>
  <c r="S55" i="31"/>
  <c r="S61" i="31"/>
  <c r="S67" i="31"/>
  <c r="S73" i="31"/>
  <c r="V61" i="30"/>
  <c r="W61" i="30"/>
  <c r="V25" i="30"/>
  <c r="W25" i="30"/>
  <c r="U61" i="30"/>
  <c r="T61" i="30" s="1"/>
  <c r="U25" i="30"/>
  <c r="T25" i="30" s="1"/>
  <c r="V18" i="30"/>
  <c r="W18" i="30"/>
  <c r="W80" i="30"/>
  <c r="U72" i="30"/>
  <c r="T72" i="30" s="1"/>
  <c r="V55" i="30"/>
  <c r="W55" i="30"/>
  <c r="W44" i="30"/>
  <c r="U55" i="30"/>
  <c r="T55" i="30" s="1"/>
  <c r="U19" i="30"/>
  <c r="T19" i="30" s="1"/>
  <c r="W74" i="30"/>
  <c r="V49" i="30"/>
  <c r="W49" i="30"/>
  <c r="W38" i="30"/>
  <c r="U49" i="30"/>
  <c r="T49" i="30" s="1"/>
  <c r="V79" i="30"/>
  <c r="W79" i="30"/>
  <c r="W68" i="30"/>
  <c r="U60" i="30"/>
  <c r="T60" i="30" s="1"/>
  <c r="V43" i="30"/>
  <c r="W43" i="30"/>
  <c r="W32" i="30"/>
  <c r="U24" i="30"/>
  <c r="T24" i="30" s="1"/>
  <c r="U79" i="30"/>
  <c r="T79" i="30" s="1"/>
  <c r="U43" i="30"/>
  <c r="T43" i="30" s="1"/>
  <c r="V73" i="30"/>
  <c r="W73" i="30"/>
  <c r="W62" i="30"/>
  <c r="V37" i="30"/>
  <c r="W37" i="30"/>
  <c r="W26" i="30"/>
  <c r="M81" i="30"/>
  <c r="Q3" i="30" s="1"/>
  <c r="U18" i="30"/>
  <c r="V80" i="30"/>
  <c r="U73" i="30"/>
  <c r="T73" i="30" s="1"/>
  <c r="V44" i="30"/>
  <c r="U37" i="30"/>
  <c r="T37" i="30" s="1"/>
  <c r="V19" i="30"/>
  <c r="W19" i="30"/>
  <c r="V67" i="30"/>
  <c r="W67" i="30"/>
  <c r="W56" i="30"/>
  <c r="U48" i="30"/>
  <c r="T48" i="30" s="1"/>
  <c r="V31" i="30"/>
  <c r="W31" i="30"/>
  <c r="W20" i="30"/>
  <c r="U67" i="30"/>
  <c r="T67" i="30" s="1"/>
  <c r="U31" i="30"/>
  <c r="T31" i="30" s="1"/>
  <c r="I80" i="30"/>
  <c r="S76" i="30"/>
  <c r="I74" i="30"/>
  <c r="S70" i="30"/>
  <c r="I68" i="30"/>
  <c r="S64" i="30"/>
  <c r="I62" i="30"/>
  <c r="S58" i="30"/>
  <c r="I56" i="30"/>
  <c r="S52" i="30"/>
  <c r="I50" i="30"/>
  <c r="S46" i="30"/>
  <c r="I44" i="30"/>
  <c r="S40" i="30"/>
  <c r="I38" i="30"/>
  <c r="S34" i="30"/>
  <c r="I32" i="30"/>
  <c r="S28" i="30"/>
  <c r="I26" i="30"/>
  <c r="S22" i="30"/>
  <c r="I20" i="30"/>
  <c r="S77" i="30"/>
  <c r="I75" i="30"/>
  <c r="S71" i="30"/>
  <c r="I69" i="30"/>
  <c r="S65" i="30"/>
  <c r="I63" i="30"/>
  <c r="S59" i="30"/>
  <c r="I57" i="30"/>
  <c r="S53" i="30"/>
  <c r="I51" i="30"/>
  <c r="S47" i="30"/>
  <c r="I45" i="30"/>
  <c r="S41" i="30"/>
  <c r="I39" i="30"/>
  <c r="S35" i="30"/>
  <c r="I33" i="30"/>
  <c r="S29" i="30"/>
  <c r="I27" i="30"/>
  <c r="S23" i="30"/>
  <c r="I21" i="30"/>
  <c r="S78" i="30"/>
  <c r="I76" i="30"/>
  <c r="S72" i="30"/>
  <c r="I70" i="30"/>
  <c r="S66" i="30"/>
  <c r="I64" i="30"/>
  <c r="S60" i="30"/>
  <c r="I58" i="30"/>
  <c r="S54" i="30"/>
  <c r="U54" i="30" s="1"/>
  <c r="T54" i="30" s="1"/>
  <c r="I52" i="30"/>
  <c r="S48" i="30"/>
  <c r="I46" i="30"/>
  <c r="S42" i="30"/>
  <c r="U42" i="30" s="1"/>
  <c r="T42" i="30" s="1"/>
  <c r="I40" i="30"/>
  <c r="S36" i="30"/>
  <c r="I34" i="30"/>
  <c r="S30" i="30"/>
  <c r="I28" i="30"/>
  <c r="S24" i="30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I52" i="28"/>
  <c r="I51" i="28"/>
  <c r="I50" i="28"/>
  <c r="I49" i="28"/>
  <c r="I48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S80" i="28"/>
  <c r="S79" i="28"/>
  <c r="S78" i="28"/>
  <c r="S77" i="28"/>
  <c r="S76" i="28"/>
  <c r="S75" i="28"/>
  <c r="S74" i="28"/>
  <c r="S73" i="28"/>
  <c r="S72" i="28"/>
  <c r="S71" i="28"/>
  <c r="S70" i="28"/>
  <c r="S69" i="28"/>
  <c r="S68" i="28"/>
  <c r="S67" i="28"/>
  <c r="S66" i="28"/>
  <c r="S65" i="28"/>
  <c r="S64" i="28"/>
  <c r="S63" i="28"/>
  <c r="S62" i="28"/>
  <c r="S61" i="28"/>
  <c r="S60" i="28"/>
  <c r="S59" i="28"/>
  <c r="S58" i="28"/>
  <c r="S57" i="28"/>
  <c r="S56" i="28"/>
  <c r="S55" i="28"/>
  <c r="S54" i="28"/>
  <c r="S53" i="28"/>
  <c r="S52" i="28"/>
  <c r="S51" i="28"/>
  <c r="S50" i="28"/>
  <c r="S49" i="28"/>
  <c r="S48" i="28"/>
  <c r="S47" i="28"/>
  <c r="S46" i="28"/>
  <c r="S45" i="28"/>
  <c r="S44" i="28"/>
  <c r="S43" i="28"/>
  <c r="S42" i="28"/>
  <c r="S41" i="28"/>
  <c r="S40" i="28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81" i="28" s="1"/>
  <c r="K81" i="28"/>
  <c r="M18" i="28"/>
  <c r="L81" i="28"/>
  <c r="W18" i="28"/>
  <c r="V18" i="28"/>
  <c r="U19" i="28"/>
  <c r="T19" i="28" s="1"/>
  <c r="W19" i="28"/>
  <c r="V19" i="28"/>
  <c r="U20" i="28"/>
  <c r="T20" i="28" s="1"/>
  <c r="W20" i="28"/>
  <c r="V20" i="28"/>
  <c r="U21" i="28"/>
  <c r="T21" i="28" s="1"/>
  <c r="W21" i="28"/>
  <c r="V21" i="28"/>
  <c r="U22" i="28"/>
  <c r="T22" i="28" s="1"/>
  <c r="W22" i="28"/>
  <c r="V22" i="28"/>
  <c r="U23" i="28"/>
  <c r="T23" i="28" s="1"/>
  <c r="W23" i="28"/>
  <c r="V23" i="28"/>
  <c r="U24" i="28"/>
  <c r="T24" i="28" s="1"/>
  <c r="W24" i="28"/>
  <c r="V24" i="28"/>
  <c r="U25" i="28"/>
  <c r="T25" i="28" s="1"/>
  <c r="W25" i="28"/>
  <c r="V25" i="28"/>
  <c r="U26" i="28"/>
  <c r="T26" i="28" s="1"/>
  <c r="W26" i="28"/>
  <c r="V26" i="28"/>
  <c r="U27" i="28"/>
  <c r="T27" i="28" s="1"/>
  <c r="W27" i="28"/>
  <c r="V27" i="28"/>
  <c r="U28" i="28"/>
  <c r="T28" i="28" s="1"/>
  <c r="W28" i="28"/>
  <c r="V28" i="28"/>
  <c r="U29" i="28"/>
  <c r="T29" i="28" s="1"/>
  <c r="W29" i="28"/>
  <c r="V29" i="28"/>
  <c r="U30" i="28"/>
  <c r="T30" i="28" s="1"/>
  <c r="W30" i="28"/>
  <c r="V30" i="28"/>
  <c r="U31" i="28"/>
  <c r="T31" i="28" s="1"/>
  <c r="W31" i="28"/>
  <c r="V31" i="28"/>
  <c r="U32" i="28"/>
  <c r="T32" i="28" s="1"/>
  <c r="W32" i="28"/>
  <c r="V32" i="28"/>
  <c r="U33" i="28"/>
  <c r="T33" i="28" s="1"/>
  <c r="W33" i="28"/>
  <c r="V33" i="28"/>
  <c r="U34" i="28"/>
  <c r="T34" i="28" s="1"/>
  <c r="W34" i="28"/>
  <c r="V34" i="28"/>
  <c r="U35" i="28"/>
  <c r="T35" i="28" s="1"/>
  <c r="W35" i="28"/>
  <c r="V35" i="28"/>
  <c r="U36" i="28"/>
  <c r="T36" i="28" s="1"/>
  <c r="W36" i="28"/>
  <c r="V36" i="28"/>
  <c r="U37" i="28"/>
  <c r="T37" i="28" s="1"/>
  <c r="W37" i="28"/>
  <c r="V37" i="28"/>
  <c r="U38" i="28"/>
  <c r="T38" i="28" s="1"/>
  <c r="W38" i="28"/>
  <c r="V38" i="28"/>
  <c r="U39" i="28"/>
  <c r="T39" i="28" s="1"/>
  <c r="W39" i="28"/>
  <c r="V39" i="28"/>
  <c r="U40" i="28"/>
  <c r="T40" i="28" s="1"/>
  <c r="W40" i="28"/>
  <c r="V40" i="28"/>
  <c r="U41" i="28"/>
  <c r="T41" i="28" s="1"/>
  <c r="W41" i="28"/>
  <c r="V41" i="28"/>
  <c r="U42" i="28"/>
  <c r="T42" i="28" s="1"/>
  <c r="W42" i="28"/>
  <c r="V42" i="28"/>
  <c r="U43" i="28"/>
  <c r="T43" i="28" s="1"/>
  <c r="W43" i="28"/>
  <c r="V43" i="28"/>
  <c r="U44" i="28"/>
  <c r="T44" i="28" s="1"/>
  <c r="W44" i="28"/>
  <c r="V44" i="28"/>
  <c r="U45" i="28"/>
  <c r="T45" i="28" s="1"/>
  <c r="W45" i="28"/>
  <c r="V45" i="28"/>
  <c r="U46" i="28"/>
  <c r="T46" i="28" s="1"/>
  <c r="W46" i="28"/>
  <c r="V46" i="28"/>
  <c r="U47" i="28"/>
  <c r="T47" i="28" s="1"/>
  <c r="W47" i="28"/>
  <c r="V47" i="28"/>
  <c r="U48" i="28"/>
  <c r="T48" i="28" s="1"/>
  <c r="W48" i="28"/>
  <c r="V48" i="28"/>
  <c r="U49" i="28"/>
  <c r="T49" i="28" s="1"/>
  <c r="W49" i="28"/>
  <c r="V49" i="28"/>
  <c r="U50" i="28"/>
  <c r="T50" i="28" s="1"/>
  <c r="W50" i="28"/>
  <c r="V50" i="28"/>
  <c r="U51" i="28"/>
  <c r="T51" i="28" s="1"/>
  <c r="W51" i="28"/>
  <c r="V51" i="28"/>
  <c r="U52" i="28"/>
  <c r="T52" i="28" s="1"/>
  <c r="W52" i="28"/>
  <c r="V52" i="28"/>
  <c r="U53" i="28"/>
  <c r="T53" i="28" s="1"/>
  <c r="W53" i="28"/>
  <c r="V53" i="28"/>
  <c r="U54" i="28"/>
  <c r="T54" i="28" s="1"/>
  <c r="W54" i="28"/>
  <c r="V54" i="28"/>
  <c r="U55" i="28"/>
  <c r="T55" i="28" s="1"/>
  <c r="W55" i="28"/>
  <c r="V55" i="28"/>
  <c r="U56" i="28"/>
  <c r="T56" i="28" s="1"/>
  <c r="W56" i="28"/>
  <c r="V56" i="28"/>
  <c r="U57" i="28"/>
  <c r="T57" i="28" s="1"/>
  <c r="W57" i="28"/>
  <c r="V57" i="28"/>
  <c r="U58" i="28"/>
  <c r="T58" i="28" s="1"/>
  <c r="W58" i="28"/>
  <c r="V58" i="28"/>
  <c r="U59" i="28"/>
  <c r="T59" i="28" s="1"/>
  <c r="W59" i="28"/>
  <c r="V59" i="28"/>
  <c r="U60" i="28"/>
  <c r="T60" i="28" s="1"/>
  <c r="W60" i="28"/>
  <c r="V60" i="28"/>
  <c r="U61" i="28"/>
  <c r="T61" i="28" s="1"/>
  <c r="W61" i="28"/>
  <c r="V61" i="28"/>
  <c r="U62" i="28"/>
  <c r="T62" i="28" s="1"/>
  <c r="W62" i="28"/>
  <c r="V62" i="28"/>
  <c r="U63" i="28"/>
  <c r="T63" i="28" s="1"/>
  <c r="W63" i="28"/>
  <c r="V63" i="28"/>
  <c r="U64" i="28"/>
  <c r="T64" i="28" s="1"/>
  <c r="W64" i="28"/>
  <c r="V64" i="28"/>
  <c r="U65" i="28"/>
  <c r="T65" i="28" s="1"/>
  <c r="W65" i="28"/>
  <c r="V65" i="28"/>
  <c r="U66" i="28"/>
  <c r="T66" i="28" s="1"/>
  <c r="W66" i="28"/>
  <c r="V66" i="28"/>
  <c r="U67" i="28"/>
  <c r="T67" i="28" s="1"/>
  <c r="W67" i="28"/>
  <c r="V67" i="28"/>
  <c r="U68" i="28"/>
  <c r="T68" i="28" s="1"/>
  <c r="W68" i="28"/>
  <c r="V68" i="28"/>
  <c r="U69" i="28"/>
  <c r="T69" i="28" s="1"/>
  <c r="W69" i="28"/>
  <c r="V69" i="28"/>
  <c r="U70" i="28"/>
  <c r="T70" i="28" s="1"/>
  <c r="W70" i="28"/>
  <c r="V70" i="28"/>
  <c r="U71" i="28"/>
  <c r="T71" i="28" s="1"/>
  <c r="W71" i="28"/>
  <c r="V71" i="28"/>
  <c r="U72" i="28"/>
  <c r="T72" i="28" s="1"/>
  <c r="W72" i="28"/>
  <c r="V72" i="28"/>
  <c r="U73" i="28"/>
  <c r="T73" i="28" s="1"/>
  <c r="W73" i="28"/>
  <c r="V73" i="28"/>
  <c r="U74" i="28"/>
  <c r="T74" i="28" s="1"/>
  <c r="W74" i="28"/>
  <c r="V74" i="28"/>
  <c r="U75" i="28"/>
  <c r="T75" i="28" s="1"/>
  <c r="W75" i="28"/>
  <c r="V75" i="28"/>
  <c r="U76" i="28"/>
  <c r="T76" i="28" s="1"/>
  <c r="W76" i="28"/>
  <c r="V76" i="28"/>
  <c r="U77" i="28"/>
  <c r="T77" i="28" s="1"/>
  <c r="W77" i="28"/>
  <c r="V77" i="28"/>
  <c r="U78" i="28"/>
  <c r="T78" i="28" s="1"/>
  <c r="W78" i="28"/>
  <c r="V78" i="28"/>
  <c r="U79" i="28"/>
  <c r="T79" i="28" s="1"/>
  <c r="W79" i="28"/>
  <c r="V79" i="28"/>
  <c r="U80" i="28"/>
  <c r="T80" i="28" s="1"/>
  <c r="W80" i="28"/>
  <c r="V80" i="28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60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81" i="27" s="1"/>
  <c r="Q2" i="27" s="1"/>
  <c r="S80" i="27"/>
  <c r="S79" i="27"/>
  <c r="S78" i="27"/>
  <c r="S77" i="27"/>
  <c r="S76" i="27"/>
  <c r="S75" i="27"/>
  <c r="S74" i="27"/>
  <c r="S73" i="27"/>
  <c r="S72" i="27"/>
  <c r="S71" i="27"/>
  <c r="S70" i="27"/>
  <c r="S69" i="27"/>
  <c r="S68" i="27"/>
  <c r="S67" i="27"/>
  <c r="S66" i="27"/>
  <c r="S65" i="27"/>
  <c r="S64" i="27"/>
  <c r="S63" i="27"/>
  <c r="S62" i="27"/>
  <c r="S61" i="27"/>
  <c r="S60" i="27"/>
  <c r="S59" i="27"/>
  <c r="S58" i="27"/>
  <c r="S57" i="27"/>
  <c r="S56" i="27"/>
  <c r="S55" i="27"/>
  <c r="S54" i="27"/>
  <c r="S53" i="27"/>
  <c r="S52" i="27"/>
  <c r="S51" i="27"/>
  <c r="S50" i="27"/>
  <c r="S49" i="27"/>
  <c r="S48" i="27"/>
  <c r="S47" i="27"/>
  <c r="S46" i="27"/>
  <c r="S45" i="27"/>
  <c r="S44" i="27"/>
  <c r="S43" i="27"/>
  <c r="S42" i="27"/>
  <c r="S41" i="27"/>
  <c r="S40" i="27"/>
  <c r="S39" i="27"/>
  <c r="S38" i="27"/>
  <c r="S37" i="27"/>
  <c r="S36" i="27"/>
  <c r="S35" i="27"/>
  <c r="S34" i="27"/>
  <c r="S33" i="27"/>
  <c r="S32" i="27"/>
  <c r="S31" i="27"/>
  <c r="S30" i="27"/>
  <c r="S29" i="27"/>
  <c r="S28" i="27"/>
  <c r="S27" i="27"/>
  <c r="S26" i="27"/>
  <c r="S25" i="27"/>
  <c r="S24" i="27"/>
  <c r="S23" i="27"/>
  <c r="S22" i="27"/>
  <c r="S21" i="27"/>
  <c r="S20" i="27"/>
  <c r="S19" i="27"/>
  <c r="S18" i="27"/>
  <c r="S81" i="27" s="1"/>
  <c r="K81" i="27"/>
  <c r="M18" i="27"/>
  <c r="L81" i="27"/>
  <c r="W18" i="27"/>
  <c r="V18" i="27"/>
  <c r="U19" i="27"/>
  <c r="T19" i="27" s="1"/>
  <c r="W19" i="27"/>
  <c r="V19" i="27"/>
  <c r="U20" i="27"/>
  <c r="T20" i="27" s="1"/>
  <c r="W20" i="27"/>
  <c r="V20" i="27"/>
  <c r="U21" i="27"/>
  <c r="T21" i="27" s="1"/>
  <c r="W21" i="27"/>
  <c r="V21" i="27"/>
  <c r="U22" i="27"/>
  <c r="T22" i="27" s="1"/>
  <c r="W22" i="27"/>
  <c r="V22" i="27"/>
  <c r="U23" i="27"/>
  <c r="T23" i="27" s="1"/>
  <c r="W23" i="27"/>
  <c r="V23" i="27"/>
  <c r="U24" i="27"/>
  <c r="T24" i="27" s="1"/>
  <c r="W24" i="27"/>
  <c r="V24" i="27"/>
  <c r="U25" i="27"/>
  <c r="T25" i="27" s="1"/>
  <c r="W25" i="27"/>
  <c r="V25" i="27"/>
  <c r="U26" i="27"/>
  <c r="T26" i="27" s="1"/>
  <c r="W26" i="27"/>
  <c r="V26" i="27"/>
  <c r="U27" i="27"/>
  <c r="T27" i="27" s="1"/>
  <c r="W27" i="27"/>
  <c r="V27" i="27"/>
  <c r="U28" i="27"/>
  <c r="T28" i="27" s="1"/>
  <c r="W28" i="27"/>
  <c r="V28" i="27"/>
  <c r="U29" i="27"/>
  <c r="T29" i="27" s="1"/>
  <c r="W29" i="27"/>
  <c r="V29" i="27"/>
  <c r="U30" i="27"/>
  <c r="T30" i="27" s="1"/>
  <c r="W30" i="27"/>
  <c r="V30" i="27"/>
  <c r="U31" i="27"/>
  <c r="T31" i="27" s="1"/>
  <c r="W31" i="27"/>
  <c r="V31" i="27"/>
  <c r="U32" i="27"/>
  <c r="T32" i="27" s="1"/>
  <c r="W32" i="27"/>
  <c r="V32" i="27"/>
  <c r="U33" i="27"/>
  <c r="T33" i="27" s="1"/>
  <c r="W33" i="27"/>
  <c r="V33" i="27"/>
  <c r="U34" i="27"/>
  <c r="T34" i="27" s="1"/>
  <c r="W34" i="27"/>
  <c r="V34" i="27"/>
  <c r="U35" i="27"/>
  <c r="T35" i="27" s="1"/>
  <c r="W35" i="27"/>
  <c r="V35" i="27"/>
  <c r="U36" i="27"/>
  <c r="T36" i="27" s="1"/>
  <c r="W36" i="27"/>
  <c r="V36" i="27"/>
  <c r="U37" i="27"/>
  <c r="T37" i="27" s="1"/>
  <c r="W37" i="27"/>
  <c r="V37" i="27"/>
  <c r="U38" i="27"/>
  <c r="T38" i="27" s="1"/>
  <c r="W38" i="27"/>
  <c r="V38" i="27"/>
  <c r="U39" i="27"/>
  <c r="T39" i="27" s="1"/>
  <c r="W39" i="27"/>
  <c r="V39" i="27"/>
  <c r="U40" i="27"/>
  <c r="T40" i="27" s="1"/>
  <c r="W40" i="27"/>
  <c r="V40" i="27"/>
  <c r="U41" i="27"/>
  <c r="T41" i="27" s="1"/>
  <c r="W41" i="27"/>
  <c r="V41" i="27"/>
  <c r="U42" i="27"/>
  <c r="T42" i="27" s="1"/>
  <c r="W42" i="27"/>
  <c r="V42" i="27"/>
  <c r="U43" i="27"/>
  <c r="T43" i="27" s="1"/>
  <c r="W43" i="27"/>
  <c r="V43" i="27"/>
  <c r="U44" i="27"/>
  <c r="T44" i="27" s="1"/>
  <c r="W44" i="27"/>
  <c r="V44" i="27"/>
  <c r="U45" i="27"/>
  <c r="T45" i="27" s="1"/>
  <c r="W45" i="27"/>
  <c r="V45" i="27"/>
  <c r="U46" i="27"/>
  <c r="T46" i="27" s="1"/>
  <c r="W46" i="27"/>
  <c r="V46" i="27"/>
  <c r="U47" i="27"/>
  <c r="T47" i="27" s="1"/>
  <c r="W47" i="27"/>
  <c r="V47" i="27"/>
  <c r="U48" i="27"/>
  <c r="T48" i="27" s="1"/>
  <c r="W48" i="27"/>
  <c r="V48" i="27"/>
  <c r="U49" i="27"/>
  <c r="T49" i="27" s="1"/>
  <c r="W49" i="27"/>
  <c r="V49" i="27"/>
  <c r="U50" i="27"/>
  <c r="T50" i="27" s="1"/>
  <c r="W50" i="27"/>
  <c r="V50" i="27"/>
  <c r="U51" i="27"/>
  <c r="T51" i="27" s="1"/>
  <c r="W51" i="27"/>
  <c r="V51" i="27"/>
  <c r="U52" i="27"/>
  <c r="T52" i="27" s="1"/>
  <c r="W52" i="27"/>
  <c r="V52" i="27"/>
  <c r="U53" i="27"/>
  <c r="T53" i="27" s="1"/>
  <c r="W53" i="27"/>
  <c r="V53" i="27"/>
  <c r="U54" i="27"/>
  <c r="T54" i="27" s="1"/>
  <c r="W54" i="27"/>
  <c r="V54" i="27"/>
  <c r="U55" i="27"/>
  <c r="T55" i="27" s="1"/>
  <c r="W55" i="27"/>
  <c r="V55" i="27"/>
  <c r="U56" i="27"/>
  <c r="T56" i="27" s="1"/>
  <c r="W56" i="27"/>
  <c r="V56" i="27"/>
  <c r="U57" i="27"/>
  <c r="T57" i="27" s="1"/>
  <c r="W57" i="27"/>
  <c r="V57" i="27"/>
  <c r="U58" i="27"/>
  <c r="T58" i="27" s="1"/>
  <c r="W58" i="27"/>
  <c r="V58" i="27"/>
  <c r="U59" i="27"/>
  <c r="T59" i="27" s="1"/>
  <c r="W59" i="27"/>
  <c r="V59" i="27"/>
  <c r="U60" i="27"/>
  <c r="T60" i="27" s="1"/>
  <c r="W60" i="27"/>
  <c r="V60" i="27"/>
  <c r="U61" i="27"/>
  <c r="T61" i="27" s="1"/>
  <c r="W61" i="27"/>
  <c r="V61" i="27"/>
  <c r="U62" i="27"/>
  <c r="T62" i="27" s="1"/>
  <c r="W62" i="27"/>
  <c r="V62" i="27"/>
  <c r="U63" i="27"/>
  <c r="T63" i="27" s="1"/>
  <c r="W63" i="27"/>
  <c r="V63" i="27"/>
  <c r="U64" i="27"/>
  <c r="T64" i="27" s="1"/>
  <c r="W64" i="27"/>
  <c r="V64" i="27"/>
  <c r="U65" i="27"/>
  <c r="T65" i="27" s="1"/>
  <c r="W65" i="27"/>
  <c r="V65" i="27"/>
  <c r="U66" i="27"/>
  <c r="T66" i="27" s="1"/>
  <c r="W66" i="27"/>
  <c r="V66" i="27"/>
  <c r="U67" i="27"/>
  <c r="T67" i="27" s="1"/>
  <c r="W67" i="27"/>
  <c r="V67" i="27"/>
  <c r="U68" i="27"/>
  <c r="T68" i="27" s="1"/>
  <c r="W68" i="27"/>
  <c r="V68" i="27"/>
  <c r="U69" i="27"/>
  <c r="T69" i="27" s="1"/>
  <c r="W69" i="27"/>
  <c r="V69" i="27"/>
  <c r="U70" i="27"/>
  <c r="T70" i="27" s="1"/>
  <c r="W70" i="27"/>
  <c r="V70" i="27"/>
  <c r="U71" i="27"/>
  <c r="T71" i="27" s="1"/>
  <c r="W71" i="27"/>
  <c r="V71" i="27"/>
  <c r="U72" i="27"/>
  <c r="T72" i="27" s="1"/>
  <c r="W72" i="27"/>
  <c r="V72" i="27"/>
  <c r="U73" i="27"/>
  <c r="T73" i="27" s="1"/>
  <c r="W73" i="27"/>
  <c r="V73" i="27"/>
  <c r="U74" i="27"/>
  <c r="T74" i="27" s="1"/>
  <c r="W74" i="27"/>
  <c r="V74" i="27"/>
  <c r="U75" i="27"/>
  <c r="T75" i="27" s="1"/>
  <c r="W75" i="27"/>
  <c r="V75" i="27"/>
  <c r="U76" i="27"/>
  <c r="T76" i="27" s="1"/>
  <c r="W76" i="27"/>
  <c r="V76" i="27"/>
  <c r="U77" i="27"/>
  <c r="T77" i="27" s="1"/>
  <c r="W77" i="27"/>
  <c r="V77" i="27"/>
  <c r="U78" i="27"/>
  <c r="T78" i="27" s="1"/>
  <c r="W78" i="27"/>
  <c r="V78" i="27"/>
  <c r="U79" i="27"/>
  <c r="T79" i="27" s="1"/>
  <c r="W79" i="27"/>
  <c r="V79" i="27"/>
  <c r="U80" i="27"/>
  <c r="T80" i="27" s="1"/>
  <c r="W80" i="27"/>
  <c r="V80" i="27"/>
  <c r="Q7" i="26"/>
  <c r="W14" i="26"/>
  <c r="Q9" i="26" s="1"/>
  <c r="Q4" i="26"/>
  <c r="Q5" i="26"/>
  <c r="I73" i="34" l="1"/>
  <c r="I66" i="34"/>
  <c r="I58" i="34"/>
  <c r="I24" i="34"/>
  <c r="I65" i="34"/>
  <c r="W37" i="34"/>
  <c r="V18" i="34"/>
  <c r="V66" i="34"/>
  <c r="I29" i="34"/>
  <c r="I71" i="34"/>
  <c r="I64" i="34"/>
  <c r="I20" i="34"/>
  <c r="I50" i="34"/>
  <c r="V20" i="34"/>
  <c r="I43" i="34"/>
  <c r="I18" i="34"/>
  <c r="V44" i="34"/>
  <c r="W32" i="34"/>
  <c r="V74" i="34"/>
  <c r="W38" i="34"/>
  <c r="V24" i="34"/>
  <c r="I77" i="34"/>
  <c r="I76" i="34"/>
  <c r="I57" i="34"/>
  <c r="I32" i="34"/>
  <c r="I37" i="34"/>
  <c r="H81" i="34"/>
  <c r="W44" i="34"/>
  <c r="V32" i="34"/>
  <c r="I54" i="34"/>
  <c r="U21" i="34"/>
  <c r="T21" i="34" s="1"/>
  <c r="V68" i="34"/>
  <c r="U56" i="34"/>
  <c r="T56" i="34" s="1"/>
  <c r="W31" i="34"/>
  <c r="W78" i="34"/>
  <c r="I51" i="34"/>
  <c r="I75" i="34"/>
  <c r="V56" i="34"/>
  <c r="M68" i="34"/>
  <c r="U68" i="34" s="1"/>
  <c r="T68" i="34" s="1"/>
  <c r="U26" i="34"/>
  <c r="T26" i="34" s="1"/>
  <c r="L81" i="34"/>
  <c r="I23" i="34"/>
  <c r="V60" i="34"/>
  <c r="U53" i="34"/>
  <c r="T53" i="34" s="1"/>
  <c r="I46" i="34"/>
  <c r="I70" i="34"/>
  <c r="I33" i="34"/>
  <c r="I68" i="34"/>
  <c r="W68" i="34"/>
  <c r="W21" i="34"/>
  <c r="V21" i="34"/>
  <c r="U44" i="34"/>
  <c r="T44" i="34" s="1"/>
  <c r="U69" i="34"/>
  <c r="T69" i="34" s="1"/>
  <c r="I59" i="34"/>
  <c r="I39" i="34"/>
  <c r="I26" i="34"/>
  <c r="I60" i="34"/>
  <c r="U72" i="34"/>
  <c r="T72" i="34" s="1"/>
  <c r="U55" i="34"/>
  <c r="T55" i="34" s="1"/>
  <c r="W74" i="34"/>
  <c r="U80" i="34"/>
  <c r="T80" i="34" s="1"/>
  <c r="U62" i="34"/>
  <c r="T62" i="34" s="1"/>
  <c r="U66" i="34"/>
  <c r="T66" i="34" s="1"/>
  <c r="I30" i="34"/>
  <c r="W48" i="40"/>
  <c r="V48" i="40"/>
  <c r="W71" i="43"/>
  <c r="U71" i="43"/>
  <c r="T71" i="43" s="1"/>
  <c r="U77" i="43"/>
  <c r="T77" i="43" s="1"/>
  <c r="W77" i="43"/>
  <c r="V77" i="43"/>
  <c r="W26" i="43"/>
  <c r="V26" i="43"/>
  <c r="U26" i="43"/>
  <c r="T26" i="43" s="1"/>
  <c r="U37" i="43"/>
  <c r="T37" i="43" s="1"/>
  <c r="T9" i="102"/>
  <c r="T9" i="100"/>
  <c r="H82" i="99"/>
  <c r="M81" i="98"/>
  <c r="Q3" i="98" s="1"/>
  <c r="U18" i="98"/>
  <c r="W14" i="98"/>
  <c r="Q9" i="98" s="1"/>
  <c r="Q7" i="98"/>
  <c r="T9" i="98" s="1"/>
  <c r="Q5" i="98"/>
  <c r="Q4" i="98"/>
  <c r="H82" i="97"/>
  <c r="H82" i="96"/>
  <c r="M81" i="94"/>
  <c r="Q3" i="94" s="1"/>
  <c r="U18" i="94"/>
  <c r="Q5" i="94"/>
  <c r="Q4" i="94"/>
  <c r="W14" i="94"/>
  <c r="Q9" i="94" s="1"/>
  <c r="Q7" i="94"/>
  <c r="T9" i="94" s="1"/>
  <c r="H82" i="93"/>
  <c r="H82" i="92"/>
  <c r="H82" i="91"/>
  <c r="H82" i="88"/>
  <c r="M81" i="87"/>
  <c r="Q3" i="87" s="1"/>
  <c r="U18" i="87"/>
  <c r="Q5" i="87"/>
  <c r="Q4" i="87"/>
  <c r="W14" i="87"/>
  <c r="Q9" i="87" s="1"/>
  <c r="Q7" i="87"/>
  <c r="T9" i="87" s="1"/>
  <c r="M81" i="85"/>
  <c r="Q3" i="85" s="1"/>
  <c r="U18" i="85"/>
  <c r="Q5" i="85"/>
  <c r="Q4" i="85"/>
  <c r="W14" i="85"/>
  <c r="Q9" i="85" s="1"/>
  <c r="Q7" i="85"/>
  <c r="T9" i="85" s="1"/>
  <c r="T9" i="84"/>
  <c r="H82" i="83"/>
  <c r="H82" i="82"/>
  <c r="H82" i="81"/>
  <c r="M81" i="80"/>
  <c r="Q3" i="80" s="1"/>
  <c r="U18" i="80"/>
  <c r="Q5" i="80"/>
  <c r="Q4" i="80"/>
  <c r="W14" i="80"/>
  <c r="Q9" i="80" s="1"/>
  <c r="Q7" i="80"/>
  <c r="T9" i="80" s="1"/>
  <c r="T9" i="79"/>
  <c r="M81" i="78"/>
  <c r="Q3" i="78" s="1"/>
  <c r="U18" i="78"/>
  <c r="Q5" i="78"/>
  <c r="Q4" i="78"/>
  <c r="W14" i="78"/>
  <c r="Q9" i="78" s="1"/>
  <c r="Q7" i="78"/>
  <c r="T9" i="78" s="1"/>
  <c r="M81" i="76"/>
  <c r="Q3" i="76" s="1"/>
  <c r="U18" i="76"/>
  <c r="Q5" i="76"/>
  <c r="Q4" i="76"/>
  <c r="W14" i="76"/>
  <c r="Q9" i="76" s="1"/>
  <c r="Q7" i="76"/>
  <c r="T9" i="76" s="1"/>
  <c r="M81" i="75"/>
  <c r="Q3" i="75" s="1"/>
  <c r="U18" i="75"/>
  <c r="Q5" i="75"/>
  <c r="Q4" i="75"/>
  <c r="W14" i="75"/>
  <c r="Q9" i="75" s="1"/>
  <c r="Q7" i="75"/>
  <c r="T9" i="75" s="1"/>
  <c r="M81" i="74"/>
  <c r="Q3" i="74" s="1"/>
  <c r="U18" i="74"/>
  <c r="Q5" i="74"/>
  <c r="Q4" i="74"/>
  <c r="W14" i="74"/>
  <c r="Q9" i="74" s="1"/>
  <c r="Q7" i="74"/>
  <c r="T9" i="74" s="1"/>
  <c r="H82" i="70"/>
  <c r="M81" i="69"/>
  <c r="Q3" i="69" s="1"/>
  <c r="U18" i="69"/>
  <c r="Q5" i="69"/>
  <c r="Q4" i="69"/>
  <c r="W14" i="69"/>
  <c r="Q9" i="69" s="1"/>
  <c r="Q7" i="69"/>
  <c r="T9" i="69" s="1"/>
  <c r="U51" i="67"/>
  <c r="T51" i="67" s="1"/>
  <c r="V51" i="67"/>
  <c r="W50" i="67"/>
  <c r="V59" i="67"/>
  <c r="U71" i="67"/>
  <c r="T71" i="67" s="1"/>
  <c r="U42" i="67"/>
  <c r="T42" i="67" s="1"/>
  <c r="U79" i="67"/>
  <c r="T79" i="67" s="1"/>
  <c r="U25" i="67"/>
  <c r="T25" i="67" s="1"/>
  <c r="W74" i="67"/>
  <c r="V65" i="67"/>
  <c r="W41" i="67"/>
  <c r="U23" i="67"/>
  <c r="T23" i="67" s="1"/>
  <c r="U20" i="67"/>
  <c r="T20" i="67" s="1"/>
  <c r="V42" i="67"/>
  <c r="W73" i="67"/>
  <c r="V38" i="67"/>
  <c r="U54" i="67"/>
  <c r="T54" i="67" s="1"/>
  <c r="W79" i="67"/>
  <c r="U74" i="67"/>
  <c r="T74" i="67" s="1"/>
  <c r="V54" i="67"/>
  <c r="W35" i="67"/>
  <c r="U73" i="67"/>
  <c r="T73" i="67" s="1"/>
  <c r="U37" i="67"/>
  <c r="T37" i="67" s="1"/>
  <c r="U50" i="67"/>
  <c r="T50" i="67" s="1"/>
  <c r="W36" i="67"/>
  <c r="V30" i="67"/>
  <c r="V32" i="67"/>
  <c r="W34" i="67"/>
  <c r="V34" i="67"/>
  <c r="W44" i="67"/>
  <c r="V44" i="67"/>
  <c r="V21" i="67"/>
  <c r="W21" i="67"/>
  <c r="U21" i="67"/>
  <c r="T21" i="67" s="1"/>
  <c r="V78" i="67"/>
  <c r="U30" i="67"/>
  <c r="T30" i="67" s="1"/>
  <c r="W40" i="67"/>
  <c r="V40" i="67"/>
  <c r="U40" i="67"/>
  <c r="T40" i="67" s="1"/>
  <c r="U18" i="67"/>
  <c r="M81" i="67"/>
  <c r="Q3" i="67" s="1"/>
  <c r="W38" i="67"/>
  <c r="W78" i="67"/>
  <c r="S81" i="67"/>
  <c r="W46" i="67"/>
  <c r="V46" i="67"/>
  <c r="U46" i="67"/>
  <c r="T46" i="67" s="1"/>
  <c r="V68" i="67"/>
  <c r="V18" i="67"/>
  <c r="V23" i="67"/>
  <c r="U36" i="67"/>
  <c r="T36" i="67" s="1"/>
  <c r="W25" i="67"/>
  <c r="V27" i="67"/>
  <c r="W27" i="67"/>
  <c r="W52" i="67"/>
  <c r="V52" i="67"/>
  <c r="W62" i="67"/>
  <c r="V62" i="67"/>
  <c r="W68" i="67"/>
  <c r="W18" i="67"/>
  <c r="H82" i="67"/>
  <c r="W22" i="67"/>
  <c r="V22" i="67"/>
  <c r="U22" i="67"/>
  <c r="T22" i="67" s="1"/>
  <c r="U32" i="67"/>
  <c r="T32" i="67" s="1"/>
  <c r="W28" i="67"/>
  <c r="V28" i="67"/>
  <c r="V33" i="67"/>
  <c r="W33" i="67"/>
  <c r="V53" i="67"/>
  <c r="W53" i="67"/>
  <c r="U77" i="67"/>
  <c r="T77" i="67" s="1"/>
  <c r="W60" i="67"/>
  <c r="W56" i="67"/>
  <c r="W23" i="67"/>
  <c r="W70" i="67"/>
  <c r="V70" i="67"/>
  <c r="W80" i="67"/>
  <c r="V80" i="67"/>
  <c r="U70" i="67"/>
  <c r="T70" i="67" s="1"/>
  <c r="V75" i="67"/>
  <c r="W75" i="67"/>
  <c r="W59" i="67"/>
  <c r="V31" i="67"/>
  <c r="U31" i="67"/>
  <c r="T31" i="67" s="1"/>
  <c r="W26" i="67"/>
  <c r="V26" i="67"/>
  <c r="V49" i="67"/>
  <c r="U49" i="67"/>
  <c r="T49" i="67" s="1"/>
  <c r="W49" i="67"/>
  <c r="V67" i="67"/>
  <c r="U67" i="67"/>
  <c r="T67" i="67" s="1"/>
  <c r="W58" i="67"/>
  <c r="V58" i="67"/>
  <c r="U58" i="67"/>
  <c r="T58" i="67" s="1"/>
  <c r="U34" i="67"/>
  <c r="T34" i="67" s="1"/>
  <c r="I82" i="67"/>
  <c r="Q2" i="67" s="1"/>
  <c r="V45" i="67"/>
  <c r="W45" i="67"/>
  <c r="W64" i="67"/>
  <c r="V64" i="67"/>
  <c r="V56" i="67"/>
  <c r="U27" i="67"/>
  <c r="T27" i="67" s="1"/>
  <c r="U41" i="67"/>
  <c r="T41" i="67" s="1"/>
  <c r="W47" i="67"/>
  <c r="V63" i="67"/>
  <c r="W63" i="67"/>
  <c r="W76" i="67"/>
  <c r="V76" i="67"/>
  <c r="U76" i="67"/>
  <c r="T76" i="67" s="1"/>
  <c r="V77" i="67"/>
  <c r="U55" i="67"/>
  <c r="T55" i="67" s="1"/>
  <c r="U43" i="67"/>
  <c r="T43" i="67" s="1"/>
  <c r="V47" i="67"/>
  <c r="U52" i="67"/>
  <c r="T52" i="67" s="1"/>
  <c r="W71" i="67"/>
  <c r="V71" i="67"/>
  <c r="U53" i="67"/>
  <c r="T53" i="67" s="1"/>
  <c r="W43" i="67"/>
  <c r="U44" i="67"/>
  <c r="T44" i="67" s="1"/>
  <c r="L81" i="65"/>
  <c r="V37" i="65"/>
  <c r="M37" i="65"/>
  <c r="U37" i="65" s="1"/>
  <c r="T37" i="65" s="1"/>
  <c r="U25" i="65"/>
  <c r="T25" i="65" s="1"/>
  <c r="W55" i="65"/>
  <c r="U36" i="65"/>
  <c r="T36" i="65" s="1"/>
  <c r="U48" i="65"/>
  <c r="T48" i="65" s="1"/>
  <c r="W48" i="65"/>
  <c r="U26" i="65"/>
  <c r="T26" i="65" s="1"/>
  <c r="W25" i="65"/>
  <c r="V54" i="65"/>
  <c r="V26" i="65"/>
  <c r="W56" i="65"/>
  <c r="U50" i="65"/>
  <c r="T50" i="65" s="1"/>
  <c r="V36" i="65"/>
  <c r="W39" i="65"/>
  <c r="U39" i="65"/>
  <c r="T39" i="65" s="1"/>
  <c r="V42" i="65"/>
  <c r="U42" i="65"/>
  <c r="T42" i="65" s="1"/>
  <c r="U61" i="65"/>
  <c r="T61" i="65" s="1"/>
  <c r="U59" i="65"/>
  <c r="T59" i="65" s="1"/>
  <c r="T18" i="65"/>
  <c r="V78" i="65"/>
  <c r="U22" i="65"/>
  <c r="T22" i="65" s="1"/>
  <c r="V22" i="65"/>
  <c r="W22" i="65"/>
  <c r="M81" i="65"/>
  <c r="Q3" i="65" s="1"/>
  <c r="V30" i="65"/>
  <c r="U30" i="65"/>
  <c r="T30" i="65" s="1"/>
  <c r="U78" i="65"/>
  <c r="T78" i="65" s="1"/>
  <c r="V64" i="65"/>
  <c r="W64" i="65"/>
  <c r="U77" i="65"/>
  <c r="T77" i="65" s="1"/>
  <c r="V77" i="65"/>
  <c r="W77" i="65"/>
  <c r="U28" i="65"/>
  <c r="T28" i="65" s="1"/>
  <c r="V28" i="65"/>
  <c r="W28" i="65"/>
  <c r="V76" i="65"/>
  <c r="W76" i="65"/>
  <c r="U76" i="65"/>
  <c r="T76" i="65" s="1"/>
  <c r="V71" i="65"/>
  <c r="W71" i="65"/>
  <c r="U67" i="65"/>
  <c r="T67" i="65" s="1"/>
  <c r="U80" i="65"/>
  <c r="T80" i="65" s="1"/>
  <c r="V80" i="65"/>
  <c r="W67" i="65"/>
  <c r="U52" i="65"/>
  <c r="T52" i="65" s="1"/>
  <c r="V52" i="65"/>
  <c r="W52" i="65"/>
  <c r="U53" i="65"/>
  <c r="T53" i="65" s="1"/>
  <c r="W53" i="65"/>
  <c r="V53" i="65"/>
  <c r="U54" i="65"/>
  <c r="T54" i="65" s="1"/>
  <c r="U69" i="65"/>
  <c r="T69" i="65" s="1"/>
  <c r="V69" i="65"/>
  <c r="W69" i="65"/>
  <c r="U41" i="65"/>
  <c r="T41" i="65" s="1"/>
  <c r="V41" i="65"/>
  <c r="W41" i="65"/>
  <c r="U58" i="65"/>
  <c r="T58" i="65" s="1"/>
  <c r="V58" i="65"/>
  <c r="W58" i="65"/>
  <c r="W35" i="65"/>
  <c r="U35" i="65"/>
  <c r="T35" i="65" s="1"/>
  <c r="V35" i="65"/>
  <c r="U44" i="65"/>
  <c r="T44" i="65" s="1"/>
  <c r="V44" i="65"/>
  <c r="W29" i="65"/>
  <c r="V29" i="65"/>
  <c r="U29" i="65"/>
  <c r="T29" i="65" s="1"/>
  <c r="S81" i="65"/>
  <c r="W46" i="65"/>
  <c r="U46" i="65"/>
  <c r="T46" i="65" s="1"/>
  <c r="V46" i="65"/>
  <c r="I81" i="65"/>
  <c r="Q2" i="65" s="1"/>
  <c r="W31" i="65"/>
  <c r="U33" i="65"/>
  <c r="T33" i="65" s="1"/>
  <c r="W33" i="65"/>
  <c r="V33" i="65"/>
  <c r="V21" i="65"/>
  <c r="W21" i="65"/>
  <c r="V23" i="65"/>
  <c r="W23" i="65"/>
  <c r="U31" i="65"/>
  <c r="T31" i="65" s="1"/>
  <c r="U23" i="65"/>
  <c r="T23" i="65" s="1"/>
  <c r="W24" i="65"/>
  <c r="V74" i="65"/>
  <c r="U74" i="65"/>
  <c r="T74" i="65" s="1"/>
  <c r="W65" i="65"/>
  <c r="U65" i="65"/>
  <c r="T65" i="65" s="1"/>
  <c r="V65" i="65"/>
  <c r="V63" i="65"/>
  <c r="W63" i="65"/>
  <c r="U63" i="65"/>
  <c r="T63" i="65" s="1"/>
  <c r="W59" i="65"/>
  <c r="V59" i="65"/>
  <c r="U56" i="65"/>
  <c r="T56" i="65" s="1"/>
  <c r="W80" i="65"/>
  <c r="V38" i="65"/>
  <c r="U38" i="65"/>
  <c r="T38" i="65" s="1"/>
  <c r="U20" i="65"/>
  <c r="T20" i="65" s="1"/>
  <c r="V20" i="65"/>
  <c r="U47" i="65"/>
  <c r="T47" i="65" s="1"/>
  <c r="V47" i="65"/>
  <c r="W47" i="65"/>
  <c r="U75" i="65"/>
  <c r="T75" i="65" s="1"/>
  <c r="U71" i="65"/>
  <c r="T71" i="65" s="1"/>
  <c r="U24" i="51"/>
  <c r="T24" i="51" s="1"/>
  <c r="W24" i="51"/>
  <c r="M81" i="51"/>
  <c r="Q3" i="51" s="1"/>
  <c r="I81" i="51"/>
  <c r="Q2" i="51" s="1"/>
  <c r="W46" i="51"/>
  <c r="V46" i="51"/>
  <c r="V52" i="51"/>
  <c r="W52" i="51"/>
  <c r="V23" i="51"/>
  <c r="W23" i="51"/>
  <c r="V47" i="51"/>
  <c r="W47" i="51"/>
  <c r="V71" i="51"/>
  <c r="W71" i="51"/>
  <c r="W54" i="51"/>
  <c r="W78" i="51"/>
  <c r="U48" i="51"/>
  <c r="T48" i="51" s="1"/>
  <c r="U23" i="51"/>
  <c r="T23" i="51" s="1"/>
  <c r="U28" i="51"/>
  <c r="T28" i="51" s="1"/>
  <c r="V28" i="51"/>
  <c r="W28" i="51"/>
  <c r="U34" i="51"/>
  <c r="T34" i="51" s="1"/>
  <c r="V34" i="51"/>
  <c r="W34" i="51"/>
  <c r="V58" i="51"/>
  <c r="W58" i="51"/>
  <c r="U52" i="51"/>
  <c r="T52" i="51" s="1"/>
  <c r="V29" i="51"/>
  <c r="W29" i="51"/>
  <c r="V53" i="51"/>
  <c r="W53" i="51"/>
  <c r="V77" i="51"/>
  <c r="W77" i="51"/>
  <c r="W60" i="51"/>
  <c r="U29" i="51"/>
  <c r="T29" i="51" s="1"/>
  <c r="U58" i="51"/>
  <c r="T58" i="51" s="1"/>
  <c r="W70" i="51"/>
  <c r="V70" i="51"/>
  <c r="V42" i="51"/>
  <c r="V78" i="51"/>
  <c r="W22" i="51"/>
  <c r="V22" i="51"/>
  <c r="U22" i="51"/>
  <c r="V41" i="51"/>
  <c r="W41" i="51"/>
  <c r="U41" i="51"/>
  <c r="T41" i="51" s="1"/>
  <c r="W40" i="51"/>
  <c r="V40" i="51"/>
  <c r="W64" i="51"/>
  <c r="V64" i="51"/>
  <c r="V65" i="51"/>
  <c r="W65" i="51"/>
  <c r="S81" i="51"/>
  <c r="V35" i="51"/>
  <c r="W35" i="51"/>
  <c r="V59" i="51"/>
  <c r="W59" i="51"/>
  <c r="W42" i="51"/>
  <c r="U70" i="51"/>
  <c r="T70" i="51" s="1"/>
  <c r="U65" i="51"/>
  <c r="T65" i="51" s="1"/>
  <c r="V76" i="51"/>
  <c r="W76" i="51"/>
  <c r="U47" i="51"/>
  <c r="T47" i="51" s="1"/>
  <c r="U35" i="51"/>
  <c r="T35" i="51" s="1"/>
  <c r="U33" i="46"/>
  <c r="T33" i="46" s="1"/>
  <c r="U57" i="46"/>
  <c r="T57" i="46" s="1"/>
  <c r="U63" i="46"/>
  <c r="T63" i="46" s="1"/>
  <c r="V51" i="46"/>
  <c r="V45" i="46"/>
  <c r="V39" i="46"/>
  <c r="U62" i="46"/>
  <c r="T62" i="46" s="1"/>
  <c r="U39" i="46"/>
  <c r="T39" i="46" s="1"/>
  <c r="V33" i="46"/>
  <c r="U56" i="46"/>
  <c r="T56" i="46" s="1"/>
  <c r="U44" i="46"/>
  <c r="T44" i="46" s="1"/>
  <c r="V44" i="46"/>
  <c r="U46" i="46"/>
  <c r="T46" i="46" s="1"/>
  <c r="U40" i="46"/>
  <c r="T40" i="46" s="1"/>
  <c r="V40" i="46"/>
  <c r="I82" i="46"/>
  <c r="Q2" i="46" s="1"/>
  <c r="V21" i="46"/>
  <c r="S81" i="46"/>
  <c r="W14" i="46" s="1"/>
  <c r="Q9" i="46" s="1"/>
  <c r="U50" i="46"/>
  <c r="T50" i="46" s="1"/>
  <c r="V50" i="46"/>
  <c r="V56" i="46"/>
  <c r="W37" i="46"/>
  <c r="V37" i="46"/>
  <c r="U32" i="46"/>
  <c r="T32" i="46" s="1"/>
  <c r="U52" i="46"/>
  <c r="T52" i="46" s="1"/>
  <c r="V38" i="46"/>
  <c r="V58" i="46"/>
  <c r="V62" i="46"/>
  <c r="W80" i="46"/>
  <c r="V80" i="46"/>
  <c r="U80" i="46"/>
  <c r="T80" i="46" s="1"/>
  <c r="M81" i="46"/>
  <c r="Q3" i="46" s="1"/>
  <c r="W73" i="46"/>
  <c r="V73" i="46"/>
  <c r="U73" i="46"/>
  <c r="T73" i="46" s="1"/>
  <c r="W67" i="46"/>
  <c r="V67" i="46"/>
  <c r="V52" i="46"/>
  <c r="W61" i="46"/>
  <c r="V61" i="46"/>
  <c r="V74" i="46"/>
  <c r="W55" i="46"/>
  <c r="V55" i="46"/>
  <c r="U61" i="46"/>
  <c r="T61" i="46" s="1"/>
  <c r="W49" i="46"/>
  <c r="V49" i="46"/>
  <c r="V46" i="46"/>
  <c r="U58" i="46"/>
  <c r="T58" i="46" s="1"/>
  <c r="U43" i="46"/>
  <c r="T43" i="46" s="1"/>
  <c r="W43" i="46"/>
  <c r="V43" i="46"/>
  <c r="U38" i="46"/>
  <c r="T38" i="46" s="1"/>
  <c r="U64" i="46"/>
  <c r="T64" i="46" s="1"/>
  <c r="W31" i="46"/>
  <c r="V31" i="46"/>
  <c r="U26" i="46"/>
  <c r="T26" i="46" s="1"/>
  <c r="V64" i="46"/>
  <c r="W25" i="46"/>
  <c r="V25" i="46"/>
  <c r="U20" i="46"/>
  <c r="T20" i="46" s="1"/>
  <c r="H82" i="46"/>
  <c r="U51" i="46"/>
  <c r="T51" i="46" s="1"/>
  <c r="W19" i="46"/>
  <c r="V19" i="46"/>
  <c r="U19" i="46"/>
  <c r="U55" i="46"/>
  <c r="T55" i="46" s="1"/>
  <c r="V68" i="46"/>
  <c r="V26" i="46"/>
  <c r="V32" i="46"/>
  <c r="V20" i="46"/>
  <c r="U49" i="46"/>
  <c r="T49" i="46" s="1"/>
  <c r="W41" i="43"/>
  <c r="U41" i="43"/>
  <c r="T41" i="43" s="1"/>
  <c r="H82" i="43"/>
  <c r="U50" i="43"/>
  <c r="T50" i="43" s="1"/>
  <c r="V44" i="43"/>
  <c r="U29" i="43"/>
  <c r="T29" i="43" s="1"/>
  <c r="U23" i="43"/>
  <c r="T23" i="43" s="1"/>
  <c r="V23" i="43"/>
  <c r="U35" i="43"/>
  <c r="T35" i="43" s="1"/>
  <c r="U32" i="43"/>
  <c r="T32" i="43" s="1"/>
  <c r="V32" i="43"/>
  <c r="W50" i="43"/>
  <c r="W23" i="43"/>
  <c r="I82" i="43"/>
  <c r="Q2" i="43" s="1"/>
  <c r="W30" i="40"/>
  <c r="U29" i="40"/>
  <c r="T29" i="40" s="1"/>
  <c r="W47" i="43"/>
  <c r="V47" i="43"/>
  <c r="W67" i="43"/>
  <c r="V67" i="43"/>
  <c r="U67" i="43"/>
  <c r="T67" i="43" s="1"/>
  <c r="U47" i="43"/>
  <c r="T47" i="43" s="1"/>
  <c r="W79" i="43"/>
  <c r="V79" i="43"/>
  <c r="W68" i="43"/>
  <c r="W80" i="43"/>
  <c r="V80" i="43"/>
  <c r="V19" i="43"/>
  <c r="W19" i="43"/>
  <c r="U79" i="43"/>
  <c r="T79" i="43" s="1"/>
  <c r="U68" i="43"/>
  <c r="T68" i="43" s="1"/>
  <c r="W20" i="43"/>
  <c r="V20" i="43"/>
  <c r="V25" i="43"/>
  <c r="W25" i="43"/>
  <c r="U62" i="43"/>
  <c r="T62" i="43" s="1"/>
  <c r="W31" i="43"/>
  <c r="V31" i="43"/>
  <c r="U31" i="43"/>
  <c r="T31" i="43" s="1"/>
  <c r="U19" i="43"/>
  <c r="T19" i="43" s="1"/>
  <c r="V59" i="43"/>
  <c r="W37" i="43"/>
  <c r="V37" i="43"/>
  <c r="U80" i="43"/>
  <c r="T80" i="43" s="1"/>
  <c r="W59" i="43"/>
  <c r="W29" i="43"/>
  <c r="V29" i="43"/>
  <c r="W38" i="43"/>
  <c r="V38" i="43"/>
  <c r="V43" i="43"/>
  <c r="W43" i="43"/>
  <c r="U44" i="43"/>
  <c r="T44" i="43" s="1"/>
  <c r="V53" i="43"/>
  <c r="W56" i="43"/>
  <c r="V56" i="43"/>
  <c r="W61" i="43"/>
  <c r="V61" i="43"/>
  <c r="S81" i="43"/>
  <c r="V78" i="43"/>
  <c r="W78" i="43"/>
  <c r="V62" i="43"/>
  <c r="W73" i="43"/>
  <c r="V73" i="43"/>
  <c r="W65" i="43"/>
  <c r="V65" i="43"/>
  <c r="W74" i="43"/>
  <c r="V74" i="43"/>
  <c r="T18" i="43"/>
  <c r="M81" i="43"/>
  <c r="Q3" i="43" s="1"/>
  <c r="U74" i="43"/>
  <c r="T74" i="43" s="1"/>
  <c r="W49" i="43"/>
  <c r="V49" i="43"/>
  <c r="U49" i="43"/>
  <c r="T49" i="43" s="1"/>
  <c r="U56" i="43"/>
  <c r="T56" i="43" s="1"/>
  <c r="W55" i="43"/>
  <c r="V55" i="43"/>
  <c r="V35" i="43"/>
  <c r="U53" i="43"/>
  <c r="T53" i="43" s="1"/>
  <c r="U27" i="42"/>
  <c r="T27" i="42" s="1"/>
  <c r="U43" i="42"/>
  <c r="T43" i="42" s="1"/>
  <c r="V33" i="42"/>
  <c r="W51" i="42"/>
  <c r="V27" i="42"/>
  <c r="W27" i="42"/>
  <c r="U21" i="42"/>
  <c r="T21" i="42" s="1"/>
  <c r="U47" i="40"/>
  <c r="T47" i="40" s="1"/>
  <c r="U42" i="40"/>
  <c r="T42" i="40" s="1"/>
  <c r="U34" i="41"/>
  <c r="T34" i="41" s="1"/>
  <c r="V35" i="41"/>
  <c r="U35" i="41"/>
  <c r="T35" i="41" s="1"/>
  <c r="V65" i="41"/>
  <c r="U44" i="41"/>
  <c r="T44" i="41" s="1"/>
  <c r="V40" i="41"/>
  <c r="U40" i="41"/>
  <c r="T40" i="41" s="1"/>
  <c r="W42" i="40"/>
  <c r="U39" i="40"/>
  <c r="T39" i="40" s="1"/>
  <c r="U29" i="41"/>
  <c r="T29" i="41" s="1"/>
  <c r="V29" i="41"/>
  <c r="W23" i="41"/>
  <c r="U23" i="41"/>
  <c r="T23" i="41" s="1"/>
  <c r="W20" i="41"/>
  <c r="S81" i="41"/>
  <c r="W14" i="41" s="1"/>
  <c r="Q9" i="41" s="1"/>
  <c r="W24" i="40"/>
  <c r="U24" i="40"/>
  <c r="T24" i="40" s="1"/>
  <c r="M81" i="40"/>
  <c r="Q3" i="40" s="1"/>
  <c r="V50" i="42"/>
  <c r="W50" i="42"/>
  <c r="U31" i="42"/>
  <c r="T31" i="42" s="1"/>
  <c r="V31" i="42"/>
  <c r="W31" i="42"/>
  <c r="V80" i="42"/>
  <c r="W80" i="42"/>
  <c r="V44" i="42"/>
  <c r="W44" i="42"/>
  <c r="U61" i="42"/>
  <c r="T61" i="42" s="1"/>
  <c r="W61" i="42"/>
  <c r="V61" i="42"/>
  <c r="V75" i="42"/>
  <c r="V74" i="42"/>
  <c r="W74" i="42"/>
  <c r="V38" i="42"/>
  <c r="W38" i="42"/>
  <c r="U74" i="42"/>
  <c r="T74" i="42" s="1"/>
  <c r="W55" i="42"/>
  <c r="V55" i="42"/>
  <c r="V69" i="42"/>
  <c r="T18" i="42"/>
  <c r="W21" i="42"/>
  <c r="V68" i="42"/>
  <c r="W68" i="42"/>
  <c r="V32" i="42"/>
  <c r="W32" i="42"/>
  <c r="W45" i="42"/>
  <c r="U39" i="42"/>
  <c r="T39" i="42" s="1"/>
  <c r="M81" i="42"/>
  <c r="Q3" i="42" s="1"/>
  <c r="U49" i="42"/>
  <c r="T49" i="42" s="1"/>
  <c r="W49" i="42"/>
  <c r="V49" i="42"/>
  <c r="V26" i="42"/>
  <c r="W26" i="42"/>
  <c r="S81" i="42"/>
  <c r="W43" i="42"/>
  <c r="V43" i="42"/>
  <c r="V45" i="42"/>
  <c r="V62" i="42"/>
  <c r="W62" i="42"/>
  <c r="V39" i="42"/>
  <c r="V56" i="42"/>
  <c r="W56" i="42"/>
  <c r="V20" i="42"/>
  <c r="W20" i="42"/>
  <c r="U44" i="42"/>
  <c r="T44" i="42" s="1"/>
  <c r="U50" i="42"/>
  <c r="T50" i="42" s="1"/>
  <c r="U55" i="42"/>
  <c r="T55" i="42" s="1"/>
  <c r="W67" i="42"/>
  <c r="V67" i="42"/>
  <c r="W73" i="42"/>
  <c r="V73" i="42"/>
  <c r="W37" i="42"/>
  <c r="V37" i="42"/>
  <c r="I81" i="42"/>
  <c r="Q2" i="42" s="1"/>
  <c r="U73" i="42"/>
  <c r="T73" i="42" s="1"/>
  <c r="W51" i="41"/>
  <c r="V51" i="41"/>
  <c r="V72" i="41"/>
  <c r="U72" i="41"/>
  <c r="T72" i="41" s="1"/>
  <c r="W37" i="41"/>
  <c r="V37" i="41"/>
  <c r="U37" i="41"/>
  <c r="T37" i="41" s="1"/>
  <c r="W44" i="41"/>
  <c r="W60" i="41"/>
  <c r="W47" i="41"/>
  <c r="U32" i="41"/>
  <c r="T32" i="41" s="1"/>
  <c r="V34" i="41"/>
  <c r="W41" i="41"/>
  <c r="V74" i="41"/>
  <c r="W43" i="41"/>
  <c r="V43" i="41"/>
  <c r="U43" i="41"/>
  <c r="T43" i="41" s="1"/>
  <c r="U68" i="41"/>
  <c r="T68" i="41" s="1"/>
  <c r="U26" i="41"/>
  <c r="T26" i="41" s="1"/>
  <c r="T18" i="41"/>
  <c r="V52" i="41"/>
  <c r="U74" i="41"/>
  <c r="T74" i="41" s="1"/>
  <c r="W55" i="41"/>
  <c r="V55" i="41"/>
  <c r="U47" i="41"/>
  <c r="T47" i="41" s="1"/>
  <c r="W32" i="41"/>
  <c r="U20" i="41"/>
  <c r="T20" i="41" s="1"/>
  <c r="W28" i="41"/>
  <c r="W57" i="41"/>
  <c r="V57" i="41"/>
  <c r="W73" i="41"/>
  <c r="V73" i="41"/>
  <c r="I81" i="41"/>
  <c r="Q2" i="41" s="1"/>
  <c r="W63" i="41"/>
  <c r="V63" i="41"/>
  <c r="W79" i="41"/>
  <c r="V79" i="41"/>
  <c r="U79" i="41"/>
  <c r="T79" i="41" s="1"/>
  <c r="U57" i="41"/>
  <c r="T57" i="41" s="1"/>
  <c r="W69" i="41"/>
  <c r="V69" i="41"/>
  <c r="U51" i="41"/>
  <c r="T51" i="41" s="1"/>
  <c r="V80" i="41"/>
  <c r="U80" i="41"/>
  <c r="T80" i="41" s="1"/>
  <c r="U22" i="41"/>
  <c r="T22" i="41" s="1"/>
  <c r="W75" i="41"/>
  <c r="V75" i="41"/>
  <c r="W19" i="41"/>
  <c r="V19" i="41"/>
  <c r="U19" i="41"/>
  <c r="T19" i="41" s="1"/>
  <c r="U69" i="41"/>
  <c r="T69" i="41" s="1"/>
  <c r="M81" i="41"/>
  <c r="Q3" i="41" s="1"/>
  <c r="W25" i="41"/>
  <c r="V25" i="41"/>
  <c r="U25" i="41"/>
  <c r="T25" i="41" s="1"/>
  <c r="V68" i="41"/>
  <c r="W31" i="41"/>
  <c r="V31" i="41"/>
  <c r="U31" i="41"/>
  <c r="T31" i="41" s="1"/>
  <c r="V54" i="41"/>
  <c r="U54" i="41"/>
  <c r="T54" i="41" s="1"/>
  <c r="W72" i="41"/>
  <c r="W71" i="41"/>
  <c r="W49" i="41"/>
  <c r="V49" i="41"/>
  <c r="U49" i="41"/>
  <c r="T49" i="41" s="1"/>
  <c r="U65" i="41"/>
  <c r="T65" i="41" s="1"/>
  <c r="W61" i="41"/>
  <c r="V61" i="41"/>
  <c r="U61" i="41"/>
  <c r="T61" i="41" s="1"/>
  <c r="U76" i="41"/>
  <c r="T76" i="41" s="1"/>
  <c r="U41" i="41"/>
  <c r="T41" i="41" s="1"/>
  <c r="U55" i="41"/>
  <c r="T55" i="41" s="1"/>
  <c r="V22" i="41"/>
  <c r="W67" i="41"/>
  <c r="V67" i="41"/>
  <c r="U67" i="41"/>
  <c r="T67" i="41" s="1"/>
  <c r="V42" i="40"/>
  <c r="U48" i="40"/>
  <c r="T48" i="40" s="1"/>
  <c r="U53" i="37"/>
  <c r="T53" i="37" s="1"/>
  <c r="V65" i="40"/>
  <c r="W65" i="40"/>
  <c r="V77" i="40"/>
  <c r="W77" i="40"/>
  <c r="V59" i="40"/>
  <c r="W59" i="40"/>
  <c r="U59" i="40"/>
  <c r="T59" i="40" s="1"/>
  <c r="U32" i="40"/>
  <c r="T32" i="40" s="1"/>
  <c r="W53" i="40"/>
  <c r="V53" i="40"/>
  <c r="U53" i="40"/>
  <c r="T53" i="40" s="1"/>
  <c r="I81" i="40"/>
  <c r="Q2" i="40" s="1"/>
  <c r="U72" i="40"/>
  <c r="T72" i="40" s="1"/>
  <c r="W66" i="40"/>
  <c r="U65" i="40"/>
  <c r="T65" i="40" s="1"/>
  <c r="W47" i="40"/>
  <c r="V47" i="40"/>
  <c r="V36" i="40"/>
  <c r="W36" i="40"/>
  <c r="W32" i="40"/>
  <c r="U30" i="40"/>
  <c r="T30" i="40" s="1"/>
  <c r="W39" i="40"/>
  <c r="V39" i="40"/>
  <c r="V66" i="40"/>
  <c r="V71" i="40"/>
  <c r="W71" i="40"/>
  <c r="V60" i="40"/>
  <c r="W60" i="40"/>
  <c r="W55" i="40"/>
  <c r="V54" i="40"/>
  <c r="W54" i="40"/>
  <c r="V55" i="40"/>
  <c r="U41" i="40"/>
  <c r="T41" i="40" s="1"/>
  <c r="V41" i="40"/>
  <c r="W41" i="40"/>
  <c r="U35" i="40"/>
  <c r="T35" i="40" s="1"/>
  <c r="V35" i="40"/>
  <c r="W35" i="40"/>
  <c r="U71" i="40"/>
  <c r="T71" i="40" s="1"/>
  <c r="V29" i="40"/>
  <c r="W29" i="40"/>
  <c r="S81" i="40"/>
  <c r="W18" i="40"/>
  <c r="U60" i="40"/>
  <c r="T60" i="40" s="1"/>
  <c r="W78" i="40"/>
  <c r="V78" i="40"/>
  <c r="U58" i="40"/>
  <c r="T58" i="40" s="1"/>
  <c r="V58" i="40"/>
  <c r="W58" i="40"/>
  <c r="V23" i="40"/>
  <c r="W23" i="40"/>
  <c r="U77" i="40"/>
  <c r="T77" i="40" s="1"/>
  <c r="U18" i="40"/>
  <c r="V72" i="40"/>
  <c r="V43" i="37"/>
  <c r="U25" i="37"/>
  <c r="T25" i="37" s="1"/>
  <c r="V29" i="37"/>
  <c r="W33" i="37"/>
  <c r="U47" i="37"/>
  <c r="T47" i="37" s="1"/>
  <c r="W48" i="37"/>
  <c r="U43" i="37"/>
  <c r="T43" i="37" s="1"/>
  <c r="U48" i="37"/>
  <c r="T48" i="37" s="1"/>
  <c r="V35" i="37"/>
  <c r="U75" i="37"/>
  <c r="T75" i="37" s="1"/>
  <c r="U68" i="37"/>
  <c r="T68" i="37" s="1"/>
  <c r="U65" i="37"/>
  <c r="T65" i="37" s="1"/>
  <c r="U33" i="37"/>
  <c r="T33" i="37" s="1"/>
  <c r="V25" i="37"/>
  <c r="U29" i="37"/>
  <c r="T29" i="37" s="1"/>
  <c r="U24" i="37"/>
  <c r="T24" i="37" s="1"/>
  <c r="V28" i="37"/>
  <c r="U58" i="37"/>
  <c r="T58" i="37" s="1"/>
  <c r="U64" i="37"/>
  <c r="T64" i="37" s="1"/>
  <c r="U80" i="37"/>
  <c r="T80" i="37" s="1"/>
  <c r="V62" i="37"/>
  <c r="U23" i="37"/>
  <c r="T23" i="37" s="1"/>
  <c r="U30" i="37"/>
  <c r="T30" i="37" s="1"/>
  <c r="U26" i="37"/>
  <c r="T26" i="37" s="1"/>
  <c r="W63" i="37"/>
  <c r="U63" i="37"/>
  <c r="T63" i="37" s="1"/>
  <c r="W64" i="37"/>
  <c r="U62" i="37"/>
  <c r="T62" i="37" s="1"/>
  <c r="W76" i="37"/>
  <c r="V21" i="37"/>
  <c r="U21" i="37"/>
  <c r="T21" i="37" s="1"/>
  <c r="V23" i="37"/>
  <c r="U40" i="37"/>
  <c r="T40" i="37" s="1"/>
  <c r="U27" i="37"/>
  <c r="T27" i="37" s="1"/>
  <c r="U38" i="37"/>
  <c r="T38" i="37" s="1"/>
  <c r="U45" i="37"/>
  <c r="T45" i="37" s="1"/>
  <c r="W46" i="37"/>
  <c r="W40" i="37"/>
  <c r="U35" i="37"/>
  <c r="T35" i="37" s="1"/>
  <c r="V69" i="37"/>
  <c r="V45" i="37"/>
  <c r="W68" i="37"/>
  <c r="U32" i="37"/>
  <c r="T32" i="37" s="1"/>
  <c r="U50" i="37"/>
  <c r="T50" i="37" s="1"/>
  <c r="U46" i="37"/>
  <c r="T46" i="37" s="1"/>
  <c r="V27" i="37"/>
  <c r="W69" i="37"/>
  <c r="U55" i="37"/>
  <c r="T55" i="37" s="1"/>
  <c r="U76" i="37"/>
  <c r="T76" i="37" s="1"/>
  <c r="U60" i="37"/>
  <c r="T60" i="37" s="1"/>
  <c r="W38" i="37"/>
  <c r="W50" i="37"/>
  <c r="V50" i="37"/>
  <c r="W60" i="37"/>
  <c r="W34" i="37"/>
  <c r="U44" i="37"/>
  <c r="T44" i="37" s="1"/>
  <c r="V32" i="37"/>
  <c r="V44" i="37"/>
  <c r="V42" i="37"/>
  <c r="U38" i="35"/>
  <c r="T38" i="35" s="1"/>
  <c r="U35" i="35"/>
  <c r="T35" i="35" s="1"/>
  <c r="U52" i="37"/>
  <c r="T52" i="37" s="1"/>
  <c r="V52" i="37"/>
  <c r="V26" i="37"/>
  <c r="W26" i="37"/>
  <c r="V67" i="37"/>
  <c r="W67" i="37"/>
  <c r="V80" i="37"/>
  <c r="W20" i="37"/>
  <c r="V20" i="37"/>
  <c r="U20" i="37"/>
  <c r="T20" i="37" s="1"/>
  <c r="V79" i="37"/>
  <c r="W79" i="37"/>
  <c r="W47" i="37"/>
  <c r="W66" i="37"/>
  <c r="V66" i="37"/>
  <c r="U79" i="37"/>
  <c r="T79" i="37" s="1"/>
  <c r="U42" i="37"/>
  <c r="T42" i="37" s="1"/>
  <c r="V72" i="37"/>
  <c r="W72" i="37"/>
  <c r="V74" i="37"/>
  <c r="W78" i="37"/>
  <c r="V78" i="37"/>
  <c r="W74" i="37"/>
  <c r="H82" i="37"/>
  <c r="V37" i="37"/>
  <c r="W37" i="37"/>
  <c r="U28" i="37"/>
  <c r="T28" i="37" s="1"/>
  <c r="U39" i="37"/>
  <c r="T39" i="37" s="1"/>
  <c r="W77" i="37"/>
  <c r="V77" i="37"/>
  <c r="V49" i="37"/>
  <c r="W49" i="37"/>
  <c r="U49" i="37"/>
  <c r="T49" i="37" s="1"/>
  <c r="W80" i="37"/>
  <c r="W71" i="37"/>
  <c r="V71" i="37"/>
  <c r="W24" i="37"/>
  <c r="V24" i="37"/>
  <c r="W65" i="37"/>
  <c r="V65" i="37"/>
  <c r="V39" i="37"/>
  <c r="U34" i="37"/>
  <c r="T34" i="37" s="1"/>
  <c r="W41" i="37"/>
  <c r="V41" i="37"/>
  <c r="U41" i="37"/>
  <c r="T41" i="37" s="1"/>
  <c r="V47" i="37"/>
  <c r="V56" i="37"/>
  <c r="U71" i="37"/>
  <c r="T71" i="37" s="1"/>
  <c r="U56" i="37"/>
  <c r="T56" i="37" s="1"/>
  <c r="U54" i="37"/>
  <c r="T54" i="37" s="1"/>
  <c r="W54" i="37"/>
  <c r="V54" i="37"/>
  <c r="I82" i="37"/>
  <c r="Q2" i="37" s="1"/>
  <c r="U67" i="37"/>
  <c r="T67" i="37" s="1"/>
  <c r="V36" i="37"/>
  <c r="U36" i="37"/>
  <c r="T36" i="37" s="1"/>
  <c r="W36" i="37"/>
  <c r="U18" i="37"/>
  <c r="M81" i="37"/>
  <c r="Q3" i="37" s="1"/>
  <c r="U59" i="37"/>
  <c r="T59" i="37" s="1"/>
  <c r="W59" i="37"/>
  <c r="V59" i="37"/>
  <c r="V55" i="37"/>
  <c r="W55" i="37"/>
  <c r="S81" i="37"/>
  <c r="V73" i="37"/>
  <c r="W73" i="37"/>
  <c r="W31" i="37"/>
  <c r="V31" i="37"/>
  <c r="U77" i="37"/>
  <c r="T77" i="37" s="1"/>
  <c r="U66" i="37"/>
  <c r="T66" i="37" s="1"/>
  <c r="M81" i="35"/>
  <c r="Q3" i="35" s="1"/>
  <c r="W30" i="35"/>
  <c r="V30" i="35"/>
  <c r="V37" i="35"/>
  <c r="V18" i="35"/>
  <c r="W25" i="35"/>
  <c r="V25" i="35"/>
  <c r="W32" i="35"/>
  <c r="V38" i="35"/>
  <c r="V41" i="35"/>
  <c r="W41" i="35"/>
  <c r="V23" i="35"/>
  <c r="W23" i="35"/>
  <c r="W72" i="35"/>
  <c r="U22" i="35"/>
  <c r="T22" i="35" s="1"/>
  <c r="V22" i="35"/>
  <c r="W22" i="35"/>
  <c r="U40" i="35"/>
  <c r="T40" i="35" s="1"/>
  <c r="V40" i="35"/>
  <c r="W40" i="35"/>
  <c r="U37" i="35"/>
  <c r="T37" i="35" s="1"/>
  <c r="W60" i="35"/>
  <c r="U23" i="35"/>
  <c r="T23" i="35" s="1"/>
  <c r="V72" i="35"/>
  <c r="W73" i="35"/>
  <c r="V77" i="35"/>
  <c r="W77" i="35"/>
  <c r="U28" i="35"/>
  <c r="T28" i="35" s="1"/>
  <c r="V28" i="35"/>
  <c r="W28" i="35"/>
  <c r="U67" i="35"/>
  <c r="T67" i="35" s="1"/>
  <c r="U44" i="35"/>
  <c r="T44" i="35" s="1"/>
  <c r="V44" i="35"/>
  <c r="U20" i="35"/>
  <c r="T20" i="35" s="1"/>
  <c r="V20" i="35"/>
  <c r="U51" i="35"/>
  <c r="T51" i="35" s="1"/>
  <c r="V51" i="35"/>
  <c r="W51" i="35"/>
  <c r="U76" i="35"/>
  <c r="T76" i="35" s="1"/>
  <c r="V76" i="35"/>
  <c r="W76" i="35"/>
  <c r="U57" i="35"/>
  <c r="T57" i="35" s="1"/>
  <c r="V57" i="35"/>
  <c r="W57" i="35"/>
  <c r="U41" i="35"/>
  <c r="T41" i="35" s="1"/>
  <c r="U69" i="35"/>
  <c r="T69" i="35" s="1"/>
  <c r="V69" i="35"/>
  <c r="W69" i="35"/>
  <c r="U58" i="35"/>
  <c r="T58" i="35" s="1"/>
  <c r="V58" i="35"/>
  <c r="W58" i="35"/>
  <c r="U64" i="35"/>
  <c r="T64" i="35" s="1"/>
  <c r="V64" i="35"/>
  <c r="W64" i="35"/>
  <c r="V48" i="35"/>
  <c r="I81" i="35"/>
  <c r="Q2" i="35" s="1"/>
  <c r="W67" i="35"/>
  <c r="V79" i="35"/>
  <c r="U27" i="35"/>
  <c r="T27" i="35" s="1"/>
  <c r="V27" i="35"/>
  <c r="W27" i="35"/>
  <c r="V31" i="35"/>
  <c r="V24" i="35"/>
  <c r="U73" i="35"/>
  <c r="T73" i="35" s="1"/>
  <c r="V59" i="35"/>
  <c r="W59" i="35"/>
  <c r="W46" i="35"/>
  <c r="U46" i="35"/>
  <c r="T46" i="35" s="1"/>
  <c r="V46" i="35"/>
  <c r="U26" i="35"/>
  <c r="T26" i="35" s="1"/>
  <c r="V26" i="35"/>
  <c r="V47" i="35"/>
  <c r="W47" i="35"/>
  <c r="U56" i="35"/>
  <c r="T56" i="35" s="1"/>
  <c r="V56" i="35"/>
  <c r="V35" i="35"/>
  <c r="W35" i="35"/>
  <c r="U47" i="35"/>
  <c r="T47" i="35" s="1"/>
  <c r="V29" i="35"/>
  <c r="W29" i="35"/>
  <c r="W74" i="35"/>
  <c r="W66" i="35"/>
  <c r="V45" i="35"/>
  <c r="W45" i="35"/>
  <c r="V66" i="35"/>
  <c r="U34" i="35"/>
  <c r="T34" i="35" s="1"/>
  <c r="V34" i="35"/>
  <c r="W34" i="35"/>
  <c r="W20" i="35"/>
  <c r="V60" i="35"/>
  <c r="U29" i="35"/>
  <c r="T29" i="35" s="1"/>
  <c r="V71" i="35"/>
  <c r="W71" i="35"/>
  <c r="U70" i="35"/>
  <c r="T70" i="35" s="1"/>
  <c r="V70" i="35"/>
  <c r="W70" i="35"/>
  <c r="W48" i="35"/>
  <c r="W79" i="35"/>
  <c r="U39" i="35"/>
  <c r="T39" i="35" s="1"/>
  <c r="V39" i="35"/>
  <c r="W39" i="35"/>
  <c r="W31" i="35"/>
  <c r="W24" i="35"/>
  <c r="U68" i="35"/>
  <c r="T68" i="35" s="1"/>
  <c r="V68" i="35"/>
  <c r="V65" i="35"/>
  <c r="W65" i="35"/>
  <c r="U52" i="35"/>
  <c r="T52" i="35" s="1"/>
  <c r="V52" i="35"/>
  <c r="W52" i="35"/>
  <c r="S81" i="35"/>
  <c r="U18" i="35"/>
  <c r="V63" i="35"/>
  <c r="W63" i="35"/>
  <c r="U63" i="35"/>
  <c r="T63" i="35" s="1"/>
  <c r="V53" i="35"/>
  <c r="W53" i="35"/>
  <c r="U36" i="34"/>
  <c r="T36" i="34" s="1"/>
  <c r="U29" i="34"/>
  <c r="T29" i="34" s="1"/>
  <c r="U49" i="34"/>
  <c r="T49" i="34" s="1"/>
  <c r="U43" i="34"/>
  <c r="T43" i="34" s="1"/>
  <c r="U59" i="34"/>
  <c r="T59" i="34" s="1"/>
  <c r="U73" i="34"/>
  <c r="T73" i="34" s="1"/>
  <c r="W72" i="34"/>
  <c r="U74" i="34"/>
  <c r="T74" i="34" s="1"/>
  <c r="U30" i="34"/>
  <c r="T30" i="34" s="1"/>
  <c r="V30" i="34"/>
  <c r="W80" i="34"/>
  <c r="U48" i="34"/>
  <c r="T48" i="34" s="1"/>
  <c r="U24" i="34"/>
  <c r="T24" i="34" s="1"/>
  <c r="W49" i="34"/>
  <c r="U77" i="34"/>
  <c r="T77" i="34" s="1"/>
  <c r="W26" i="34"/>
  <c r="V26" i="34"/>
  <c r="W48" i="34"/>
  <c r="V79" i="34"/>
  <c r="U37" i="34"/>
  <c r="T37" i="34" s="1"/>
  <c r="U42" i="34"/>
  <c r="T42" i="34" s="1"/>
  <c r="V73" i="34"/>
  <c r="W73" i="34"/>
  <c r="U79" i="34"/>
  <c r="T79" i="34" s="1"/>
  <c r="U61" i="34"/>
  <c r="T61" i="34" s="1"/>
  <c r="W24" i="34"/>
  <c r="V36" i="34"/>
  <c r="U27" i="34"/>
  <c r="T27" i="34" s="1"/>
  <c r="W43" i="34"/>
  <c r="V43" i="34"/>
  <c r="I81" i="30"/>
  <c r="Q2" i="30" s="1"/>
  <c r="Q5" i="30" s="1"/>
  <c r="V42" i="34"/>
  <c r="W75" i="34"/>
  <c r="V75" i="34"/>
  <c r="W65" i="34"/>
  <c r="V65" i="34"/>
  <c r="W45" i="34"/>
  <c r="V45" i="34"/>
  <c r="U45" i="34"/>
  <c r="T45" i="34" s="1"/>
  <c r="W71" i="34"/>
  <c r="V71" i="34"/>
  <c r="U60" i="34"/>
  <c r="T60" i="34" s="1"/>
  <c r="U54" i="34"/>
  <c r="T54" i="34" s="1"/>
  <c r="W67" i="34"/>
  <c r="V61" i="34"/>
  <c r="V37" i="34"/>
  <c r="W42" i="34"/>
  <c r="W23" i="34"/>
  <c r="V23" i="34"/>
  <c r="W34" i="34"/>
  <c r="U34" i="34"/>
  <c r="T34" i="34" s="1"/>
  <c r="V34" i="34"/>
  <c r="U23" i="34"/>
  <c r="T23" i="34" s="1"/>
  <c r="U18" i="34"/>
  <c r="W22" i="34"/>
  <c r="V22" i="34"/>
  <c r="U22" i="34"/>
  <c r="T22" i="34" s="1"/>
  <c r="V67" i="34"/>
  <c r="V78" i="34"/>
  <c r="U71" i="34"/>
  <c r="T71" i="34" s="1"/>
  <c r="W61" i="34"/>
  <c r="W36" i="34"/>
  <c r="S81" i="34"/>
  <c r="W29" i="34"/>
  <c r="V29" i="34"/>
  <c r="W40" i="34"/>
  <c r="U40" i="34"/>
  <c r="T40" i="34" s="1"/>
  <c r="V40" i="34"/>
  <c r="U78" i="34"/>
  <c r="T78" i="34" s="1"/>
  <c r="W76" i="34"/>
  <c r="V76" i="34"/>
  <c r="U76" i="34"/>
  <c r="T76" i="34" s="1"/>
  <c r="W60" i="34"/>
  <c r="W77" i="34"/>
  <c r="V77" i="34"/>
  <c r="W66" i="34"/>
  <c r="W54" i="34"/>
  <c r="W39" i="34"/>
  <c r="V39" i="34"/>
  <c r="U39" i="34"/>
  <c r="T39" i="34" s="1"/>
  <c r="W28" i="34"/>
  <c r="V28" i="34"/>
  <c r="U28" i="34"/>
  <c r="T28" i="34" s="1"/>
  <c r="U65" i="34"/>
  <c r="T65" i="34" s="1"/>
  <c r="W57" i="34"/>
  <c r="V57" i="34"/>
  <c r="U57" i="34"/>
  <c r="T57" i="34" s="1"/>
  <c r="W33" i="34"/>
  <c r="V33" i="34"/>
  <c r="U33" i="34"/>
  <c r="T33" i="34" s="1"/>
  <c r="V25" i="34"/>
  <c r="V35" i="34"/>
  <c r="W35" i="34"/>
  <c r="U46" i="34"/>
  <c r="T46" i="34" s="1"/>
  <c r="W46" i="34"/>
  <c r="V46" i="34"/>
  <c r="U25" i="34"/>
  <c r="T25" i="34" s="1"/>
  <c r="W69" i="34"/>
  <c r="V69" i="34"/>
  <c r="W63" i="34"/>
  <c r="V63" i="34"/>
  <c r="U63" i="34"/>
  <c r="T63" i="34" s="1"/>
  <c r="V55" i="34"/>
  <c r="U31" i="34"/>
  <c r="T31" i="34" s="1"/>
  <c r="V41" i="34"/>
  <c r="W41" i="34"/>
  <c r="W52" i="34"/>
  <c r="V52" i="34"/>
  <c r="U52" i="34"/>
  <c r="T52" i="34" s="1"/>
  <c r="U75" i="34"/>
  <c r="T75" i="34" s="1"/>
  <c r="W27" i="34"/>
  <c r="V27" i="34"/>
  <c r="W55" i="34"/>
  <c r="W58" i="34"/>
  <c r="V58" i="34"/>
  <c r="U58" i="34"/>
  <c r="T58" i="34" s="1"/>
  <c r="W51" i="34"/>
  <c r="V51" i="34"/>
  <c r="U51" i="34"/>
  <c r="T51" i="34" s="1"/>
  <c r="V53" i="34"/>
  <c r="W53" i="34"/>
  <c r="W64" i="34"/>
  <c r="V64" i="34"/>
  <c r="U64" i="34"/>
  <c r="T64" i="34" s="1"/>
  <c r="V31" i="34"/>
  <c r="U35" i="34"/>
  <c r="T35" i="34" s="1"/>
  <c r="V49" i="34"/>
  <c r="W18" i="34"/>
  <c r="V59" i="34"/>
  <c r="W59" i="34"/>
  <c r="W70" i="34"/>
  <c r="V70" i="34"/>
  <c r="U70" i="34"/>
  <c r="T70" i="34" s="1"/>
  <c r="V27" i="31"/>
  <c r="U25" i="31"/>
  <c r="T25" i="31" s="1"/>
  <c r="W39" i="31"/>
  <c r="U21" i="31"/>
  <c r="T21" i="31" s="1"/>
  <c r="U39" i="31"/>
  <c r="T39" i="31" s="1"/>
  <c r="U33" i="31"/>
  <c r="T33" i="31" s="1"/>
  <c r="V21" i="31"/>
  <c r="W27" i="31"/>
  <c r="W75" i="31"/>
  <c r="M81" i="31"/>
  <c r="Q3" i="31" s="1"/>
  <c r="W73" i="31"/>
  <c r="V73" i="31"/>
  <c r="W67" i="31"/>
  <c r="V67" i="31"/>
  <c r="W61" i="31"/>
  <c r="V61" i="31"/>
  <c r="W57" i="31"/>
  <c r="W55" i="31"/>
  <c r="V55" i="31"/>
  <c r="U75" i="31"/>
  <c r="T75" i="31" s="1"/>
  <c r="V49" i="31"/>
  <c r="U49" i="31"/>
  <c r="T49" i="31" s="1"/>
  <c r="W49" i="31"/>
  <c r="V69" i="31"/>
  <c r="W43" i="31"/>
  <c r="V43" i="31"/>
  <c r="V51" i="31"/>
  <c r="W69" i="31"/>
  <c r="S81" i="31"/>
  <c r="W37" i="31"/>
  <c r="V37" i="31"/>
  <c r="U67" i="31"/>
  <c r="T67" i="31" s="1"/>
  <c r="U55" i="31"/>
  <c r="T55" i="31" s="1"/>
  <c r="V31" i="31"/>
  <c r="U31" i="31"/>
  <c r="T31" i="31" s="1"/>
  <c r="W31" i="31"/>
  <c r="W25" i="31"/>
  <c r="V25" i="31"/>
  <c r="V33" i="31"/>
  <c r="U61" i="31"/>
  <c r="T61" i="31" s="1"/>
  <c r="I81" i="31"/>
  <c r="Q2" i="31" s="1"/>
  <c r="V19" i="31"/>
  <c r="W19" i="31"/>
  <c r="U73" i="31"/>
  <c r="T73" i="31" s="1"/>
  <c r="T18" i="31"/>
  <c r="U37" i="31"/>
  <c r="T37" i="31" s="1"/>
  <c r="T18" i="30"/>
  <c r="V30" i="30"/>
  <c r="W30" i="30"/>
  <c r="V66" i="30"/>
  <c r="W66" i="30"/>
  <c r="W41" i="30"/>
  <c r="V41" i="30"/>
  <c r="U41" i="30"/>
  <c r="T41" i="30" s="1"/>
  <c r="W77" i="30"/>
  <c r="V77" i="30"/>
  <c r="U77" i="30"/>
  <c r="T77" i="30" s="1"/>
  <c r="U52" i="30"/>
  <c r="T52" i="30" s="1"/>
  <c r="V52" i="30"/>
  <c r="W52" i="30"/>
  <c r="V36" i="30"/>
  <c r="W36" i="30"/>
  <c r="V72" i="30"/>
  <c r="W72" i="30"/>
  <c r="V47" i="30"/>
  <c r="W47" i="30"/>
  <c r="U47" i="30"/>
  <c r="T47" i="30" s="1"/>
  <c r="U22" i="30"/>
  <c r="T22" i="30" s="1"/>
  <c r="V22" i="30"/>
  <c r="W22" i="30"/>
  <c r="V58" i="30"/>
  <c r="U58" i="30"/>
  <c r="T58" i="30" s="1"/>
  <c r="W58" i="30"/>
  <c r="W53" i="30"/>
  <c r="U53" i="30"/>
  <c r="T53" i="30" s="1"/>
  <c r="V53" i="30"/>
  <c r="U28" i="30"/>
  <c r="T28" i="30" s="1"/>
  <c r="V28" i="30"/>
  <c r="W28" i="30"/>
  <c r="V64" i="30"/>
  <c r="U64" i="30"/>
  <c r="T64" i="30" s="1"/>
  <c r="W64" i="30"/>
  <c r="I81" i="28"/>
  <c r="Q2" i="28" s="1"/>
  <c r="V59" i="30"/>
  <c r="W59" i="30"/>
  <c r="U59" i="30"/>
  <c r="T59" i="30" s="1"/>
  <c r="U34" i="30"/>
  <c r="T34" i="30" s="1"/>
  <c r="V34" i="30"/>
  <c r="W34" i="30"/>
  <c r="U70" i="30"/>
  <c r="T70" i="30" s="1"/>
  <c r="V70" i="30"/>
  <c r="W70" i="30"/>
  <c r="U36" i="30"/>
  <c r="T36" i="30" s="1"/>
  <c r="S81" i="30"/>
  <c r="V23" i="30"/>
  <c r="W23" i="30"/>
  <c r="U23" i="30"/>
  <c r="T23" i="30" s="1"/>
  <c r="V54" i="30"/>
  <c r="W54" i="30"/>
  <c r="W29" i="30"/>
  <c r="U29" i="30"/>
  <c r="T29" i="30" s="1"/>
  <c r="V29" i="30"/>
  <c r="V65" i="30"/>
  <c r="W65" i="30"/>
  <c r="U65" i="30"/>
  <c r="T65" i="30" s="1"/>
  <c r="V40" i="30"/>
  <c r="U40" i="30"/>
  <c r="T40" i="30" s="1"/>
  <c r="W40" i="30"/>
  <c r="U76" i="30"/>
  <c r="T76" i="30" s="1"/>
  <c r="V76" i="30"/>
  <c r="W76" i="30"/>
  <c r="V78" i="30"/>
  <c r="W78" i="30"/>
  <c r="V48" i="30"/>
  <c r="W48" i="30"/>
  <c r="U66" i="30"/>
  <c r="T66" i="30" s="1"/>
  <c r="V42" i="30"/>
  <c r="W42" i="30"/>
  <c r="V24" i="30"/>
  <c r="W24" i="30"/>
  <c r="V60" i="30"/>
  <c r="W60" i="30"/>
  <c r="W35" i="30"/>
  <c r="U35" i="30"/>
  <c r="T35" i="30" s="1"/>
  <c r="V35" i="30"/>
  <c r="W71" i="30"/>
  <c r="U71" i="30"/>
  <c r="T71" i="30" s="1"/>
  <c r="V71" i="30"/>
  <c r="U46" i="30"/>
  <c r="T46" i="30" s="1"/>
  <c r="V46" i="30"/>
  <c r="W46" i="30"/>
  <c r="U30" i="30"/>
  <c r="T30" i="30" s="1"/>
  <c r="U78" i="30"/>
  <c r="T78" i="30" s="1"/>
  <c r="M81" i="28"/>
  <c r="Q3" i="28" s="1"/>
  <c r="U18" i="28"/>
  <c r="W14" i="28"/>
  <c r="Q9" i="28" s="1"/>
  <c r="Q7" i="28"/>
  <c r="T9" i="28" s="1"/>
  <c r="Q5" i="28"/>
  <c r="M81" i="27"/>
  <c r="Q3" i="27" s="1"/>
  <c r="U18" i="27"/>
  <c r="W14" i="27"/>
  <c r="Q9" i="27" s="1"/>
  <c r="Q7" i="27"/>
  <c r="T9" i="27" s="1"/>
  <c r="Q5" i="27"/>
  <c r="Q4" i="27"/>
  <c r="T9" i="26"/>
  <c r="M81" i="34" l="1"/>
  <c r="Q3" i="34" s="1"/>
  <c r="Q4" i="34" s="1"/>
  <c r="I81" i="34"/>
  <c r="Q2" i="34" s="1"/>
  <c r="U9" i="102"/>
  <c r="W9" i="102" s="1"/>
  <c r="V9" i="102"/>
  <c r="U9" i="100"/>
  <c r="W9" i="100" s="1"/>
  <c r="V9" i="100"/>
  <c r="U81" i="98"/>
  <c r="Q6" i="98" s="1"/>
  <c r="T18" i="98"/>
  <c r="T81" i="98" s="1"/>
  <c r="V9" i="98"/>
  <c r="U9" i="98"/>
  <c r="W9" i="98" s="1"/>
  <c r="U81" i="94"/>
  <c r="Q6" i="94" s="1"/>
  <c r="T18" i="94"/>
  <c r="T81" i="94" s="1"/>
  <c r="V9" i="94"/>
  <c r="U9" i="94"/>
  <c r="W9" i="94" s="1"/>
  <c r="U81" i="87"/>
  <c r="Q6" i="87" s="1"/>
  <c r="T18" i="87"/>
  <c r="T81" i="87" s="1"/>
  <c r="V9" i="87"/>
  <c r="U9" i="87"/>
  <c r="W9" i="87" s="1"/>
  <c r="U81" i="85"/>
  <c r="Q6" i="85" s="1"/>
  <c r="T18" i="85"/>
  <c r="T81" i="85" s="1"/>
  <c r="V9" i="85"/>
  <c r="U9" i="85"/>
  <c r="W9" i="85" s="1"/>
  <c r="U9" i="84"/>
  <c r="W9" i="84" s="1"/>
  <c r="V9" i="84"/>
  <c r="U81" i="80"/>
  <c r="Q6" i="80" s="1"/>
  <c r="T18" i="80"/>
  <c r="T81" i="80" s="1"/>
  <c r="V9" i="80"/>
  <c r="U9" i="80"/>
  <c r="W9" i="80" s="1"/>
  <c r="U9" i="79"/>
  <c r="W9" i="79" s="1"/>
  <c r="V9" i="79"/>
  <c r="U81" i="78"/>
  <c r="Q6" i="78" s="1"/>
  <c r="T18" i="78"/>
  <c r="T81" i="78" s="1"/>
  <c r="V9" i="78"/>
  <c r="U9" i="78"/>
  <c r="W9" i="78" s="1"/>
  <c r="U81" i="76"/>
  <c r="Q6" i="76" s="1"/>
  <c r="T18" i="76"/>
  <c r="T81" i="76" s="1"/>
  <c r="V9" i="76"/>
  <c r="U9" i="76"/>
  <c r="W9" i="76" s="1"/>
  <c r="U81" i="75"/>
  <c r="Q6" i="75" s="1"/>
  <c r="T18" i="75"/>
  <c r="T81" i="75" s="1"/>
  <c r="V9" i="75"/>
  <c r="U9" i="75"/>
  <c r="W9" i="75" s="1"/>
  <c r="U81" i="74"/>
  <c r="Q6" i="74" s="1"/>
  <c r="T18" i="74"/>
  <c r="T81" i="74" s="1"/>
  <c r="V9" i="74"/>
  <c r="U9" i="74"/>
  <c r="W9" i="74" s="1"/>
  <c r="U81" i="69"/>
  <c r="Q6" i="69" s="1"/>
  <c r="T18" i="69"/>
  <c r="T81" i="69" s="1"/>
  <c r="V9" i="69"/>
  <c r="U9" i="69"/>
  <c r="W9" i="69" s="1"/>
  <c r="W14" i="67"/>
  <c r="Q9" i="67" s="1"/>
  <c r="Q7" i="67"/>
  <c r="Q4" i="67"/>
  <c r="Q5" i="67"/>
  <c r="U81" i="67"/>
  <c r="Q6" i="67" s="1"/>
  <c r="T18" i="67"/>
  <c r="T81" i="67" s="1"/>
  <c r="Q4" i="28"/>
  <c r="Q5" i="51"/>
  <c r="Q4" i="65"/>
  <c r="Q5" i="65"/>
  <c r="U81" i="65"/>
  <c r="Q6" i="65" s="1"/>
  <c r="W14" i="65"/>
  <c r="Q9" i="65" s="1"/>
  <c r="Q7" i="65"/>
  <c r="T81" i="65"/>
  <c r="Q4" i="51"/>
  <c r="W14" i="51"/>
  <c r="Q9" i="51" s="1"/>
  <c r="Q7" i="51"/>
  <c r="T22" i="51"/>
  <c r="T81" i="51" s="1"/>
  <c r="U81" i="51"/>
  <c r="Q6" i="51" s="1"/>
  <c r="Q7" i="46"/>
  <c r="T9" i="46" s="1"/>
  <c r="V9" i="46" s="1"/>
  <c r="Q4" i="46"/>
  <c r="T19" i="46"/>
  <c r="T81" i="46" s="1"/>
  <c r="U81" i="46"/>
  <c r="Q6" i="46" s="1"/>
  <c r="Q5" i="46"/>
  <c r="Q7" i="43"/>
  <c r="W14" i="43"/>
  <c r="Q9" i="43" s="1"/>
  <c r="T81" i="43"/>
  <c r="U81" i="43"/>
  <c r="Q6" i="43" s="1"/>
  <c r="Q4" i="43"/>
  <c r="Q5" i="43"/>
  <c r="Q7" i="41"/>
  <c r="T9" i="41" s="1"/>
  <c r="V9" i="41" s="1"/>
  <c r="U81" i="42"/>
  <c r="Q6" i="42" s="1"/>
  <c r="T81" i="42"/>
  <c r="Q5" i="42"/>
  <c r="Q4" i="42"/>
  <c r="Q7" i="42"/>
  <c r="W14" i="42"/>
  <c r="Q9" i="42" s="1"/>
  <c r="Q5" i="41"/>
  <c r="Q4" i="41"/>
  <c r="T81" i="41"/>
  <c r="U81" i="41"/>
  <c r="Q6" i="41" s="1"/>
  <c r="T18" i="40"/>
  <c r="T81" i="40" s="1"/>
  <c r="U81" i="40"/>
  <c r="Q6" i="40" s="1"/>
  <c r="W14" i="40"/>
  <c r="Q9" i="40" s="1"/>
  <c r="Q7" i="40"/>
  <c r="Q4" i="40"/>
  <c r="Q5" i="40"/>
  <c r="U81" i="37"/>
  <c r="Q6" i="37" s="1"/>
  <c r="T18" i="37"/>
  <c r="T81" i="37" s="1"/>
  <c r="Q7" i="37"/>
  <c r="W14" i="37"/>
  <c r="Q9" i="37" s="1"/>
  <c r="Q5" i="37"/>
  <c r="Q4" i="37"/>
  <c r="T18" i="35"/>
  <c r="T81" i="35" s="1"/>
  <c r="U81" i="35"/>
  <c r="Q6" i="35" s="1"/>
  <c r="W14" i="35"/>
  <c r="Q9" i="35" s="1"/>
  <c r="Q7" i="35"/>
  <c r="Q5" i="35"/>
  <c r="Q4" i="35"/>
  <c r="Q4" i="30"/>
  <c r="U81" i="34"/>
  <c r="Q6" i="34" s="1"/>
  <c r="T18" i="34"/>
  <c r="T81" i="34" s="1"/>
  <c r="Q5" i="34"/>
  <c r="W14" i="34"/>
  <c r="Q9" i="34" s="1"/>
  <c r="Q7" i="34"/>
  <c r="Q5" i="31"/>
  <c r="Q4" i="31"/>
  <c r="Q7" i="31"/>
  <c r="W14" i="31"/>
  <c r="Q9" i="31" s="1"/>
  <c r="T81" i="31"/>
  <c r="U81" i="31"/>
  <c r="Q6" i="31" s="1"/>
  <c r="W14" i="30"/>
  <c r="Q9" i="30" s="1"/>
  <c r="Q7" i="30"/>
  <c r="T81" i="30"/>
  <c r="U81" i="30"/>
  <c r="Q6" i="30" s="1"/>
  <c r="U81" i="28"/>
  <c r="Q6" i="28" s="1"/>
  <c r="T18" i="28"/>
  <c r="T81" i="28" s="1"/>
  <c r="V9" i="28"/>
  <c r="U9" i="28"/>
  <c r="W9" i="28" s="1"/>
  <c r="U81" i="27"/>
  <c r="Q6" i="27" s="1"/>
  <c r="T18" i="27"/>
  <c r="T81" i="27" s="1"/>
  <c r="V9" i="27"/>
  <c r="U9" i="27"/>
  <c r="W9" i="27" s="1"/>
  <c r="U9" i="26"/>
  <c r="W9" i="26" s="1"/>
  <c r="V9" i="26"/>
  <c r="T9" i="67" l="1"/>
  <c r="T9" i="65"/>
  <c r="U9" i="65" s="1"/>
  <c r="W9" i="65" s="1"/>
  <c r="T9" i="51"/>
  <c r="U9" i="51" s="1"/>
  <c r="W9" i="51" s="1"/>
  <c r="U9" i="46"/>
  <c r="W9" i="46" s="1"/>
  <c r="T9" i="43"/>
  <c r="T9" i="40"/>
  <c r="U9" i="40" s="1"/>
  <c r="W9" i="40" s="1"/>
  <c r="T9" i="42"/>
  <c r="U9" i="41"/>
  <c r="W9" i="41" s="1"/>
  <c r="T9" i="37"/>
  <c r="T9" i="35"/>
  <c r="T9" i="30"/>
  <c r="U9" i="30" s="1"/>
  <c r="W9" i="30" s="1"/>
  <c r="T9" i="34"/>
  <c r="V9" i="34" s="1"/>
  <c r="T9" i="31"/>
  <c r="V9" i="30"/>
  <c r="U9" i="67" l="1"/>
  <c r="W9" i="67" s="1"/>
  <c r="V9" i="67"/>
  <c r="V9" i="65"/>
  <c r="V9" i="51"/>
  <c r="V9" i="43"/>
  <c r="U9" i="43"/>
  <c r="W9" i="43" s="1"/>
  <c r="V9" i="40"/>
  <c r="V9" i="42"/>
  <c r="U9" i="42"/>
  <c r="W9" i="42" s="1"/>
  <c r="U9" i="37"/>
  <c r="W9" i="37" s="1"/>
  <c r="V9" i="37"/>
  <c r="V9" i="35"/>
  <c r="U9" i="35"/>
  <c r="W9" i="35" s="1"/>
  <c r="U9" i="34"/>
  <c r="W9" i="34" s="1"/>
  <c r="V9" i="31"/>
  <c r="U9" i="31"/>
  <c r="W9" i="3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94055-42E2-4DF0-B104-24DA06564635}" keepAlive="1" name="Query - Backhoe-Wheel Machinery Build Template xlsx" description="Connection to the 'Backhoe-Wheel Machinery Build Template xlsx' query in the workbook." type="5" refreshedVersion="0" background="1" saveData="1">
    <dbPr connection="Provider=Microsoft.Mashup.OleDb.1;Data Source=$Workbook$;Location=&quot;Backhoe-Wheel Machinery Build Template xlsx&quot;;Extended Properties=&quot;&quot;" command="SELECT * FROM [Backhoe-Wheel Machinery Build Template xlsx]"/>
  </connection>
</connections>
</file>

<file path=xl/sharedStrings.xml><?xml version="1.0" encoding="utf-8"?>
<sst xmlns="http://schemas.openxmlformats.org/spreadsheetml/2006/main" count="11180" uniqueCount="710">
  <si>
    <t>Batteries</t>
  </si>
  <si>
    <t>Bucket Guard</t>
  </si>
  <si>
    <t>Bucket Guard- HW</t>
  </si>
  <si>
    <t>Bucket Teeth</t>
  </si>
  <si>
    <t>Bucket Teeth- HW</t>
  </si>
  <si>
    <t>Bushings (Excavator)</t>
  </si>
  <si>
    <t>Bushings- HW (Excavator)</t>
  </si>
  <si>
    <t>Corner bits-end bits</t>
  </si>
  <si>
    <t>Corner bits-end bits- HW</t>
  </si>
  <si>
    <t>Cutting Edge</t>
  </si>
  <si>
    <t>Cutting Edge-HW</t>
  </si>
  <si>
    <t>Engine- AC Compressor</t>
  </si>
  <si>
    <t>Engine- Actuator (Separate in Cummins)</t>
  </si>
  <si>
    <t>Engine- Alternator</t>
  </si>
  <si>
    <t>Engine-Cab Blower fan</t>
  </si>
  <si>
    <t>Engine- Camshaft</t>
  </si>
  <si>
    <t>Engine- Crankshaft</t>
  </si>
  <si>
    <t>Engine- Cylinder Head FD</t>
  </si>
  <si>
    <t>Engine- Fuel Pump</t>
  </si>
  <si>
    <t>Engine- Injector</t>
  </si>
  <si>
    <t>Engine- O2 Sensor</t>
  </si>
  <si>
    <t>Engine- Rebuild-Kit</t>
  </si>
  <si>
    <t>Engine- Starter</t>
  </si>
  <si>
    <t>Engine- Turbo</t>
  </si>
  <si>
    <t>Filter- Air- cab</t>
  </si>
  <si>
    <t>Filter- Air- Engine</t>
  </si>
  <si>
    <t>Filter- DEF</t>
  </si>
  <si>
    <t>Filter- Hydraulic</t>
  </si>
  <si>
    <t>Filter- Fuel</t>
  </si>
  <si>
    <t>Filter- Oil</t>
  </si>
  <si>
    <t>Filter- Transmission</t>
  </si>
  <si>
    <t>Pins (Excavator)</t>
  </si>
  <si>
    <t>Misc</t>
  </si>
  <si>
    <t>Ripper Shank</t>
  </si>
  <si>
    <t>Ripper Shank- HW</t>
  </si>
  <si>
    <t>Ripper Teeth</t>
  </si>
  <si>
    <t>Ripper Teeth- HW</t>
  </si>
  <si>
    <t>Rubber Track</t>
  </si>
  <si>
    <t>Rubber Tube</t>
  </si>
  <si>
    <t>Seat </t>
  </si>
  <si>
    <t>Seat- Suspension</t>
  </si>
  <si>
    <t>Tire </t>
  </si>
  <si>
    <t>GET- Misc</t>
  </si>
  <si>
    <t>UC- Roller</t>
  </si>
  <si>
    <t>UC- Roller- HW</t>
  </si>
  <si>
    <t>UC-Misc</t>
  </si>
  <si>
    <t>UC-Misc- HW</t>
  </si>
  <si>
    <t>UC - Idler</t>
  </si>
  <si>
    <t>UC- Idler- HW</t>
  </si>
  <si>
    <t>UC- Sprocket</t>
  </si>
  <si>
    <t>UC- Sprocket- HW</t>
  </si>
  <si>
    <t>UC- T-Chain</t>
  </si>
  <si>
    <t>UC- T-Chain- HW</t>
  </si>
  <si>
    <t>UC- T-Pad</t>
  </si>
  <si>
    <t>UC- T-Pad- HW</t>
  </si>
  <si>
    <t>MACHINE TYPE</t>
  </si>
  <si>
    <t>DOZER</t>
  </si>
  <si>
    <t>GRADER</t>
  </si>
  <si>
    <t>EXCAVATOR</t>
  </si>
  <si>
    <t>WHEEL LOADER</t>
  </si>
  <si>
    <t>BACKHOE</t>
  </si>
  <si>
    <t>TRACK LOADER</t>
  </si>
  <si>
    <t>SCRAPER</t>
  </si>
  <si>
    <t>SKID STEER</t>
  </si>
  <si>
    <t>RIGID FRAME TRUCK</t>
  </si>
  <si>
    <t>COMPACTOR</t>
  </si>
  <si>
    <t>TELEHANDLER</t>
  </si>
  <si>
    <t>MACHINERY MAKE</t>
  </si>
  <si>
    <t>MODEL</t>
  </si>
  <si>
    <t>SERIAL # PREFIX</t>
  </si>
  <si>
    <t>USAGE/MONTH</t>
  </si>
  <si>
    <t>OEM MSRP</t>
  </si>
  <si>
    <t>GQP LIST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</si>
  <si>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</si>
  <si>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</si>
  <si>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</si>
  <si>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</si>
  <si>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</si>
  <si>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</si>
  <si>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ENGINE AIR</t>
  </si>
  <si>
    <t>SALES REP</t>
  </si>
  <si>
    <t>COMPANY:</t>
  </si>
  <si>
    <t>Kaatza</t>
  </si>
  <si>
    <t>ENGINE OIL</t>
  </si>
  <si>
    <t>ORDER PO #</t>
  </si>
  <si>
    <t>CUSTOMER:</t>
  </si>
  <si>
    <t>FUEL FILTERS</t>
  </si>
  <si>
    <t>$ SAVINGS</t>
  </si>
  <si>
    <t>PROJECT #</t>
  </si>
  <si>
    <t>PHONE:</t>
  </si>
  <si>
    <t>SERIAL #</t>
  </si>
  <si>
    <t>HYDRAULIC FILTERS</t>
  </si>
  <si>
    <t>% SAVINGS</t>
  </si>
  <si>
    <t>CUST INVOICE #</t>
  </si>
  <si>
    <t>EMAIL:</t>
  </si>
  <si>
    <t>TRANSMISSION FILTERS</t>
  </si>
  <si>
    <t>TOTAL ORDER MARGIN</t>
  </si>
  <si>
    <t>PAYMENT TYPE</t>
  </si>
  <si>
    <t>SALES REP:</t>
  </si>
  <si>
    <t>ENGINE SERIAL #</t>
  </si>
  <si>
    <t>CAB FILTERS</t>
  </si>
  <si>
    <t>TOTAL ITEM COST</t>
  </si>
  <si>
    <t>DATE DELIVERED</t>
  </si>
  <si>
    <t>UNIT #</t>
  </si>
  <si>
    <t>UNDERCARRIAGE / TIRES</t>
  </si>
  <si>
    <t>TOTAL ORDER FREIGHT</t>
  </si>
  <si>
    <t>TOTAL COST</t>
  </si>
  <si>
    <t>NET MARGIN</t>
  </si>
  <si>
    <t>NET MARKUP %</t>
  </si>
  <si>
    <t>NET MARGIN %</t>
  </si>
  <si>
    <t>CURRENT HOURS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</si>
  <si>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</si>
  <si>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</si>
  <si>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</si>
  <si>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</si>
  <si>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</si>
  <si>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</si>
  <si>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</si>
  <si>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</si>
  <si>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</si>
  <si>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</si>
  <si>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</si>
  <si>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</si>
  <si>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TYPE/TIER</t>
  </si>
  <si>
    <t>IE: VIP - Gold</t>
  </si>
  <si>
    <t>FREIGHT TOTAL ORDER</t>
  </si>
  <si>
    <t>CUSTOMS AND BROKERAGE  %</t>
  </si>
  <si>
    <t>BROKERAGE FEES</t>
  </si>
  <si>
    <t>NO</t>
  </si>
  <si>
    <t>MARKUP LESS THAN 100% REQUIRES MANAGER APPROVAL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</si>
  <si>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</si>
  <si>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</si>
  <si>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</si>
  <si>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</si>
  <si>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</si>
  <si>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</si>
  <si>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</si>
  <si>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</si>
  <si>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QTY</t>
  </si>
  <si>
    <t xml:space="preserve">UNIT PRICE </t>
  </si>
  <si>
    <t>EXTENDED AMOUNT</t>
  </si>
  <si>
    <t>PRCING METHOD
%OEM / MARKUP</t>
  </si>
  <si>
    <t>OEM DISC % / MARKUP %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</si>
  <si>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</si>
  <si>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</si>
  <si>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</si>
  <si>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</si>
  <si>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</si>
  <si>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</si>
  <si>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</si>
  <si>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PART NUMBER</t>
  </si>
  <si>
    <t>DESCRIPTION</t>
  </si>
  <si>
    <t>PRODUCT TYPE</t>
  </si>
  <si>
    <t>SERVICE INTERVAL</t>
  </si>
  <si>
    <t>UNIT PRICE</t>
  </si>
  <si>
    <t>EXT AMOUNT</t>
  </si>
  <si>
    <t>OEM DISC %</t>
  </si>
  <si>
    <t>ENGINE OIL FILTER ELEMENT</t>
  </si>
  <si>
    <t>GQP</t>
  </si>
  <si>
    <t>FUEL FILTER ELEMENT</t>
  </si>
  <si>
    <t>CTP</t>
  </si>
  <si>
    <t>FUEL WATER SEPARATOR ELEMENT</t>
  </si>
  <si>
    <t>BLMQ</t>
  </si>
  <si>
    <t>HYDRAULIC OIL FILTER</t>
  </si>
  <si>
    <t>CAT</t>
  </si>
  <si>
    <t>FINNING</t>
  </si>
  <si>
    <t>PRIMARY AIR FILTER ELEMENT</t>
  </si>
  <si>
    <t>JD</t>
  </si>
  <si>
    <t>SECONDAY AIR FILTER ELEMENT</t>
  </si>
  <si>
    <t>BRANDT</t>
  </si>
  <si>
    <t>CABIN AIR FILTER ELEMENT</t>
  </si>
  <si>
    <t>PTI</t>
  </si>
  <si>
    <t>12V BATTERY 900CCA</t>
  </si>
  <si>
    <t>CONEQUIP</t>
  </si>
  <si>
    <t>SUSPENSION SEAT ASSEMBLY</t>
  </si>
  <si>
    <t>CANDY</t>
  </si>
  <si>
    <t>AS REQ'D</t>
  </si>
  <si>
    <t>FUEL INJECTOR</t>
  </si>
  <si>
    <t>U/C</t>
  </si>
  <si>
    <t xml:space="preserve">TURBOCHARGER </t>
  </si>
  <si>
    <t>MARKUP %</t>
  </si>
  <si>
    <t>TRACK SPROCKET</t>
  </si>
  <si>
    <t>SPROCKET BOLT</t>
  </si>
  <si>
    <t>FLAT WASHER</t>
  </si>
  <si>
    <t>FRONT IDLER</t>
  </si>
  <si>
    <t>IDLER BOLT</t>
  </si>
  <si>
    <t>CARRIER ROLLER</t>
  </si>
  <si>
    <t>SINGLE FLANGE TRACK ROLLER</t>
  </si>
  <si>
    <t>ROLLER BOLT</t>
  </si>
  <si>
    <t>ARTUCULATED TRUCK</t>
  </si>
  <si>
    <t>TRACK LINK ASSEMBLY</t>
  </si>
  <si>
    <t>PIPELAYER</t>
  </si>
  <si>
    <t>TRACK SHOE</t>
  </si>
  <si>
    <t>COMPACT TRACK LOADER</t>
  </si>
  <si>
    <t>TRACK BOLT</t>
  </si>
  <si>
    <t>TRACK NUT</t>
  </si>
  <si>
    <t>OTHER</t>
  </si>
  <si>
    <t>STARTER</t>
  </si>
  <si>
    <t>AC COMPRESSOR</t>
  </si>
  <si>
    <t>Engine-AC Compressor</t>
  </si>
  <si>
    <t>FUEL PUMP</t>
  </si>
  <si>
    <t>ALTERNATOR</t>
  </si>
  <si>
    <t>TOTALS</t>
  </si>
  <si>
    <t>CAMSHAFT AS</t>
  </si>
  <si>
    <t>CRANKSHAFT AS</t>
  </si>
  <si>
    <t>CYLINDER HEAD</t>
  </si>
  <si>
    <t>END BIT</t>
  </si>
  <si>
    <t>PLOW BOLT</t>
  </si>
  <si>
    <t>CUTTING EDGE</t>
  </si>
  <si>
    <t xml:space="preserve">  FILTERS:</t>
  </si>
  <si>
    <t>ENGINE OIL FILTER</t>
  </si>
  <si>
    <t>FUEL FILTER</t>
  </si>
  <si>
    <t>FUEL WATER SEPARATOR</t>
  </si>
  <si>
    <t>TRANSMISSION FILTER</t>
  </si>
  <si>
    <t>HYDRAULIC FILTER</t>
  </si>
  <si>
    <t>CABIN AIR FILTER</t>
  </si>
  <si>
    <t>PRIMARY AIR FILTER</t>
  </si>
  <si>
    <t>SECONDARY AIR FILTER</t>
  </si>
  <si>
    <t>WATER SEPARATOR</t>
  </si>
  <si>
    <t xml:space="preserve">  MISCANELOUS:</t>
  </si>
  <si>
    <t>BATTERY</t>
  </si>
  <si>
    <t>SEAT</t>
  </si>
  <si>
    <t xml:space="preserve">  ENGINE COMPONENTS:</t>
  </si>
  <si>
    <t>ENGINE MAJOR OVERHAUL KIT</t>
  </si>
  <si>
    <t>CAMSHAFT</t>
  </si>
  <si>
    <t>CRANKSAHFT</t>
  </si>
  <si>
    <t>TURBOCHARGER</t>
  </si>
  <si>
    <t>INJECTOR GP</t>
  </si>
  <si>
    <t xml:space="preserve">  WHEELS:</t>
  </si>
  <si>
    <t>TIRES</t>
  </si>
  <si>
    <t xml:space="preserve">  GROUND ENGAGING TOOLS:</t>
  </si>
  <si>
    <t>WASHER</t>
  </si>
  <si>
    <t>NUT</t>
  </si>
  <si>
    <t xml:space="preserve">  TRANSMISSION:</t>
  </si>
  <si>
    <t>TRANSMISSION BEARING KIT</t>
  </si>
  <si>
    <t xml:space="preserve">  TORQUE CONVERTER:</t>
  </si>
  <si>
    <t>TC BEARING KIT</t>
  </si>
  <si>
    <t>TC GASKET KIT</t>
  </si>
  <si>
    <t>TIMBERJACK</t>
  </si>
  <si>
    <t>450 SKIDDER W/MANLIFT</t>
  </si>
  <si>
    <t>CE5098</t>
  </si>
  <si>
    <t xml:space="preserve">RE509672 </t>
  </si>
  <si>
    <t>RE507284</t>
  </si>
  <si>
    <t>PRIMARY FUEL FILTER</t>
  </si>
  <si>
    <t>RE60021</t>
  </si>
  <si>
    <t>FINAL FUEL FILTER</t>
  </si>
  <si>
    <t>RE205726</t>
  </si>
  <si>
    <t>RE27284</t>
  </si>
  <si>
    <t>AT136708</t>
  </si>
  <si>
    <t>AT171854</t>
  </si>
  <si>
    <t>TY25878</t>
  </si>
  <si>
    <t>AT344971</t>
  </si>
  <si>
    <t>RE56375</t>
  </si>
  <si>
    <t>RE504638</t>
  </si>
  <si>
    <t>CRANKSHAFT</t>
  </si>
  <si>
    <t xml:space="preserve">SE501115 </t>
  </si>
  <si>
    <t>INJECTOR  REMAN</t>
  </si>
  <si>
    <t>SE501381</t>
  </si>
  <si>
    <t>ALTERNATOR reman</t>
  </si>
  <si>
    <t>TIGERCAT</t>
  </si>
  <si>
    <t>870D</t>
  </si>
  <si>
    <t>AY052</t>
  </si>
  <si>
    <t>HYDRAULIC WATER ABSORBING FILTER</t>
  </si>
  <si>
    <t>AY003</t>
  </si>
  <si>
    <t>AY093</t>
  </si>
  <si>
    <t>AF079</t>
  </si>
  <si>
    <t>65089B03</t>
  </si>
  <si>
    <t>CW238</t>
  </si>
  <si>
    <t>2453A075</t>
  </si>
  <si>
    <t>12032A020</t>
  </si>
  <si>
    <t>CW058</t>
  </si>
  <si>
    <t>CW157</t>
  </si>
  <si>
    <t>DOUBLE FLANGE TRACK ROLLER</t>
  </si>
  <si>
    <t>BH741</t>
  </si>
  <si>
    <t>BR156</t>
  </si>
  <si>
    <t>LX830D</t>
  </si>
  <si>
    <t>HYDRAULIC RETURN OIL FILTER</t>
  </si>
  <si>
    <t>45465B05</t>
  </si>
  <si>
    <t>CW060</t>
  </si>
  <si>
    <t>LX830E</t>
  </si>
  <si>
    <t>57T1098</t>
  </si>
  <si>
    <t>104163B</t>
  </si>
  <si>
    <t>PC0135</t>
  </si>
  <si>
    <t>BH810-1</t>
  </si>
  <si>
    <t>AY059</t>
  </si>
  <si>
    <t>BH958</t>
  </si>
  <si>
    <t>BH797</t>
  </si>
  <si>
    <t>WATER SEPARATING FUEL FILTER</t>
  </si>
  <si>
    <t>CW182</t>
  </si>
  <si>
    <t>BH739</t>
  </si>
  <si>
    <t>AF096</t>
  </si>
  <si>
    <t>BH216</t>
  </si>
  <si>
    <t>PC0119</t>
  </si>
  <si>
    <t>880E</t>
  </si>
  <si>
    <t>SEAT ASSEMBLY</t>
  </si>
  <si>
    <t>880D</t>
  </si>
  <si>
    <t>850E</t>
  </si>
  <si>
    <t>BR168</t>
  </si>
  <si>
    <t>114740B</t>
  </si>
  <si>
    <t>3748B</t>
  </si>
  <si>
    <t>2453A060</t>
  </si>
  <si>
    <t>CW102</t>
  </si>
  <si>
    <t>CW038</t>
  </si>
  <si>
    <t>LS855E</t>
  </si>
  <si>
    <t>70409B</t>
  </si>
  <si>
    <t>66400B/97055B</t>
  </si>
  <si>
    <t>PC0124</t>
  </si>
  <si>
    <t>PC0122</t>
  </si>
  <si>
    <t xml:space="preserve">LSX877 </t>
  </si>
  <si>
    <t>LX877</t>
  </si>
  <si>
    <t>57T1277</t>
  </si>
  <si>
    <t>632E</t>
  </si>
  <si>
    <t>HYDRAULIC RETURN FILTER</t>
  </si>
  <si>
    <t>MISC:</t>
  </si>
  <si>
    <t>87339B01</t>
  </si>
  <si>
    <t>BP112</t>
  </si>
  <si>
    <t>TIRE 30.5L - 32</t>
  </si>
  <si>
    <t>42843B</t>
  </si>
  <si>
    <t>BOXED GRAPPLE TONG 21 SQ FT</t>
  </si>
  <si>
    <t>70181B10</t>
  </si>
  <si>
    <t>GRAPPLE 21 SQ FT BOXED</t>
  </si>
  <si>
    <t>1383B07</t>
  </si>
  <si>
    <t>TONG PIN, 3" OD X 9"</t>
  </si>
  <si>
    <t>11743B</t>
  </si>
  <si>
    <t>TONG BUSHING</t>
  </si>
  <si>
    <t>BR160</t>
  </si>
  <si>
    <t>AF128</t>
  </si>
  <si>
    <t>632H</t>
  </si>
  <si>
    <t>91672B15</t>
  </si>
  <si>
    <t>GRAPPLE TONG KIT 21 SQ FT</t>
  </si>
  <si>
    <t>BR091</t>
  </si>
  <si>
    <t>AF152</t>
  </si>
  <si>
    <t>630E</t>
  </si>
  <si>
    <t>90582B02</t>
  </si>
  <si>
    <t>VOLVO</t>
  </si>
  <si>
    <t>EC300EL PROCESSOR</t>
  </si>
  <si>
    <t>VCEC300EA00316747</t>
  </si>
  <si>
    <t>VOE21707134</t>
  </si>
  <si>
    <t>VOE795210</t>
  </si>
  <si>
    <t>VOE466987</t>
  </si>
  <si>
    <t>VOE14688861</t>
  </si>
  <si>
    <t>VOE15052786</t>
  </si>
  <si>
    <t>VOE11110023</t>
  </si>
  <si>
    <t>VOE11703980</t>
  </si>
  <si>
    <t>VOE14882610</t>
  </si>
  <si>
    <t>VOE14577671</t>
  </si>
  <si>
    <t>ENGINE COMPONENTS:</t>
  </si>
  <si>
    <t>VOE21426367</t>
  </si>
  <si>
    <t>VOE11706646</t>
  </si>
  <si>
    <t>VOE22086829</t>
  </si>
  <si>
    <t>CYLINDER HEAD AS</t>
  </si>
  <si>
    <t>VOE22329371</t>
  </si>
  <si>
    <t>VOE22336268</t>
  </si>
  <si>
    <t>FUEL INJECTORS</t>
  </si>
  <si>
    <t>VOE14570199</t>
  </si>
  <si>
    <t>VOE14577672</t>
  </si>
  <si>
    <t>VOE14570198</t>
  </si>
  <si>
    <t>FRONT IDLER AS</t>
  </si>
  <si>
    <t>VOE14577673</t>
  </si>
  <si>
    <t>VOE 14545576</t>
  </si>
  <si>
    <t>CARRIER ROLLER AS</t>
  </si>
  <si>
    <t>VOE14566801</t>
  </si>
  <si>
    <t>SINGLE FLANGE TRACK ROLLER AS</t>
  </si>
  <si>
    <t>VOE14717302</t>
  </si>
  <si>
    <t>VOE14532372</t>
  </si>
  <si>
    <t>VOE14880553</t>
  </si>
  <si>
    <t>VOE14663702</t>
  </si>
  <si>
    <t>VOE8980608540</t>
  </si>
  <si>
    <t>VOE1812006032</t>
  </si>
  <si>
    <t>VOE 8980915650</t>
  </si>
  <si>
    <t>VOE1812005904</t>
  </si>
  <si>
    <t>JLG</t>
  </si>
  <si>
    <t>450AJ</t>
  </si>
  <si>
    <t>AIR FILTER</t>
  </si>
  <si>
    <t xml:space="preserve">  MISC:</t>
  </si>
  <si>
    <t>Engine-Alternator</t>
  </si>
  <si>
    <t>Case</t>
  </si>
  <si>
    <t>N5M414626</t>
  </si>
  <si>
    <t>222421A1</t>
  </si>
  <si>
    <t>222422A1</t>
  </si>
  <si>
    <t xml:space="preserve">  MISCELLANEOUS:</t>
  </si>
  <si>
    <t>B4960W</t>
  </si>
  <si>
    <t>12-16.5</t>
  </si>
  <si>
    <t>SKYTRAK</t>
  </si>
  <si>
    <t>6042 TELEHANDLER FORKLIFT</t>
  </si>
  <si>
    <t>LHO11605556</t>
  </si>
  <si>
    <t>SECONDARY FUEL FILTER</t>
  </si>
  <si>
    <t>SEAT SUSPENSION</t>
  </si>
  <si>
    <t>568FM</t>
  </si>
  <si>
    <t>CAT00568PBRB00254</t>
  </si>
  <si>
    <t>1R-1808</t>
  </si>
  <si>
    <t>1R-0749</t>
  </si>
  <si>
    <t>326-1643</t>
  </si>
  <si>
    <t>093-7521</t>
  </si>
  <si>
    <t>419-8528</t>
  </si>
  <si>
    <t>453-5509</t>
  </si>
  <si>
    <t>471-6955</t>
  </si>
  <si>
    <t>112-7448</t>
  </si>
  <si>
    <t>MS4DLT-1125</t>
  </si>
  <si>
    <t>316-8895</t>
  </si>
  <si>
    <t>575-6593</t>
  </si>
  <si>
    <t>IDLER GP</t>
  </si>
  <si>
    <t>447-1720</t>
  </si>
  <si>
    <t>612-5206</t>
  </si>
  <si>
    <t>CARRIER ROLLER GP</t>
  </si>
  <si>
    <t>7X-2454</t>
  </si>
  <si>
    <t>BOLT</t>
  </si>
  <si>
    <t>528-2933</t>
  </si>
  <si>
    <t>8T-0363</t>
  </si>
  <si>
    <t>8T-4167</t>
  </si>
  <si>
    <t>609-0880</t>
  </si>
  <si>
    <t>484-9178</t>
  </si>
  <si>
    <t>301-2299</t>
  </si>
  <si>
    <t>150-4742</t>
  </si>
  <si>
    <t>478-9867</t>
  </si>
  <si>
    <t>567-5159</t>
  </si>
  <si>
    <t>AC COMPRESSOR GP</t>
  </si>
  <si>
    <t>511-7975</t>
  </si>
  <si>
    <t>FUEL INJECTION PUMP GP</t>
  </si>
  <si>
    <t>347-7109</t>
  </si>
  <si>
    <t>282-7958</t>
  </si>
  <si>
    <t>497-5506</t>
  </si>
  <si>
    <t>CYLINDER HEAD GP</t>
  </si>
  <si>
    <t>456-3493</t>
  </si>
  <si>
    <t>FUEL INJECTOR GP</t>
  </si>
  <si>
    <t>424-3431</t>
  </si>
  <si>
    <t>TURBOCHARGER GP</t>
  </si>
  <si>
    <t>561-3000</t>
  </si>
  <si>
    <t>ALTERNATOR GP</t>
  </si>
  <si>
    <t>D300</t>
  </si>
  <si>
    <t>4SD00494</t>
  </si>
  <si>
    <t>1R-1807</t>
  </si>
  <si>
    <t>1R-0750</t>
  </si>
  <si>
    <t>2U-6391</t>
  </si>
  <si>
    <t>265-6619</t>
  </si>
  <si>
    <t>6I-0273</t>
  </si>
  <si>
    <t>1P-7360</t>
  </si>
  <si>
    <t>153-5700</t>
  </si>
  <si>
    <t>443-8261</t>
  </si>
  <si>
    <t>SEAT GROUP SUSPENSION</t>
  </si>
  <si>
    <t>393-0461</t>
  </si>
  <si>
    <t>ENGINE MAJOR OVERHAUL KIT BRONZE</t>
  </si>
  <si>
    <t>4P-2942</t>
  </si>
  <si>
    <t xml:space="preserve">CAMSHAFT </t>
  </si>
  <si>
    <t>334-8389</t>
  </si>
  <si>
    <t xml:space="preserve">CRANKSHAFT </t>
  </si>
  <si>
    <t>8N-6796</t>
  </si>
  <si>
    <t>2W-1744</t>
  </si>
  <si>
    <t>6I-4355</t>
  </si>
  <si>
    <t>INJECTOR AS</t>
  </si>
  <si>
    <t>23.5R25</t>
  </si>
  <si>
    <t>6N-3827</t>
  </si>
  <si>
    <t>STARTER MOTOR DRIVE</t>
  </si>
  <si>
    <t>464-9988</t>
  </si>
  <si>
    <t>4P-9827</t>
  </si>
  <si>
    <t>5N-5692</t>
  </si>
  <si>
    <t>D250</t>
  </si>
  <si>
    <t>5WD00373</t>
  </si>
  <si>
    <t>9M-2341</t>
  </si>
  <si>
    <t>4T-3131</t>
  </si>
  <si>
    <t>7W-5495</t>
  </si>
  <si>
    <t>CAMSHAFT KIT</t>
  </si>
  <si>
    <t>2W-7277</t>
  </si>
  <si>
    <t>140-0044</t>
  </si>
  <si>
    <t>177-4132</t>
  </si>
  <si>
    <t>TRANSMISSION OVERHAUL GASKET KIT</t>
  </si>
  <si>
    <t>568-1349</t>
  </si>
  <si>
    <t>155-6055</t>
  </si>
  <si>
    <t>20.5R25</t>
  </si>
  <si>
    <t>207-1560</t>
  </si>
  <si>
    <t>515-1450</t>
  </si>
  <si>
    <t>1W-1695</t>
  </si>
  <si>
    <t>FUEL TRANSFER PUMP</t>
  </si>
  <si>
    <t>324 PROCESSOR</t>
  </si>
  <si>
    <t>CAT0324DCJKR01605</t>
  </si>
  <si>
    <t>326-1644</t>
  </si>
  <si>
    <t>5I-8670</t>
  </si>
  <si>
    <t>6I-2503</t>
  </si>
  <si>
    <t>6I-2504</t>
  </si>
  <si>
    <t>9X-3404</t>
  </si>
  <si>
    <t>12V BATTERY 900CCA IDR</t>
  </si>
  <si>
    <t>-</t>
  </si>
  <si>
    <t>327-6521</t>
  </si>
  <si>
    <t>SUSPENSION SEAT AS</t>
  </si>
  <si>
    <t>503-1353</t>
  </si>
  <si>
    <t>TRACK ROLLER GP</t>
  </si>
  <si>
    <t>602-9393</t>
  </si>
  <si>
    <t>FRONT IDLER GP</t>
  </si>
  <si>
    <t>8T-6430</t>
  </si>
  <si>
    <t>389-6866</t>
  </si>
  <si>
    <t xml:space="preserve">TRACK LINK AS </t>
  </si>
  <si>
    <t>306-2148</t>
  </si>
  <si>
    <t>9W-3361</t>
  </si>
  <si>
    <t>152-8628</t>
  </si>
  <si>
    <t>207-1551</t>
  </si>
  <si>
    <t>305-0325</t>
  </si>
  <si>
    <t>396-3296</t>
  </si>
  <si>
    <t>FUEL TRANSFER PUMP KIT</t>
  </si>
  <si>
    <t>650-3577</t>
  </si>
  <si>
    <t>ENGINE OVERHAUL KIT</t>
  </si>
  <si>
    <t>212-4288</t>
  </si>
  <si>
    <t>489-2731</t>
  </si>
  <si>
    <t>219-5847</t>
  </si>
  <si>
    <t>557-7627</t>
  </si>
  <si>
    <t>177-0440</t>
  </si>
  <si>
    <t>14H</t>
  </si>
  <si>
    <t>ASE01414</t>
  </si>
  <si>
    <t>ASE</t>
  </si>
  <si>
    <t>3PD13874</t>
  </si>
  <si>
    <t>1R-0716</t>
  </si>
  <si>
    <t>Filter-Oil</t>
  </si>
  <si>
    <t>513-4490</t>
  </si>
  <si>
    <t>FUEL WATER SEPARATOR FILTER</t>
  </si>
  <si>
    <t>Filter-Fuel</t>
  </si>
  <si>
    <t>1R-0762</t>
  </si>
  <si>
    <t>343-4464</t>
  </si>
  <si>
    <t>HYDRAULIC/TRANSMISSION FILTER ELEMENT</t>
  </si>
  <si>
    <t>6I-0274</t>
  </si>
  <si>
    <t>SECONDARY AIR FILTER ELEMENT</t>
  </si>
  <si>
    <t>7T-7358</t>
  </si>
  <si>
    <t>513-3693</t>
  </si>
  <si>
    <t xml:space="preserve">SEAT </t>
  </si>
  <si>
    <t>20.5R25 TIRE</t>
  </si>
  <si>
    <t>CUSTOM Engine SLVR O.K (417-9506)</t>
  </si>
  <si>
    <t>GQP SILVER ENGINE OVERHAUL KIT (417-9506)</t>
  </si>
  <si>
    <t>171-3063</t>
  </si>
  <si>
    <t>326-4278</t>
  </si>
  <si>
    <t>148-2149</t>
  </si>
  <si>
    <t>174-1644</t>
  </si>
  <si>
    <t>317-5278</t>
  </si>
  <si>
    <t>INJECTORS</t>
  </si>
  <si>
    <t>8W-8089</t>
  </si>
  <si>
    <t>MOLDBOARD BLADE</t>
  </si>
  <si>
    <t>8J-9821</t>
  </si>
  <si>
    <t>1J-6762</t>
  </si>
  <si>
    <t>2J-3506</t>
  </si>
  <si>
    <t>8E-5529</t>
  </si>
  <si>
    <t>5J-4773</t>
  </si>
  <si>
    <t>Corner bits-end bits-HE</t>
  </si>
  <si>
    <t>9J-6586</t>
  </si>
  <si>
    <t>RIPPER SHANK</t>
  </si>
  <si>
    <t>6Y-0309</t>
  </si>
  <si>
    <t>RIPPER TIP</t>
  </si>
  <si>
    <t>3B-5325</t>
  </si>
  <si>
    <t>COTTER PIN</t>
  </si>
  <si>
    <t>136-8308</t>
  </si>
  <si>
    <t>GROOVED PIN</t>
  </si>
  <si>
    <t>114-0359</t>
  </si>
  <si>
    <t>RETAINER ASSY</t>
  </si>
  <si>
    <t>2K-6413</t>
  </si>
  <si>
    <t>OUTER PIN</t>
  </si>
  <si>
    <t>347-3554</t>
  </si>
  <si>
    <t>388-7285</t>
  </si>
  <si>
    <t>ASE01070</t>
  </si>
  <si>
    <t>3PD08745</t>
  </si>
  <si>
    <t>14H NA</t>
  </si>
  <si>
    <t>7WJ02189</t>
  </si>
  <si>
    <t>7WJ</t>
  </si>
  <si>
    <t>6NC30143</t>
  </si>
  <si>
    <t>1R-0739</t>
  </si>
  <si>
    <t>114-1183</t>
  </si>
  <si>
    <t>7E-9980</t>
  </si>
  <si>
    <t>344-2603</t>
  </si>
  <si>
    <t>7N-8876</t>
  </si>
  <si>
    <t>106-7407</t>
  </si>
  <si>
    <t>170-5187</t>
  </si>
  <si>
    <t>3E-1906</t>
  </si>
  <si>
    <t>7W-5928</t>
  </si>
  <si>
    <t>14G</t>
  </si>
  <si>
    <t>96U05245</t>
  </si>
  <si>
    <t>96U</t>
  </si>
  <si>
    <t>7W-8910</t>
  </si>
  <si>
    <t>7W-5317</t>
  </si>
  <si>
    <t>9S-9972</t>
  </si>
  <si>
    <t>5G-1913</t>
  </si>
  <si>
    <t>393-2242</t>
  </si>
  <si>
    <t>ENGINE OVERHAUL KIT BRONZE</t>
  </si>
  <si>
    <t>7D-1158</t>
  </si>
  <si>
    <t>14M</t>
  </si>
  <si>
    <t>R9J01415</t>
  </si>
  <si>
    <t xml:space="preserve">R9J </t>
  </si>
  <si>
    <t>TXE10813</t>
  </si>
  <si>
    <t>1G-8878</t>
  </si>
  <si>
    <t>338-3540</t>
  </si>
  <si>
    <t>245-3818</t>
  </si>
  <si>
    <t>245-3819</t>
  </si>
  <si>
    <t>149-1912</t>
  </si>
  <si>
    <t>211-2660</t>
  </si>
  <si>
    <t>421-1234</t>
  </si>
  <si>
    <t>652-0820</t>
  </si>
  <si>
    <t>223-7468</t>
  </si>
  <si>
    <t>313-3996</t>
  </si>
  <si>
    <t>305-0617</t>
  </si>
  <si>
    <t>247-2956</t>
  </si>
  <si>
    <t>249-0712</t>
  </si>
  <si>
    <t>260-7786</t>
  </si>
  <si>
    <t>4T-2236</t>
  </si>
  <si>
    <t>338-3454</t>
  </si>
  <si>
    <t>501-1179</t>
  </si>
  <si>
    <t>384-8612</t>
  </si>
  <si>
    <t>325D</t>
  </si>
  <si>
    <t>C9M01667</t>
  </si>
  <si>
    <t>C9M</t>
  </si>
  <si>
    <t>KHX52696</t>
  </si>
  <si>
    <t>HYDRAULIC/ TRANSMISSION OIL FILTER</t>
  </si>
  <si>
    <t>6C-9226</t>
  </si>
  <si>
    <t>3T-5760</t>
  </si>
  <si>
    <t>327-6512</t>
  </si>
  <si>
    <t>250-7696</t>
  </si>
  <si>
    <t>TURBOCHARGER ASSEMBLY</t>
  </si>
  <si>
    <t>640-3842</t>
  </si>
  <si>
    <t>7X-2575</t>
  </si>
  <si>
    <t>620-6129</t>
  </si>
  <si>
    <t>447-1724</t>
  </si>
  <si>
    <t>TRACK ROLLER</t>
  </si>
  <si>
    <t>447-1723</t>
  </si>
  <si>
    <t>CARRIER ROLLER BOLT</t>
  </si>
  <si>
    <t>451-2177</t>
  </si>
  <si>
    <t>609-0896</t>
  </si>
  <si>
    <t>383-1992</t>
  </si>
  <si>
    <t>924G</t>
  </si>
  <si>
    <t>CAT0924GTDDA03536</t>
  </si>
  <si>
    <t>Unit# E54</t>
  </si>
  <si>
    <t>141-7844</t>
  </si>
  <si>
    <t>465-6506</t>
  </si>
  <si>
    <t>222-9020</t>
  </si>
  <si>
    <t>222-9021</t>
  </si>
  <si>
    <t>111-8738</t>
  </si>
  <si>
    <t>180-7487</t>
  </si>
  <si>
    <t>131-1812</t>
  </si>
  <si>
    <t>FUEL/WATER SEPERATOR</t>
  </si>
  <si>
    <t>115-2422</t>
  </si>
  <si>
    <t>8Y-6882</t>
  </si>
  <si>
    <t>SEAT GP</t>
  </si>
  <si>
    <t xml:space="preserve">650-4606 </t>
  </si>
  <si>
    <t>360-3197</t>
  </si>
  <si>
    <t>240-8467</t>
  </si>
  <si>
    <t>216-8335</t>
  </si>
  <si>
    <t xml:space="preserve">CYLINDER HEAD </t>
  </si>
  <si>
    <t>235-9694</t>
  </si>
  <si>
    <t>TURBOCHARGER REMAN</t>
  </si>
  <si>
    <t>20R-0478</t>
  </si>
  <si>
    <t>REMAN INJECTOR GP</t>
  </si>
  <si>
    <t>17.5R25</t>
  </si>
  <si>
    <t>143-0541</t>
  </si>
  <si>
    <t xml:space="preserve">STARTER MOTOR </t>
  </si>
  <si>
    <t>106-5122</t>
  </si>
  <si>
    <t>216-9043</t>
  </si>
  <si>
    <t>FUEL  TRANSFER PUMP</t>
  </si>
  <si>
    <t>D8</t>
  </si>
  <si>
    <t>9TC04269</t>
  </si>
  <si>
    <t xml:space="preserve">9TC </t>
  </si>
  <si>
    <t>1R-0741</t>
  </si>
  <si>
    <t>6T-0988</t>
  </si>
  <si>
    <t>661-6259</t>
  </si>
  <si>
    <t>211-3025</t>
  </si>
  <si>
    <t>7C-7691</t>
  </si>
  <si>
    <t>8M-3832</t>
  </si>
  <si>
    <t>SPROCKET WASHER</t>
  </si>
  <si>
    <t>314-5462</t>
  </si>
  <si>
    <t xml:space="preserve">SEGMENT SPROCKET </t>
  </si>
  <si>
    <t>7H-3608</t>
  </si>
  <si>
    <t xml:space="preserve">SPROCKET NUT </t>
  </si>
  <si>
    <t>5P-7665</t>
  </si>
  <si>
    <t>BOLT SPROCKET</t>
  </si>
  <si>
    <t>244-1323</t>
  </si>
  <si>
    <t xml:space="preserve">IDLER </t>
  </si>
  <si>
    <t>620-6380</t>
  </si>
  <si>
    <t>ROLLER SINGLE FLANGE</t>
  </si>
  <si>
    <t>620-6402</t>
  </si>
  <si>
    <t>ROLLER DOUBLE FLANGE</t>
  </si>
  <si>
    <t>7G-6442</t>
  </si>
  <si>
    <t>625-7303</t>
  </si>
  <si>
    <t>6V-1723</t>
  </si>
  <si>
    <t>6V-1724</t>
  </si>
  <si>
    <t>TRACK BOLT MASTER</t>
  </si>
  <si>
    <t>6V-1725</t>
  </si>
  <si>
    <t>8E-4538</t>
  </si>
  <si>
    <t>END BIT LH</t>
  </si>
  <si>
    <t>8E-4537</t>
  </si>
  <si>
    <t>END BIT RH</t>
  </si>
  <si>
    <t>4J-9058</t>
  </si>
  <si>
    <t>7T-9127</t>
  </si>
  <si>
    <t>9W-6092</t>
  </si>
  <si>
    <t>2J-3507</t>
  </si>
  <si>
    <t>NUT FULL</t>
  </si>
  <si>
    <t>5P-8250</t>
  </si>
  <si>
    <t>6N-3826</t>
  </si>
  <si>
    <t>7T-8600</t>
  </si>
  <si>
    <t>110-1284</t>
  </si>
  <si>
    <t>100-7408</t>
  </si>
  <si>
    <t>430-2593</t>
  </si>
  <si>
    <t>7W-2203</t>
  </si>
  <si>
    <t>379-8856</t>
  </si>
  <si>
    <t>980C</t>
  </si>
  <si>
    <t xml:space="preserve"> 63XO6659</t>
  </si>
  <si>
    <t>9T-8578</t>
  </si>
  <si>
    <t>1R-0722</t>
  </si>
  <si>
    <t>175-2837</t>
  </si>
  <si>
    <t>4S-9219</t>
  </si>
  <si>
    <t>661-6261</t>
  </si>
  <si>
    <t xml:space="preserve">SEAT SUSPENSION </t>
  </si>
  <si>
    <t>380-1234</t>
  </si>
  <si>
    <t xml:space="preserve">ENGINE  OVERHAUL KIT SILVER </t>
  </si>
  <si>
    <t>8N-9245</t>
  </si>
  <si>
    <t>214-1667</t>
  </si>
  <si>
    <t>249-0173</t>
  </si>
  <si>
    <t>26.5R25</t>
  </si>
  <si>
    <t>133-9565</t>
  </si>
  <si>
    <t>BUCKET GENERAL PURPOSE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</si>
</sst>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5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b/>
      <sz val="12"/>
      <color theme="0"/>
      <name val="Calibri"/>
    </font>
    <font>
      <b/>
      <sz val="11"/>
      <color theme="1"/>
      <name val="Calibri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  <font>
      <sz val="11"/>
      <color theme="10"/>
      <name val="Calibri"/>
    </font>
    <font>
      <b/>
      <sz val="11"/>
      <color theme="0"/>
      <name val="Calibri"/>
    </font>
    <font>
      <b/>
      <sz val="12"/>
      <color theme="1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name val="Calibri"/>
    </font>
    <font>
      <b/>
      <sz val="16"/>
      <color theme="0"/>
      <name val="Calibri"/>
    </font>
    <font>
      <b/>
      <sz val="10"/>
      <name val="Calibri"/>
    </font>
    <font>
      <b/>
      <sz val="14"/>
      <name val="Calibri"/>
    </font>
    <font>
      <b/>
      <sz val="10"/>
      <color theme="0"/>
      <name val="Calibri"/>
    </font>
    <font>
      <sz val="10"/>
      <name val="Calibri"/>
    </font>
    <font>
      <b/>
      <sz val="8"/>
      <color theme="0"/>
      <name val="Calibri"/>
    </font>
    <font>
      <b/>
      <sz val="10"/>
      <color rgb="FFFF0000"/>
      <name val="Calibri"/>
    </font>
    <font>
      <b/>
      <sz val="10"/>
      <color theme="6" tint="0.39997558519241921"/>
      <name val="Calibri"/>
    </font>
    <font>
      <sz val="11"/>
      <color rgb="FF000000"/>
      <name val="Calibri"/>
    </font>
    <font>
      <b/>
      <sz val="11"/>
      <color theme="2"/>
      <name val="Calibri"/>
    </font>
    <font>
      <sz val="11"/>
      <color rgb="FF000000"/>
      <name val="Calibri"/>
      <charset val="1"/>
    </font>
    <font>
      <sz val="11"/>
      <color rgb="FF0A0A0A"/>
      <name val="Calibri"/>
    </font>
    <font>
      <sz val="11"/>
      <color rgb="FF0A0A0A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37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44" fontId="6" fillId="0" borderId="2" xfId="1" applyFont="1" applyFill="1" applyBorder="1" applyProtection="1">
      <protection locked="0"/>
    </xf>
    <xf numFmtId="44" fontId="6" fillId="0" borderId="2" xfId="1" applyFont="1" applyFill="1" applyBorder="1" applyProtection="1"/>
    <xf numFmtId="44" fontId="6" fillId="0" borderId="7" xfId="1" applyFont="1" applyFill="1" applyBorder="1" applyProtection="1"/>
    <xf numFmtId="44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44" fontId="6" fillId="0" borderId="1" xfId="1" applyFont="1" applyFill="1" applyBorder="1" applyProtection="1">
      <protection locked="0"/>
    </xf>
    <xf numFmtId="44" fontId="6" fillId="0" borderId="1" xfId="1" applyFont="1" applyFill="1" applyBorder="1" applyProtection="1"/>
    <xf numFmtId="44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5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5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44" fontId="6" fillId="10" borderId="2" xfId="1" applyFont="1" applyFill="1" applyBorder="1" applyProtection="1"/>
    <xf numFmtId="44" fontId="6" fillId="10" borderId="7" xfId="1" applyFont="1" applyFill="1" applyBorder="1" applyProtection="1"/>
    <xf numFmtId="44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44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44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44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5" fontId="2" fillId="6" borderId="0" xfId="0" applyNumberFormat="1" applyFont="1" applyFill="1"/>
    <xf numFmtId="166" fontId="8" fillId="0" borderId="0" xfId="0" applyNumberFormat="1" applyFont="1"/>
    <xf numFmtId="166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44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44" fontId="3" fillId="10" borderId="1" xfId="1" applyFont="1" applyFill="1" applyBorder="1" applyAlignment="1" applyProtection="1">
      <alignment horizontal="center"/>
    </xf>
    <xf numFmtId="44" fontId="3" fillId="10" borderId="1" xfId="0" applyNumberFormat="1" applyFont="1" applyFill="1" applyBorder="1" applyAlignment="1">
      <alignment horizontal="right"/>
    </xf>
    <xf numFmtId="44" fontId="3" fillId="10" borderId="1" xfId="0" applyNumberFormat="1" applyFont="1" applyFill="1" applyBorder="1"/>
    <xf numFmtId="44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44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44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44" fontId="6" fillId="10" borderId="2" xfId="1" applyFont="1" applyFill="1" applyBorder="1" applyProtection="1">
      <protection locked="0"/>
    </xf>
    <xf numFmtId="0" fontId="17" fillId="8" borderId="57" xfId="0" applyFont="1" applyFill="1" applyBorder="1" applyAlignment="1">
      <alignment horizontal="center"/>
    </xf>
    <xf numFmtId="0" fontId="16" fillId="9" borderId="26" xfId="0" applyFont="1" applyFill="1" applyBorder="1" applyAlignment="1">
      <alignment horizontal="center" vertical="center" wrapText="1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39" xfId="0" applyFont="1" applyFill="1" applyBorder="1" applyAlignment="1">
      <alignment horizontal="center"/>
    </xf>
    <xf numFmtId="0" fontId="21" fillId="2" borderId="63" xfId="0" applyFont="1" applyFill="1" applyBorder="1" applyAlignment="1">
      <alignment horizontal="center"/>
    </xf>
    <xf numFmtId="0" fontId="2" fillId="0" borderId="69" xfId="0" applyFont="1" applyBorder="1" applyAlignment="1" applyProtection="1">
      <alignment horizontal="left"/>
      <protection locked="0"/>
    </xf>
    <xf numFmtId="0" fontId="2" fillId="3" borderId="69" xfId="0" applyFont="1" applyFill="1" applyBorder="1" applyAlignment="1" applyProtection="1">
      <alignment horizontal="left"/>
      <protection locked="0"/>
    </xf>
    <xf numFmtId="0" fontId="16" fillId="9" borderId="8" xfId="0" applyFont="1" applyFill="1" applyBorder="1" applyAlignment="1">
      <alignment horizontal="center" vertical="center"/>
    </xf>
    <xf numFmtId="0" fontId="16" fillId="9" borderId="52" xfId="0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7" fillId="15" borderId="3" xfId="0" applyFont="1" applyFill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16" fillId="9" borderId="72" xfId="0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44" fontId="6" fillId="5" borderId="8" xfId="1" applyFont="1" applyFill="1" applyBorder="1" applyProtection="1"/>
    <xf numFmtId="44" fontId="6" fillId="6" borderId="8" xfId="1" applyFont="1" applyFill="1" applyBorder="1" applyProtection="1"/>
    <xf numFmtId="44" fontId="25" fillId="6" borderId="4" xfId="0" applyNumberFormat="1" applyFont="1" applyFill="1" applyBorder="1"/>
    <xf numFmtId="0" fontId="2" fillId="0" borderId="13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73" xfId="0" applyFont="1" applyBorder="1" applyAlignment="1" applyProtection="1">
      <alignment horizontal="center"/>
      <protection locked="0"/>
    </xf>
    <xf numFmtId="3" fontId="6" fillId="0" borderId="13" xfId="0" applyNumberFormat="1" applyFont="1" applyBorder="1" applyAlignment="1" applyProtection="1">
      <alignment horizontal="center"/>
      <protection locked="0"/>
    </xf>
    <xf numFmtId="44" fontId="6" fillId="0" borderId="13" xfId="1" applyFont="1" applyFill="1" applyBorder="1" applyProtection="1">
      <protection locked="0"/>
    </xf>
    <xf numFmtId="44" fontId="6" fillId="0" borderId="13" xfId="1" applyFont="1" applyFill="1" applyBorder="1" applyProtection="1"/>
    <xf numFmtId="44" fontId="6" fillId="0" borderId="12" xfId="1" applyFont="1" applyFill="1" applyBorder="1" applyProtection="1"/>
    <xf numFmtId="0" fontId="6" fillId="3" borderId="3" xfId="0" applyFont="1" applyFill="1" applyBorder="1" applyProtection="1">
      <protection locked="0"/>
    </xf>
    <xf numFmtId="0" fontId="6" fillId="3" borderId="4" xfId="0" applyFont="1" applyFill="1" applyBorder="1" applyProtection="1">
      <protection locked="0"/>
    </xf>
    <xf numFmtId="0" fontId="2" fillId="0" borderId="7" xfId="0" applyFont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8" fillId="6" borderId="0" xfId="0" applyFont="1" applyFill="1"/>
    <xf numFmtId="0" fontId="29" fillId="8" borderId="57" xfId="0" applyFont="1" applyFill="1" applyBorder="1" applyAlignment="1">
      <alignment horizontal="center"/>
    </xf>
    <xf numFmtId="0" fontId="30" fillId="6" borderId="0" xfId="0" applyFont="1" applyFill="1"/>
    <xf numFmtId="0" fontId="31" fillId="0" borderId="0" xfId="0" applyFont="1" applyAlignment="1">
      <alignment vertical="center"/>
    </xf>
    <xf numFmtId="0" fontId="32" fillId="0" borderId="0" xfId="0" applyFont="1"/>
    <xf numFmtId="0" fontId="30" fillId="4" borderId="7" xfId="0" applyFont="1" applyFill="1" applyBorder="1" applyAlignment="1">
      <alignment horizontal="right"/>
    </xf>
    <xf numFmtId="165" fontId="28" fillId="3" borderId="7" xfId="0" applyNumberFormat="1" applyFont="1" applyFill="1" applyBorder="1" applyAlignment="1" applyProtection="1">
      <alignment horizontal="left"/>
      <protection locked="0"/>
    </xf>
    <xf numFmtId="0" fontId="32" fillId="3" borderId="3" xfId="0" applyFont="1" applyFill="1" applyBorder="1" applyProtection="1">
      <protection locked="0"/>
    </xf>
    <xf numFmtId="0" fontId="32" fillId="3" borderId="4" xfId="0" applyFont="1" applyFill="1" applyBorder="1" applyProtection="1">
      <protection locked="0"/>
    </xf>
    <xf numFmtId="0" fontId="32" fillId="3" borderId="7" xfId="0" applyFont="1" applyFill="1" applyBorder="1" applyAlignment="1" applyProtection="1">
      <alignment horizontal="center"/>
      <protection locked="0"/>
    </xf>
    <xf numFmtId="0" fontId="31" fillId="5" borderId="14" xfId="0" applyFont="1" applyFill="1" applyBorder="1" applyAlignment="1">
      <alignment horizontal="center" vertical="center" wrapText="1"/>
    </xf>
    <xf numFmtId="165" fontId="28" fillId="3" borderId="13" xfId="0" applyNumberFormat="1" applyFont="1" applyFill="1" applyBorder="1" applyProtection="1">
      <protection locked="0"/>
    </xf>
    <xf numFmtId="165" fontId="28" fillId="6" borderId="0" xfId="0" applyNumberFormat="1" applyFont="1" applyFill="1"/>
    <xf numFmtId="0" fontId="30" fillId="4" borderId="3" xfId="0" applyFont="1" applyFill="1" applyBorder="1" applyAlignment="1">
      <alignment horizontal="right"/>
    </xf>
    <xf numFmtId="0" fontId="28" fillId="3" borderId="3" xfId="0" applyFont="1" applyFill="1" applyBorder="1" applyAlignment="1" applyProtection="1">
      <alignment horizontal="left"/>
      <protection locked="0"/>
    </xf>
    <xf numFmtId="0" fontId="32" fillId="3" borderId="3" xfId="0" applyFont="1" applyFill="1" applyBorder="1" applyAlignment="1" applyProtection="1">
      <alignment horizontal="center"/>
      <protection locked="0"/>
    </xf>
    <xf numFmtId="0" fontId="28" fillId="3" borderId="13" xfId="0" applyFont="1" applyFill="1" applyBorder="1" applyProtection="1">
      <protection locked="0"/>
    </xf>
    <xf numFmtId="166" fontId="34" fillId="0" borderId="0" xfId="0" applyNumberFormat="1" applyFont="1"/>
    <xf numFmtId="0" fontId="30" fillId="4" borderId="1" xfId="0" applyFont="1" applyFill="1" applyBorder="1" applyAlignment="1">
      <alignment horizontal="right"/>
    </xf>
    <xf numFmtId="1" fontId="35" fillId="3" borderId="3" xfId="3" applyNumberFormat="1" applyFont="1" applyFill="1" applyBorder="1" applyAlignment="1" applyProtection="1">
      <alignment horizontal="left"/>
      <protection locked="0"/>
    </xf>
    <xf numFmtId="0" fontId="5" fillId="3" borderId="13" xfId="3" applyFill="1" applyBorder="1" applyProtection="1">
      <protection locked="0"/>
    </xf>
    <xf numFmtId="0" fontId="5" fillId="6" borderId="0" xfId="3" applyFill="1"/>
    <xf numFmtId="9" fontId="34" fillId="0" borderId="0" xfId="2" applyFont="1"/>
    <xf numFmtId="0" fontId="32" fillId="3" borderId="3" xfId="3" applyFont="1" applyFill="1" applyBorder="1" applyAlignment="1" applyProtection="1">
      <alignment horizontal="left"/>
      <protection locked="0"/>
    </xf>
    <xf numFmtId="0" fontId="7" fillId="6" borderId="0" xfId="3" applyFont="1" applyFill="1"/>
    <xf numFmtId="0" fontId="30" fillId="11" borderId="6" xfId="0" applyFont="1" applyFill="1" applyBorder="1" applyAlignment="1">
      <alignment horizontal="right"/>
    </xf>
    <xf numFmtId="0" fontId="28" fillId="11" borderId="0" xfId="0" applyFont="1" applyFill="1"/>
    <xf numFmtId="0" fontId="36" fillId="2" borderId="32" xfId="0" applyFont="1" applyFill="1" applyBorder="1" applyAlignment="1">
      <alignment horizontal="center"/>
    </xf>
    <xf numFmtId="0" fontId="36" fillId="2" borderId="18" xfId="0" applyFont="1" applyFill="1" applyBorder="1" applyAlignment="1">
      <alignment horizontal="center" vertical="center"/>
    </xf>
    <xf numFmtId="0" fontId="36" fillId="2" borderId="36" xfId="0" applyFont="1" applyFill="1" applyBorder="1" applyAlignment="1">
      <alignment horizontal="center" vertical="center"/>
    </xf>
    <xf numFmtId="0" fontId="28" fillId="3" borderId="0" xfId="0" applyFont="1" applyFill="1" applyProtection="1">
      <protection locked="0"/>
    </xf>
    <xf numFmtId="166" fontId="33" fillId="6" borderId="0" xfId="0" applyNumberFormat="1" applyFont="1" applyFill="1" applyAlignment="1">
      <alignment horizontal="center" vertical="center"/>
    </xf>
    <xf numFmtId="0" fontId="32" fillId="11" borderId="0" xfId="0" applyFont="1" applyFill="1" applyAlignment="1">
      <alignment horizontal="left"/>
    </xf>
    <xf numFmtId="0" fontId="34" fillId="11" borderId="0" xfId="0" applyFont="1" applyFill="1" applyAlignment="1">
      <alignment horizontal="center"/>
    </xf>
    <xf numFmtId="9" fontId="32" fillId="11" borderId="0" xfId="2" applyFont="1" applyFill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40" fillId="5" borderId="14" xfId="0" applyFont="1" applyFill="1" applyBorder="1" applyAlignment="1">
      <alignment horizontal="center" vertical="center"/>
    </xf>
    <xf numFmtId="0" fontId="40" fillId="0" borderId="17" xfId="0" applyFont="1" applyBorder="1" applyAlignment="1" applyProtection="1">
      <alignment vertical="center"/>
      <protection locked="0"/>
    </xf>
    <xf numFmtId="0" fontId="40" fillId="6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40" fillId="5" borderId="13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 wrapText="1"/>
    </xf>
    <xf numFmtId="0" fontId="40" fillId="0" borderId="8" xfId="0" applyFont="1" applyBorder="1" applyAlignment="1" applyProtection="1">
      <alignment vertical="center"/>
      <protection locked="0"/>
    </xf>
    <xf numFmtId="0" fontId="38" fillId="2" borderId="39" xfId="0" applyFont="1" applyFill="1" applyBorder="1" applyAlignment="1">
      <alignment horizontal="center"/>
    </xf>
    <xf numFmtId="0" fontId="33" fillId="3" borderId="22" xfId="0" applyFont="1" applyFill="1" applyBorder="1" applyAlignment="1" applyProtection="1">
      <alignment horizontal="center"/>
      <protection locked="0"/>
    </xf>
    <xf numFmtId="0" fontId="33" fillId="5" borderId="13" xfId="0" applyFont="1" applyFill="1" applyBorder="1" applyAlignment="1">
      <alignment horizontal="center"/>
    </xf>
    <xf numFmtId="0" fontId="40" fillId="0" borderId="9" xfId="0" applyFont="1" applyBorder="1" applyAlignment="1" applyProtection="1">
      <alignment vertical="center"/>
      <protection locked="0"/>
    </xf>
    <xf numFmtId="0" fontId="38" fillId="2" borderId="63" xfId="0" applyFont="1" applyFill="1" applyBorder="1" applyAlignment="1">
      <alignment horizontal="center"/>
    </xf>
    <xf numFmtId="0" fontId="33" fillId="4" borderId="35" xfId="0" applyFont="1" applyFill="1" applyBorder="1" applyAlignment="1">
      <alignment horizontal="center" vertical="center"/>
    </xf>
    <xf numFmtId="0" fontId="33" fillId="4" borderId="34" xfId="0" applyFont="1" applyFill="1" applyBorder="1" applyAlignment="1">
      <alignment horizontal="center" vertical="center"/>
    </xf>
    <xf numFmtId="0" fontId="33" fillId="5" borderId="13" xfId="0" applyFont="1" applyFill="1" applyBorder="1" applyAlignment="1">
      <alignment horizontal="center" vertical="center"/>
    </xf>
    <xf numFmtId="0" fontId="32" fillId="5" borderId="13" xfId="0" applyFont="1" applyFill="1" applyBorder="1" applyAlignment="1">
      <alignment horizontal="center"/>
    </xf>
    <xf numFmtId="0" fontId="42" fillId="4" borderId="33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 applyProtection="1">
      <alignment horizontal="center" vertical="center" wrapText="1"/>
      <protection locked="0"/>
    </xf>
    <xf numFmtId="44" fontId="30" fillId="3" borderId="33" xfId="1" applyFont="1" applyFill="1" applyBorder="1" applyAlignment="1" applyProtection="1">
      <alignment horizontal="center" vertical="center"/>
      <protection locked="0"/>
    </xf>
    <xf numFmtId="10" fontId="37" fillId="3" borderId="33" xfId="2" applyNumberFormat="1" applyFont="1" applyFill="1" applyBorder="1" applyAlignment="1" applyProtection="1">
      <alignment horizontal="center" vertical="center"/>
      <protection locked="0"/>
    </xf>
    <xf numFmtId="44" fontId="34" fillId="10" borderId="32" xfId="0" applyNumberFormat="1" applyFont="1" applyFill="1" applyBorder="1" applyAlignment="1">
      <alignment vertical="center"/>
    </xf>
    <xf numFmtId="0" fontId="28" fillId="1" borderId="0" xfId="0" applyFont="1" applyFill="1" applyProtection="1">
      <protection locked="0"/>
    </xf>
    <xf numFmtId="2" fontId="43" fillId="0" borderId="1" xfId="0" applyNumberFormat="1" applyFont="1" applyBorder="1" applyAlignment="1">
      <alignment horizontal="center" vertical="center"/>
    </xf>
    <xf numFmtId="0" fontId="43" fillId="3" borderId="1" xfId="0" applyFont="1" applyFill="1" applyBorder="1" applyAlignment="1" applyProtection="1">
      <alignment horizontal="center" vertical="center"/>
      <protection locked="0"/>
    </xf>
    <xf numFmtId="0" fontId="43" fillId="5" borderId="13" xfId="0" applyFont="1" applyFill="1" applyBorder="1" applyAlignment="1">
      <alignment horizontal="center" vertical="center"/>
    </xf>
    <xf numFmtId="0" fontId="45" fillId="0" borderId="4" xfId="0" applyFont="1" applyBorder="1" applyAlignment="1" applyProtection="1">
      <alignment vertical="center"/>
      <protection locked="0"/>
    </xf>
    <xf numFmtId="0" fontId="45" fillId="6" borderId="0" xfId="0" applyFont="1" applyFill="1" applyAlignment="1">
      <alignment horizontal="center" vertical="center"/>
    </xf>
    <xf numFmtId="0" fontId="36" fillId="9" borderId="72" xfId="0" applyFont="1" applyFill="1" applyBorder="1" applyAlignment="1">
      <alignment horizontal="center" vertical="center" wrapText="1"/>
    </xf>
    <xf numFmtId="0" fontId="36" fillId="9" borderId="24" xfId="0" applyFont="1" applyFill="1" applyBorder="1" applyAlignment="1">
      <alignment horizontal="center" vertical="center" wrapText="1"/>
    </xf>
    <xf numFmtId="0" fontId="36" fillId="9" borderId="8" xfId="0" applyFont="1" applyFill="1" applyBorder="1" applyAlignment="1">
      <alignment horizontal="center" vertical="center"/>
    </xf>
    <xf numFmtId="0" fontId="44" fillId="9" borderId="49" xfId="0" applyFont="1" applyFill="1" applyBorder="1" applyAlignment="1">
      <alignment horizontal="center" vertical="center" wrapText="1"/>
    </xf>
    <xf numFmtId="0" fontId="36" fillId="9" borderId="53" xfId="0" applyFont="1" applyFill="1" applyBorder="1" applyAlignment="1">
      <alignment horizontal="center" vertical="center" wrapText="1"/>
    </xf>
    <xf numFmtId="0" fontId="36" fillId="9" borderId="26" xfId="0" applyFont="1" applyFill="1" applyBorder="1" applyAlignment="1">
      <alignment horizontal="center" vertical="center" wrapText="1"/>
    </xf>
    <xf numFmtId="0" fontId="36" fillId="9" borderId="29" xfId="0" applyFont="1" applyFill="1" applyBorder="1" applyAlignment="1">
      <alignment horizontal="center" vertical="center" wrapText="1"/>
    </xf>
    <xf numFmtId="0" fontId="36" fillId="9" borderId="27" xfId="0" applyFont="1" applyFill="1" applyBorder="1" applyAlignment="1">
      <alignment horizontal="center" vertical="center" wrapText="1"/>
    </xf>
    <xf numFmtId="0" fontId="33" fillId="5" borderId="8" xfId="0" applyFont="1" applyFill="1" applyBorder="1" applyAlignment="1">
      <alignment horizontal="center" vertical="center" wrapText="1"/>
    </xf>
    <xf numFmtId="0" fontId="36" fillId="9" borderId="20" xfId="0" applyFont="1" applyFill="1" applyBorder="1" applyAlignment="1">
      <alignment horizontal="center" vertical="center" wrapText="1"/>
    </xf>
    <xf numFmtId="0" fontId="44" fillId="9" borderId="20" xfId="0" applyFont="1" applyFill="1" applyBorder="1" applyAlignment="1">
      <alignment horizontal="center" vertical="center" wrapText="1"/>
    </xf>
    <xf numFmtId="0" fontId="42" fillId="5" borderId="13" xfId="0" applyFont="1" applyFill="1" applyBorder="1" applyAlignment="1">
      <alignment horizontal="center" vertical="center" wrapText="1"/>
    </xf>
    <xf numFmtId="0" fontId="47" fillId="9" borderId="30" xfId="0" applyFont="1" applyFill="1" applyBorder="1" applyAlignment="1">
      <alignment horizontal="center" vertical="center" wrapText="1"/>
    </xf>
    <xf numFmtId="0" fontId="48" fillId="9" borderId="20" xfId="0" applyFont="1" applyFill="1" applyBorder="1" applyAlignment="1">
      <alignment horizontal="center" vertical="center" wrapText="1"/>
    </xf>
    <xf numFmtId="0" fontId="42" fillId="0" borderId="0" xfId="0" applyFont="1" applyAlignment="1" applyProtection="1">
      <alignment horizontal="center" vertical="center" wrapText="1"/>
      <protection locked="0"/>
    </xf>
    <xf numFmtId="0" fontId="42" fillId="6" borderId="0" xfId="0" applyFont="1" applyFill="1" applyAlignment="1">
      <alignment horizontal="center" vertical="center" wrapText="1"/>
    </xf>
    <xf numFmtId="0" fontId="28" fillId="6" borderId="0" xfId="0" applyFont="1" applyFill="1" applyAlignment="1">
      <alignment wrapText="1"/>
    </xf>
    <xf numFmtId="0" fontId="33" fillId="5" borderId="9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33" fillId="0" borderId="0" xfId="0" applyFont="1" applyAlignment="1" applyProtection="1">
      <alignment vertical="center" wrapText="1"/>
      <protection locked="0"/>
    </xf>
    <xf numFmtId="0" fontId="33" fillId="6" borderId="0" xfId="0" applyFont="1" applyFill="1" applyAlignment="1">
      <alignment horizontal="center" vertical="center" wrapText="1"/>
    </xf>
    <xf numFmtId="0" fontId="32" fillId="0" borderId="0" xfId="0" applyFont="1" applyAlignment="1">
      <alignment wrapText="1"/>
    </xf>
    <xf numFmtId="0" fontId="36" fillId="9" borderId="52" xfId="0" applyFont="1" applyFill="1" applyBorder="1" applyAlignment="1">
      <alignment horizontal="center" vertical="center"/>
    </xf>
    <xf numFmtId="0" fontId="44" fillId="9" borderId="50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44" fontId="32" fillId="5" borderId="8" xfId="1" applyFont="1" applyFill="1" applyBorder="1"/>
    <xf numFmtId="3" fontId="32" fillId="0" borderId="2" xfId="0" applyNumberFormat="1" applyFont="1" applyBorder="1" applyAlignment="1">
      <alignment horizontal="center"/>
    </xf>
    <xf numFmtId="44" fontId="32" fillId="0" borderId="2" xfId="1" applyFont="1" applyBorder="1"/>
    <xf numFmtId="44" fontId="32" fillId="0" borderId="2" xfId="1" applyFont="1" applyBorder="1" applyProtection="1">
      <protection locked="0"/>
    </xf>
    <xf numFmtId="9" fontId="32" fillId="0" borderId="7" xfId="2" applyFont="1" applyBorder="1" applyProtection="1">
      <protection locked="0"/>
    </xf>
    <xf numFmtId="9" fontId="32" fillId="5" borderId="13" xfId="2" applyFont="1" applyFill="1" applyBorder="1"/>
    <xf numFmtId="0" fontId="28" fillId="0" borderId="2" xfId="0" applyFont="1" applyBorder="1" applyAlignment="1" applyProtection="1">
      <alignment horizontal="left"/>
      <protection locked="0"/>
    </xf>
    <xf numFmtId="44" fontId="32" fillId="0" borderId="1" xfId="1" applyFont="1" applyBorder="1" applyProtection="1">
      <protection locked="0"/>
    </xf>
    <xf numFmtId="44" fontId="32" fillId="0" borderId="1" xfId="1" applyFont="1" applyBorder="1"/>
    <xf numFmtId="10" fontId="32" fillId="0" borderId="1" xfId="2" applyNumberFormat="1" applyFont="1" applyBorder="1"/>
    <xf numFmtId="10" fontId="32" fillId="0" borderId="0" xfId="2" applyNumberFormat="1" applyFont="1" applyProtection="1">
      <protection locked="0"/>
    </xf>
    <xf numFmtId="10" fontId="32" fillId="6" borderId="0" xfId="2" applyNumberFormat="1" applyFont="1" applyFill="1"/>
    <xf numFmtId="44" fontId="32" fillId="0" borderId="0" xfId="0" applyNumberFormat="1" applyFont="1"/>
    <xf numFmtId="164" fontId="32" fillId="0" borderId="0" xfId="0" applyNumberFormat="1" applyFont="1"/>
    <xf numFmtId="0" fontId="28" fillId="0" borderId="7" xfId="0" applyFont="1" applyBorder="1" applyAlignment="1">
      <alignment horizontal="left"/>
    </xf>
    <xf numFmtId="0" fontId="28" fillId="0" borderId="69" xfId="0" applyFont="1" applyBorder="1" applyAlignment="1" applyProtection="1">
      <alignment horizontal="left"/>
      <protection locked="0"/>
    </xf>
    <xf numFmtId="0" fontId="32" fillId="0" borderId="64" xfId="0" applyFont="1" applyBorder="1" applyAlignment="1" applyProtection="1">
      <alignment horizontal="center"/>
      <protection locked="0"/>
    </xf>
    <xf numFmtId="3" fontId="32" fillId="0" borderId="2" xfId="0" applyNumberFormat="1" applyFont="1" applyBorder="1" applyAlignment="1" applyProtection="1">
      <alignment horizontal="center"/>
      <protection locked="0"/>
    </xf>
    <xf numFmtId="44" fontId="32" fillId="0" borderId="7" xfId="1" applyFont="1" applyBorder="1"/>
    <xf numFmtId="44" fontId="32" fillId="6" borderId="8" xfId="1" applyFont="1" applyFill="1" applyBorder="1"/>
    <xf numFmtId="3" fontId="32" fillId="10" borderId="2" xfId="0" applyNumberFormat="1" applyFont="1" applyFill="1" applyBorder="1" applyAlignment="1">
      <alignment horizontal="center"/>
    </xf>
    <xf numFmtId="44" fontId="32" fillId="10" borderId="2" xfId="1" applyFont="1" applyFill="1" applyBorder="1"/>
    <xf numFmtId="44" fontId="32" fillId="10" borderId="2" xfId="1" applyFont="1" applyFill="1" applyBorder="1" applyProtection="1">
      <protection locked="0"/>
    </xf>
    <xf numFmtId="9" fontId="32" fillId="3" borderId="3" xfId="2" applyFont="1" applyFill="1" applyBorder="1" applyProtection="1">
      <protection locked="0"/>
    </xf>
    <xf numFmtId="0" fontId="28" fillId="3" borderId="1" xfId="0" applyFont="1" applyFill="1" applyBorder="1" applyAlignment="1" applyProtection="1">
      <alignment horizontal="left"/>
      <protection locked="0"/>
    </xf>
    <xf numFmtId="44" fontId="32" fillId="3" borderId="1" xfId="1" applyFont="1" applyFill="1" applyBorder="1" applyProtection="1">
      <protection locked="0"/>
    </xf>
    <xf numFmtId="44" fontId="32" fillId="10" borderId="1" xfId="1" applyFont="1" applyFill="1" applyBorder="1"/>
    <xf numFmtId="44" fontId="32" fillId="12" borderId="1" xfId="1" applyFont="1" applyFill="1" applyBorder="1"/>
    <xf numFmtId="10" fontId="32" fillId="10" borderId="1" xfId="2" applyNumberFormat="1" applyFont="1" applyFill="1" applyBorder="1"/>
    <xf numFmtId="10" fontId="32" fillId="3" borderId="0" xfId="2" applyNumberFormat="1" applyFont="1" applyFill="1" applyProtection="1">
      <protection locked="0"/>
    </xf>
    <xf numFmtId="0" fontId="49" fillId="15" borderId="3" xfId="0" applyFont="1" applyFill="1" applyBorder="1" applyAlignment="1">
      <alignment horizontal="left"/>
    </xf>
    <xf numFmtId="0" fontId="32" fillId="3" borderId="65" xfId="0" applyFont="1" applyFill="1" applyBorder="1" applyAlignment="1" applyProtection="1">
      <alignment horizontal="center"/>
      <protection locked="0"/>
    </xf>
    <xf numFmtId="3" fontId="32" fillId="3" borderId="1" xfId="0" applyNumberFormat="1" applyFont="1" applyFill="1" applyBorder="1" applyAlignment="1" applyProtection="1">
      <alignment horizontal="center"/>
      <protection locked="0"/>
    </xf>
    <xf numFmtId="44" fontId="32" fillId="10" borderId="7" xfId="1" applyFont="1" applyFill="1" applyBorder="1"/>
    <xf numFmtId="9" fontId="32" fillId="0" borderId="3" xfId="2" applyFont="1" applyBorder="1" applyProtection="1">
      <protection locked="0"/>
    </xf>
    <xf numFmtId="0" fontId="28" fillId="0" borderId="1" xfId="0" applyFont="1" applyBorder="1" applyAlignment="1" applyProtection="1">
      <alignment horizontal="left"/>
      <protection locked="0"/>
    </xf>
    <xf numFmtId="0" fontId="49" fillId="0" borderId="3" xfId="0" applyFont="1" applyBorder="1" applyAlignment="1">
      <alignment horizontal="left"/>
    </xf>
    <xf numFmtId="0" fontId="32" fillId="0" borderId="65" xfId="0" applyFont="1" applyBorder="1" applyAlignment="1" applyProtection="1">
      <alignment horizontal="center"/>
      <protection locked="0"/>
    </xf>
    <xf numFmtId="3" fontId="32" fillId="0" borderId="0" xfId="0" applyNumberFormat="1" applyFont="1"/>
    <xf numFmtId="0" fontId="28" fillId="0" borderId="3" xfId="0" applyFont="1" applyBorder="1" applyAlignment="1" applyProtection="1">
      <alignment horizontal="left"/>
      <protection locked="0"/>
    </xf>
    <xf numFmtId="0" fontId="28" fillId="3" borderId="69" xfId="0" applyFont="1" applyFill="1" applyBorder="1" applyAlignment="1" applyProtection="1">
      <alignment horizontal="left"/>
      <protection locked="0"/>
    </xf>
    <xf numFmtId="0" fontId="28" fillId="6" borderId="1" xfId="0" applyFont="1" applyFill="1" applyBorder="1"/>
    <xf numFmtId="0" fontId="28" fillId="0" borderId="13" xfId="0" applyFont="1" applyBorder="1" applyAlignment="1" applyProtection="1">
      <alignment horizontal="left"/>
      <protection locked="0"/>
    </xf>
    <xf numFmtId="0" fontId="28" fillId="0" borderId="10" xfId="0" applyFont="1" applyBorder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locked="0"/>
    </xf>
    <xf numFmtId="0" fontId="32" fillId="0" borderId="73" xfId="0" applyFont="1" applyBorder="1" applyAlignment="1" applyProtection="1">
      <alignment horizontal="center"/>
      <protection locked="0"/>
    </xf>
    <xf numFmtId="3" fontId="32" fillId="0" borderId="13" xfId="0" applyNumberFormat="1" applyFont="1" applyBorder="1" applyAlignment="1" applyProtection="1">
      <alignment horizontal="center"/>
      <protection locked="0"/>
    </xf>
    <xf numFmtId="44" fontId="32" fillId="0" borderId="13" xfId="1" applyFont="1" applyBorder="1" applyProtection="1">
      <protection locked="0"/>
    </xf>
    <xf numFmtId="44" fontId="32" fillId="0" borderId="13" xfId="1" applyFont="1" applyBorder="1"/>
    <xf numFmtId="44" fontId="32" fillId="0" borderId="12" xfId="1" applyFont="1" applyBorder="1"/>
    <xf numFmtId="44" fontId="50" fillId="6" borderId="4" xfId="0" applyNumberFormat="1" applyFont="1" applyFill="1" applyBorder="1"/>
    <xf numFmtId="3" fontId="30" fillId="10" borderId="1" xfId="0" applyNumberFormat="1" applyFont="1" applyFill="1" applyBorder="1" applyAlignment="1">
      <alignment horizontal="center"/>
    </xf>
    <xf numFmtId="44" fontId="30" fillId="10" borderId="1" xfId="0" applyNumberFormat="1" applyFont="1" applyFill="1" applyBorder="1" applyAlignment="1">
      <alignment horizontal="right"/>
    </xf>
    <xf numFmtId="44" fontId="30" fillId="10" borderId="1" xfId="0" applyNumberFormat="1" applyFont="1" applyFill="1" applyBorder="1"/>
    <xf numFmtId="44" fontId="33" fillId="6" borderId="1" xfId="0" applyNumberFormat="1" applyFont="1" applyFill="1" applyBorder="1"/>
    <xf numFmtId="0" fontId="37" fillId="10" borderId="5" xfId="0" applyFont="1" applyFill="1" applyBorder="1"/>
    <xf numFmtId="10" fontId="30" fillId="10" borderId="1" xfId="0" applyNumberFormat="1" applyFont="1" applyFill="1" applyBorder="1" applyAlignment="1">
      <alignment horizontal="center"/>
    </xf>
    <xf numFmtId="10" fontId="37" fillId="10" borderId="1" xfId="0" applyNumberFormat="1" applyFont="1" applyFill="1" applyBorder="1" applyAlignment="1">
      <alignment horizontal="center"/>
    </xf>
    <xf numFmtId="10" fontId="37" fillId="6" borderId="1" xfId="0" applyNumberFormat="1" applyFont="1" applyFill="1" applyBorder="1" applyAlignment="1">
      <alignment horizontal="center"/>
    </xf>
    <xf numFmtId="0" fontId="28" fillId="10" borderId="5" xfId="0" applyFont="1" applyFill="1" applyBorder="1"/>
    <xf numFmtId="0" fontId="37" fillId="10" borderId="66" xfId="0" applyFont="1" applyFill="1" applyBorder="1" applyAlignment="1">
      <alignment horizontal="right"/>
    </xf>
    <xf numFmtId="3" fontId="30" fillId="10" borderId="1" xfId="0" applyNumberFormat="1" applyFont="1" applyFill="1" applyBorder="1"/>
    <xf numFmtId="44" fontId="30" fillId="10" borderId="1" xfId="1" applyFont="1" applyFill="1" applyBorder="1" applyAlignment="1">
      <alignment horizontal="center"/>
    </xf>
    <xf numFmtId="164" fontId="28" fillId="0" borderId="0" xfId="0" applyNumberFormat="1" applyFont="1"/>
    <xf numFmtId="0" fontId="33" fillId="5" borderId="13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44" fontId="32" fillId="5" borderId="13" xfId="1" applyFont="1" applyFill="1" applyBorder="1"/>
    <xf numFmtId="44" fontId="32" fillId="6" borderId="13" xfId="1" applyFont="1" applyFill="1" applyBorder="1"/>
    <xf numFmtId="44" fontId="50" fillId="6" borderId="1" xfId="0" applyNumberFormat="1" applyFont="1" applyFill="1" applyBorder="1"/>
    <xf numFmtId="0" fontId="28" fillId="0" borderId="7" xfId="0" applyFont="1" applyBorder="1" applyAlignment="1" applyProtection="1">
      <alignment horizontal="left"/>
      <protection locked="0"/>
    </xf>
    <xf numFmtId="11" fontId="28" fillId="3" borderId="1" xfId="0" applyNumberFormat="1" applyFont="1" applyFill="1" applyBorder="1" applyAlignment="1" applyProtection="1">
      <alignment horizontal="left"/>
      <protection locked="0"/>
    </xf>
    <xf numFmtId="3" fontId="32" fillId="0" borderId="9" xfId="0" applyNumberFormat="1" applyFont="1" applyBorder="1" applyAlignment="1" applyProtection="1">
      <alignment horizontal="center"/>
      <protection locked="0"/>
    </xf>
    <xf numFmtId="3" fontId="32" fillId="3" borderId="4" xfId="0" applyNumberFormat="1" applyFont="1" applyFill="1" applyBorder="1" applyAlignment="1" applyProtection="1">
      <alignment horizontal="center"/>
      <protection locked="0"/>
    </xf>
    <xf numFmtId="0" fontId="51" fillId="0" borderId="75" xfId="0" applyFont="1" applyBorder="1" applyAlignment="1">
      <alignment horizontal="center"/>
    </xf>
    <xf numFmtId="0" fontId="32" fillId="3" borderId="75" xfId="0" applyFont="1" applyFill="1" applyBorder="1" applyAlignment="1" applyProtection="1">
      <alignment horizontal="center"/>
      <protection locked="0"/>
    </xf>
    <xf numFmtId="0" fontId="51" fillId="3" borderId="75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7" fillId="0" borderId="75" xfId="0" applyFont="1" applyBorder="1" applyAlignment="1">
      <alignment horizontal="center"/>
    </xf>
    <xf numFmtId="0" fontId="27" fillId="3" borderId="75" xfId="0" applyFont="1" applyFill="1" applyBorder="1" applyAlignment="1">
      <alignment horizontal="center"/>
    </xf>
    <xf numFmtId="0" fontId="6" fillId="3" borderId="75" xfId="0" applyFont="1" applyFill="1" applyBorder="1" applyAlignment="1" applyProtection="1">
      <alignment horizontal="center"/>
      <protection locked="0"/>
    </xf>
    <xf numFmtId="44" fontId="6" fillId="0" borderId="2" xfId="1" applyFont="1" applyFill="1" applyBorder="1" applyAlignment="1" applyProtection="1">
      <alignment wrapText="1"/>
      <protection locked="0"/>
    </xf>
    <xf numFmtId="11" fontId="28" fillId="0" borderId="2" xfId="0" applyNumberFormat="1" applyFont="1" applyBorder="1" applyAlignment="1" applyProtection="1">
      <alignment horizontal="left"/>
      <protection locked="0"/>
    </xf>
    <xf numFmtId="9" fontId="8" fillId="0" borderId="0" xfId="2" applyFont="1"/>
    <xf numFmtId="9" fontId="6" fillId="11" borderId="0" xfId="2" applyFont="1" applyFill="1" applyAlignment="1">
      <alignment horizontal="center"/>
    </xf>
    <xf numFmtId="44" fontId="6" fillId="0" borderId="2" xfId="1" applyFont="1" applyBorder="1" applyProtection="1">
      <protection locked="0"/>
    </xf>
    <xf numFmtId="44" fontId="6" fillId="0" borderId="2" xfId="1" applyFont="1" applyBorder="1"/>
    <xf numFmtId="44" fontId="6" fillId="0" borderId="7" xfId="1" applyFont="1" applyBorder="1"/>
    <xf numFmtId="44" fontId="6" fillId="5" borderId="13" xfId="1" applyFont="1" applyFill="1" applyBorder="1"/>
    <xf numFmtId="9" fontId="6" fillId="5" borderId="13" xfId="2" applyFont="1" applyFill="1" applyBorder="1"/>
    <xf numFmtId="44" fontId="6" fillId="0" borderId="1" xfId="1" applyFont="1" applyBorder="1" applyProtection="1">
      <protection locked="0"/>
    </xf>
    <xf numFmtId="44" fontId="6" fillId="0" borderId="1" xfId="1" applyFont="1" applyBorder="1"/>
    <xf numFmtId="10" fontId="6" fillId="0" borderId="1" xfId="2" applyNumberFormat="1" applyFont="1" applyBorder="1"/>
    <xf numFmtId="10" fontId="6" fillId="0" borderId="0" xfId="2" applyNumberFormat="1" applyFont="1" applyProtection="1">
      <protection locked="0"/>
    </xf>
    <xf numFmtId="10" fontId="6" fillId="6" borderId="0" xfId="2" applyNumberFormat="1" applyFont="1" applyFill="1"/>
    <xf numFmtId="44" fontId="6" fillId="10" borderId="2" xfId="1" applyFont="1" applyFill="1" applyBorder="1"/>
    <xf numFmtId="44" fontId="6" fillId="10" borderId="7" xfId="1" applyFont="1" applyFill="1" applyBorder="1"/>
    <xf numFmtId="44" fontId="6" fillId="6" borderId="13" xfId="1" applyFont="1" applyFill="1" applyBorder="1"/>
    <xf numFmtId="44" fontId="6" fillId="10" borderId="1" xfId="1" applyFont="1" applyFill="1" applyBorder="1"/>
    <xf numFmtId="44" fontId="6" fillId="12" borderId="1" xfId="1" applyFont="1" applyFill="1" applyBorder="1"/>
    <xf numFmtId="10" fontId="6" fillId="10" borderId="1" xfId="2" applyNumberFormat="1" applyFont="1" applyFill="1" applyBorder="1"/>
    <xf numFmtId="10" fontId="6" fillId="3" borderId="0" xfId="2" applyNumberFormat="1" applyFont="1" applyFill="1" applyProtection="1">
      <protection locked="0"/>
    </xf>
    <xf numFmtId="11" fontId="2" fillId="3" borderId="1" xfId="0" applyNumberFormat="1" applyFont="1" applyFill="1" applyBorder="1" applyAlignment="1" applyProtection="1">
      <alignment horizontal="left"/>
      <protection locked="0"/>
    </xf>
    <xf numFmtId="11" fontId="2" fillId="0" borderId="2" xfId="0" applyNumberFormat="1" applyFont="1" applyBorder="1" applyAlignment="1" applyProtection="1">
      <alignment horizontal="left"/>
      <protection locked="0"/>
    </xf>
    <xf numFmtId="44" fontId="3" fillId="10" borderId="1" xfId="1" applyFont="1" applyFill="1" applyBorder="1" applyAlignment="1">
      <alignment horizontal="center"/>
    </xf>
    <xf numFmtId="8" fontId="6" fillId="0" borderId="2" xfId="1" applyNumberFormat="1" applyFont="1" applyFill="1" applyBorder="1" applyProtection="1">
      <protection locked="0"/>
    </xf>
    <xf numFmtId="3" fontId="6" fillId="0" borderId="1" xfId="0" applyNumberFormat="1" applyFont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44" fontId="6" fillId="3" borderId="1" xfId="1" applyFont="1" applyFill="1" applyBorder="1" applyAlignment="1" applyProtection="1">
      <alignment horizontal="center"/>
      <protection locked="0"/>
    </xf>
    <xf numFmtId="0" fontId="2" fillId="16" borderId="1" xfId="0" applyFont="1" applyFill="1" applyBorder="1" applyAlignment="1" applyProtection="1">
      <alignment horizontal="left"/>
      <protection locked="0"/>
    </xf>
    <xf numFmtId="0" fontId="27" fillId="17" borderId="3" xfId="0" applyFont="1" applyFill="1" applyBorder="1" applyAlignment="1">
      <alignment horizontal="left"/>
    </xf>
    <xf numFmtId="0" fontId="2" fillId="16" borderId="69" xfId="0" applyFont="1" applyFill="1" applyBorder="1" applyAlignment="1" applyProtection="1">
      <alignment horizontal="left"/>
      <protection locked="0"/>
    </xf>
    <xf numFmtId="0" fontId="6" fillId="16" borderId="65" xfId="0" applyFont="1" applyFill="1" applyBorder="1" applyAlignment="1" applyProtection="1">
      <alignment horizontal="center"/>
      <protection locked="0"/>
    </xf>
    <xf numFmtId="3" fontId="6" fillId="16" borderId="1" xfId="0" applyNumberFormat="1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right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6" fillId="0" borderId="65" xfId="0" applyFont="1" applyBorder="1" applyAlignment="1" applyProtection="1">
      <alignment horizontal="right"/>
      <protection locked="0"/>
    </xf>
    <xf numFmtId="0" fontId="6" fillId="3" borderId="65" xfId="0" applyFont="1" applyFill="1" applyBorder="1" applyAlignment="1" applyProtection="1">
      <alignment horizontal="right"/>
      <protection locked="0"/>
    </xf>
    <xf numFmtId="0" fontId="6" fillId="0" borderId="75" xfId="0" applyFont="1" applyBorder="1" applyAlignment="1" applyProtection="1">
      <alignment horizontal="center"/>
      <protection locked="0"/>
    </xf>
    <xf numFmtId="44" fontId="27" fillId="0" borderId="0" xfId="0" applyNumberFormat="1" applyFont="1"/>
    <xf numFmtId="44" fontId="6" fillId="0" borderId="2" xfId="1" applyFont="1" applyFill="1" applyBorder="1" applyAlignment="1" applyProtection="1">
      <alignment horizontal="center"/>
      <protection locked="0"/>
    </xf>
    <xf numFmtId="44" fontId="6" fillId="16" borderId="2" xfId="1" applyFont="1" applyFill="1" applyBorder="1" applyProtection="1">
      <protection locked="0"/>
    </xf>
    <xf numFmtId="0" fontId="2" fillId="16" borderId="1" xfId="0" applyFont="1" applyFill="1" applyBorder="1" applyAlignment="1" applyProtection="1">
      <alignment horizontal="center"/>
      <protection locked="0"/>
    </xf>
    <xf numFmtId="44" fontId="6" fillId="16" borderId="1" xfId="1" applyFont="1" applyFill="1" applyBorder="1" applyProtection="1">
      <protection locked="0"/>
    </xf>
    <xf numFmtId="44" fontId="6" fillId="16" borderId="2" xfId="1" applyFont="1" applyFill="1" applyBorder="1" applyProtection="1"/>
    <xf numFmtId="3" fontId="6" fillId="16" borderId="2" xfId="0" applyNumberFormat="1" applyFont="1" applyFill="1" applyBorder="1" applyAlignment="1" applyProtection="1">
      <alignment horizontal="center"/>
      <protection locked="0"/>
    </xf>
    <xf numFmtId="0" fontId="2" fillId="16" borderId="3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44" fontId="6" fillId="0" borderId="8" xfId="1" applyFont="1" applyFill="1" applyBorder="1" applyProtection="1"/>
    <xf numFmtId="9" fontId="6" fillId="0" borderId="3" xfId="2" applyFont="1" applyFill="1" applyBorder="1" applyProtection="1">
      <protection locked="0"/>
    </xf>
    <xf numFmtId="9" fontId="6" fillId="0" borderId="13" xfId="2" applyFont="1" applyFill="1" applyBorder="1" applyProtection="1"/>
    <xf numFmtId="10" fontId="6" fillId="0" borderId="1" xfId="2" applyNumberFormat="1" applyFont="1" applyFill="1" applyBorder="1" applyProtection="1"/>
    <xf numFmtId="10" fontId="6" fillId="0" borderId="0" xfId="2" applyNumberFormat="1" applyFont="1" applyFill="1" applyBorder="1" applyProtection="1">
      <protection locked="0"/>
    </xf>
    <xf numFmtId="10" fontId="6" fillId="0" borderId="0" xfId="2" applyNumberFormat="1" applyFont="1" applyFill="1" applyBorder="1" applyProtection="1"/>
    <xf numFmtId="6" fontId="6" fillId="3" borderId="1" xfId="1" applyNumberFormat="1" applyFont="1" applyFill="1" applyBorder="1" applyProtection="1">
      <protection locked="0"/>
    </xf>
    <xf numFmtId="0" fontId="6" fillId="18" borderId="65" xfId="0" applyFont="1" applyFill="1" applyBorder="1" applyAlignment="1" applyProtection="1">
      <alignment horizontal="center"/>
      <protection locked="0"/>
    </xf>
    <xf numFmtId="0" fontId="2" fillId="18" borderId="1" xfId="0" applyFont="1" applyFill="1" applyBorder="1" applyAlignment="1" applyProtection="1">
      <alignment horizontal="left"/>
      <protection locked="0"/>
    </xf>
    <xf numFmtId="0" fontId="27" fillId="19" borderId="3" xfId="0" applyFont="1" applyFill="1" applyBorder="1" applyAlignment="1">
      <alignment horizontal="left"/>
    </xf>
    <xf numFmtId="0" fontId="2" fillId="18" borderId="69" xfId="0" applyFont="1" applyFill="1" applyBorder="1" applyAlignment="1" applyProtection="1">
      <alignment horizontal="left"/>
      <protection locked="0"/>
    </xf>
    <xf numFmtId="0" fontId="2" fillId="18" borderId="3" xfId="0" applyFont="1" applyFill="1" applyBorder="1" applyAlignment="1" applyProtection="1">
      <alignment horizontal="left"/>
      <protection locked="0"/>
    </xf>
    <xf numFmtId="0" fontId="32" fillId="16" borderId="65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32" fillId="3" borderId="3" xfId="0" applyFont="1" applyFill="1" applyBorder="1" applyAlignment="1" applyProtection="1">
      <alignment horizontal="left"/>
      <protection locked="0"/>
    </xf>
    <xf numFmtId="0" fontId="52" fillId="3" borderId="0" xfId="0" applyFont="1" applyFill="1"/>
    <xf numFmtId="0" fontId="28" fillId="3" borderId="1" xfId="0" applyFont="1" applyFill="1" applyBorder="1" applyAlignment="1" applyProtection="1">
      <alignment horizontal="center"/>
      <protection locked="0"/>
    </xf>
    <xf numFmtId="44" fontId="32" fillId="3" borderId="1" xfId="1" applyFont="1" applyFill="1" applyBorder="1"/>
    <xf numFmtId="8" fontId="32" fillId="0" borderId="2" xfId="1" applyNumberFormat="1" applyFont="1" applyBorder="1" applyProtection="1">
      <protection locked="0"/>
    </xf>
    <xf numFmtId="0" fontId="28" fillId="18" borderId="3" xfId="0" applyFont="1" applyFill="1" applyBorder="1" applyAlignment="1" applyProtection="1">
      <alignment horizontal="left"/>
      <protection locked="0"/>
    </xf>
    <xf numFmtId="0" fontId="52" fillId="3" borderId="0" xfId="0" applyFont="1" applyFill="1" applyAlignment="1">
      <alignment horizontal="left"/>
    </xf>
    <xf numFmtId="0" fontId="49" fillId="3" borderId="76" xfId="0" applyFont="1" applyFill="1" applyBorder="1"/>
    <xf numFmtId="0" fontId="6" fillId="3" borderId="10" xfId="0" applyFont="1" applyFill="1" applyBorder="1" applyProtection="1">
      <protection locked="0"/>
    </xf>
    <xf numFmtId="0" fontId="32" fillId="3" borderId="10" xfId="0" applyFont="1" applyFill="1" applyBorder="1" applyProtection="1">
      <protection locked="0"/>
    </xf>
    <xf numFmtId="0" fontId="49" fillId="3" borderId="76" xfId="0" applyFont="1" applyFill="1" applyBorder="1" applyAlignment="1">
      <alignment horizontal="left"/>
    </xf>
    <xf numFmtId="0" fontId="53" fillId="3" borderId="0" xfId="0" applyFont="1" applyFill="1" applyAlignment="1">
      <alignment horizontal="left"/>
    </xf>
    <xf numFmtId="0" fontId="6" fillId="3" borderId="3" xfId="0" applyFont="1" applyFill="1" applyBorder="1" applyAlignment="1" applyProtection="1">
      <alignment horizontal="left"/>
      <protection locked="0"/>
    </xf>
    <xf numFmtId="0" fontId="28" fillId="3" borderId="1" xfId="0" applyFont="1" applyFill="1" applyBorder="1" applyAlignment="1" applyProtection="1">
      <alignment horizontal="right"/>
      <protection locked="0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71" xfId="0" applyFont="1" applyFill="1" applyBorder="1" applyAlignment="1">
      <alignment horizontal="center" vertical="center" wrapText="1"/>
    </xf>
    <xf numFmtId="0" fontId="16" fillId="9" borderId="60" xfId="0" applyFont="1" applyFill="1" applyBorder="1" applyAlignment="1">
      <alignment horizontal="center" vertical="center"/>
    </xf>
    <xf numFmtId="0" fontId="16" fillId="9" borderId="71" xfId="0" applyFont="1" applyFill="1" applyBorder="1" applyAlignment="1">
      <alignment horizontal="center" vertical="center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21" fillId="2" borderId="58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68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39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8" fillId="9" borderId="58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166" fontId="3" fillId="7" borderId="60" xfId="0" applyNumberFormat="1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9" fillId="14" borderId="3" xfId="0" applyFont="1" applyFill="1" applyBorder="1" applyAlignment="1">
      <alignment horizontal="right"/>
    </xf>
    <xf numFmtId="0" fontId="9" fillId="14" borderId="4" xfId="0" applyFont="1" applyFill="1" applyBorder="1" applyAlignment="1">
      <alignment horizontal="right"/>
    </xf>
    <xf numFmtId="0" fontId="3" fillId="13" borderId="3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6" fontId="9" fillId="0" borderId="15" xfId="0" applyNumberFormat="1" applyFont="1" applyBorder="1" applyAlignment="1">
      <alignment horizontal="center" vertical="center"/>
    </xf>
    <xf numFmtId="166" fontId="9" fillId="0" borderId="59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166" fontId="8" fillId="0" borderId="3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9" fontId="8" fillId="0" borderId="43" xfId="2" applyFont="1" applyFill="1" applyBorder="1" applyAlignment="1" applyProtection="1">
      <alignment horizont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9" fillId="4" borderId="47" xfId="0" applyFont="1" applyFill="1" applyBorder="1" applyAlignment="1">
      <alignment horizontal="right"/>
    </xf>
    <xf numFmtId="0" fontId="9" fillId="4" borderId="48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166" fontId="8" fillId="0" borderId="47" xfId="0" applyNumberFormat="1" applyFont="1" applyBorder="1" applyAlignment="1">
      <alignment horizontal="center"/>
    </xf>
    <xf numFmtId="166" fontId="8" fillId="0" borderId="48" xfId="0" applyNumberFormat="1" applyFont="1" applyBorder="1" applyAlignment="1">
      <alignment horizontal="center"/>
    </xf>
    <xf numFmtId="166" fontId="8" fillId="0" borderId="46" xfId="0" applyNumberFormat="1" applyFont="1" applyBorder="1" applyAlignment="1">
      <alignment horizontal="center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  <xf numFmtId="0" fontId="17" fillId="8" borderId="22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7" fillId="8" borderId="47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/>
    </xf>
    <xf numFmtId="0" fontId="17" fillId="8" borderId="70" xfId="0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29" fillId="8" borderId="22" xfId="0" applyFont="1" applyFill="1" applyBorder="1" applyAlignment="1">
      <alignment horizontal="center"/>
    </xf>
    <xf numFmtId="0" fontId="29" fillId="8" borderId="57" xfId="0" applyFont="1" applyFill="1" applyBorder="1" applyAlignment="1">
      <alignment horizontal="center"/>
    </xf>
    <xf numFmtId="0" fontId="29" fillId="8" borderId="28" xfId="0" applyFont="1" applyFill="1" applyBorder="1" applyAlignment="1">
      <alignment horizontal="center"/>
    </xf>
    <xf numFmtId="0" fontId="29" fillId="8" borderId="47" xfId="0" applyFont="1" applyFill="1" applyBorder="1" applyAlignment="1">
      <alignment horizontal="center"/>
    </xf>
    <xf numFmtId="0" fontId="29" fillId="8" borderId="48" xfId="0" applyFont="1" applyFill="1" applyBorder="1" applyAlignment="1">
      <alignment horizontal="center"/>
    </xf>
    <xf numFmtId="0" fontId="29" fillId="8" borderId="70" xfId="0" applyFont="1" applyFill="1" applyBorder="1" applyAlignment="1">
      <alignment horizontal="center"/>
    </xf>
    <xf numFmtId="0" fontId="29" fillId="8" borderId="24" xfId="0" applyFont="1" applyFill="1" applyBorder="1" applyAlignment="1">
      <alignment horizontal="center"/>
    </xf>
    <xf numFmtId="0" fontId="29" fillId="8" borderId="63" xfId="0" applyFont="1" applyFill="1" applyBorder="1" applyAlignment="1">
      <alignment horizontal="center"/>
    </xf>
    <xf numFmtId="0" fontId="30" fillId="3" borderId="3" xfId="0" applyFont="1" applyFill="1" applyBorder="1" applyAlignment="1" applyProtection="1">
      <alignment horizontal="left"/>
      <protection locked="0"/>
    </xf>
    <xf numFmtId="0" fontId="30" fillId="3" borderId="4" xfId="0" applyFont="1" applyFill="1" applyBorder="1" applyAlignment="1" applyProtection="1">
      <alignment horizontal="left"/>
      <protection locked="0"/>
    </xf>
    <xf numFmtId="0" fontId="33" fillId="14" borderId="3" xfId="0" applyFont="1" applyFill="1" applyBorder="1" applyAlignment="1">
      <alignment horizontal="right"/>
    </xf>
    <xf numFmtId="0" fontId="33" fillId="14" borderId="4" xfId="0" applyFont="1" applyFill="1" applyBorder="1" applyAlignment="1">
      <alignment horizontal="right"/>
    </xf>
    <xf numFmtId="0" fontId="33" fillId="4" borderId="47" xfId="0" applyFont="1" applyFill="1" applyBorder="1" applyAlignment="1">
      <alignment horizontal="right"/>
    </xf>
    <xf numFmtId="0" fontId="33" fillId="4" borderId="48" xfId="0" applyFont="1" applyFill="1" applyBorder="1" applyAlignment="1">
      <alignment horizontal="right"/>
    </xf>
    <xf numFmtId="0" fontId="33" fillId="4" borderId="46" xfId="0" applyFont="1" applyFill="1" applyBorder="1" applyAlignment="1">
      <alignment horizontal="right"/>
    </xf>
    <xf numFmtId="0" fontId="33" fillId="13" borderId="47" xfId="0" applyFont="1" applyFill="1" applyBorder="1" applyAlignment="1">
      <alignment horizontal="center"/>
    </xf>
    <xf numFmtId="0" fontId="33" fillId="13" borderId="48" xfId="0" applyFont="1" applyFill="1" applyBorder="1" applyAlignment="1">
      <alignment horizontal="center"/>
    </xf>
    <xf numFmtId="0" fontId="33" fillId="13" borderId="46" xfId="0" applyFont="1" applyFill="1" applyBorder="1" applyAlignment="1">
      <alignment horizontal="center"/>
    </xf>
    <xf numFmtId="166" fontId="34" fillId="0" borderId="47" xfId="0" applyNumberFormat="1" applyFont="1" applyBorder="1" applyAlignment="1">
      <alignment horizontal="center"/>
    </xf>
    <xf numFmtId="166" fontId="34" fillId="0" borderId="48" xfId="0" applyNumberFormat="1" applyFont="1" applyBorder="1" applyAlignment="1">
      <alignment horizontal="center"/>
    </xf>
    <xf numFmtId="166" fontId="34" fillId="0" borderId="46" xfId="0" applyNumberFormat="1" applyFont="1" applyBorder="1" applyAlignment="1">
      <alignment horizontal="center"/>
    </xf>
    <xf numFmtId="0" fontId="30" fillId="13" borderId="47" xfId="0" applyFont="1" applyFill="1" applyBorder="1" applyAlignment="1">
      <alignment horizontal="center"/>
    </xf>
    <xf numFmtId="0" fontId="30" fillId="13" borderId="46" xfId="0" applyFont="1" applyFill="1" applyBorder="1" applyAlignment="1">
      <alignment horizontal="center"/>
    </xf>
    <xf numFmtId="0" fontId="30" fillId="3" borderId="47" xfId="0" applyFont="1" applyFill="1" applyBorder="1" applyAlignment="1" applyProtection="1">
      <alignment horizontal="left"/>
      <protection locked="0"/>
    </xf>
    <xf numFmtId="0" fontId="30" fillId="3" borderId="46" xfId="0" applyFont="1" applyFill="1" applyBorder="1" applyAlignment="1" applyProtection="1">
      <alignment horizontal="left"/>
      <protection locked="0"/>
    </xf>
    <xf numFmtId="0" fontId="33" fillId="4" borderId="3" xfId="0" applyFont="1" applyFill="1" applyBorder="1" applyAlignment="1">
      <alignment horizontal="right"/>
    </xf>
    <xf numFmtId="0" fontId="33" fillId="4" borderId="5" xfId="0" applyFont="1" applyFill="1" applyBorder="1" applyAlignment="1">
      <alignment horizontal="right"/>
    </xf>
    <xf numFmtId="0" fontId="33" fillId="4" borderId="4" xfId="0" applyFont="1" applyFill="1" applyBorder="1" applyAlignment="1">
      <alignment horizontal="right"/>
    </xf>
    <xf numFmtId="0" fontId="33" fillId="13" borderId="3" xfId="0" applyFont="1" applyFill="1" applyBorder="1" applyAlignment="1">
      <alignment horizontal="center"/>
    </xf>
    <xf numFmtId="0" fontId="33" fillId="13" borderId="5" xfId="0" applyFont="1" applyFill="1" applyBorder="1" applyAlignment="1">
      <alignment horizontal="center"/>
    </xf>
    <xf numFmtId="0" fontId="33" fillId="13" borderId="4" xfId="0" applyFont="1" applyFill="1" applyBorder="1" applyAlignment="1">
      <alignment horizontal="center"/>
    </xf>
    <xf numFmtId="166" fontId="34" fillId="0" borderId="3" xfId="0" applyNumberFormat="1" applyFont="1" applyBorder="1" applyAlignment="1">
      <alignment horizontal="center"/>
    </xf>
    <xf numFmtId="166" fontId="34" fillId="0" borderId="5" xfId="0" applyNumberFormat="1" applyFont="1" applyBorder="1" applyAlignment="1">
      <alignment horizontal="center"/>
    </xf>
    <xf numFmtId="166" fontId="34" fillId="0" borderId="4" xfId="0" applyNumberFormat="1" applyFont="1" applyBorder="1" applyAlignment="1">
      <alignment horizontal="center"/>
    </xf>
    <xf numFmtId="0" fontId="30" fillId="13" borderId="3" xfId="0" applyFont="1" applyFill="1" applyBorder="1" applyAlignment="1">
      <alignment horizontal="center"/>
    </xf>
    <xf numFmtId="0" fontId="30" fillId="13" borderId="4" xfId="0" applyFont="1" applyFill="1" applyBorder="1" applyAlignment="1">
      <alignment horizontal="center"/>
    </xf>
    <xf numFmtId="0" fontId="33" fillId="13" borderId="43" xfId="0" applyFont="1" applyFill="1" applyBorder="1" applyAlignment="1">
      <alignment horizontal="center"/>
    </xf>
    <xf numFmtId="0" fontId="33" fillId="13" borderId="44" xfId="0" applyFont="1" applyFill="1" applyBorder="1" applyAlignment="1">
      <alignment horizontal="center"/>
    </xf>
    <xf numFmtId="0" fontId="33" fillId="13" borderId="31" xfId="0" applyFont="1" applyFill="1" applyBorder="1" applyAlignment="1">
      <alignment horizontal="center"/>
    </xf>
    <xf numFmtId="9" fontId="34" fillId="0" borderId="43" xfId="2" applyFont="1" applyBorder="1" applyAlignment="1">
      <alignment horizontal="center"/>
    </xf>
    <xf numFmtId="9" fontId="34" fillId="0" borderId="44" xfId="2" applyFont="1" applyBorder="1" applyAlignment="1">
      <alignment horizontal="center"/>
    </xf>
    <xf numFmtId="9" fontId="34" fillId="0" borderId="31" xfId="2" applyFont="1" applyBorder="1" applyAlignment="1">
      <alignment horizontal="center"/>
    </xf>
    <xf numFmtId="0" fontId="30" fillId="3" borderId="61" xfId="0" applyFont="1" applyFill="1" applyBorder="1" applyAlignment="1" applyProtection="1">
      <alignment horizontal="left"/>
      <protection locked="0"/>
    </xf>
    <xf numFmtId="0" fontId="30" fillId="3" borderId="62" xfId="0" applyFont="1" applyFill="1" applyBorder="1" applyAlignment="1" applyProtection="1">
      <alignment horizontal="left"/>
      <protection locked="0"/>
    </xf>
    <xf numFmtId="0" fontId="33" fillId="13" borderId="15" xfId="0" applyFont="1" applyFill="1" applyBorder="1" applyAlignment="1">
      <alignment horizontal="center" vertical="center"/>
    </xf>
    <xf numFmtId="0" fontId="33" fillId="13" borderId="59" xfId="0" applyFont="1" applyFill="1" applyBorder="1" applyAlignment="1">
      <alignment horizontal="center" vertical="center"/>
    </xf>
    <xf numFmtId="0" fontId="33" fillId="13" borderId="16" xfId="0" applyFont="1" applyFill="1" applyBorder="1" applyAlignment="1">
      <alignment horizontal="center" vertical="center"/>
    </xf>
    <xf numFmtId="166" fontId="33" fillId="0" borderId="15" xfId="0" applyNumberFormat="1" applyFont="1" applyBorder="1" applyAlignment="1">
      <alignment horizontal="center" vertical="center"/>
    </xf>
    <xf numFmtId="166" fontId="33" fillId="0" borderId="59" xfId="0" applyNumberFormat="1" applyFont="1" applyBorder="1" applyAlignment="1">
      <alignment horizontal="center" vertical="center"/>
    </xf>
    <xf numFmtId="166" fontId="33" fillId="0" borderId="16" xfId="0" applyNumberFormat="1" applyFont="1" applyBorder="1" applyAlignment="1">
      <alignment horizontal="center" vertical="center"/>
    </xf>
    <xf numFmtId="0" fontId="33" fillId="13" borderId="3" xfId="0" applyFont="1" applyFill="1" applyBorder="1" applyAlignment="1">
      <alignment horizontal="center" vertical="center"/>
    </xf>
    <xf numFmtId="0" fontId="33" fillId="13" borderId="5" xfId="0" applyFont="1" applyFill="1" applyBorder="1" applyAlignment="1">
      <alignment horizontal="center" vertical="center"/>
    </xf>
    <xf numFmtId="0" fontId="33" fillId="13" borderId="4" xfId="0" applyFont="1" applyFill="1" applyBorder="1" applyAlignment="1">
      <alignment horizontal="center" vertical="center"/>
    </xf>
    <xf numFmtId="166" fontId="30" fillId="0" borderId="3" xfId="0" applyNumberFormat="1" applyFont="1" applyBorder="1" applyAlignment="1">
      <alignment horizontal="center"/>
    </xf>
    <xf numFmtId="166" fontId="30" fillId="0" borderId="5" xfId="0" applyNumberFormat="1" applyFont="1" applyBorder="1" applyAlignment="1">
      <alignment horizontal="center"/>
    </xf>
    <xf numFmtId="166" fontId="30" fillId="0" borderId="4" xfId="0" applyNumberFormat="1" applyFont="1" applyBorder="1" applyAlignment="1">
      <alignment horizontal="center"/>
    </xf>
    <xf numFmtId="0" fontId="30" fillId="13" borderId="61" xfId="0" applyFont="1" applyFill="1" applyBorder="1" applyAlignment="1">
      <alignment horizontal="center"/>
    </xf>
    <xf numFmtId="0" fontId="30" fillId="13" borderId="62" xfId="0" applyFont="1" applyFill="1" applyBorder="1" applyAlignment="1">
      <alignment horizontal="center"/>
    </xf>
    <xf numFmtId="0" fontId="30" fillId="13" borderId="5" xfId="0" applyFont="1" applyFill="1" applyBorder="1" applyAlignment="1">
      <alignment horizontal="center"/>
    </xf>
    <xf numFmtId="3" fontId="30" fillId="0" borderId="3" xfId="0" applyNumberFormat="1" applyFont="1" applyBorder="1" applyAlignment="1">
      <alignment horizontal="center"/>
    </xf>
    <xf numFmtId="3" fontId="30" fillId="0" borderId="5" xfId="0" applyNumberFormat="1" applyFont="1" applyBorder="1" applyAlignment="1">
      <alignment horizontal="center"/>
    </xf>
    <xf numFmtId="3" fontId="30" fillId="0" borderId="4" xfId="0" applyNumberFormat="1" applyFont="1" applyBorder="1" applyAlignment="1">
      <alignment horizontal="center"/>
    </xf>
    <xf numFmtId="166" fontId="33" fillId="0" borderId="3" xfId="0" applyNumberFormat="1" applyFont="1" applyBorder="1" applyAlignment="1">
      <alignment horizontal="center" vertical="center"/>
    </xf>
    <xf numFmtId="166" fontId="33" fillId="0" borderId="5" xfId="0" applyNumberFormat="1" applyFont="1" applyBorder="1" applyAlignment="1">
      <alignment horizontal="center" vertical="center"/>
    </xf>
    <xf numFmtId="166" fontId="33" fillId="0" borderId="4" xfId="0" applyNumberFormat="1" applyFont="1" applyBorder="1" applyAlignment="1">
      <alignment horizontal="center" vertical="center"/>
    </xf>
    <xf numFmtId="166" fontId="30" fillId="7" borderId="60" xfId="0" applyNumberFormat="1" applyFont="1" applyFill="1" applyBorder="1" applyAlignment="1">
      <alignment horizontal="center" vertical="center"/>
    </xf>
    <xf numFmtId="166" fontId="30" fillId="7" borderId="2" xfId="0" applyNumberFormat="1" applyFont="1" applyFill="1" applyBorder="1" applyAlignment="1">
      <alignment horizontal="center" vertical="center"/>
    </xf>
    <xf numFmtId="9" fontId="37" fillId="0" borderId="60" xfId="2" applyFont="1" applyBorder="1" applyAlignment="1">
      <alignment horizontal="center" vertical="center"/>
    </xf>
    <xf numFmtId="9" fontId="37" fillId="0" borderId="2" xfId="2" applyFont="1" applyBorder="1" applyAlignment="1">
      <alignment horizontal="center" vertical="center"/>
    </xf>
    <xf numFmtId="0" fontId="28" fillId="3" borderId="12" xfId="0" applyFont="1" applyFill="1" applyBorder="1" applyAlignment="1" applyProtection="1">
      <alignment horizontal="center"/>
      <protection locked="0"/>
    </xf>
    <xf numFmtId="0" fontId="28" fillId="3" borderId="21" xfId="0" applyFont="1" applyFill="1" applyBorder="1" applyAlignment="1" applyProtection="1">
      <alignment horizontal="center"/>
      <protection locked="0"/>
    </xf>
    <xf numFmtId="0" fontId="38" fillId="2" borderId="58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38" fillId="2" borderId="68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8" fillId="2" borderId="27" xfId="0" applyFont="1" applyFill="1" applyBorder="1" applyAlignment="1">
      <alignment horizontal="center"/>
    </xf>
    <xf numFmtId="0" fontId="38" fillId="2" borderId="39" xfId="0" applyFont="1" applyFill="1" applyBorder="1" applyAlignment="1">
      <alignment horizontal="center"/>
    </xf>
    <xf numFmtId="0" fontId="29" fillId="9" borderId="10" xfId="0" applyFont="1" applyFill="1" applyBorder="1" applyAlignment="1">
      <alignment horizontal="center" vertical="center" wrapText="1"/>
    </xf>
    <xf numFmtId="0" fontId="29" fillId="9" borderId="40" xfId="0" applyFont="1" applyFill="1" applyBorder="1" applyAlignment="1">
      <alignment horizontal="center" vertical="center" wrapText="1"/>
    </xf>
    <xf numFmtId="0" fontId="29" fillId="9" borderId="12" xfId="0" applyFont="1" applyFill="1" applyBorder="1" applyAlignment="1">
      <alignment horizontal="center" vertical="center" wrapText="1"/>
    </xf>
    <xf numFmtId="0" fontId="29" fillId="9" borderId="41" xfId="0" applyFont="1" applyFill="1" applyBorder="1" applyAlignment="1">
      <alignment horizontal="center" vertical="center" wrapText="1"/>
    </xf>
    <xf numFmtId="0" fontId="29" fillId="9" borderId="42" xfId="0" applyFont="1" applyFill="1" applyBorder="1" applyAlignment="1">
      <alignment horizontal="center" vertical="center" wrapText="1"/>
    </xf>
    <xf numFmtId="0" fontId="29" fillId="9" borderId="30" xfId="0" applyFont="1" applyFill="1" applyBorder="1" applyAlignment="1">
      <alignment horizontal="center" vertical="center" wrapText="1"/>
    </xf>
    <xf numFmtId="0" fontId="39" fillId="9" borderId="58" xfId="0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/>
    </xf>
    <xf numFmtId="0" fontId="39" fillId="9" borderId="11" xfId="0" applyFont="1" applyFill="1" applyBorder="1" applyAlignment="1">
      <alignment horizontal="center" vertical="center"/>
    </xf>
    <xf numFmtId="0" fontId="39" fillId="9" borderId="27" xfId="0" applyFont="1" applyFill="1" applyBorder="1" applyAlignment="1">
      <alignment horizontal="center" vertical="center"/>
    </xf>
    <xf numFmtId="0" fontId="39" fillId="9" borderId="39" xfId="0" applyFont="1" applyFill="1" applyBorder="1" applyAlignment="1">
      <alignment horizontal="center" vertical="center"/>
    </xf>
    <xf numFmtId="0" fontId="39" fillId="9" borderId="52" xfId="0" applyFont="1" applyFill="1" applyBorder="1" applyAlignment="1">
      <alignment horizontal="center" vertical="center"/>
    </xf>
    <xf numFmtId="0" fontId="41" fillId="9" borderId="10" xfId="0" applyFont="1" applyFill="1" applyBorder="1" applyAlignment="1">
      <alignment horizontal="center" vertical="center" wrapText="1"/>
    </xf>
    <xf numFmtId="0" fontId="41" fillId="9" borderId="6" xfId="0" applyFont="1" applyFill="1" applyBorder="1" applyAlignment="1">
      <alignment horizontal="center" vertical="center" wrapText="1"/>
    </xf>
    <xf numFmtId="0" fontId="41" fillId="9" borderId="11" xfId="0" applyFont="1" applyFill="1" applyBorder="1" applyAlignment="1">
      <alignment horizontal="center" vertical="center" wrapText="1"/>
    </xf>
    <xf numFmtId="0" fontId="41" fillId="9" borderId="12" xfId="0" applyFont="1" applyFill="1" applyBorder="1" applyAlignment="1">
      <alignment horizontal="center" vertical="center" wrapText="1"/>
    </xf>
    <xf numFmtId="0" fontId="41" fillId="9" borderId="0" xfId="0" applyFont="1" applyFill="1" applyAlignment="1">
      <alignment horizontal="center" vertical="center" wrapText="1"/>
    </xf>
    <xf numFmtId="0" fontId="41" fillId="9" borderId="8" xfId="0" applyFont="1" applyFill="1" applyBorder="1" applyAlignment="1">
      <alignment horizontal="center" vertical="center" wrapText="1"/>
    </xf>
    <xf numFmtId="0" fontId="41" fillId="9" borderId="42" xfId="0" applyFont="1" applyFill="1" applyBorder="1" applyAlignment="1">
      <alignment horizontal="center" vertical="center" wrapText="1"/>
    </xf>
    <xf numFmtId="0" fontId="41" fillId="9" borderId="39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39" fillId="9" borderId="10" xfId="0" applyFont="1" applyFill="1" applyBorder="1" applyAlignment="1">
      <alignment horizontal="center" vertical="center"/>
    </xf>
    <xf numFmtId="0" fontId="39" fillId="9" borderId="40" xfId="0" applyFont="1" applyFill="1" applyBorder="1" applyAlignment="1">
      <alignment horizontal="center" vertical="center"/>
    </xf>
    <xf numFmtId="0" fontId="39" fillId="9" borderId="12" xfId="0" applyFont="1" applyFill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9" fillId="9" borderId="41" xfId="0" applyFont="1" applyFill="1" applyBorder="1" applyAlignment="1">
      <alignment horizontal="center" vertical="center"/>
    </xf>
    <xf numFmtId="0" fontId="42" fillId="4" borderId="22" xfId="0" applyFont="1" applyFill="1" applyBorder="1" applyAlignment="1">
      <alignment horizontal="right" vertical="center"/>
    </xf>
    <xf numFmtId="0" fontId="42" fillId="4" borderId="28" xfId="0" applyFont="1" applyFill="1" applyBorder="1" applyAlignment="1">
      <alignment horizontal="right" vertical="center"/>
    </xf>
    <xf numFmtId="0" fontId="39" fillId="9" borderId="45" xfId="0" applyFont="1" applyFill="1" applyBorder="1" applyAlignment="1">
      <alignment horizontal="center" vertical="center"/>
    </xf>
    <xf numFmtId="0" fontId="39" fillId="9" borderId="48" xfId="0" applyFont="1" applyFill="1" applyBorder="1" applyAlignment="1">
      <alignment horizontal="center" vertical="center"/>
    </xf>
    <xf numFmtId="0" fontId="39" fillId="9" borderId="46" xfId="0" applyFont="1" applyFill="1" applyBorder="1" applyAlignment="1">
      <alignment horizontal="center" vertical="center"/>
    </xf>
    <xf numFmtId="0" fontId="29" fillId="9" borderId="54" xfId="0" applyFont="1" applyFill="1" applyBorder="1" applyAlignment="1">
      <alignment horizontal="center" vertical="center" wrapText="1"/>
    </xf>
    <xf numFmtId="0" fontId="29" fillId="9" borderId="55" xfId="0" applyFont="1" applyFill="1" applyBorder="1" applyAlignment="1">
      <alignment horizontal="center" vertical="center" wrapText="1"/>
    </xf>
    <xf numFmtId="9" fontId="31" fillId="3" borderId="24" xfId="2" applyFont="1" applyFill="1" applyBorder="1" applyAlignment="1" applyProtection="1">
      <alignment horizontal="center" vertical="center" wrapText="1"/>
      <protection locked="0"/>
    </xf>
    <xf numFmtId="9" fontId="31" fillId="3" borderId="63" xfId="2" applyFont="1" applyFill="1" applyBorder="1" applyAlignment="1" applyProtection="1">
      <alignment horizontal="center" vertical="center" wrapText="1"/>
      <protection locked="0"/>
    </xf>
    <xf numFmtId="9" fontId="31" fillId="3" borderId="67" xfId="2" applyFont="1" applyFill="1" applyBorder="1" applyAlignment="1" applyProtection="1">
      <alignment horizontal="center" vertical="center" wrapText="1"/>
      <protection locked="0"/>
    </xf>
    <xf numFmtId="9" fontId="31" fillId="3" borderId="68" xfId="2" applyFont="1" applyFill="1" applyBorder="1" applyAlignment="1" applyProtection="1">
      <alignment horizontal="center" vertical="center" wrapText="1"/>
      <protection locked="0"/>
    </xf>
    <xf numFmtId="9" fontId="31" fillId="3" borderId="0" xfId="2" applyFont="1" applyFill="1" applyAlignment="1" applyProtection="1">
      <alignment horizontal="center" vertical="center" wrapText="1"/>
      <protection locked="0"/>
    </xf>
    <xf numFmtId="9" fontId="31" fillId="3" borderId="8" xfId="2" applyFont="1" applyFill="1" applyBorder="1" applyAlignment="1" applyProtection="1">
      <alignment horizontal="center" vertical="center" wrapText="1"/>
      <protection locked="0"/>
    </xf>
    <xf numFmtId="0" fontId="43" fillId="3" borderId="3" xfId="0" applyFont="1" applyFill="1" applyBorder="1" applyAlignment="1" applyProtection="1">
      <alignment horizontal="center" vertical="center"/>
      <protection locked="0"/>
    </xf>
    <xf numFmtId="0" fontId="43" fillId="3" borderId="5" xfId="0" applyFont="1" applyFill="1" applyBorder="1" applyAlignment="1" applyProtection="1">
      <alignment horizontal="center" vertical="center"/>
      <protection locked="0"/>
    </xf>
    <xf numFmtId="0" fontId="43" fillId="3" borderId="4" xfId="0" applyFont="1" applyFill="1" applyBorder="1" applyAlignment="1" applyProtection="1">
      <alignment horizontal="center" vertical="center"/>
      <protection locked="0"/>
    </xf>
    <xf numFmtId="0" fontId="44" fillId="9" borderId="42" xfId="0" applyFont="1" applyFill="1" applyBorder="1" applyAlignment="1">
      <alignment horizontal="center" vertical="center"/>
    </xf>
    <xf numFmtId="0" fontId="44" fillId="9" borderId="39" xfId="0" applyFont="1" applyFill="1" applyBorder="1" applyAlignment="1">
      <alignment horizontal="center" vertical="center"/>
    </xf>
    <xf numFmtId="0" fontId="44" fillId="9" borderId="30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36" fillId="9" borderId="51" xfId="0" applyFont="1" applyFill="1" applyBorder="1" applyAlignment="1">
      <alignment horizontal="center" vertical="center" wrapText="1"/>
    </xf>
    <xf numFmtId="0" fontId="36" fillId="9" borderId="50" xfId="0" applyFont="1" applyFill="1" applyBorder="1" applyAlignment="1">
      <alignment horizontal="center" vertical="center" wrapText="1"/>
    </xf>
    <xf numFmtId="0" fontId="46" fillId="9" borderId="8" xfId="0" applyFont="1" applyFill="1" applyBorder="1" applyAlignment="1">
      <alignment horizontal="center" vertical="center" wrapText="1"/>
    </xf>
    <xf numFmtId="0" fontId="46" fillId="9" borderId="52" xfId="0" applyFont="1" applyFill="1" applyBorder="1" applyAlignment="1">
      <alignment horizontal="center" vertical="center" wrapText="1"/>
    </xf>
    <xf numFmtId="0" fontId="46" fillId="9" borderId="13" xfId="0" applyFont="1" applyFill="1" applyBorder="1" applyAlignment="1">
      <alignment horizontal="center" vertical="center" wrapText="1"/>
    </xf>
    <xf numFmtId="0" fontId="46" fillId="9" borderId="71" xfId="0" applyFont="1" applyFill="1" applyBorder="1" applyAlignment="1">
      <alignment horizontal="center" vertical="center" wrapText="1"/>
    </xf>
    <xf numFmtId="0" fontId="36" fillId="9" borderId="60" xfId="0" applyFont="1" applyFill="1" applyBorder="1" applyAlignment="1">
      <alignment horizontal="center" vertical="center"/>
    </xf>
    <xf numFmtId="0" fontId="36" fillId="9" borderId="71" xfId="0" applyFont="1" applyFill="1" applyBorder="1" applyAlignment="1">
      <alignment horizontal="center" vertical="center"/>
    </xf>
    <xf numFmtId="0" fontId="33" fillId="3" borderId="45" xfId="0" applyFont="1" applyFill="1" applyBorder="1" applyAlignment="1" applyProtection="1">
      <alignment horizontal="center" vertical="center" wrapText="1"/>
      <protection locked="0"/>
    </xf>
    <xf numFmtId="0" fontId="33" fillId="3" borderId="46" xfId="0" applyFont="1" applyFill="1" applyBorder="1" applyAlignment="1" applyProtection="1">
      <alignment horizontal="center" vertical="center" wrapText="1"/>
      <protection locked="0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 vertical="center" wrapText="1"/>
    </xf>
    <xf numFmtId="0" fontId="16" fillId="9" borderId="52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/>
    </xf>
    <xf numFmtId="0" fontId="17" fillId="8" borderId="56" xfId="0" applyFont="1" applyFill="1" applyBorder="1" applyAlignment="1">
      <alignment horizontal="center"/>
    </xf>
    <xf numFmtId="0" fontId="36" fillId="9" borderId="37" xfId="0" applyFont="1" applyFill="1" applyBorder="1" applyAlignment="1">
      <alignment horizontal="center" vertical="center"/>
    </xf>
    <xf numFmtId="0" fontId="36" fillId="9" borderId="38" xfId="0" applyFont="1" applyFill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 wrapText="1"/>
    </xf>
    <xf numFmtId="0" fontId="36" fillId="9" borderId="19" xfId="0" applyFont="1" applyFill="1" applyBorder="1" applyAlignment="1">
      <alignment horizontal="center" vertical="center" wrapText="1"/>
    </xf>
    <xf numFmtId="0" fontId="36" fillId="9" borderId="25" xfId="0" applyFont="1" applyFill="1" applyBorder="1" applyAlignment="1">
      <alignment horizontal="center" vertical="center" wrapText="1"/>
    </xf>
    <xf numFmtId="0" fontId="36" fillId="9" borderId="26" xfId="0" applyFont="1" applyFill="1" applyBorder="1" applyAlignment="1">
      <alignment horizontal="center" vertical="center" wrapText="1"/>
    </xf>
    <xf numFmtId="0" fontId="36" fillId="9" borderId="8" xfId="0" applyFont="1" applyFill="1" applyBorder="1" applyAlignment="1">
      <alignment horizontal="center" vertical="center" wrapText="1"/>
    </xf>
    <xf numFmtId="0" fontId="36" fillId="9" borderId="52" xfId="0" applyFont="1" applyFill="1" applyBorder="1" applyAlignment="1">
      <alignment horizontal="center" vertical="center" wrapText="1"/>
    </xf>
    <xf numFmtId="0" fontId="44" fillId="9" borderId="49" xfId="0" applyFont="1" applyFill="1" applyBorder="1" applyAlignment="1">
      <alignment horizontal="center" vertical="center" wrapText="1"/>
    </xf>
    <xf numFmtId="0" fontId="44" fillId="9" borderId="50" xfId="0" applyFont="1" applyFill="1" applyBorder="1" applyAlignment="1">
      <alignment horizontal="center" vertical="center" wrapText="1"/>
    </xf>
    <xf numFmtId="0" fontId="36" fillId="9" borderId="53" xfId="0" applyFont="1" applyFill="1" applyBorder="1" applyAlignment="1">
      <alignment horizontal="center" vertical="center" wrapText="1"/>
    </xf>
    <xf numFmtId="0" fontId="36" fillId="9" borderId="20" xfId="0" applyFont="1" applyFill="1" applyBorder="1" applyAlignment="1">
      <alignment horizontal="center" vertical="center" wrapText="1"/>
    </xf>
    <xf numFmtId="0" fontId="36" fillId="9" borderId="29" xfId="0" applyFont="1" applyFill="1" applyBorder="1" applyAlignment="1">
      <alignment horizontal="center" vertical="center" wrapText="1"/>
    </xf>
    <xf numFmtId="0" fontId="38" fillId="2" borderId="19" xfId="0" applyFont="1" applyFill="1" applyBorder="1" applyAlignment="1">
      <alignment horizontal="center"/>
    </xf>
    <xf numFmtId="0" fontId="38" fillId="2" borderId="26" xfId="0" applyFont="1" applyFill="1" applyBorder="1" applyAlignment="1">
      <alignment horizontal="center"/>
    </xf>
    <xf numFmtId="0" fontId="38" fillId="2" borderId="18" xfId="0" applyFont="1" applyFill="1" applyBorder="1" applyAlignment="1">
      <alignment horizontal="center"/>
    </xf>
    <xf numFmtId="0" fontId="38" fillId="2" borderId="22" xfId="0" applyFont="1" applyFill="1" applyBorder="1" applyAlignment="1">
      <alignment horizontal="center"/>
    </xf>
    <xf numFmtId="0" fontId="29" fillId="8" borderId="18" xfId="0" applyFont="1" applyFill="1" applyBorder="1" applyAlignment="1">
      <alignment horizontal="center"/>
    </xf>
    <xf numFmtId="0" fontId="29" fillId="8" borderId="56" xfId="0" applyFont="1" applyFill="1" applyBorder="1" applyAlignment="1">
      <alignment horizontal="center"/>
    </xf>
    <xf numFmtId="0" fontId="9" fillId="14" borderId="77" xfId="0" applyFont="1" applyFill="1" applyBorder="1" applyAlignment="1">
      <alignment horizontal="right"/>
    </xf>
    <xf numFmtId="0" fontId="9" fillId="14" borderId="78" xfId="0" applyFont="1" applyFill="1" applyBorder="1" applyAlignment="1">
      <alignment horizontal="right"/>
    </xf>
    <xf numFmtId="0" fontId="9" fillId="14" borderId="7" xfId="0" applyFont="1" applyFill="1" applyBorder="1" applyAlignment="1">
      <alignment horizontal="right"/>
    </xf>
    <xf numFmtId="0" fontId="9" fillId="14" borderId="9" xfId="0" applyFont="1" applyFill="1" applyBorder="1" applyAlignment="1">
      <alignment horizontal="right"/>
    </xf>
    <xf numFmtId="0" fontId="9" fillId="14" borderId="10" xfId="0" applyFont="1" applyFill="1" applyBorder="1" applyAlignment="1">
      <alignment horizontal="right"/>
    </xf>
    <xf numFmtId="0" fontId="9" fillId="14" borderId="11" xfId="0" applyFont="1" applyFill="1" applyBorder="1" applyAlignment="1">
      <alignment horizontal="right"/>
    </xf>
    <xf numFmtId="0" fontId="33" fillId="14" borderId="77" xfId="0" applyFont="1" applyFill="1" applyBorder="1" applyAlignment="1">
      <alignment horizontal="right"/>
    </xf>
    <xf numFmtId="0" fontId="33" fillId="14" borderId="78" xfId="0" applyFont="1" applyFill="1" applyBorder="1" applyAlignment="1">
      <alignment horizontal="right"/>
    </xf>
    <xf numFmtId="0" fontId="33" fillId="14" borderId="7" xfId="0" applyFont="1" applyFill="1" applyBorder="1" applyAlignment="1">
      <alignment horizontal="right"/>
    </xf>
    <xf numFmtId="0" fontId="33" fillId="14" borderId="9" xfId="0" applyFont="1" applyFill="1" applyBorder="1" applyAlignment="1">
      <alignment horizontal="right"/>
    </xf>
    <xf numFmtId="0" fontId="33" fillId="14" borderId="10" xfId="0" applyFont="1" applyFill="1" applyBorder="1" applyAlignment="1">
      <alignment horizontal="right"/>
    </xf>
    <xf numFmtId="0" fontId="33" fillId="14" borderId="11" xfId="0" applyFont="1" applyFill="1" applyBorder="1" applyAlignment="1">
      <alignment horizontal="right"/>
    </xf>
    <xf numFmtId="0" fontId="44" fillId="9" borderId="74" xfId="0" applyFont="1" applyFill="1" applyBorder="1" applyAlignment="1">
      <alignment horizontal="center" vertical="center" wrapText="1"/>
    </xf>
    <xf numFmtId="9" fontId="10" fillId="3" borderId="0" xfId="2" applyFont="1" applyFill="1" applyAlignment="1" applyProtection="1">
      <alignment horizontal="center" vertical="center" wrapText="1"/>
      <protection locked="0"/>
    </xf>
    <xf numFmtId="9" fontId="4" fillId="0" borderId="60" xfId="2" applyFont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9" fontId="8" fillId="0" borderId="44" xfId="2" applyFont="1" applyBorder="1" applyAlignment="1">
      <alignment horizontal="center"/>
    </xf>
    <xf numFmtId="9" fontId="8" fillId="0" borderId="31" xfId="2" applyFont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38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rgb="FF000000"/>
        </right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219573</xdr:colOff>
      <xdr:row>10</xdr:row>
      <xdr:rowOff>131996</xdr:rowOff>
    </xdr:from>
    <xdr:to>
      <xdr:col>2</xdr:col>
      <xdr:colOff>2682066</xdr:colOff>
      <xdr:row>14</xdr:row>
      <xdr:rowOff>77070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D2A6B32-8A88-48F1-A72B-82B9CE54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723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1231D-ED32-42E7-A63B-802FBF8A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1751D-F505-4ED2-ADD3-C834D35A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EC225-4EE2-4F48-BEC1-A577914F4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08577-EE7B-4D44-AE4B-53F3F6ECE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E2533-3212-46E9-825B-6B542866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69826-5AEF-4853-B650-88601F2A0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BECB7-0F3B-4BCA-BC34-9DD45CC6D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B2304-DDDA-45C6-B285-858BA9AD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A32D9-C19B-4477-90BA-AA50534B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889E1-4731-4942-A803-7E41B09CE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5B04F-5C4E-40AC-A693-18AD51324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7F4A5-DB09-4A3D-8190-10DCE125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57B0F-A956-445D-BCDD-927F8E25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C8BC6-0159-4589-AC6D-9DA0DA646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AB009-4834-4BD8-B871-349B0ECB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15526-0BB7-4DD2-BD0A-2D188FCC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8546B-C6F1-4D9E-9FEE-A39FC3E1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6980E-28A9-4BD1-824B-DEDF5517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3C14A-53FD-4159-AC30-60F16E084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8FBD9-2E57-4752-A117-AA64111CA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318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C8A68-057F-4468-BB92-D27421732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BF843-144D-4CF9-BDA5-F9814950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F1E1D-69CA-45F0-83EB-F5570CD6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7C7DF-736A-4347-8886-FFC7D0A01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2649681</xdr:colOff>
      <xdr:row>14</xdr:row>
      <xdr:rowOff>92310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A159D-2FEE-4736-8DBE-9DA8A7DD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2647776</xdr:colOff>
      <xdr:row>14</xdr:row>
      <xdr:rowOff>92310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0CBEE-9FE9-48B1-8EDD-8C70E0240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DC7D9-EF97-4058-B054-EA458CD0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9B3D8-6951-46DE-8F1A-EA479841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57866-93DD-46CE-B21F-E23CA5EE2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3C2FB-8754-4719-9BB1-B059F4A99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F0A40-0D32-4691-8E28-1ED935B11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44B68-3E98-4ECF-849F-EC4B549B7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15E0A-6EBB-4319-A03D-464B16972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736E3-D41D-4582-B03F-6C88526EC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2651586</xdr:colOff>
      <xdr:row>14</xdr:row>
      <xdr:rowOff>96120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BE058-2F77-4719-970E-145EDDDE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2607771</xdr:colOff>
      <xdr:row>14</xdr:row>
      <xdr:rowOff>96120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5C023-24D3-40A9-917C-1AA8F0BD3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36988" cy="91662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2573481</xdr:colOff>
      <xdr:row>14</xdr:row>
      <xdr:rowOff>96120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2BD86-4670-453F-99A6-A4F34083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093173" cy="91662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3CAA0-2637-45C3-A3C0-217DC2B4F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787C1-5151-4678-898A-E47E63FC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CBC40-6796-4C4F-8085-D6B8525DC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E74341A-2D5D-4BB4-A022-4279D0823A75}" name="Table322425" displayName="Table322425" ref="B16:I81" totalsRowShown="0" tableBorderDxfId="379">
  <autoFilter ref="B16:I81" xr:uid="{53398307-7B17-40A3-AB09-55D731BAAB6E}"/>
  <tableColumns count="8">
    <tableColumn id="1" xr3:uid="{C947EF32-C82F-4C28-925B-2743043BDDA5}" name="Column1" dataDxfId="378"/>
    <tableColumn id="2" xr3:uid="{10C41216-64FB-487F-9C29-03AB03745E79}" name="Column2" dataDxfId="377"/>
    <tableColumn id="3" xr3:uid="{2BAB9C44-0CC7-4EB5-8DBD-8762D90550ED}" name="Column3" dataDxfId="376"/>
    <tableColumn id="4" xr3:uid="{4B9F5998-0C6C-4AB4-8127-1CCE0EE426C9}" name="Column4" dataDxfId="375"/>
    <tableColumn id="5" xr3:uid="{3916FAFA-ED9D-4FE2-9D93-C846FA2373F3}" name="Column5" dataDxfId="374"/>
    <tableColumn id="6" xr3:uid="{EFECA866-B7B7-4D02-9A9A-FF055BD7C720}" name="Column6" dataDxfId="373" dataCellStyle="Currency"/>
    <tableColumn id="7" xr3:uid="{E19715DD-2516-4368-B99E-D8DC2FE2D515}" name="Column7" dataDxfId="372" dataCellStyle="Currency">
      <calculatedColumnFormula>ROUND(IF($G$18="USD $", G17*$F$15,G17*$E$15),2)</calculatedColumnFormula>
    </tableColumn>
    <tableColumn id="8" xr3:uid="{243E1369-23EA-4F63-8199-7A5DCC9B5C86}" name="Column8" dataDxfId="371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0518C1C-6C01-49EC-AD39-13EB03D0A1DB}" name="Table3224" displayName="Table3224" ref="B16:I81" totalsRowShown="0" tableBorderDxfId="370">
  <autoFilter ref="B16:I81" xr:uid="{53398307-7B17-40A3-AB09-55D731BAAB6E}"/>
  <tableColumns count="8">
    <tableColumn id="1" xr3:uid="{5B34FAEA-A1E3-46E8-9409-676222E7EE79}" name="Column1" dataDxfId="369"/>
    <tableColumn id="2" xr3:uid="{3E170E7C-7934-4F82-B849-79F22DE1E1F9}" name="Column2" dataDxfId="368"/>
    <tableColumn id="3" xr3:uid="{0FF19B2E-8B8D-4D6E-B3DF-E49420E0185E}" name="Column3" dataDxfId="367"/>
    <tableColumn id="4" xr3:uid="{0E6BAD8B-E3AC-4C04-A468-0E36A6D45701}" name="Column4" dataDxfId="366"/>
    <tableColumn id="5" xr3:uid="{17DE5D34-C109-425E-BA26-C6A6F5EC02FF}" name="Column5" dataDxfId="365"/>
    <tableColumn id="6" xr3:uid="{0E243941-ACB1-496C-82DE-E0BE6F8EEFB2}" name="Column6" dataDxfId="364" dataCellStyle="Currency"/>
    <tableColumn id="7" xr3:uid="{823FA062-B3A4-4BC7-9059-4D569C83CEC2}" name="Column7" dataDxfId="363" dataCellStyle="Currency">
      <calculatedColumnFormula>ROUND(IF($G$18="USD $", G17*$F$15,G17*$E$15),2)</calculatedColumnFormula>
    </tableColumn>
    <tableColumn id="8" xr3:uid="{06F93210-C230-472B-9DD6-36E6321EA683}" name="Column8" dataDxfId="362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7BED7B7-3C87-4C06-8646-06A06C84516F}" name="Table322428" displayName="Table322428" ref="B16:I81" totalsRowShown="0" tableBorderDxfId="361">
  <autoFilter ref="B16:I81" xr:uid="{53398307-7B17-40A3-AB09-55D731BAAB6E}"/>
  <tableColumns count="8">
    <tableColumn id="1" xr3:uid="{B125D8AE-E5B0-4039-9D10-A2170B0E4912}" name="Column1" dataDxfId="360"/>
    <tableColumn id="2" xr3:uid="{49431101-34CA-4F9A-BDF2-9E280B1BF06F}" name="Column2" dataDxfId="359"/>
    <tableColumn id="3" xr3:uid="{66EF7318-7268-4EAD-AB83-0650ED48DF01}" name="Column3" dataDxfId="358"/>
    <tableColumn id="4" xr3:uid="{90ED9182-EEDD-42C3-8500-FE5C6BF0FEAB}" name="Column4" dataDxfId="357"/>
    <tableColumn id="5" xr3:uid="{EB96DE48-A894-48AE-A3CB-CBB7E5E6E3B1}" name="Column5" dataDxfId="356"/>
    <tableColumn id="6" xr3:uid="{3A798440-3C88-4613-95E4-DD5301BEBC58}" name="Column6" dataDxfId="355" dataCellStyle="Currency"/>
    <tableColumn id="7" xr3:uid="{6D1D1D19-D0BD-48E1-BC58-63EE9075B424}" name="Column7" dataDxfId="354" dataCellStyle="Currency">
      <calculatedColumnFormula>ROUND(IF($G$18="USD $", G17*$F$15,G17*$E$15),2)</calculatedColumnFormula>
    </tableColumn>
    <tableColumn id="8" xr3:uid="{E2726920-2D52-4ED2-82E5-6264DDEFB790}" name="Column8" dataDxfId="353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5DAD0C4-2A1E-4E21-8CAF-8FE7FB602EB0}" name="Table32242829" displayName="Table32242829" ref="B16:I81" totalsRowShown="0" tableBorderDxfId="352">
  <autoFilter ref="B16:I81" xr:uid="{53398307-7B17-40A3-AB09-55D731BAAB6E}"/>
  <tableColumns count="8">
    <tableColumn id="1" xr3:uid="{6442B8F0-D9A2-4F9F-B8A2-F1681FF6395F}" name="Column1" dataDxfId="351"/>
    <tableColumn id="2" xr3:uid="{12DEE14A-7115-4AE8-B2B4-862C046A4A3E}" name="Column2" dataDxfId="350"/>
    <tableColumn id="3" xr3:uid="{B3C7F751-3951-4BB7-8D71-99E7EC755C81}" name="Column3" dataDxfId="349"/>
    <tableColumn id="4" xr3:uid="{9822C768-AE3A-4B70-A6DD-68A3524F4651}" name="Column4" dataDxfId="348"/>
    <tableColumn id="5" xr3:uid="{B5AE7C18-6EF4-4173-BD79-170EA486D8D4}" name="Column5" dataDxfId="347"/>
    <tableColumn id="6" xr3:uid="{0D030533-6DA6-4584-BA03-458219CE96EC}" name="Column6" dataDxfId="346" dataCellStyle="Currency"/>
    <tableColumn id="7" xr3:uid="{D0B89E32-29D1-41B7-8B90-49A6A96C0A0A}" name="Column7" dataDxfId="345" dataCellStyle="Currency">
      <calculatedColumnFormula>ROUND(IF($G$18="USD $", G17*$F$15,G17*$E$15),2)</calculatedColumnFormula>
    </tableColumn>
    <tableColumn id="8" xr3:uid="{F35370B9-1A52-4524-8FA1-B2B4397DFC30}" name="Column8" dataDxfId="344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BA7E3AB-CD2F-46A3-967A-35A13A2CA86A}" name="Table32242829303132424344" displayName="Table32242829303132424344" ref="B16:I81" totalsRowShown="0" tableBorderDxfId="343">
  <autoFilter ref="B16:I81" xr:uid="{53398307-7B17-40A3-AB09-55D731BAAB6E}"/>
  <tableColumns count="8">
    <tableColumn id="1" xr3:uid="{3D037093-6724-45FA-B509-8B5D2D884E68}" name="Column1" dataDxfId="342"/>
    <tableColumn id="2" xr3:uid="{71A2B33C-A6A6-49E6-ABBE-CBD09033B4F1}" name="Column2" dataDxfId="341"/>
    <tableColumn id="3" xr3:uid="{C7A91D1F-4342-4DD6-998A-E559E5A26C4C}" name="Column3" dataDxfId="340"/>
    <tableColumn id="4" xr3:uid="{FADD5CCD-241F-4111-B35C-DBEC03E45D0A}" name="Column4" dataDxfId="339"/>
    <tableColumn id="5" xr3:uid="{3CE276F5-A59F-4C2E-A9E5-B085669AEC55}" name="Column5" dataDxfId="338"/>
    <tableColumn id="6" xr3:uid="{09938D7C-4302-4D25-A942-7CE0E2AB0A1E}" name="Column6" dataDxfId="337" dataCellStyle="Currency"/>
    <tableColumn id="7" xr3:uid="{7897D8F0-A9C2-429A-B866-EDD54236377B}" name="Column7" dataDxfId="336" dataCellStyle="Currency">
      <calculatedColumnFormula>ROUND(IF($G$18="USD $", G17*$F$15,G17*$E$15),2)</calculatedColumnFormula>
    </tableColumn>
    <tableColumn id="8" xr3:uid="{D88428BC-EB35-4C78-9CA6-64F46E0BEDE3}" name="Column8" dataDxfId="335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FAE5B6B-88EB-4E9B-9A9C-11C513FE3793}" name="Table32242829303132" displayName="Table32242829303132" ref="B16:I81" totalsRowShown="0" tableBorderDxfId="334">
  <autoFilter ref="B16:I81" xr:uid="{53398307-7B17-40A3-AB09-55D731BAAB6E}"/>
  <tableColumns count="8">
    <tableColumn id="1" xr3:uid="{AC73B528-2825-411A-B20E-0CF8A696C0A6}" name="Column1" dataDxfId="333"/>
    <tableColumn id="2" xr3:uid="{BC87FF6C-84CF-459E-8497-A785A75AE37A}" name="Column2" dataDxfId="332"/>
    <tableColumn id="3" xr3:uid="{FD472774-467A-468E-9C5D-AE155251848C}" name="Column3" dataDxfId="331"/>
    <tableColumn id="4" xr3:uid="{BF572A2C-ABD5-4C6F-B6F2-49EB40C9D054}" name="Column4" dataDxfId="330"/>
    <tableColumn id="5" xr3:uid="{D9562505-0AED-4696-BB57-F521901ABB46}" name="Column5" dataDxfId="329"/>
    <tableColumn id="6" xr3:uid="{030807A8-09ED-4442-9763-7DB7067FA9D2}" name="Column6" dataDxfId="328" dataCellStyle="Currency"/>
    <tableColumn id="7" xr3:uid="{68D20DE4-23BE-4908-8EFB-D96E68B8644F}" name="Column7" dataDxfId="327" dataCellStyle="Currency">
      <calculatedColumnFormula>ROUND(IF($G$18="USD $", G17*$F$15,G17*$E$15),2)</calculatedColumnFormula>
    </tableColumn>
    <tableColumn id="8" xr3:uid="{22DFF5F4-4E5D-442E-B658-8FDC39BEA582}" name="Column8" dataDxfId="326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FC6FB89-158B-4592-89A4-75AEF6D8A9FC}" name="Table3224282930313242" displayName="Table3224282930313242" ref="B16:I81" totalsRowShown="0" tableBorderDxfId="325">
  <autoFilter ref="B16:I81" xr:uid="{53398307-7B17-40A3-AB09-55D731BAAB6E}"/>
  <tableColumns count="8">
    <tableColumn id="1" xr3:uid="{4A01F344-FABB-4AA3-A215-723B4F2ECB1E}" name="Column1" dataDxfId="324"/>
    <tableColumn id="2" xr3:uid="{84F81968-A92A-4121-B9D7-A9E1FFE4BF7B}" name="Column2" dataDxfId="323"/>
    <tableColumn id="3" xr3:uid="{B76323CB-8034-4CB7-9820-7221C8ABE8A4}" name="Column3" dataDxfId="322"/>
    <tableColumn id="4" xr3:uid="{FE1D5A6F-9763-4C83-AFD9-A2298A108B9E}" name="Column4" dataDxfId="321"/>
    <tableColumn id="5" xr3:uid="{98FD8BBC-C6BF-40A9-92A0-2FD372496D58}" name="Column5" dataDxfId="320"/>
    <tableColumn id="6" xr3:uid="{34E31394-6A9D-4E54-9E08-15E2A2EEBAB7}" name="Column6" dataDxfId="319" dataCellStyle="Currency"/>
    <tableColumn id="7" xr3:uid="{98586303-E3E6-4D2D-B385-42BBD234AC14}" name="Column7" dataDxfId="318" dataCellStyle="Currency">
      <calculatedColumnFormula>ROUND(IF($G$18="USD $", G17*$F$15,G17*$E$15),2)</calculatedColumnFormula>
    </tableColumn>
    <tableColumn id="8" xr3:uid="{DF7B4095-74EF-4BA3-8BC8-DE72984F6026}" name="Column8" dataDxfId="317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627E6F2-2051-48A3-BE61-E6A287A28128}" name="Table322428293031324243" displayName="Table322428293031324243" ref="B16:I81" totalsRowShown="0" tableBorderDxfId="316">
  <autoFilter ref="B16:I81" xr:uid="{53398307-7B17-40A3-AB09-55D731BAAB6E}"/>
  <tableColumns count="8">
    <tableColumn id="1" xr3:uid="{7D87C61F-2842-467D-8B2C-97357FB1ECF2}" name="Column1" dataDxfId="315"/>
    <tableColumn id="2" xr3:uid="{16C10CCD-D284-4A0F-9D41-2DDD7CCCF7A8}" name="Column2" dataDxfId="314"/>
    <tableColumn id="3" xr3:uid="{123FD7AD-63FC-4626-B182-4DE52A5F1898}" name="Column3" dataDxfId="313"/>
    <tableColumn id="4" xr3:uid="{A562AAB8-B43C-4B62-8E6B-36D065AE38ED}" name="Column4" dataDxfId="312"/>
    <tableColumn id="5" xr3:uid="{C253693F-2A77-4C7D-AD72-6A3D94656D58}" name="Column5" dataDxfId="311"/>
    <tableColumn id="6" xr3:uid="{EAB2373E-42AF-48C1-836F-CD3FB8443F1E}" name="Column6" dataDxfId="310" dataCellStyle="Currency"/>
    <tableColumn id="7" xr3:uid="{81736C81-385F-471B-A86A-B0DBE0A6A3E3}" name="Column7" dataDxfId="309" dataCellStyle="Currency">
      <calculatedColumnFormula>ROUND(IF($G$18="USD $", G17*$F$15,G17*$E$15),2)</calculatedColumnFormula>
    </tableColumn>
    <tableColumn id="8" xr3:uid="{DCF3CF2C-4505-4B2C-818B-F3E269BACB4E}" name="Column8" dataDxfId="308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E4665AC-108B-4ACB-877B-95CCDF925929}" name="Table3224282930313334353639" displayName="Table3224282930313334353639" ref="B16:I81" totalsRowShown="0" tableBorderDxfId="307">
  <autoFilter ref="B16:I81" xr:uid="{53398307-7B17-40A3-AB09-55D731BAAB6E}"/>
  <tableColumns count="8">
    <tableColumn id="1" xr3:uid="{D791C0E9-30A8-4DB3-A000-0E961C9F1A8B}" name="Column1" dataDxfId="306"/>
    <tableColumn id="2" xr3:uid="{4BBD6326-7D9D-4116-AFEC-FC5FBF1766DB}" name="Column2" dataDxfId="305"/>
    <tableColumn id="3" xr3:uid="{E11B7EEF-BF5C-4C28-A707-1F30F8359094}" name="Column3" dataDxfId="304"/>
    <tableColumn id="4" xr3:uid="{64E7C8F4-6191-4F6C-9A94-F489E7381030}" name="Column4" dataDxfId="303"/>
    <tableColumn id="5" xr3:uid="{86082F94-CC47-4B68-9D01-C6CAA6928C83}" name="Column5" dataDxfId="302"/>
    <tableColumn id="6" xr3:uid="{34DF7639-0411-424E-922D-EF4A168EA1B2}" name="Column6" dataDxfId="301" dataCellStyle="Currency"/>
    <tableColumn id="7" xr3:uid="{E21FF3CA-0A3E-4D39-AC58-C670591DCC94}" name="Column7" dataDxfId="300" dataCellStyle="Currency">
      <calculatedColumnFormula>ROUND(IF($G$18="USD $", G17*$F$15,G17*$E$15),2)</calculatedColumnFormula>
    </tableColumn>
    <tableColumn id="8" xr3:uid="{5299EB1E-CE05-410D-AD42-DB32EC5BA678}" name="Column8" dataDxfId="299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8432C3A-26C5-44D1-9A86-DC38EE420334}" name="Table32242829303133343536454748" displayName="Table32242829303133343536454748" ref="B16:I81" totalsRowShown="0" tableBorderDxfId="298">
  <autoFilter ref="B16:I81" xr:uid="{53398307-7B17-40A3-AB09-55D731BAAB6E}"/>
  <tableColumns count="8">
    <tableColumn id="1" xr3:uid="{540F9AEA-38D9-46F9-B2E9-6D1B384D6224}" name="Column1" dataDxfId="297"/>
    <tableColumn id="2" xr3:uid="{2150E7E3-510A-4442-9CF0-74AD418E6D79}" name="Column2" dataDxfId="296"/>
    <tableColumn id="3" xr3:uid="{E4C41A51-6E44-4C54-B109-9A31234B1B61}" name="Column3" dataDxfId="295"/>
    <tableColumn id="4" xr3:uid="{1F2FBAE4-FBD7-485B-B0D7-A5A144CB06D9}" name="Column4" dataDxfId="294"/>
    <tableColumn id="5" xr3:uid="{D82851AC-6AB4-4689-A942-939F9825803D}" name="Column5" dataDxfId="293"/>
    <tableColumn id="6" xr3:uid="{04164D3F-5EBA-417D-AACF-D1DA844BEC53}" name="Column6" dataDxfId="292" dataCellStyle="Currency"/>
    <tableColumn id="7" xr3:uid="{878E135C-7659-4072-BBDC-AA86CCD8573E}" name="Column7" dataDxfId="291" dataCellStyle="Currency">
      <calculatedColumnFormula>ROUND(IF($G$18="USD $", G17*$F$15,G17*$E$15),2)</calculatedColumnFormula>
    </tableColumn>
    <tableColumn id="8" xr3:uid="{2BE28738-6D9B-4C98-8FA3-C927AF80F76B}" name="Column8" dataDxfId="290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952CF6E-1E18-44E2-9C10-E99CC0618891}" name="Table322428293031333435364547" displayName="Table322428293031333435364547" ref="B16:I81" totalsRowShown="0" tableBorderDxfId="289">
  <autoFilter ref="B16:I81" xr:uid="{53398307-7B17-40A3-AB09-55D731BAAB6E}"/>
  <tableColumns count="8">
    <tableColumn id="1" xr3:uid="{85C26C22-9486-4E48-98E4-2B319458D017}" name="Column1" dataDxfId="288"/>
    <tableColumn id="2" xr3:uid="{CDE6F577-F05D-4E26-8DE3-5F38B42B3D50}" name="Column2" dataDxfId="287"/>
    <tableColumn id="3" xr3:uid="{F0BBCA62-4D84-44B9-89E3-E8F14900C0DE}" name="Column3" dataDxfId="286"/>
    <tableColumn id="4" xr3:uid="{F01C9D5F-00B9-463F-846F-85E33B11D724}" name="Column4" dataDxfId="285"/>
    <tableColumn id="5" xr3:uid="{FA50CCC1-707C-4656-9263-137DC35E5813}" name="Column5" dataDxfId="284"/>
    <tableColumn id="6" xr3:uid="{336F62C0-CD74-4D89-9D03-3369DB5736F4}" name="Column6" dataDxfId="283" dataCellStyle="Currency"/>
    <tableColumn id="7" xr3:uid="{93805E85-DC04-4FAD-885F-2F8232167199}" name="Column7" dataDxfId="282" dataCellStyle="Currency">
      <calculatedColumnFormula>ROUND(IF($G$18="USD $", G17*$F$15,G17*$E$15),2)</calculatedColumnFormula>
    </tableColumn>
    <tableColumn id="8" xr3:uid="{4621D3DC-3C9E-4D07-87A8-608D583A174D}" name="Column8" dataDxfId="281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9AC5625-3E5A-40C1-BF36-37BBA6E8F43B}" name="Table3224282930313334353645" displayName="Table3224282930313334353645" ref="B16:I81" totalsRowShown="0" tableBorderDxfId="280">
  <autoFilter ref="B16:I81" xr:uid="{53398307-7B17-40A3-AB09-55D731BAAB6E}"/>
  <tableColumns count="8">
    <tableColumn id="1" xr3:uid="{E8864DD1-629B-4DBB-957F-C6B08673F0AB}" name="Column1" dataDxfId="279"/>
    <tableColumn id="2" xr3:uid="{A2E214E1-8FF2-48F8-A173-FD5B9185C5EF}" name="Column2" dataDxfId="278"/>
    <tableColumn id="3" xr3:uid="{C74248BF-C185-4044-858B-35631784EFD0}" name="Column3" dataDxfId="277"/>
    <tableColumn id="4" xr3:uid="{D9310F51-629C-4388-ABB7-7E8CAC061002}" name="Column4" dataDxfId="276"/>
    <tableColumn id="5" xr3:uid="{3B97C1ED-7144-49D8-83B0-FBE4E89328E0}" name="Column5" dataDxfId="275"/>
    <tableColumn id="6" xr3:uid="{18E08E59-E729-45C6-BA45-9651C17A38F9}" name="Column6" dataDxfId="274" dataCellStyle="Currency"/>
    <tableColumn id="7" xr3:uid="{F8998575-A1F6-483A-B25F-442015B871D6}" name="Column7" dataDxfId="273" dataCellStyle="Currency">
      <calculatedColumnFormula>ROUND(IF($G$18="USD $", G17*$F$15,G17*$E$15),2)</calculatedColumnFormula>
    </tableColumn>
    <tableColumn id="8" xr3:uid="{D358F4E0-3167-4CAB-8CAE-B5889BCA3A8B}" name="Column8" dataDxfId="272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4DED185-2654-459B-A3A0-D01B8A084B41}" name="Table32242829303133343536" displayName="Table32242829303133343536" ref="B16:I81" totalsRowShown="0" tableBorderDxfId="271">
  <autoFilter ref="B16:I81" xr:uid="{53398307-7B17-40A3-AB09-55D731BAAB6E}"/>
  <tableColumns count="8">
    <tableColumn id="1" xr3:uid="{705BF467-4972-4621-B5E4-3E3788F5D7EC}" name="Column1" dataDxfId="270"/>
    <tableColumn id="2" xr3:uid="{35BD0257-D787-4D73-88D5-3432408B08F2}" name="Column2" dataDxfId="269"/>
    <tableColumn id="3" xr3:uid="{7F68B514-FAE7-42F3-8241-B812B3B26320}" name="Column3" dataDxfId="268"/>
    <tableColumn id="4" xr3:uid="{A821DFBD-EF6A-4F18-9C8C-267EC1FF484E}" name="Column4" dataDxfId="267"/>
    <tableColumn id="5" xr3:uid="{F7B3DF72-1D71-4377-821A-44E142438FDB}" name="Column5" dataDxfId="266"/>
    <tableColumn id="6" xr3:uid="{1EFD160D-04EF-40CA-ADE1-7A0B053E3D1F}" name="Column6" dataDxfId="265" dataCellStyle="Currency"/>
    <tableColumn id="7" xr3:uid="{AEA37A29-81DB-48A9-9739-42BB9B35B493}" name="Column7" dataDxfId="264" dataCellStyle="Currency">
      <calculatedColumnFormula>ROUND(IF($G$18="USD $", G17*$F$15,G17*$E$15),2)</calculatedColumnFormula>
    </tableColumn>
    <tableColumn id="8" xr3:uid="{807502B1-752F-45FD-B741-9FA236F05BCA}" name="Column8" dataDxfId="263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86E05D2-9038-417E-A6CB-C613DBA5E8F2}" name="Table3224282930313334353638" displayName="Table3224282930313334353638" ref="B16:I81" totalsRowShown="0" tableBorderDxfId="262">
  <autoFilter ref="B16:I81" xr:uid="{53398307-7B17-40A3-AB09-55D731BAAB6E}"/>
  <tableColumns count="8">
    <tableColumn id="1" xr3:uid="{D98253C7-7883-49B0-8746-6A97FC9C2CBE}" name="Column1" dataDxfId="261"/>
    <tableColumn id="2" xr3:uid="{4F53408D-5A03-449B-8064-8F1F624AE902}" name="Column2" dataDxfId="260"/>
    <tableColumn id="3" xr3:uid="{9CE910DB-173A-4196-91AC-0D89FD9F98EC}" name="Column3" dataDxfId="259"/>
    <tableColumn id="4" xr3:uid="{570B3B3E-2CA7-4CB1-95D9-72B234CA7999}" name="Column4" dataDxfId="258"/>
    <tableColumn id="5" xr3:uid="{1D1F4AA6-AD13-4A4E-954C-72BEABFE59D4}" name="Column5" dataDxfId="257"/>
    <tableColumn id="6" xr3:uid="{740E76CB-11E3-4E3F-88B8-CA9284C93107}" name="Column6" dataDxfId="256" dataCellStyle="Currency"/>
    <tableColumn id="7" xr3:uid="{3A221F76-F1E9-42DD-AD53-F99CEB963930}" name="Column7" dataDxfId="255" dataCellStyle="Currency">
      <calculatedColumnFormula>ROUND(IF($G$18="USD $", G17*$F$15,G17*$E$15),2)</calculatedColumnFormula>
    </tableColumn>
    <tableColumn id="8" xr3:uid="{BC20EEAB-6163-4E23-BE9C-396B6108897A}" name="Column8" dataDxfId="254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177AB8B-E8A4-433C-9BD6-851F3787C5D4}" name="Table322428293031333435" displayName="Table322428293031333435" ref="B16:I81" totalsRowShown="0" tableBorderDxfId="253">
  <autoFilter ref="B16:I81" xr:uid="{53398307-7B17-40A3-AB09-55D731BAAB6E}"/>
  <tableColumns count="8">
    <tableColumn id="1" xr3:uid="{6A64A487-4ED2-41C8-89A8-C30D0ACDD67C}" name="Column1" dataDxfId="252"/>
    <tableColumn id="2" xr3:uid="{94711AC9-14F1-4DC2-BC5B-C52BB3598EA5}" name="Column2" dataDxfId="251"/>
    <tableColumn id="3" xr3:uid="{D4BB6D0A-637D-48D0-A141-71E8A0B34289}" name="Column3" dataDxfId="250"/>
    <tableColumn id="4" xr3:uid="{B22B0E4D-10D7-408E-9416-E27CCF0A72AA}" name="Column4" dataDxfId="249"/>
    <tableColumn id="5" xr3:uid="{DEC3F6FA-448F-4396-A0F3-75655E9DD9B6}" name="Column5" dataDxfId="248"/>
    <tableColumn id="6" xr3:uid="{A3A98EDA-5F7D-4F5B-8C37-453A326CC9C5}" name="Column6" dataDxfId="247" dataCellStyle="Currency"/>
    <tableColumn id="7" xr3:uid="{D7353DFA-989A-40CB-B4A7-23BEF196BD5F}" name="Column7" dataDxfId="246" dataCellStyle="Currency">
      <calculatedColumnFormula>ROUND(IF($G$18="USD $", G17*$F$15,G17*$E$15),2)</calculatedColumnFormula>
    </tableColumn>
    <tableColumn id="8" xr3:uid="{EF38A80A-DA2C-49B5-89E5-BB85B0316422}" name="Column8" dataDxfId="245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7EE4604-8A3E-4C59-BB69-6B5F8E4B07E4}" name="Table3224282930313334" displayName="Table3224282930313334" ref="B16:I81" totalsRowShown="0" tableBorderDxfId="244">
  <autoFilter ref="B16:I81" xr:uid="{53398307-7B17-40A3-AB09-55D731BAAB6E}"/>
  <tableColumns count="8">
    <tableColumn id="1" xr3:uid="{DA96F4B7-0ABA-486A-8FAA-AED00145DFB3}" name="Column1" dataDxfId="243"/>
    <tableColumn id="2" xr3:uid="{7242A924-383C-4E34-9AF7-7B98813AA14D}" name="Column2" dataDxfId="242"/>
    <tableColumn id="3" xr3:uid="{362AB3EC-99CF-47C5-AB6C-2FC2FD3B44A3}" name="Column3" dataDxfId="241"/>
    <tableColumn id="4" xr3:uid="{AF894D05-AA7B-4ED0-811D-4AF2204D3FCE}" name="Column4" dataDxfId="240"/>
    <tableColumn id="5" xr3:uid="{9F2A9222-D21F-4DCF-9E5C-3A77CE29DED6}" name="Column5" dataDxfId="239"/>
    <tableColumn id="6" xr3:uid="{76520829-5F1C-4E99-9AFA-1FB105F4E759}" name="Column6" dataDxfId="238" dataCellStyle="Currency"/>
    <tableColumn id="7" xr3:uid="{A64C09F5-6ED6-4567-8586-81C423A781EF}" name="Column7" dataDxfId="237" dataCellStyle="Currency">
      <calculatedColumnFormula>ROUND(IF($G$18="USD $", G17*$F$15,G17*$E$15),2)</calculatedColumnFormula>
    </tableColumn>
    <tableColumn id="8" xr3:uid="{23967D47-2368-445F-9E5B-AB0805E7204F}" name="Column8" dataDxfId="236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2047AC1-C0E5-4F42-88D9-046D208C61E8}" name="Table32242829303133" displayName="Table32242829303133" ref="B16:I81" totalsRowShown="0" tableBorderDxfId="235">
  <autoFilter ref="B16:I81" xr:uid="{53398307-7B17-40A3-AB09-55D731BAAB6E}"/>
  <tableColumns count="8">
    <tableColumn id="1" xr3:uid="{B489C497-20F9-4B20-A2CA-E0A6DF911B85}" name="Column1" dataDxfId="234"/>
    <tableColumn id="2" xr3:uid="{490640B5-EC48-4E2F-AE60-DE05DEF3F057}" name="Column2" dataDxfId="233"/>
    <tableColumn id="3" xr3:uid="{2A2E1CA0-7662-432D-8B2B-F4BFC2FBE251}" name="Column3" dataDxfId="232"/>
    <tableColumn id="4" xr3:uid="{CC1449C4-C6CE-4CE1-8DE8-033FD9872115}" name="Column4" dataDxfId="231"/>
    <tableColumn id="5" xr3:uid="{EC232EC4-7302-49B2-BE9B-4DD3629D104B}" name="Column5" dataDxfId="230"/>
    <tableColumn id="6" xr3:uid="{58F84CF2-41F6-43D6-9B18-123B88F971EB}" name="Column6" dataDxfId="229" dataCellStyle="Currency"/>
    <tableColumn id="7" xr3:uid="{26042266-7697-47D7-AAE5-5F4BBDD3687A}" name="Column7" dataDxfId="228" dataCellStyle="Currency">
      <calculatedColumnFormula>ROUND(IF($G$18="USD $", G17*$F$15,G17*$E$15),2)</calculatedColumnFormula>
    </tableColumn>
    <tableColumn id="8" xr3:uid="{83AB0342-DA1B-4F73-B3F6-E1AC0F57B47A}" name="Column8" dataDxfId="227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A06F8A-9F99-4E4E-84B4-41345583B41B}" name="Table322428293031" displayName="Table322428293031" ref="B16:I81" totalsRowShown="0" tableBorderDxfId="226">
  <autoFilter ref="B16:I81" xr:uid="{53398307-7B17-40A3-AB09-55D731BAAB6E}"/>
  <tableColumns count="8">
    <tableColumn id="1" xr3:uid="{DFA2BE43-FC85-4C5F-95DF-DA27915728EE}" name="Column1" dataDxfId="225"/>
    <tableColumn id="2" xr3:uid="{A1B83F6A-2CDB-4F60-AC3C-C1BF47F6E810}" name="Column2" dataDxfId="224"/>
    <tableColumn id="3" xr3:uid="{8A450050-BE6C-4007-8802-0CE2A4D74895}" name="Column3" dataDxfId="223"/>
    <tableColumn id="4" xr3:uid="{79A5D0E8-3397-4910-BDF3-8BCE2971DC50}" name="Column4" dataDxfId="222"/>
    <tableColumn id="5" xr3:uid="{B05771FF-9BA6-4177-91DC-3FDB63D3889F}" name="Column5" dataDxfId="221"/>
    <tableColumn id="6" xr3:uid="{3295152D-E491-456E-83CA-846AA6C0C3D0}" name="Column6" dataDxfId="220" dataCellStyle="Currency"/>
    <tableColumn id="7" xr3:uid="{FD46272A-6602-4979-A53A-E2425D79A9DC}" name="Column7" dataDxfId="219" dataCellStyle="Currency">
      <calculatedColumnFormula>ROUND(IF($G$18="USD $", G17*$F$15,G17*$E$15),2)</calculatedColumnFormula>
    </tableColumn>
    <tableColumn id="8" xr3:uid="{78D295C9-FCCE-4B15-BB42-08059B2B1621}" name="Column8" dataDxfId="218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D947EE0-3306-406A-9151-6432208AD3EA}" name="Table322428293049" displayName="Table322428293049" ref="B16:I81" totalsRowShown="0" tableBorderDxfId="217">
  <autoFilter ref="B16:I81" xr:uid="{53398307-7B17-40A3-AB09-55D731BAAB6E}"/>
  <tableColumns count="8">
    <tableColumn id="1" xr3:uid="{930F7EE1-6FC1-4EB8-888B-FD41229FEE5C}" name="Column1" dataDxfId="216"/>
    <tableColumn id="2" xr3:uid="{5AF51ECF-089B-4B49-B75C-9BEF96479BC2}" name="Column2" dataDxfId="215"/>
    <tableColumn id="3" xr3:uid="{4B93E2A9-FC4B-417C-B805-A68FD449067F}" name="Column3" dataDxfId="214"/>
    <tableColumn id="4" xr3:uid="{59D6AEDE-FB06-4DAE-AB2A-F011B23BD76E}" name="Column4" dataDxfId="213"/>
    <tableColumn id="5" xr3:uid="{223B4CFD-9F35-4255-9986-BA725D87A51E}" name="Column5" dataDxfId="212"/>
    <tableColumn id="6" xr3:uid="{95A8C86D-1D41-4E94-A7C6-ED26D9BB3A99}" name="Column6" dataDxfId="211" dataCellStyle="Currency"/>
    <tableColumn id="7" xr3:uid="{FD7FC0F5-5FC3-47FF-8710-ACAC34A75B9B}" name="Column7" dataDxfId="210" dataCellStyle="Currency">
      <calculatedColumnFormula>ROUND(IF($G$18="USD $", G17*$F$15,G17*$E$15),2)</calculatedColumnFormula>
    </tableColumn>
    <tableColumn id="8" xr3:uid="{4A688928-3AFB-4354-A048-D259B2054E47}" name="Column8" dataDxfId="209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DBDE106-4F43-4042-82BF-D618E5DC5674}" name="Table3224282930" displayName="Table3224282930" ref="B16:I81" totalsRowShown="0" tableBorderDxfId="208">
  <autoFilter ref="B16:I81" xr:uid="{53398307-7B17-40A3-AB09-55D731BAAB6E}"/>
  <tableColumns count="8">
    <tableColumn id="1" xr3:uid="{0C584925-F1F4-43FF-98E3-6D7333C5067D}" name="Column1" dataDxfId="207"/>
    <tableColumn id="2" xr3:uid="{36E157E8-810B-483C-A784-3AF1708F59DD}" name="Column2" dataDxfId="206"/>
    <tableColumn id="3" xr3:uid="{134EEE61-2739-47AC-95C1-AF266FD962AF}" name="Column3" dataDxfId="205"/>
    <tableColumn id="4" xr3:uid="{DBDD324F-9A64-4A10-9B52-3451CDBE9436}" name="Column4" dataDxfId="204"/>
    <tableColumn id="5" xr3:uid="{669D6C71-368E-4199-8D59-E3A921764043}" name="Column5" dataDxfId="203"/>
    <tableColumn id="6" xr3:uid="{8996C7A1-FB61-4CFE-BAE7-94C5579B2A1B}" name="Column6" dataDxfId="202" dataCellStyle="Currency"/>
    <tableColumn id="7" xr3:uid="{0E1ACEE7-4EF5-428E-B982-4B92B39D4BC9}" name="Column7" dataDxfId="201" dataCellStyle="Currency">
      <calculatedColumnFormula>ROUND(IF($G$18="USD $", G17*$F$15,G17*$E$15),2)</calculatedColumnFormula>
    </tableColumn>
    <tableColumn id="8" xr3:uid="{7F9F2095-78E7-4D80-BA89-6E068DA0DC25}" name="Column8" dataDxfId="200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AA27A1A-5D60-437D-ABB4-62ED533E46BF}" name="Table3223" displayName="Table3223" ref="B16:I81" totalsRowShown="0" tableBorderDxfId="199">
  <autoFilter ref="B16:I81" xr:uid="{53398307-7B17-40A3-AB09-55D731BAAB6E}"/>
  <tableColumns count="8">
    <tableColumn id="1" xr3:uid="{01C9B255-5BB6-4261-98B8-AEA67EA45442}" name="Column1" dataDxfId="198"/>
    <tableColumn id="2" xr3:uid="{ECAD713F-2A46-4BB9-91E3-4C08C04CAC4D}" name="Column2" dataDxfId="197"/>
    <tableColumn id="3" xr3:uid="{FB77C0E1-DB47-48F1-817F-1FD68BDB2D71}" name="Column3" dataDxfId="196"/>
    <tableColumn id="4" xr3:uid="{32F30CAF-74EA-4061-8E1F-B46FB66CAEDD}" name="Column4" dataDxfId="195"/>
    <tableColumn id="5" xr3:uid="{0800D7A3-840D-49C0-A02B-1492AD328BA3}" name="Column5" dataDxfId="194"/>
    <tableColumn id="6" xr3:uid="{FE1A4062-3F2A-4608-9C96-FDF836E36667}" name="Column6" dataDxfId="193" dataCellStyle="Currency"/>
    <tableColumn id="7" xr3:uid="{FDA0B3DA-C159-4638-A646-98C2D05E64F9}" name="Column7" dataDxfId="192" dataCellStyle="Currency">
      <calculatedColumnFormula>ROUND(IF($G$18="USD $", G17*$F$15,G17*$E$15),2)</calculatedColumnFormula>
    </tableColumn>
    <tableColumn id="8" xr3:uid="{64B85160-BD42-4377-96C8-FFC9ED993132}" name="Column8" dataDxfId="191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08E981-D918-4F4E-8E47-04943B97FC4D}" name="Table329" displayName="Table329" ref="B16:I81" totalsRowShown="0" tableBorderDxfId="190">
  <autoFilter ref="B16:I81" xr:uid="{53398307-7B17-40A3-AB09-55D731BAAB6E}"/>
  <tableColumns count="8">
    <tableColumn id="1" xr3:uid="{0DCED7F1-4D2F-4A9F-9463-F47698AFBBE4}" name="Column1" dataDxfId="189"/>
    <tableColumn id="2" xr3:uid="{00D0F4A0-4804-4360-9433-1A6F61449077}" name="Column2" dataDxfId="188"/>
    <tableColumn id="3" xr3:uid="{AAC3EB26-164A-4D55-96D9-E8C62A500EBE}" name="Column3" dataDxfId="187"/>
    <tableColumn id="4" xr3:uid="{E66E00C6-6A78-4C2A-9A04-6DE977CA9196}" name="Column4" dataDxfId="186"/>
    <tableColumn id="5" xr3:uid="{16A23C4F-C9D5-48B6-A671-896E2CAF248F}" name="Column5" dataDxfId="185"/>
    <tableColumn id="6" xr3:uid="{E88B5C7E-C249-4A81-8029-D58E57AE03C7}" name="Column6" dataDxfId="184" dataCellStyle="Currency"/>
    <tableColumn id="7" xr3:uid="{E3CA47A8-650C-4044-8FA9-21EC459ED881}" name="Column7" dataDxfId="183" dataCellStyle="Currency">
      <calculatedColumnFormula>ROUND(IF($G$18="USD $", G17*$F$15,G17*$E$15),2)</calculatedColumnFormula>
    </tableColumn>
    <tableColumn id="8" xr3:uid="{CA1EB952-BA9E-4ED0-9035-F9D01D0A6AAC}" name="Column8" dataDxfId="182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2AF663-476E-4388-B130-CFACE283A374}" name="Table327" displayName="Table327" ref="B16:I81" totalsRowShown="0" tableBorderDxfId="181">
  <autoFilter ref="B16:I81" xr:uid="{53398307-7B17-40A3-AB09-55D731BAAB6E}"/>
  <tableColumns count="8">
    <tableColumn id="1" xr3:uid="{E90F3F2C-D3EA-44B3-BC99-FA54E4C0A690}" name="Column1" dataDxfId="180"/>
    <tableColumn id="2" xr3:uid="{003BACEE-C76C-4BF6-9386-EA22C1B69DBC}" name="Column2" dataDxfId="179"/>
    <tableColumn id="3" xr3:uid="{8D628A33-786D-48CB-9D39-D162590D1E76}" name="Column3" dataDxfId="178"/>
    <tableColumn id="4" xr3:uid="{AE6047D4-B0C1-4767-B5FE-6F6FBBF40BF4}" name="Column4" dataDxfId="177"/>
    <tableColumn id="5" xr3:uid="{2CF0DF65-68E0-4382-835B-4BD88088064F}" name="Column5" dataDxfId="176"/>
    <tableColumn id="6" xr3:uid="{0EDC3A8F-68EC-435A-924D-BD1E261D2450}" name="Column6" dataDxfId="175" dataCellStyle="Currency"/>
    <tableColumn id="7" xr3:uid="{38B3ED6A-00F3-4EB9-AB29-2A9873D1E25B}" name="Column7" dataDxfId="174" dataCellStyle="Currency">
      <calculatedColumnFormula>ROUND(IF($G$18="USD $", G17*$F$15,G17*$E$15),2)</calculatedColumnFormula>
    </tableColumn>
    <tableColumn id="8" xr3:uid="{EEB6BDFD-3C4C-450E-9C14-D31E8F374D9A}" name="Column8" dataDxfId="173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F6202C-9EB4-462A-B1D2-C9A374D6D50A}" name="Table36" displayName="Table36" ref="B16:I81" totalsRowShown="0" tableBorderDxfId="172">
  <autoFilter ref="B16:I81" xr:uid="{53398307-7B17-40A3-AB09-55D731BAAB6E}"/>
  <tableColumns count="8">
    <tableColumn id="1" xr3:uid="{06D1D68B-E6FF-4906-88BD-98CC6D0F9FE2}" name="Column1" dataDxfId="171"/>
    <tableColumn id="2" xr3:uid="{06CD4EF3-39EE-43E3-A941-273E8B9A3DBC}" name="Column2" dataDxfId="170"/>
    <tableColumn id="3" xr3:uid="{9C42FC92-CC46-42B8-A11D-AB1F9F6F497D}" name="Column3" dataDxfId="169"/>
    <tableColumn id="4" xr3:uid="{BFC05B78-EAE2-4259-A3E2-1DC014367837}" name="Column4" dataDxfId="168"/>
    <tableColumn id="5" xr3:uid="{E2587175-BF19-4EA9-95DA-3250836EB145}" name="Column5" dataDxfId="167"/>
    <tableColumn id="6" xr3:uid="{82CAD718-CFBA-4D0A-97C3-42A09671D9AB}" name="Column6" dataDxfId="166" dataCellStyle="Currency"/>
    <tableColumn id="7" xr3:uid="{E87881BA-4DBD-4D3A-8AAE-CC52C3070336}" name="Column7" dataDxfId="165" dataCellStyle="Currency">
      <calculatedColumnFormula>ROUND(IF($G$18="USD $", G17*$F$15,G17*$E$15),2)</calculatedColumnFormula>
    </tableColumn>
    <tableColumn id="8" xr3:uid="{977A04BC-2321-4B7A-B23F-7ABAE7BF95BD}" name="Column8" dataDxfId="164" dataCellStyle="Currency">
      <calculatedColumnFormula>ROUND(IF($I$18=$H$18,F17*H17,F17*G17),2)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8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DA31-F93E-481D-BEE9-3C85C1CA305F}">
  <sheetPr>
    <tabColor rgb="FFFFFF00"/>
  </sheetPr>
  <dimension ref="A1:A55"/>
  <sheetViews>
    <sheetView topLeftCell="A13" workbookViewId="0">
      <selection activeCell="A34" sqref="A34"/>
    </sheetView>
  </sheetViews>
  <sheetFormatPr defaultRowHeight="15" x14ac:dyDescent="0.25"/>
  <cols>
    <col min="1" max="1" width="26.7109375" customWidth="1"/>
  </cols>
  <sheetData>
    <row r="1" spans="1:1" ht="16.5" x14ac:dyDescent="0.25">
      <c r="A1" s="143" t="s">
        <v>0</v>
      </c>
    </row>
    <row r="2" spans="1:1" ht="16.5" x14ac:dyDescent="0.25">
      <c r="A2" s="143" t="s">
        <v>1</v>
      </c>
    </row>
    <row r="3" spans="1:1" ht="16.5" x14ac:dyDescent="0.25">
      <c r="A3" s="143" t="s">
        <v>2</v>
      </c>
    </row>
    <row r="4" spans="1:1" ht="16.5" x14ac:dyDescent="0.25">
      <c r="A4" s="143" t="s">
        <v>3</v>
      </c>
    </row>
    <row r="5" spans="1:1" ht="16.5" x14ac:dyDescent="0.25">
      <c r="A5" s="143" t="s">
        <v>4</v>
      </c>
    </row>
    <row r="6" spans="1:1" ht="16.5" x14ac:dyDescent="0.25">
      <c r="A6" s="143" t="s">
        <v>5</v>
      </c>
    </row>
    <row r="7" spans="1:1" ht="16.5" x14ac:dyDescent="0.25">
      <c r="A7" s="143" t="s">
        <v>6</v>
      </c>
    </row>
    <row r="8" spans="1:1" ht="16.5" x14ac:dyDescent="0.25">
      <c r="A8" s="143" t="s">
        <v>7</v>
      </c>
    </row>
    <row r="9" spans="1:1" ht="16.5" x14ac:dyDescent="0.25">
      <c r="A9" s="143" t="s">
        <v>8</v>
      </c>
    </row>
    <row r="10" spans="1:1" ht="16.5" x14ac:dyDescent="0.25">
      <c r="A10" s="143" t="s">
        <v>9</v>
      </c>
    </row>
    <row r="11" spans="1:1" ht="16.5" x14ac:dyDescent="0.25">
      <c r="A11" s="143" t="s">
        <v>10</v>
      </c>
    </row>
    <row r="12" spans="1:1" ht="16.5" x14ac:dyDescent="0.25">
      <c r="A12" s="143" t="s">
        <v>11</v>
      </c>
    </row>
    <row r="13" spans="1:1" ht="33" x14ac:dyDescent="0.25">
      <c r="A13" s="143" t="s">
        <v>12</v>
      </c>
    </row>
    <row r="14" spans="1:1" ht="16.5" x14ac:dyDescent="0.25">
      <c r="A14" s="143" t="s">
        <v>13</v>
      </c>
    </row>
    <row r="15" spans="1:1" ht="16.5" x14ac:dyDescent="0.25">
      <c r="A15" s="143" t="s">
        <v>14</v>
      </c>
    </row>
    <row r="16" spans="1:1" ht="16.5" x14ac:dyDescent="0.25">
      <c r="A16" s="143" t="s">
        <v>15</v>
      </c>
    </row>
    <row r="17" spans="1:1" ht="16.5" x14ac:dyDescent="0.25">
      <c r="A17" s="143" t="s">
        <v>16</v>
      </c>
    </row>
    <row r="18" spans="1:1" ht="16.5" x14ac:dyDescent="0.25">
      <c r="A18" s="143" t="s">
        <v>17</v>
      </c>
    </row>
    <row r="19" spans="1:1" ht="16.5" x14ac:dyDescent="0.25">
      <c r="A19" s="143" t="s">
        <v>18</v>
      </c>
    </row>
    <row r="20" spans="1:1" ht="16.5" x14ac:dyDescent="0.25">
      <c r="A20" s="143" t="s">
        <v>19</v>
      </c>
    </row>
    <row r="21" spans="1:1" ht="16.5" x14ac:dyDescent="0.25">
      <c r="A21" s="143" t="s">
        <v>20</v>
      </c>
    </row>
    <row r="22" spans="1:1" ht="16.5" x14ac:dyDescent="0.25">
      <c r="A22" s="143" t="s">
        <v>21</v>
      </c>
    </row>
    <row r="23" spans="1:1" ht="16.5" x14ac:dyDescent="0.25">
      <c r="A23" s="143" t="s">
        <v>22</v>
      </c>
    </row>
    <row r="24" spans="1:1" ht="16.5" x14ac:dyDescent="0.25">
      <c r="A24" s="143" t="s">
        <v>23</v>
      </c>
    </row>
    <row r="25" spans="1:1" ht="16.5" x14ac:dyDescent="0.25">
      <c r="A25" s="143" t="s">
        <v>24</v>
      </c>
    </row>
    <row r="26" spans="1:1" ht="16.5" x14ac:dyDescent="0.25">
      <c r="A26" s="143" t="s">
        <v>25</v>
      </c>
    </row>
    <row r="27" spans="1:1" ht="16.5" x14ac:dyDescent="0.25">
      <c r="A27" s="143" t="s">
        <v>26</v>
      </c>
    </row>
    <row r="28" spans="1:1" ht="16.5" x14ac:dyDescent="0.25">
      <c r="A28" s="143" t="s">
        <v>27</v>
      </c>
    </row>
    <row r="29" spans="1:1" ht="16.5" x14ac:dyDescent="0.25">
      <c r="A29" s="143" t="s">
        <v>28</v>
      </c>
    </row>
    <row r="30" spans="1:1" ht="16.5" x14ac:dyDescent="0.25">
      <c r="A30" s="143" t="s">
        <v>29</v>
      </c>
    </row>
    <row r="31" spans="1:1" ht="16.5" x14ac:dyDescent="0.25">
      <c r="A31" s="143" t="s">
        <v>30</v>
      </c>
    </row>
    <row r="32" spans="1:1" ht="16.5" x14ac:dyDescent="0.25">
      <c r="A32" s="143" t="s">
        <v>31</v>
      </c>
    </row>
    <row r="33" spans="1:1" ht="16.5" x14ac:dyDescent="0.25">
      <c r="A33" s="143" t="s">
        <v>32</v>
      </c>
    </row>
    <row r="34" spans="1:1" ht="16.5" x14ac:dyDescent="0.25">
      <c r="A34" s="143" t="s">
        <v>33</v>
      </c>
    </row>
    <row r="35" spans="1:1" ht="16.5" x14ac:dyDescent="0.25">
      <c r="A35" s="143" t="s">
        <v>34</v>
      </c>
    </row>
    <row r="36" spans="1:1" ht="16.5" x14ac:dyDescent="0.25">
      <c r="A36" s="143" t="s">
        <v>35</v>
      </c>
    </row>
    <row r="37" spans="1:1" ht="16.5" x14ac:dyDescent="0.25">
      <c r="A37" s="143" t="s">
        <v>36</v>
      </c>
    </row>
    <row r="38" spans="1:1" ht="16.5" x14ac:dyDescent="0.25">
      <c r="A38" s="143" t="s">
        <v>37</v>
      </c>
    </row>
    <row r="39" spans="1:1" ht="16.5" x14ac:dyDescent="0.25">
      <c r="A39" s="143" t="s">
        <v>38</v>
      </c>
    </row>
    <row r="40" spans="1:1" ht="16.5" x14ac:dyDescent="0.25">
      <c r="A40" s="143" t="s">
        <v>39</v>
      </c>
    </row>
    <row r="41" spans="1:1" ht="16.5" x14ac:dyDescent="0.25">
      <c r="A41" s="143" t="s">
        <v>40</v>
      </c>
    </row>
    <row r="42" spans="1:1" ht="16.5" x14ac:dyDescent="0.25">
      <c r="A42" s="143" t="s">
        <v>41</v>
      </c>
    </row>
    <row r="43" spans="1:1" ht="16.5" x14ac:dyDescent="0.25">
      <c r="A43" s="143" t="s">
        <v>42</v>
      </c>
    </row>
    <row r="44" spans="1:1" ht="16.5" x14ac:dyDescent="0.25">
      <c r="A44" s="143" t="s">
        <v>43</v>
      </c>
    </row>
    <row r="45" spans="1:1" ht="16.5" x14ac:dyDescent="0.25">
      <c r="A45" s="143" t="s">
        <v>44</v>
      </c>
    </row>
    <row r="46" spans="1:1" ht="16.5" x14ac:dyDescent="0.25">
      <c r="A46" s="143" t="s">
        <v>45</v>
      </c>
    </row>
    <row r="47" spans="1:1" ht="16.5" x14ac:dyDescent="0.25">
      <c r="A47" s="143" t="s">
        <v>46</v>
      </c>
    </row>
    <row r="48" spans="1:1" ht="16.5" x14ac:dyDescent="0.25">
      <c r="A48" s="143" t="s">
        <v>47</v>
      </c>
    </row>
    <row r="49" spans="1:1" ht="16.5" x14ac:dyDescent="0.25">
      <c r="A49" s="143" t="s">
        <v>48</v>
      </c>
    </row>
    <row r="50" spans="1:1" ht="16.5" x14ac:dyDescent="0.25">
      <c r="A50" s="143" t="s">
        <v>49</v>
      </c>
    </row>
    <row r="51" spans="1:1" ht="16.5" x14ac:dyDescent="0.25">
      <c r="A51" s="143" t="s">
        <v>50</v>
      </c>
    </row>
    <row r="52" spans="1:1" ht="16.5" x14ac:dyDescent="0.25">
      <c r="A52" s="143" t="s">
        <v>51</v>
      </c>
    </row>
    <row r="53" spans="1:1" ht="16.5" x14ac:dyDescent="0.25">
      <c r="A53" s="143" t="s">
        <v>52</v>
      </c>
    </row>
    <row r="54" spans="1:1" ht="16.5" x14ac:dyDescent="0.25">
      <c r="A54" s="143" t="s">
        <v>53</v>
      </c>
    </row>
    <row r="55" spans="1:1" ht="16.5" x14ac:dyDescent="0.25">
      <c r="A55" s="143" t="s">
        <v>54</v>
      </c>
    </row>
  </sheetData>
  <sortState xmlns:xlrd2="http://schemas.microsoft.com/office/spreadsheetml/2017/richdata2" ref="A1:A55">
    <sortCondition ref="A1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E6D2-9A91-48C2-8832-5B9218A48D8A}">
  <sheetPr>
    <pageSetUpPr fitToPage="1"/>
  </sheetPr>
  <dimension ref="A1:AC83"/>
  <sheetViews>
    <sheetView tabSelected="1" topLeftCell="A5" zoomScale="85" zoomScaleNormal="85" workbookViewId="0">
      <selection activeCell="B19" sqref="B19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3.5703125" style="164" bestFit="1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196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7710.47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238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7710.47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239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174" t="s">
        <v>240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7710.47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7710.47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27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49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 t="s">
        <v>241</v>
      </c>
      <c r="C19" s="181" t="s">
        <v>210</v>
      </c>
      <c r="D19" s="271" t="s">
        <v>29</v>
      </c>
      <c r="E19" s="399">
        <v>375</v>
      </c>
      <c r="F19" s="288">
        <v>1</v>
      </c>
      <c r="G19" s="281">
        <v>40.44</v>
      </c>
      <c r="H19" s="277">
        <f t="shared" si="0"/>
        <v>29.3</v>
      </c>
      <c r="I19" s="289">
        <f t="shared" si="1"/>
        <v>29.3</v>
      </c>
      <c r="J19" s="323"/>
      <c r="K19" s="276">
        <f t="shared" si="2"/>
        <v>1</v>
      </c>
      <c r="L19" s="277">
        <f t="shared" si="3"/>
        <v>29.3</v>
      </c>
      <c r="M19" s="277">
        <f t="shared" si="4"/>
        <v>29.3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29.3</v>
      </c>
      <c r="U19" s="283">
        <f t="shared" si="7"/>
        <v>29.3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242</v>
      </c>
      <c r="C20" s="295" t="s">
        <v>243</v>
      </c>
      <c r="D20" s="271" t="s">
        <v>28</v>
      </c>
      <c r="E20" s="293">
        <v>500</v>
      </c>
      <c r="F20" s="288">
        <v>1</v>
      </c>
      <c r="G20" s="259">
        <v>63.24</v>
      </c>
      <c r="H20" s="258">
        <f t="shared" si="0"/>
        <v>45.83</v>
      </c>
      <c r="I20" s="274">
        <f t="shared" si="1"/>
        <v>45.83</v>
      </c>
      <c r="J20" s="323"/>
      <c r="K20" s="257">
        <f t="shared" si="2"/>
        <v>1</v>
      </c>
      <c r="L20" s="258">
        <f t="shared" si="3"/>
        <v>45.83</v>
      </c>
      <c r="M20" s="258">
        <f t="shared" si="4"/>
        <v>45.83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45.83</v>
      </c>
      <c r="U20" s="264">
        <f t="shared" si="7"/>
        <v>45.83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 t="s">
        <v>244</v>
      </c>
      <c r="C21" s="181" t="s">
        <v>245</v>
      </c>
      <c r="D21" s="271" t="s">
        <v>28</v>
      </c>
      <c r="E21" s="293">
        <v>500</v>
      </c>
      <c r="F21" s="288">
        <v>1</v>
      </c>
      <c r="G21" s="281">
        <v>33.39</v>
      </c>
      <c r="H21" s="277">
        <f t="shared" si="0"/>
        <v>24.2</v>
      </c>
      <c r="I21" s="289">
        <f t="shared" si="1"/>
        <v>24.2</v>
      </c>
      <c r="J21" s="323"/>
      <c r="K21" s="276">
        <f t="shared" si="2"/>
        <v>1</v>
      </c>
      <c r="L21" s="277">
        <f t="shared" si="3"/>
        <v>24.2</v>
      </c>
      <c r="M21" s="277">
        <f t="shared" si="4"/>
        <v>24.2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24.2</v>
      </c>
      <c r="U21" s="283">
        <f t="shared" si="7"/>
        <v>24.2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 t="s">
        <v>246</v>
      </c>
      <c r="C22" s="295" t="s">
        <v>213</v>
      </c>
      <c r="D22" s="271" t="s">
        <v>30</v>
      </c>
      <c r="E22" s="293">
        <v>500</v>
      </c>
      <c r="F22" s="288">
        <v>1</v>
      </c>
      <c r="G22" s="259">
        <v>118.52</v>
      </c>
      <c r="H22" s="258">
        <f t="shared" si="0"/>
        <v>85.88</v>
      </c>
      <c r="I22" s="274">
        <f t="shared" si="1"/>
        <v>85.88</v>
      </c>
      <c r="J22" s="323"/>
      <c r="K22" s="257">
        <f t="shared" si="2"/>
        <v>1</v>
      </c>
      <c r="L22" s="258">
        <f t="shared" si="3"/>
        <v>85.88</v>
      </c>
      <c r="M22" s="258">
        <f t="shared" si="4"/>
        <v>85.88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85.88</v>
      </c>
      <c r="U22" s="264">
        <f t="shared" si="7"/>
        <v>85.88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247</v>
      </c>
      <c r="C23" s="181" t="s">
        <v>214</v>
      </c>
      <c r="D23" s="271" t="s">
        <v>27</v>
      </c>
      <c r="E23" s="293">
        <v>500</v>
      </c>
      <c r="F23" s="288">
        <v>1</v>
      </c>
      <c r="G23" s="281">
        <v>47.91</v>
      </c>
      <c r="H23" s="277">
        <f t="shared" si="0"/>
        <v>34.72</v>
      </c>
      <c r="I23" s="289">
        <f t="shared" si="1"/>
        <v>34.72</v>
      </c>
      <c r="J23" s="323"/>
      <c r="K23" s="276">
        <f t="shared" si="2"/>
        <v>1</v>
      </c>
      <c r="L23" s="277">
        <f t="shared" si="3"/>
        <v>34.72</v>
      </c>
      <c r="M23" s="277">
        <f t="shared" si="4"/>
        <v>34.72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34.72</v>
      </c>
      <c r="U23" s="283">
        <f t="shared" si="7"/>
        <v>34.72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 t="s">
        <v>248</v>
      </c>
      <c r="C24" s="181" t="s">
        <v>216</v>
      </c>
      <c r="D24" s="271" t="s">
        <v>25</v>
      </c>
      <c r="E24" s="293">
        <v>500</v>
      </c>
      <c r="F24" s="288">
        <v>1</v>
      </c>
      <c r="G24" s="259">
        <v>180.43</v>
      </c>
      <c r="H24" s="258">
        <f t="shared" si="0"/>
        <v>130.75</v>
      </c>
      <c r="I24" s="274">
        <f t="shared" si="1"/>
        <v>130.75</v>
      </c>
      <c r="J24" s="323"/>
      <c r="K24" s="257">
        <f t="shared" si="2"/>
        <v>1</v>
      </c>
      <c r="L24" s="258">
        <f t="shared" si="3"/>
        <v>130.75</v>
      </c>
      <c r="M24" s="258">
        <f t="shared" si="4"/>
        <v>130.75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130.75</v>
      </c>
      <c r="U24" s="264">
        <f t="shared" si="7"/>
        <v>130.75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 t="s">
        <v>249</v>
      </c>
      <c r="C25" s="295" t="s">
        <v>217</v>
      </c>
      <c r="D25" s="271" t="s">
        <v>25</v>
      </c>
      <c r="E25" s="399">
        <v>375</v>
      </c>
      <c r="F25" s="288">
        <v>1</v>
      </c>
      <c r="G25" s="281">
        <v>40.47</v>
      </c>
      <c r="H25" s="277">
        <f t="shared" si="0"/>
        <v>29.33</v>
      </c>
      <c r="I25" s="289">
        <f t="shared" si="1"/>
        <v>29.33</v>
      </c>
      <c r="J25" s="323"/>
      <c r="K25" s="276">
        <f t="shared" si="2"/>
        <v>1</v>
      </c>
      <c r="L25" s="277">
        <f t="shared" si="3"/>
        <v>29.33</v>
      </c>
      <c r="M25" s="277">
        <f t="shared" si="4"/>
        <v>29.33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29.33</v>
      </c>
      <c r="U25" s="283">
        <f t="shared" si="7"/>
        <v>29.33</v>
      </c>
      <c r="V25" s="284">
        <f t="shared" si="8"/>
        <v>0</v>
      </c>
      <c r="W25" s="284">
        <f t="shared" si="9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/>
      <c r="C26" s="181"/>
      <c r="D26" s="271"/>
      <c r="E26" s="293"/>
      <c r="F26" s="273"/>
      <c r="G26" s="259"/>
      <c r="H26" s="258">
        <f t="shared" si="0"/>
        <v>0</v>
      </c>
      <c r="I26" s="274">
        <f t="shared" si="1"/>
        <v>0</v>
      </c>
      <c r="J26" s="323"/>
      <c r="K26" s="257">
        <f t="shared" si="2"/>
        <v>0</v>
      </c>
      <c r="L26" s="258">
        <f t="shared" si="3"/>
        <v>0</v>
      </c>
      <c r="M26" s="258">
        <f t="shared" si="4"/>
        <v>0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0</v>
      </c>
      <c r="U26" s="264">
        <f t="shared" si="7"/>
        <v>0</v>
      </c>
      <c r="V26" s="265">
        <f t="shared" si="8"/>
        <v>0</v>
      </c>
      <c r="W26" s="265">
        <f t="shared" si="9"/>
        <v>0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/>
      <c r="C27" s="181" t="s">
        <v>219</v>
      </c>
      <c r="D27" s="271"/>
      <c r="E27" s="293"/>
      <c r="F27" s="288"/>
      <c r="G27" s="281"/>
      <c r="H27" s="277">
        <f t="shared" si="0"/>
        <v>0</v>
      </c>
      <c r="I27" s="289">
        <f t="shared" si="1"/>
        <v>0</v>
      </c>
      <c r="J27" s="323"/>
      <c r="K27" s="276">
        <f t="shared" si="2"/>
        <v>0</v>
      </c>
      <c r="L27" s="277">
        <f t="shared" si="3"/>
        <v>0</v>
      </c>
      <c r="M27" s="277">
        <f t="shared" si="4"/>
        <v>0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0</v>
      </c>
      <c r="U27" s="283">
        <f t="shared" si="7"/>
        <v>0</v>
      </c>
      <c r="V27" s="284">
        <f t="shared" si="8"/>
        <v>0</v>
      </c>
      <c r="W27" s="284">
        <f t="shared" si="9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250</v>
      </c>
      <c r="C28" s="295" t="s">
        <v>220</v>
      </c>
      <c r="D28" s="271" t="s">
        <v>0</v>
      </c>
      <c r="E28" s="287" t="s">
        <v>176</v>
      </c>
      <c r="F28" s="273">
        <v>2</v>
      </c>
      <c r="G28" s="259">
        <v>114.13</v>
      </c>
      <c r="H28" s="258">
        <f t="shared" si="0"/>
        <v>82.7</v>
      </c>
      <c r="I28" s="274">
        <f t="shared" si="1"/>
        <v>165.4</v>
      </c>
      <c r="J28" s="323"/>
      <c r="K28" s="257">
        <f t="shared" si="2"/>
        <v>2</v>
      </c>
      <c r="L28" s="258">
        <f t="shared" si="3"/>
        <v>82.7</v>
      </c>
      <c r="M28" s="258">
        <f t="shared" si="4"/>
        <v>165.4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82.7</v>
      </c>
      <c r="U28" s="264">
        <f t="shared" si="7"/>
        <v>165.4</v>
      </c>
      <c r="V28" s="265">
        <f t="shared" si="8"/>
        <v>0</v>
      </c>
      <c r="W28" s="265">
        <f t="shared" si="9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 t="s">
        <v>251</v>
      </c>
      <c r="C29" s="181" t="s">
        <v>221</v>
      </c>
      <c r="D29" s="271" t="s">
        <v>39</v>
      </c>
      <c r="E29" s="293" t="s">
        <v>176</v>
      </c>
      <c r="F29" s="288">
        <v>1</v>
      </c>
      <c r="G29" s="281">
        <v>2548.83</v>
      </c>
      <c r="H29" s="277">
        <f t="shared" si="0"/>
        <v>1846.98</v>
      </c>
      <c r="I29" s="289">
        <f t="shared" si="1"/>
        <v>1846.98</v>
      </c>
      <c r="J29" s="323"/>
      <c r="K29" s="276">
        <f t="shared" si="2"/>
        <v>1</v>
      </c>
      <c r="L29" s="277">
        <f t="shared" si="3"/>
        <v>1846.98</v>
      </c>
      <c r="M29" s="277">
        <f t="shared" si="4"/>
        <v>1846.98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1846.98</v>
      </c>
      <c r="U29" s="283">
        <f t="shared" si="7"/>
        <v>1846.98</v>
      </c>
      <c r="V29" s="284">
        <f t="shared" si="8"/>
        <v>0</v>
      </c>
      <c r="W29" s="284">
        <f t="shared" si="9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/>
      <c r="C30" s="295"/>
      <c r="D30" s="271"/>
      <c r="E30" s="287"/>
      <c r="F30" s="273"/>
      <c r="G30" s="259"/>
      <c r="H30" s="258">
        <f t="shared" si="0"/>
        <v>0</v>
      </c>
      <c r="I30" s="274">
        <f t="shared" si="1"/>
        <v>0</v>
      </c>
      <c r="J30" s="323"/>
      <c r="K30" s="257">
        <f t="shared" si="2"/>
        <v>0</v>
      </c>
      <c r="L30" s="258">
        <f t="shared" si="3"/>
        <v>0</v>
      </c>
      <c r="M30" s="258">
        <f t="shared" si="4"/>
        <v>0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0</v>
      </c>
      <c r="U30" s="264">
        <f t="shared" si="7"/>
        <v>0</v>
      </c>
      <c r="V30" s="265">
        <f t="shared" si="8"/>
        <v>0</v>
      </c>
      <c r="W30" s="265">
        <f t="shared" si="9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/>
      <c r="C31" s="181" t="s">
        <v>222</v>
      </c>
      <c r="D31" s="271"/>
      <c r="E31" s="287"/>
      <c r="F31" s="288"/>
      <c r="G31" s="281"/>
      <c r="H31" s="277">
        <f t="shared" si="0"/>
        <v>0</v>
      </c>
      <c r="I31" s="289">
        <f t="shared" si="1"/>
        <v>0</v>
      </c>
      <c r="J31" s="323"/>
      <c r="K31" s="276">
        <f t="shared" si="2"/>
        <v>0</v>
      </c>
      <c r="L31" s="277">
        <f t="shared" si="3"/>
        <v>0</v>
      </c>
      <c r="M31" s="277">
        <f t="shared" si="4"/>
        <v>0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0</v>
      </c>
      <c r="U31" s="283">
        <f t="shared" si="7"/>
        <v>0</v>
      </c>
      <c r="V31" s="284">
        <f t="shared" si="8"/>
        <v>0</v>
      </c>
      <c r="W31" s="284">
        <f t="shared" si="9"/>
        <v>0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252</v>
      </c>
      <c r="C32" s="181" t="s">
        <v>224</v>
      </c>
      <c r="D32" s="271" t="s">
        <v>15</v>
      </c>
      <c r="E32" s="293" t="s">
        <v>176</v>
      </c>
      <c r="F32" s="273">
        <v>1</v>
      </c>
      <c r="G32" s="259">
        <v>636.4</v>
      </c>
      <c r="H32" s="258">
        <f t="shared" si="0"/>
        <v>461.16</v>
      </c>
      <c r="I32" s="274">
        <f t="shared" si="1"/>
        <v>461.16</v>
      </c>
      <c r="J32" s="323"/>
      <c r="K32" s="257">
        <f t="shared" si="2"/>
        <v>1</v>
      </c>
      <c r="L32" s="258">
        <f t="shared" si="3"/>
        <v>461.16</v>
      </c>
      <c r="M32" s="258">
        <f t="shared" si="4"/>
        <v>461.16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461.16</v>
      </c>
      <c r="U32" s="264">
        <f t="shared" si="7"/>
        <v>461.16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 t="s">
        <v>253</v>
      </c>
      <c r="C33" s="295" t="s">
        <v>254</v>
      </c>
      <c r="D33" s="271" t="s">
        <v>16</v>
      </c>
      <c r="E33" s="287" t="s">
        <v>176</v>
      </c>
      <c r="F33" s="288">
        <v>1</v>
      </c>
      <c r="G33" s="281">
        <v>4776.45</v>
      </c>
      <c r="H33" s="277">
        <f t="shared" si="0"/>
        <v>3461.2</v>
      </c>
      <c r="I33" s="289">
        <f t="shared" si="1"/>
        <v>3461.2</v>
      </c>
      <c r="J33" s="323"/>
      <c r="K33" s="276">
        <f t="shared" si="2"/>
        <v>1</v>
      </c>
      <c r="L33" s="277">
        <f t="shared" si="3"/>
        <v>3461.2</v>
      </c>
      <c r="M33" s="277">
        <f t="shared" si="4"/>
        <v>3461.2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3461.2</v>
      </c>
      <c r="U33" s="283">
        <f t="shared" si="7"/>
        <v>3461.2</v>
      </c>
      <c r="V33" s="284">
        <f t="shared" si="8"/>
        <v>0</v>
      </c>
      <c r="W33" s="284">
        <f t="shared" si="9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/>
      <c r="C34" s="181"/>
      <c r="D34" s="271"/>
      <c r="E34" s="293"/>
      <c r="F34" s="273"/>
      <c r="G34" s="259"/>
      <c r="H34" s="258">
        <f t="shared" si="0"/>
        <v>0</v>
      </c>
      <c r="I34" s="274">
        <f t="shared" si="1"/>
        <v>0</v>
      </c>
      <c r="J34" s="323"/>
      <c r="K34" s="257">
        <f t="shared" si="2"/>
        <v>0</v>
      </c>
      <c r="L34" s="258">
        <f t="shared" si="3"/>
        <v>0</v>
      </c>
      <c r="M34" s="258">
        <f t="shared" si="4"/>
        <v>0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0</v>
      </c>
      <c r="U34" s="264">
        <f t="shared" si="7"/>
        <v>0</v>
      </c>
      <c r="V34" s="265">
        <f t="shared" si="8"/>
        <v>0</v>
      </c>
      <c r="W34" s="265">
        <f t="shared" si="9"/>
        <v>0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/>
      <c r="C35" s="295" t="s">
        <v>226</v>
      </c>
      <c r="D35" s="271" t="s">
        <v>23</v>
      </c>
      <c r="E35" s="287">
        <v>6000</v>
      </c>
      <c r="F35" s="288">
        <v>1</v>
      </c>
      <c r="G35" s="281"/>
      <c r="H35" s="277">
        <f t="shared" si="0"/>
        <v>0</v>
      </c>
      <c r="I35" s="289">
        <f t="shared" si="1"/>
        <v>0</v>
      </c>
      <c r="J35" s="323"/>
      <c r="K35" s="276">
        <f t="shared" si="2"/>
        <v>1</v>
      </c>
      <c r="L35" s="277">
        <f t="shared" si="3"/>
        <v>0</v>
      </c>
      <c r="M35" s="277">
        <f t="shared" si="4"/>
        <v>0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0</v>
      </c>
      <c r="U35" s="283">
        <f t="shared" si="7"/>
        <v>0</v>
      </c>
      <c r="V35" s="284">
        <f t="shared" si="8"/>
        <v>0</v>
      </c>
      <c r="W35" s="284">
        <f t="shared" si="9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 t="s">
        <v>255</v>
      </c>
      <c r="C36" s="181" t="s">
        <v>256</v>
      </c>
      <c r="D36" s="271" t="s">
        <v>19</v>
      </c>
      <c r="E36" s="293">
        <v>6000</v>
      </c>
      <c r="F36" s="273">
        <v>6</v>
      </c>
      <c r="G36" s="259">
        <v>228.77</v>
      </c>
      <c r="H36" s="258">
        <f t="shared" si="0"/>
        <v>165.78</v>
      </c>
      <c r="I36" s="274">
        <f t="shared" si="1"/>
        <v>994.68</v>
      </c>
      <c r="J36" s="323"/>
      <c r="K36" s="257">
        <f t="shared" si="2"/>
        <v>6</v>
      </c>
      <c r="L36" s="258">
        <f t="shared" si="3"/>
        <v>165.78</v>
      </c>
      <c r="M36" s="258">
        <f t="shared" si="4"/>
        <v>994.68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165.78</v>
      </c>
      <c r="U36" s="264">
        <f t="shared" si="7"/>
        <v>994.68</v>
      </c>
      <c r="V36" s="265">
        <f t="shared" si="8"/>
        <v>0</v>
      </c>
      <c r="W36" s="265">
        <f t="shared" si="9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/>
      <c r="C37" s="295"/>
      <c r="D37" s="271"/>
      <c r="E37" s="287"/>
      <c r="F37" s="288"/>
      <c r="G37" s="281"/>
      <c r="H37" s="277">
        <f t="shared" si="0"/>
        <v>0</v>
      </c>
      <c r="I37" s="289">
        <f t="shared" si="1"/>
        <v>0</v>
      </c>
      <c r="J37" s="323"/>
      <c r="K37" s="276">
        <f t="shared" si="2"/>
        <v>0</v>
      </c>
      <c r="L37" s="277">
        <f t="shared" si="3"/>
        <v>0</v>
      </c>
      <c r="M37" s="277">
        <f t="shared" si="4"/>
        <v>0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0</v>
      </c>
      <c r="U37" s="283">
        <f t="shared" si="7"/>
        <v>0</v>
      </c>
      <c r="V37" s="284">
        <f t="shared" si="8"/>
        <v>0</v>
      </c>
      <c r="W37" s="284">
        <f t="shared" si="9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/>
      <c r="C38" s="181" t="s">
        <v>228</v>
      </c>
      <c r="D38" s="271"/>
      <c r="E38" s="293"/>
      <c r="F38" s="273"/>
      <c r="G38" s="259"/>
      <c r="H38" s="258">
        <f t="shared" si="0"/>
        <v>0</v>
      </c>
      <c r="I38" s="274">
        <f t="shared" si="1"/>
        <v>0</v>
      </c>
      <c r="J38" s="323"/>
      <c r="K38" s="257">
        <f t="shared" si="2"/>
        <v>0</v>
      </c>
      <c r="L38" s="258">
        <f t="shared" si="3"/>
        <v>0</v>
      </c>
      <c r="M38" s="258">
        <f t="shared" si="4"/>
        <v>0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0</v>
      </c>
      <c r="U38" s="264">
        <f t="shared" si="7"/>
        <v>0</v>
      </c>
      <c r="V38" s="265">
        <f t="shared" si="8"/>
        <v>0</v>
      </c>
      <c r="W38" s="265">
        <f t="shared" si="9"/>
        <v>0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/>
      <c r="C39" s="295" t="s">
        <v>229</v>
      </c>
      <c r="D39" s="271" t="s">
        <v>41</v>
      </c>
      <c r="E39" s="287">
        <v>4000</v>
      </c>
      <c r="F39" s="288">
        <v>4</v>
      </c>
      <c r="G39" s="281"/>
      <c r="H39" s="277">
        <f t="shared" si="0"/>
        <v>0</v>
      </c>
      <c r="I39" s="289">
        <f t="shared" si="1"/>
        <v>0</v>
      </c>
      <c r="J39" s="323"/>
      <c r="K39" s="276">
        <f t="shared" si="2"/>
        <v>4</v>
      </c>
      <c r="L39" s="277">
        <f t="shared" si="3"/>
        <v>0</v>
      </c>
      <c r="M39" s="277">
        <f t="shared" si="4"/>
        <v>0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0</v>
      </c>
      <c r="U39" s="283">
        <f t="shared" si="7"/>
        <v>0</v>
      </c>
      <c r="V39" s="284">
        <f t="shared" si="8"/>
        <v>0</v>
      </c>
      <c r="W39" s="284">
        <f t="shared" si="9"/>
        <v>0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/>
      <c r="C40" s="181"/>
      <c r="D40" s="271"/>
      <c r="E40" s="293"/>
      <c r="F40" s="273"/>
      <c r="G40" s="259"/>
      <c r="H40" s="258">
        <f t="shared" si="0"/>
        <v>0</v>
      </c>
      <c r="I40" s="274">
        <f t="shared" si="1"/>
        <v>0</v>
      </c>
      <c r="J40" s="323"/>
      <c r="K40" s="257">
        <f t="shared" si="2"/>
        <v>0</v>
      </c>
      <c r="L40" s="258">
        <f t="shared" si="3"/>
        <v>0</v>
      </c>
      <c r="M40" s="258">
        <f t="shared" si="4"/>
        <v>0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0</v>
      </c>
      <c r="U40" s="264">
        <f t="shared" si="7"/>
        <v>0</v>
      </c>
      <c r="V40" s="265">
        <f t="shared" si="8"/>
        <v>0</v>
      </c>
      <c r="W40" s="265">
        <f t="shared" si="9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 t="s">
        <v>197</v>
      </c>
      <c r="D41" s="271" t="s">
        <v>22</v>
      </c>
      <c r="E41" s="287" t="s">
        <v>176</v>
      </c>
      <c r="F41" s="288">
        <v>1</v>
      </c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1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/>
      <c r="C42" s="295" t="s">
        <v>198</v>
      </c>
      <c r="D42" s="271" t="s">
        <v>199</v>
      </c>
      <c r="E42" s="293" t="s">
        <v>176</v>
      </c>
      <c r="F42" s="273">
        <v>1</v>
      </c>
      <c r="G42" s="259"/>
      <c r="H42" s="258">
        <f t="shared" si="0"/>
        <v>0</v>
      </c>
      <c r="I42" s="274">
        <f t="shared" si="1"/>
        <v>0</v>
      </c>
      <c r="J42" s="323"/>
      <c r="K42" s="257">
        <f t="shared" si="2"/>
        <v>1</v>
      </c>
      <c r="L42" s="258">
        <f t="shared" si="3"/>
        <v>0</v>
      </c>
      <c r="M42" s="258">
        <f t="shared" si="4"/>
        <v>0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0</v>
      </c>
      <c r="U42" s="264">
        <f t="shared" si="7"/>
        <v>0</v>
      </c>
      <c r="V42" s="265">
        <f t="shared" si="8"/>
        <v>0</v>
      </c>
      <c r="W42" s="265">
        <f t="shared" si="9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 t="s">
        <v>200</v>
      </c>
      <c r="D43" s="271" t="s">
        <v>18</v>
      </c>
      <c r="E43" s="287" t="s">
        <v>176</v>
      </c>
      <c r="F43" s="288">
        <v>1</v>
      </c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1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 t="s">
        <v>257</v>
      </c>
      <c r="C44" s="295" t="s">
        <v>258</v>
      </c>
      <c r="D44" s="271" t="s">
        <v>13</v>
      </c>
      <c r="E44" s="293" t="s">
        <v>176</v>
      </c>
      <c r="F44" s="273">
        <v>1</v>
      </c>
      <c r="G44" s="259">
        <v>553.42999999999995</v>
      </c>
      <c r="H44" s="258">
        <f t="shared" si="0"/>
        <v>401.04</v>
      </c>
      <c r="I44" s="274">
        <f t="shared" si="1"/>
        <v>401.04</v>
      </c>
      <c r="J44" s="323"/>
      <c r="K44" s="257">
        <f t="shared" si="2"/>
        <v>1</v>
      </c>
      <c r="L44" s="258">
        <f t="shared" si="3"/>
        <v>401.04</v>
      </c>
      <c r="M44" s="258">
        <f t="shared" si="4"/>
        <v>401.04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401.04</v>
      </c>
      <c r="U44" s="264">
        <f t="shared" si="7"/>
        <v>401.04</v>
      </c>
      <c r="V44" s="265">
        <f t="shared" si="8"/>
        <v>0</v>
      </c>
      <c r="W44" s="265">
        <f t="shared" si="9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/>
      <c r="C45" s="295"/>
      <c r="D45" s="271"/>
      <c r="E45" s="287"/>
      <c r="F45" s="288"/>
      <c r="G45" s="281"/>
      <c r="H45" s="277">
        <f t="shared" si="0"/>
        <v>0</v>
      </c>
      <c r="I45" s="289">
        <f t="shared" si="1"/>
        <v>0</v>
      </c>
      <c r="J45" s="323"/>
      <c r="K45" s="276">
        <f t="shared" si="2"/>
        <v>0</v>
      </c>
      <c r="L45" s="277">
        <f t="shared" si="3"/>
        <v>0</v>
      </c>
      <c r="M45" s="277">
        <f t="shared" si="4"/>
        <v>0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0</v>
      </c>
      <c r="U45" s="283">
        <f t="shared" si="7"/>
        <v>0</v>
      </c>
      <c r="V45" s="284">
        <f t="shared" si="8"/>
        <v>0</v>
      </c>
      <c r="W45" s="284">
        <f t="shared" si="9"/>
        <v>0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/>
      <c r="C46" s="181"/>
      <c r="D46" s="271"/>
      <c r="E46" s="293"/>
      <c r="F46" s="273"/>
      <c r="G46" s="259"/>
      <c r="H46" s="258">
        <f t="shared" si="0"/>
        <v>0</v>
      </c>
      <c r="I46" s="274">
        <f t="shared" si="1"/>
        <v>0</v>
      </c>
      <c r="J46" s="323"/>
      <c r="K46" s="257">
        <f t="shared" si="2"/>
        <v>0</v>
      </c>
      <c r="L46" s="258">
        <f t="shared" si="3"/>
        <v>0</v>
      </c>
      <c r="M46" s="258">
        <f t="shared" si="4"/>
        <v>0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0</v>
      </c>
      <c r="U46" s="264">
        <f t="shared" si="7"/>
        <v>0</v>
      </c>
      <c r="V46" s="265">
        <f t="shared" si="8"/>
        <v>0</v>
      </c>
      <c r="W46" s="265">
        <f t="shared" si="9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/>
      <c r="C47" s="295"/>
      <c r="D47" s="271"/>
      <c r="E47" s="287"/>
      <c r="F47" s="288"/>
      <c r="G47" s="281"/>
      <c r="H47" s="277">
        <f t="shared" si="0"/>
        <v>0</v>
      </c>
      <c r="I47" s="289">
        <f t="shared" si="1"/>
        <v>0</v>
      </c>
      <c r="J47" s="323"/>
      <c r="K47" s="276">
        <f t="shared" si="2"/>
        <v>0</v>
      </c>
      <c r="L47" s="277">
        <f t="shared" si="3"/>
        <v>0</v>
      </c>
      <c r="M47" s="277">
        <f t="shared" si="4"/>
        <v>0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0</v>
      </c>
      <c r="U47" s="283">
        <f t="shared" si="7"/>
        <v>0</v>
      </c>
      <c r="V47" s="284">
        <f t="shared" si="8"/>
        <v>0</v>
      </c>
      <c r="W47" s="284">
        <f t="shared" si="9"/>
        <v>0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/>
      <c r="C48" s="181"/>
      <c r="D48" s="271"/>
      <c r="E48" s="293"/>
      <c r="F48" s="273"/>
      <c r="G48" s="259"/>
      <c r="H48" s="258">
        <f t="shared" si="0"/>
        <v>0</v>
      </c>
      <c r="I48" s="274">
        <f t="shared" si="1"/>
        <v>0</v>
      </c>
      <c r="J48" s="323"/>
      <c r="K48" s="257">
        <f t="shared" si="2"/>
        <v>0</v>
      </c>
      <c r="L48" s="258">
        <f t="shared" si="3"/>
        <v>0</v>
      </c>
      <c r="M48" s="258">
        <f t="shared" si="4"/>
        <v>0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0</v>
      </c>
      <c r="U48" s="264">
        <f t="shared" si="7"/>
        <v>0</v>
      </c>
      <c r="V48" s="265">
        <f t="shared" si="8"/>
        <v>0</v>
      </c>
      <c r="W48" s="265">
        <f t="shared" si="9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295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181"/>
      <c r="D50" s="271"/>
      <c r="E50" s="293"/>
      <c r="F50" s="273"/>
      <c r="G50" s="259"/>
      <c r="H50" s="258">
        <f t="shared" ref="H50:H81" si="10">ROUND(IF($G$17="USD $", G50*$F$15,G50*$E$15),2)</f>
        <v>0</v>
      </c>
      <c r="I50" s="274">
        <f t="shared" ref="I50:I81" si="11">ROUND(IF($I$17=$H$17,F50*H50,F50*G50),2)</f>
        <v>0</v>
      </c>
      <c r="J50" s="323"/>
      <c r="K50" s="257">
        <f t="shared" ref="K50:K80" si="12">F50</f>
        <v>0</v>
      </c>
      <c r="L50" s="258">
        <f t="shared" ref="L50:L81" si="13">IFERROR(IF(N50="OEM DISC %",ROUND(IF($L$17=$G$17,G50*(1-O50),H50*(1-O50)),2),IF(N50="MARKUP %",ROUND(S50/K50*(1+O50),2))),0)</f>
        <v>0</v>
      </c>
      <c r="M50" s="258">
        <f t="shared" ref="M50:M81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5">ROUND(IF($S$17=$R$17,R50,IF($S$17="USD $",R50*$E$15,R50*$F$15))*F50,2)</f>
        <v>0</v>
      </c>
      <c r="T50" s="264">
        <f t="shared" ref="T50:T81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/>
      <c r="C51" s="181"/>
      <c r="D51" s="271"/>
      <c r="E51" s="287"/>
      <c r="F51" s="288"/>
      <c r="G51" s="281"/>
      <c r="H51" s="277">
        <f t="shared" si="10"/>
        <v>0</v>
      </c>
      <c r="I51" s="289">
        <f t="shared" si="11"/>
        <v>0</v>
      </c>
      <c r="J51" s="323"/>
      <c r="K51" s="276">
        <f t="shared" si="12"/>
        <v>0</v>
      </c>
      <c r="L51" s="277">
        <f t="shared" si="13"/>
        <v>0</v>
      </c>
      <c r="M51" s="277">
        <f t="shared" si="14"/>
        <v>0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0</v>
      </c>
      <c r="U51" s="283">
        <f t="shared" si="17"/>
        <v>0</v>
      </c>
      <c r="V51" s="284">
        <f t="shared" si="18"/>
        <v>0</v>
      </c>
      <c r="W51" s="284">
        <f t="shared" si="19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/>
      <c r="C52" s="295"/>
      <c r="D52" s="271"/>
      <c r="E52" s="293"/>
      <c r="F52" s="273"/>
      <c r="G52" s="259"/>
      <c r="H52" s="258">
        <f t="shared" si="10"/>
        <v>0</v>
      </c>
      <c r="I52" s="274">
        <f t="shared" si="11"/>
        <v>0</v>
      </c>
      <c r="J52" s="323"/>
      <c r="K52" s="257">
        <f t="shared" si="12"/>
        <v>0</v>
      </c>
      <c r="L52" s="258">
        <f t="shared" si="13"/>
        <v>0</v>
      </c>
      <c r="M52" s="258">
        <f t="shared" si="14"/>
        <v>0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0</v>
      </c>
      <c r="U52" s="264">
        <f t="shared" si="17"/>
        <v>0</v>
      </c>
      <c r="V52" s="265">
        <f t="shared" si="18"/>
        <v>0</v>
      </c>
      <c r="W52" s="265">
        <f t="shared" si="19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/>
      <c r="C53" s="181"/>
      <c r="D53" s="271"/>
      <c r="E53" s="287"/>
      <c r="F53" s="288"/>
      <c r="G53" s="281"/>
      <c r="H53" s="277">
        <f t="shared" si="10"/>
        <v>0</v>
      </c>
      <c r="I53" s="289">
        <f t="shared" si="11"/>
        <v>0</v>
      </c>
      <c r="J53" s="323"/>
      <c r="K53" s="276">
        <f t="shared" si="12"/>
        <v>0</v>
      </c>
      <c r="L53" s="277">
        <f t="shared" si="13"/>
        <v>0</v>
      </c>
      <c r="M53" s="277">
        <f t="shared" si="14"/>
        <v>0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0</v>
      </c>
      <c r="U53" s="283">
        <f t="shared" si="17"/>
        <v>0</v>
      </c>
      <c r="V53" s="284">
        <f t="shared" si="18"/>
        <v>0</v>
      </c>
      <c r="W53" s="284">
        <f t="shared" si="19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295"/>
      <c r="D57" s="271"/>
      <c r="E57" s="293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181"/>
      <c r="D58" s="271"/>
      <c r="E58" s="287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295"/>
      <c r="D59" s="271"/>
      <c r="E59" s="293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181"/>
      <c r="D60" s="271"/>
      <c r="E60" s="287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295"/>
      <c r="D61" s="271"/>
      <c r="E61" s="293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181"/>
      <c r="D62" s="271"/>
      <c r="E62" s="287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295"/>
      <c r="D63" s="271"/>
      <c r="E63" s="293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181"/>
      <c r="D64" s="296"/>
      <c r="E64" s="287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295"/>
      <c r="D65" s="271"/>
      <c r="E65" s="293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181"/>
      <c r="D66" s="296"/>
      <c r="E66" s="287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27</v>
      </c>
      <c r="G81" s="318">
        <f>SUM(G18:G80)</f>
        <v>9382.41</v>
      </c>
      <c r="H81" s="308">
        <f>SUM(H18:H80)</f>
        <v>6798.869999999999</v>
      </c>
      <c r="I81" s="309">
        <f>SUM(I18:I80)</f>
        <v>7710.47</v>
      </c>
      <c r="J81" s="324"/>
      <c r="K81" s="307">
        <f>SUM(K18:K80)</f>
        <v>27</v>
      </c>
      <c r="L81" s="308">
        <f>SUM(L18:L80)</f>
        <v>6798.869999999999</v>
      </c>
      <c r="M81" s="309">
        <f>SUM(M18:M80)</f>
        <v>7710.47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6798.869999999999</v>
      </c>
      <c r="U81" s="309">
        <f>SUM(U18:U80)</f>
        <v>7710.47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163" priority="3" stopIfTrue="1">
      <formula>$V$9&gt;100%</formula>
    </cfRule>
    <cfRule type="expression" dxfId="162" priority="4">
      <formula>$V$9&lt;50%</formula>
    </cfRule>
  </conditionalFormatting>
  <conditionalFormatting sqref="W9:W10">
    <cfRule type="expression" dxfId="161" priority="1">
      <formula>$W$9&lt;50%</formula>
    </cfRule>
    <cfRule type="expression" dxfId="160" priority="2">
      <formula>$W$9&gt;50%</formula>
    </cfRule>
  </conditionalFormatting>
  <dataValidations count="6">
    <dataValidation type="list" allowBlank="1" showInputMessage="1" showErrorMessage="1" sqref="G17 R14 R17 L17" xr:uid="{40A601BA-017E-4F6D-9F28-0D86D9E66661}">
      <formula1>$Z$11:$Z$12</formula1>
    </dataValidation>
    <dataValidation type="list" allowBlank="1" showInputMessage="1" showErrorMessage="1" sqref="I13" xr:uid="{F6BF13D7-90D0-4AE0-8FB3-802682A4F4E3}">
      <formula1>$Z$13:$Z$14</formula1>
    </dataValidation>
    <dataValidation type="list" allowBlank="1" showInputMessage="1" showErrorMessage="1" sqref="J13" xr:uid="{2C36299E-4BFE-4FC4-AB41-CFA343433078}">
      <formula1>$L$9:$L$9</formula1>
    </dataValidation>
    <dataValidation type="list" showInputMessage="1" showErrorMessage="1" sqref="E26:E80 E18 E20:E24" xr:uid="{A1B79B7F-92C7-49DD-99D3-FB69406926A0}">
      <formula1>$AA$18:$AA$29</formula1>
    </dataValidation>
    <dataValidation type="list" allowBlank="1" showInputMessage="1" showErrorMessage="1" sqref="N18:N80" xr:uid="{220ABB03-7502-42FD-B96F-974181586171}">
      <formula1>$Z$31:$Z$32</formula1>
    </dataValidation>
    <dataValidation type="list" allowBlank="1" showInputMessage="1" showErrorMessage="1" sqref="G2" xr:uid="{A273A74B-C77B-436E-8C8A-B89FA163F2BA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019FAC-BC6C-4C21-AC64-22DEDB68E261}">
          <x14:formula1>
            <xm:f>'Product Type'!$A$1:$A$55</xm:f>
          </x14:formula1>
          <xm:sqref>D18:D62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5DFB-9DB7-4A55-B934-87D18B30DF2E}">
  <sheetPr>
    <pageSetUpPr fitToPage="1"/>
  </sheetPr>
  <dimension ref="A1:AC83"/>
  <sheetViews>
    <sheetView zoomScale="84" zoomScaleNormal="84" workbookViewId="0">
      <selection activeCell="N19" sqref="N19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58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102772.29000000001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556" t="s">
        <v>67</v>
      </c>
      <c r="F3" s="557"/>
      <c r="G3" s="174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102772.29000000001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260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403">
        <v>87073691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102772.29000000001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102772.29000000001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993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45</v>
      </c>
      <c r="M18" s="258">
        <f t="shared" ref="M18:M49" si="2">ROUND((K18*L18),2)</f>
        <v>45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45</v>
      </c>
      <c r="U18" s="264">
        <f t="shared" ref="U18:U49" si="5">ROUND(M18-S18,2)</f>
        <v>45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258">
        <f t="shared" ref="H19:H50" si="8">ROUND(IF($G$18="USD $", G19*$F$15,G19*$E$15),2)</f>
        <v>32.61</v>
      </c>
      <c r="I19" s="274">
        <f t="shared" ref="I19:I50" si="9">ROUND(IF($I$18=$H$18,F19*H19,F19*G19),2)</f>
        <v>45</v>
      </c>
      <c r="J19" s="275"/>
      <c r="K19" s="276">
        <f t="shared" si="0"/>
        <v>1</v>
      </c>
      <c r="L19" s="277">
        <f t="shared" si="1"/>
        <v>50</v>
      </c>
      <c r="M19" s="277">
        <f t="shared" si="2"/>
        <v>50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50</v>
      </c>
      <c r="U19" s="283">
        <f t="shared" si="5"/>
        <v>50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277">
        <f t="shared" si="8"/>
        <v>36.229999999999997</v>
      </c>
      <c r="I20" s="289">
        <f t="shared" si="9"/>
        <v>50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163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125</v>
      </c>
      <c r="M22" s="258">
        <f t="shared" si="2"/>
        <v>125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125</v>
      </c>
      <c r="U22" s="264">
        <f t="shared" si="5"/>
        <v>125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258">
        <f t="shared" si="8"/>
        <v>90.58</v>
      </c>
      <c r="I23" s="274">
        <f t="shared" si="9"/>
        <v>125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50</v>
      </c>
      <c r="M25" s="277">
        <f t="shared" si="2"/>
        <v>50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50</v>
      </c>
      <c r="U25" s="283">
        <f t="shared" si="5"/>
        <v>50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277">
        <f t="shared" si="8"/>
        <v>36.229999999999997</v>
      </c>
      <c r="I26" s="289">
        <f t="shared" si="9"/>
        <v>50</v>
      </c>
      <c r="J26" s="275"/>
      <c r="K26" s="257">
        <f t="shared" si="0"/>
        <v>2</v>
      </c>
      <c r="L26" s="258">
        <f t="shared" si="1"/>
        <v>325</v>
      </c>
      <c r="M26" s="258">
        <f t="shared" si="2"/>
        <v>650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325</v>
      </c>
      <c r="U26" s="264">
        <f t="shared" si="5"/>
        <v>650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258">
        <f t="shared" si="8"/>
        <v>235.51</v>
      </c>
      <c r="I27" s="274">
        <f t="shared" si="9"/>
        <v>650</v>
      </c>
      <c r="J27" s="275"/>
      <c r="K27" s="276">
        <f t="shared" si="0"/>
        <v>1</v>
      </c>
      <c r="L27" s="277">
        <f t="shared" si="1"/>
        <v>2647.79</v>
      </c>
      <c r="M27" s="277">
        <f t="shared" si="2"/>
        <v>2647.79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2647.79</v>
      </c>
      <c r="U27" s="283">
        <f t="shared" si="5"/>
        <v>2647.79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266</v>
      </c>
      <c r="C28" s="286" t="s">
        <v>174</v>
      </c>
      <c r="D28" s="271" t="s">
        <v>39</v>
      </c>
      <c r="E28" s="287" t="s">
        <v>176</v>
      </c>
      <c r="F28" s="288">
        <v>1</v>
      </c>
      <c r="G28" s="281">
        <v>2647.79</v>
      </c>
      <c r="H28" s="277">
        <f t="shared" si="8"/>
        <v>1918.69</v>
      </c>
      <c r="I28" s="289">
        <f t="shared" si="9"/>
        <v>2647.79</v>
      </c>
      <c r="J28" s="275"/>
      <c r="K28" s="257">
        <f t="shared" si="0"/>
        <v>6</v>
      </c>
      <c r="L28" s="258">
        <f t="shared" si="1"/>
        <v>1150</v>
      </c>
      <c r="M28" s="258">
        <f t="shared" si="2"/>
        <v>6900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1150</v>
      </c>
      <c r="U28" s="264">
        <f t="shared" si="5"/>
        <v>6900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258">
        <f t="shared" si="8"/>
        <v>833.33</v>
      </c>
      <c r="I29" s="274">
        <f t="shared" si="9"/>
        <v>6900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0</v>
      </c>
      <c r="L30" s="258">
        <f t="shared" si="1"/>
        <v>0</v>
      </c>
      <c r="M30" s="258">
        <f t="shared" si="2"/>
        <v>0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0</v>
      </c>
      <c r="U30" s="264">
        <f t="shared" si="5"/>
        <v>0</v>
      </c>
      <c r="V30" s="265">
        <f t="shared" si="6"/>
        <v>0</v>
      </c>
      <c r="W30" s="265">
        <f t="shared" si="7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/>
      <c r="C31" s="292"/>
      <c r="D31" s="271"/>
      <c r="E31" s="293"/>
      <c r="F31" s="273"/>
      <c r="G31" s="259"/>
      <c r="H31" s="258">
        <f t="shared" si="8"/>
        <v>0</v>
      </c>
      <c r="I31" s="274">
        <f t="shared" si="9"/>
        <v>0</v>
      </c>
      <c r="J31" s="275"/>
      <c r="K31" s="276">
        <f t="shared" si="0"/>
        <v>2</v>
      </c>
      <c r="L31" s="277">
        <f t="shared" si="1"/>
        <v>925</v>
      </c>
      <c r="M31" s="277">
        <f t="shared" si="2"/>
        <v>1850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925</v>
      </c>
      <c r="U31" s="283">
        <f t="shared" si="5"/>
        <v>1850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267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925</v>
      </c>
      <c r="H32" s="277">
        <f t="shared" si="8"/>
        <v>670.29</v>
      </c>
      <c r="I32" s="289">
        <f t="shared" si="9"/>
        <v>1850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0</v>
      </c>
      <c r="L35" s="277">
        <f t="shared" si="1"/>
        <v>0</v>
      </c>
      <c r="M35" s="277">
        <f t="shared" si="2"/>
        <v>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0</v>
      </c>
      <c r="U35" s="283">
        <f t="shared" si="5"/>
        <v>0</v>
      </c>
      <c r="V35" s="284">
        <f t="shared" si="6"/>
        <v>0</v>
      </c>
      <c r="W35" s="284">
        <f t="shared" si="7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/>
      <c r="C36" s="286"/>
      <c r="D36" s="271"/>
      <c r="E36" s="287"/>
      <c r="F36" s="288"/>
      <c r="G36" s="281"/>
      <c r="H36" s="277">
        <f t="shared" si="8"/>
        <v>0</v>
      </c>
      <c r="I36" s="289">
        <f t="shared" si="9"/>
        <v>0</v>
      </c>
      <c r="J36" s="275"/>
      <c r="K36" s="257">
        <f t="shared" si="0"/>
        <v>6</v>
      </c>
      <c r="L36" s="258">
        <f t="shared" si="1"/>
        <v>675</v>
      </c>
      <c r="M36" s="258">
        <f t="shared" si="2"/>
        <v>4050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675</v>
      </c>
      <c r="U36" s="264">
        <f t="shared" si="5"/>
        <v>4050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270</v>
      </c>
      <c r="C37" s="292" t="s">
        <v>186</v>
      </c>
      <c r="D37" s="271" t="s">
        <v>43</v>
      </c>
      <c r="E37" s="293">
        <v>5000</v>
      </c>
      <c r="F37" s="273">
        <v>6</v>
      </c>
      <c r="G37" s="259">
        <v>675</v>
      </c>
      <c r="H37" s="258">
        <f t="shared" si="8"/>
        <v>489.13</v>
      </c>
      <c r="I37" s="274">
        <f t="shared" si="9"/>
        <v>4050</v>
      </c>
      <c r="J37" s="275"/>
      <c r="K37" s="276">
        <f t="shared" si="0"/>
        <v>0</v>
      </c>
      <c r="L37" s="277">
        <f t="shared" si="1"/>
        <v>0</v>
      </c>
      <c r="M37" s="277">
        <f t="shared" si="2"/>
        <v>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0</v>
      </c>
      <c r="U37" s="283">
        <f t="shared" si="5"/>
        <v>0</v>
      </c>
      <c r="V37" s="284">
        <f t="shared" si="6"/>
        <v>0</v>
      </c>
      <c r="W37" s="284">
        <f t="shared" si="7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/>
      <c r="C38" s="286"/>
      <c r="D38" s="271"/>
      <c r="E38" s="287"/>
      <c r="F38" s="288"/>
      <c r="G38" s="281"/>
      <c r="H38" s="277">
        <f t="shared" si="8"/>
        <v>0</v>
      </c>
      <c r="I38" s="289">
        <f t="shared" si="9"/>
        <v>0</v>
      </c>
      <c r="J38" s="275"/>
      <c r="K38" s="257">
        <f t="shared" si="0"/>
        <v>12</v>
      </c>
      <c r="L38" s="258">
        <f t="shared" si="1"/>
        <v>650</v>
      </c>
      <c r="M38" s="258">
        <f t="shared" si="2"/>
        <v>7800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650</v>
      </c>
      <c r="U38" s="264">
        <f t="shared" si="5"/>
        <v>7800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 t="s">
        <v>271</v>
      </c>
      <c r="C39" s="292" t="s">
        <v>272</v>
      </c>
      <c r="D39" s="271" t="s">
        <v>43</v>
      </c>
      <c r="E39" s="293">
        <v>5000</v>
      </c>
      <c r="F39" s="273">
        <v>12</v>
      </c>
      <c r="G39" s="259">
        <v>650</v>
      </c>
      <c r="H39" s="258">
        <f t="shared" si="8"/>
        <v>471.01</v>
      </c>
      <c r="I39" s="274">
        <f t="shared" si="9"/>
        <v>7800</v>
      </c>
      <c r="J39" s="275"/>
      <c r="K39" s="276">
        <f t="shared" si="0"/>
        <v>0</v>
      </c>
      <c r="L39" s="277">
        <f t="shared" si="1"/>
        <v>0</v>
      </c>
      <c r="M39" s="277">
        <f t="shared" si="2"/>
        <v>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0</v>
      </c>
      <c r="U39" s="283">
        <f t="shared" si="5"/>
        <v>0</v>
      </c>
      <c r="V39" s="284">
        <f t="shared" si="6"/>
        <v>0</v>
      </c>
      <c r="W39" s="284">
        <f t="shared" si="7"/>
        <v>0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/>
      <c r="C40" s="286"/>
      <c r="D40" s="271"/>
      <c r="E40" s="287"/>
      <c r="F40" s="288"/>
      <c r="G40" s="281"/>
      <c r="H40" s="277">
        <f t="shared" si="8"/>
        <v>0</v>
      </c>
      <c r="I40" s="289">
        <f t="shared" si="9"/>
        <v>0</v>
      </c>
      <c r="J40" s="275"/>
      <c r="K40" s="257">
        <f t="shared" si="0"/>
        <v>2</v>
      </c>
      <c r="L40" s="258">
        <f t="shared" si="1"/>
        <v>5500</v>
      </c>
      <c r="M40" s="258">
        <f t="shared" si="2"/>
        <v>11000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5500</v>
      </c>
      <c r="U40" s="264">
        <f t="shared" si="5"/>
        <v>11000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98252</v>
      </c>
      <c r="C41" s="292" t="s">
        <v>190</v>
      </c>
      <c r="D41" s="271" t="s">
        <v>51</v>
      </c>
      <c r="E41" s="293" t="s">
        <v>176</v>
      </c>
      <c r="F41" s="273">
        <v>2</v>
      </c>
      <c r="G41" s="259">
        <v>5500</v>
      </c>
      <c r="H41" s="258">
        <f t="shared" si="8"/>
        <v>3985.51</v>
      </c>
      <c r="I41" s="274">
        <f t="shared" si="9"/>
        <v>11000</v>
      </c>
      <c r="J41" s="275"/>
      <c r="K41" s="276">
        <f t="shared" si="0"/>
        <v>94</v>
      </c>
      <c r="L41" s="277">
        <f t="shared" si="1"/>
        <v>450</v>
      </c>
      <c r="M41" s="277">
        <f t="shared" si="2"/>
        <v>42300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450</v>
      </c>
      <c r="U41" s="283">
        <f t="shared" si="5"/>
        <v>42300</v>
      </c>
      <c r="V41" s="284">
        <f t="shared" si="6"/>
        <v>0</v>
      </c>
      <c r="W41" s="284">
        <f t="shared" si="7"/>
        <v>1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>
        <v>221712</v>
      </c>
      <c r="C42" s="286" t="s">
        <v>192</v>
      </c>
      <c r="D42" s="271" t="s">
        <v>53</v>
      </c>
      <c r="E42" s="287" t="s">
        <v>176</v>
      </c>
      <c r="F42" s="288">
        <v>94</v>
      </c>
      <c r="G42" s="281">
        <v>450</v>
      </c>
      <c r="H42" s="277">
        <f t="shared" si="8"/>
        <v>326.08999999999997</v>
      </c>
      <c r="I42" s="289">
        <f t="shared" si="9"/>
        <v>42300</v>
      </c>
      <c r="J42" s="275"/>
      <c r="K42" s="257">
        <f t="shared" si="0"/>
        <v>376</v>
      </c>
      <c r="L42" s="258">
        <f t="shared" si="1"/>
        <v>8.5</v>
      </c>
      <c r="M42" s="258">
        <f t="shared" si="2"/>
        <v>3196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8.5</v>
      </c>
      <c r="U42" s="264">
        <f t="shared" si="5"/>
        <v>3196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>
        <v>95748</v>
      </c>
      <c r="C43" s="292" t="s">
        <v>194</v>
      </c>
      <c r="D43" s="271" t="s">
        <v>54</v>
      </c>
      <c r="E43" s="293" t="s">
        <v>176</v>
      </c>
      <c r="F43" s="273">
        <v>376</v>
      </c>
      <c r="G43" s="259">
        <v>8.5</v>
      </c>
      <c r="H43" s="258">
        <f t="shared" si="8"/>
        <v>6.16</v>
      </c>
      <c r="I43" s="274">
        <f t="shared" si="9"/>
        <v>3196</v>
      </c>
      <c r="J43" s="275"/>
      <c r="K43" s="276">
        <f t="shared" si="0"/>
        <v>376</v>
      </c>
      <c r="L43" s="277">
        <f t="shared" si="1"/>
        <v>7.5</v>
      </c>
      <c r="M43" s="277">
        <f t="shared" si="2"/>
        <v>2820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7.5</v>
      </c>
      <c r="U43" s="283">
        <f t="shared" si="5"/>
        <v>2820</v>
      </c>
      <c r="V43" s="284">
        <f t="shared" si="6"/>
        <v>0</v>
      </c>
      <c r="W43" s="284">
        <f t="shared" si="7"/>
        <v>1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>
        <v>95747</v>
      </c>
      <c r="C44" s="286" t="s">
        <v>195</v>
      </c>
      <c r="D44" s="271" t="s">
        <v>54</v>
      </c>
      <c r="E44" s="287" t="s">
        <v>176</v>
      </c>
      <c r="F44" s="288">
        <v>376</v>
      </c>
      <c r="G44" s="281">
        <v>7.5</v>
      </c>
      <c r="H44" s="277">
        <f t="shared" si="8"/>
        <v>5.43</v>
      </c>
      <c r="I44" s="289">
        <f t="shared" si="9"/>
        <v>2820</v>
      </c>
      <c r="J44" s="275"/>
      <c r="K44" s="257">
        <f t="shared" si="0"/>
        <v>0</v>
      </c>
      <c r="L44" s="258">
        <f t="shared" si="1"/>
        <v>0</v>
      </c>
      <c r="M44" s="258">
        <f t="shared" si="2"/>
        <v>0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0</v>
      </c>
      <c r="U44" s="264">
        <f t="shared" si="5"/>
        <v>0</v>
      </c>
      <c r="V44" s="265">
        <f t="shared" si="6"/>
        <v>0</v>
      </c>
      <c r="W44" s="265">
        <f t="shared" si="7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/>
      <c r="C45" s="292"/>
      <c r="D45" s="271"/>
      <c r="E45" s="293"/>
      <c r="F45" s="273"/>
      <c r="G45" s="259"/>
      <c r="H45" s="258">
        <f t="shared" si="8"/>
        <v>0</v>
      </c>
      <c r="I45" s="274">
        <f t="shared" si="9"/>
        <v>0</v>
      </c>
      <c r="J45" s="275"/>
      <c r="K45" s="276">
        <f t="shared" si="0"/>
        <v>1</v>
      </c>
      <c r="L45" s="277">
        <f t="shared" si="1"/>
        <v>1950</v>
      </c>
      <c r="M45" s="277">
        <f t="shared" si="2"/>
        <v>1950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1950</v>
      </c>
      <c r="U45" s="283">
        <f t="shared" si="5"/>
        <v>1950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273</v>
      </c>
      <c r="C46" s="286" t="s">
        <v>197</v>
      </c>
      <c r="D46" s="271" t="s">
        <v>22</v>
      </c>
      <c r="E46" s="287" t="s">
        <v>176</v>
      </c>
      <c r="F46" s="288">
        <v>1</v>
      </c>
      <c r="G46" s="281">
        <v>1950</v>
      </c>
      <c r="H46" s="277">
        <f t="shared" si="8"/>
        <v>1413.04</v>
      </c>
      <c r="I46" s="289">
        <f t="shared" si="9"/>
        <v>1950</v>
      </c>
      <c r="J46" s="275"/>
      <c r="K46" s="257">
        <f t="shared" si="0"/>
        <v>1</v>
      </c>
      <c r="L46" s="258">
        <f t="shared" si="1"/>
        <v>0</v>
      </c>
      <c r="M46" s="258">
        <f t="shared" si="2"/>
        <v>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0</v>
      </c>
      <c r="U46" s="264">
        <f t="shared" si="5"/>
        <v>0</v>
      </c>
      <c r="V46" s="265">
        <f t="shared" si="6"/>
        <v>0</v>
      </c>
      <c r="W46" s="265">
        <f t="shared" si="7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 t="s">
        <v>274</v>
      </c>
      <c r="C47" s="292" t="s">
        <v>198</v>
      </c>
      <c r="D47" s="271" t="s">
        <v>199</v>
      </c>
      <c r="E47" s="293" t="s">
        <v>176</v>
      </c>
      <c r="F47" s="273">
        <v>1</v>
      </c>
      <c r="G47" s="259"/>
      <c r="H47" s="258">
        <f t="shared" si="8"/>
        <v>0</v>
      </c>
      <c r="I47" s="274">
        <f t="shared" si="9"/>
        <v>0</v>
      </c>
      <c r="J47" s="275"/>
      <c r="K47" s="276">
        <f t="shared" si="0"/>
        <v>1</v>
      </c>
      <c r="L47" s="277">
        <f t="shared" si="1"/>
        <v>675</v>
      </c>
      <c r="M47" s="277">
        <f t="shared" si="2"/>
        <v>675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675</v>
      </c>
      <c r="U47" s="283">
        <f t="shared" si="5"/>
        <v>675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212868</v>
      </c>
      <c r="C48" s="181" t="s">
        <v>200</v>
      </c>
      <c r="D48" s="271" t="s">
        <v>18</v>
      </c>
      <c r="E48" s="287" t="s">
        <v>176</v>
      </c>
      <c r="F48" s="288">
        <v>1</v>
      </c>
      <c r="G48" s="281">
        <v>675</v>
      </c>
      <c r="H48" s="277">
        <f t="shared" si="8"/>
        <v>489.13</v>
      </c>
      <c r="I48" s="289">
        <f t="shared" si="9"/>
        <v>675</v>
      </c>
      <c r="J48" s="275"/>
      <c r="K48" s="257">
        <f t="shared" si="0"/>
        <v>1</v>
      </c>
      <c r="L48" s="258">
        <f t="shared" si="1"/>
        <v>1850</v>
      </c>
      <c r="M48" s="258">
        <f t="shared" si="2"/>
        <v>1850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1850</v>
      </c>
      <c r="U48" s="264">
        <f t="shared" si="5"/>
        <v>1850</v>
      </c>
      <c r="V48" s="265">
        <f t="shared" si="6"/>
        <v>0</v>
      </c>
      <c r="W48" s="265">
        <f t="shared" si="7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>
        <v>213767</v>
      </c>
      <c r="C49" s="295" t="s">
        <v>254</v>
      </c>
      <c r="D49" s="271" t="s">
        <v>15</v>
      </c>
      <c r="E49" s="293" t="s">
        <v>176</v>
      </c>
      <c r="F49" s="273">
        <v>1</v>
      </c>
      <c r="G49" s="259">
        <v>1850</v>
      </c>
      <c r="H49" s="258">
        <f t="shared" si="8"/>
        <v>1340.58</v>
      </c>
      <c r="I49" s="274">
        <f t="shared" si="9"/>
        <v>1850</v>
      </c>
      <c r="J49" s="275"/>
      <c r="K49" s="276">
        <f t="shared" si="0"/>
        <v>1</v>
      </c>
      <c r="L49" s="277">
        <f t="shared" si="1"/>
        <v>4250</v>
      </c>
      <c r="M49" s="277">
        <f t="shared" si="2"/>
        <v>4250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4250</v>
      </c>
      <c r="U49" s="283">
        <f t="shared" si="5"/>
        <v>4250</v>
      </c>
      <c r="V49" s="284">
        <f t="shared" si="6"/>
        <v>0</v>
      </c>
      <c r="W49" s="284">
        <f t="shared" si="7"/>
        <v>1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>
        <v>220131</v>
      </c>
      <c r="C50" s="181" t="s">
        <v>224</v>
      </c>
      <c r="D50" s="271" t="s">
        <v>16</v>
      </c>
      <c r="E50" s="287" t="s">
        <v>176</v>
      </c>
      <c r="F50" s="288">
        <v>1</v>
      </c>
      <c r="G50" s="281">
        <v>4250</v>
      </c>
      <c r="H50" s="277">
        <f t="shared" si="8"/>
        <v>3079.71</v>
      </c>
      <c r="I50" s="289">
        <f t="shared" si="9"/>
        <v>4250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2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993</v>
      </c>
      <c r="L81" s="308">
        <f>SUM(L18:L80)</f>
        <v>28335.79</v>
      </c>
      <c r="M81" s="309">
        <f>SUM(M18:M80)</f>
        <v>102772.29000000001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28335.79</v>
      </c>
      <c r="U81" s="309">
        <f>SUM(U18:U80)</f>
        <v>102772.29000000001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993</v>
      </c>
      <c r="G82" s="318">
        <f>SUM(G19:G81)</f>
        <v>28335.79</v>
      </c>
      <c r="H82" s="308">
        <f>SUM(H19:H81)</f>
        <v>20533.169999999998</v>
      </c>
      <c r="I82" s="309">
        <f>SUM(I19:I81)</f>
        <v>102772.29000000001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59" priority="3" stopIfTrue="1">
      <formula>$V$9&gt;100%</formula>
    </cfRule>
    <cfRule type="expression" dxfId="158" priority="4">
      <formula>$V$9&lt;50%</formula>
    </cfRule>
  </conditionalFormatting>
  <conditionalFormatting sqref="W9:W10">
    <cfRule type="expression" dxfId="157" priority="1">
      <formula>$W$9&lt;50%</formula>
    </cfRule>
    <cfRule type="expression" dxfId="156" priority="2">
      <formula>$W$9&gt;50%</formula>
    </cfRule>
  </conditionalFormatting>
  <dataValidations count="6">
    <dataValidation type="list" allowBlank="1" showInputMessage="1" showErrorMessage="1" sqref="G18 R14 R17 L17" xr:uid="{B0AC5664-FC53-4C38-83E6-92466DFC50AF}">
      <formula1>$Z$11:$Z$12</formula1>
    </dataValidation>
    <dataValidation type="list" allowBlank="1" showInputMessage="1" showErrorMessage="1" sqref="I13" xr:uid="{0F96755C-8D58-4A72-A4B2-1D6C2C36C42C}">
      <formula1>$Z$13:$Z$14</formula1>
    </dataValidation>
    <dataValidation type="list" allowBlank="1" showInputMessage="1" showErrorMessage="1" sqref="J13" xr:uid="{825DA306-F81B-4C3C-82AB-7F9DAAB59D29}">
      <formula1>$L$9:$L$9</formula1>
    </dataValidation>
    <dataValidation type="list" showInputMessage="1" showErrorMessage="1" sqref="E19:E81" xr:uid="{D93764F3-05C9-42CE-8EDE-E57991B5ADB3}">
      <formula1>$AA$18:$AA$29</formula1>
    </dataValidation>
    <dataValidation type="list" allowBlank="1" showInputMessage="1" showErrorMessage="1" sqref="N18:N80" xr:uid="{9FE1262A-4E11-4372-98BD-DFB94378ADBD}">
      <formula1>$Z$31:$Z$32</formula1>
    </dataValidation>
    <dataValidation type="list" allowBlank="1" showInputMessage="1" showErrorMessage="1" sqref="G2" xr:uid="{C5366965-791A-4DB2-B1B6-A07A1B50C7F9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5A7C9B-22E2-4E1F-B553-CF73BA3B983A}">
          <x14:formula1>
            <xm:f>'Product Type'!$A$1:$A$55</xm:f>
          </x14:formula1>
          <xm:sqref>D19:D64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41C9-F1F8-489B-A026-3EB795C77CBD}">
  <sheetPr>
    <pageSetUpPr fitToPage="1"/>
  </sheetPr>
  <dimension ref="A1:AC83"/>
  <sheetViews>
    <sheetView zoomScale="84" zoomScaleNormal="84" workbookViewId="0">
      <selection activeCell="D28" sqref="D28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101122.29000000001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481" t="s">
        <v>67</v>
      </c>
      <c r="F3" s="482"/>
      <c r="G3" s="161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101122.29000000001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275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481" t="s">
        <v>90</v>
      </c>
      <c r="F5" s="482"/>
      <c r="G5" s="403">
        <v>83073286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101122.29000000001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101122.29000000001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991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45</v>
      </c>
      <c r="M18" s="9">
        <f>ROUND((K18*L18),2)</f>
        <v>45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45</v>
      </c>
      <c r="U18" s="14">
        <f>ROUND(M18-S18,2)</f>
        <v>45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9">
        <f t="shared" ref="H19:H81" si="4">ROUND(IF($G$18="USD $", G19*$F$15,G19*$E$15),2)</f>
        <v>32.61</v>
      </c>
      <c r="I19" s="10">
        <f t="shared" ref="I19:I81" si="5">ROUND(IF($I$18=$H$18,F19*H19,F19*G19),2)</f>
        <v>45</v>
      </c>
      <c r="J19" s="151"/>
      <c r="K19" s="88">
        <f t="shared" si="0"/>
        <v>1</v>
      </c>
      <c r="L19" s="38">
        <f t="shared" si="1"/>
        <v>50</v>
      </c>
      <c r="M19" s="38">
        <f t="shared" ref="M19:M80" si="6">ROUND((K19*L19),2)</f>
        <v>50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50</v>
      </c>
      <c r="U19" s="52">
        <f t="shared" ref="U19:U80" si="7">ROUND(M19-S19,2)</f>
        <v>50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38">
        <f t="shared" si="4"/>
        <v>36.229999999999997</v>
      </c>
      <c r="I20" s="39">
        <f t="shared" si="5"/>
        <v>50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5</v>
      </c>
      <c r="L21" s="38">
        <f t="shared" si="1"/>
        <v>140</v>
      </c>
      <c r="M21" s="38">
        <f t="shared" si="6"/>
        <v>700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700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38">
        <f t="shared" si="4"/>
        <v>101.45</v>
      </c>
      <c r="I22" s="39">
        <f t="shared" si="5"/>
        <v>700</v>
      </c>
      <c r="J22" s="151"/>
      <c r="K22" s="89">
        <f t="shared" si="0"/>
        <v>1</v>
      </c>
      <c r="L22" s="9">
        <f t="shared" si="1"/>
        <v>125</v>
      </c>
      <c r="M22" s="9">
        <f t="shared" si="6"/>
        <v>125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125</v>
      </c>
      <c r="U22" s="14">
        <f t="shared" si="7"/>
        <v>125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9">
        <f t="shared" si="4"/>
        <v>90.58</v>
      </c>
      <c r="I23" s="10">
        <f t="shared" si="5"/>
        <v>125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1</v>
      </c>
      <c r="L25" s="38">
        <f t="shared" si="1"/>
        <v>50</v>
      </c>
      <c r="M25" s="38">
        <f t="shared" si="6"/>
        <v>50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50</v>
      </c>
      <c r="U25" s="52">
        <f t="shared" si="7"/>
        <v>50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38">
        <f t="shared" si="4"/>
        <v>36.229999999999997</v>
      </c>
      <c r="I26" s="39">
        <f t="shared" si="5"/>
        <v>50</v>
      </c>
      <c r="J26" s="151"/>
      <c r="K26" s="89">
        <f t="shared" si="0"/>
        <v>2</v>
      </c>
      <c r="L26" s="9">
        <f t="shared" si="1"/>
        <v>325</v>
      </c>
      <c r="M26" s="9">
        <f t="shared" si="6"/>
        <v>650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325</v>
      </c>
      <c r="U26" s="14">
        <f t="shared" si="7"/>
        <v>650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9">
        <f t="shared" si="4"/>
        <v>235.51</v>
      </c>
      <c r="I27" s="10">
        <f t="shared" si="5"/>
        <v>650</v>
      </c>
      <c r="J27" s="151"/>
      <c r="K27" s="88">
        <f t="shared" si="0"/>
        <v>1</v>
      </c>
      <c r="L27" s="38">
        <f t="shared" si="1"/>
        <v>2647.79</v>
      </c>
      <c r="M27" s="38">
        <f t="shared" si="6"/>
        <v>2647.79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2647.79</v>
      </c>
      <c r="U27" s="52">
        <f t="shared" si="7"/>
        <v>2647.79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 t="s">
        <v>277</v>
      </c>
      <c r="C28" s="286" t="s">
        <v>174</v>
      </c>
      <c r="D28" s="271" t="s">
        <v>39</v>
      </c>
      <c r="E28" s="287" t="s">
        <v>176</v>
      </c>
      <c r="F28" s="288">
        <v>1</v>
      </c>
      <c r="G28" s="281">
        <v>2647.79</v>
      </c>
      <c r="H28" s="38">
        <f t="shared" si="4"/>
        <v>1918.69</v>
      </c>
      <c r="I28" s="39">
        <f t="shared" si="5"/>
        <v>2647.79</v>
      </c>
      <c r="J28" s="151"/>
      <c r="K28" s="89">
        <f t="shared" si="0"/>
        <v>6</v>
      </c>
      <c r="L28" s="9">
        <f t="shared" si="1"/>
        <v>1150</v>
      </c>
      <c r="M28" s="9">
        <f t="shared" si="6"/>
        <v>6900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1150</v>
      </c>
      <c r="U28" s="14">
        <f t="shared" si="7"/>
        <v>6900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9">
        <f t="shared" si="4"/>
        <v>833.33</v>
      </c>
      <c r="I29" s="10">
        <f t="shared" si="5"/>
        <v>6900</v>
      </c>
      <c r="J29" s="151"/>
      <c r="K29" s="88">
        <f t="shared" si="0"/>
        <v>1</v>
      </c>
      <c r="L29" s="38">
        <f t="shared" si="1"/>
        <v>4650</v>
      </c>
      <c r="M29" s="38">
        <f>ROUND((K29*L29),2)</f>
        <v>4650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4650</v>
      </c>
      <c r="U29" s="52">
        <f t="shared" si="7"/>
        <v>4650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38">
        <f t="shared" si="4"/>
        <v>3369.57</v>
      </c>
      <c r="I30" s="39">
        <f t="shared" si="5"/>
        <v>4650</v>
      </c>
      <c r="J30" s="151"/>
      <c r="K30" s="89">
        <f t="shared" si="0"/>
        <v>0</v>
      </c>
      <c r="L30" s="9">
        <f t="shared" si="1"/>
        <v>0</v>
      </c>
      <c r="M30" s="9">
        <f t="shared" si="6"/>
        <v>0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0</v>
      </c>
      <c r="U30" s="14">
        <f t="shared" si="7"/>
        <v>0</v>
      </c>
      <c r="V30" s="29">
        <f t="shared" si="8"/>
        <v>0</v>
      </c>
      <c r="W30" s="29">
        <f t="shared" si="9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/>
      <c r="C31" s="292"/>
      <c r="D31" s="271"/>
      <c r="E31" s="293"/>
      <c r="F31" s="273"/>
      <c r="G31" s="259"/>
      <c r="H31" s="9">
        <f t="shared" si="4"/>
        <v>0</v>
      </c>
      <c r="I31" s="10">
        <f t="shared" si="5"/>
        <v>0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6</v>
      </c>
      <c r="L35" s="38">
        <f t="shared" si="1"/>
        <v>675</v>
      </c>
      <c r="M35" s="38">
        <f t="shared" si="6"/>
        <v>4050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4050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38">
        <f t="shared" si="4"/>
        <v>489.13</v>
      </c>
      <c r="I36" s="39">
        <f t="shared" si="5"/>
        <v>4050</v>
      </c>
      <c r="J36" s="151"/>
      <c r="K36" s="89">
        <f t="shared" si="0"/>
        <v>12</v>
      </c>
      <c r="L36" s="9">
        <f t="shared" si="1"/>
        <v>650</v>
      </c>
      <c r="M36" s="9">
        <f t="shared" si="6"/>
        <v>7800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7800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9">
        <f t="shared" si="4"/>
        <v>471.01</v>
      </c>
      <c r="I37" s="10">
        <f t="shared" si="5"/>
        <v>7800</v>
      </c>
      <c r="J37" s="151"/>
      <c r="K37" s="88">
        <f t="shared" si="0"/>
        <v>2</v>
      </c>
      <c r="L37" s="38">
        <f t="shared" si="1"/>
        <v>5500</v>
      </c>
      <c r="M37" s="38">
        <f t="shared" si="6"/>
        <v>11000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5500</v>
      </c>
      <c r="U37" s="52">
        <f t="shared" si="7"/>
        <v>11000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>
        <v>98252</v>
      </c>
      <c r="C38" s="286" t="s">
        <v>190</v>
      </c>
      <c r="D38" s="271" t="s">
        <v>51</v>
      </c>
      <c r="E38" s="287" t="s">
        <v>176</v>
      </c>
      <c r="F38" s="288">
        <v>2</v>
      </c>
      <c r="G38" s="281">
        <v>5500</v>
      </c>
      <c r="H38" s="38">
        <f t="shared" si="4"/>
        <v>3985.51</v>
      </c>
      <c r="I38" s="39">
        <f t="shared" si="5"/>
        <v>11000</v>
      </c>
      <c r="J38" s="151"/>
      <c r="K38" s="89">
        <f t="shared" si="0"/>
        <v>94</v>
      </c>
      <c r="L38" s="9">
        <f t="shared" si="1"/>
        <v>450</v>
      </c>
      <c r="M38" s="9">
        <f t="shared" si="6"/>
        <v>42300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450</v>
      </c>
      <c r="U38" s="14">
        <f t="shared" si="7"/>
        <v>42300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9">
        <f t="shared" si="4"/>
        <v>326.08999999999997</v>
      </c>
      <c r="I39" s="10">
        <f t="shared" si="5"/>
        <v>42300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1</v>
      </c>
      <c r="L42" s="9">
        <f t="shared" si="1"/>
        <v>675</v>
      </c>
      <c r="M42" s="9">
        <f t="shared" si="6"/>
        <v>675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675</v>
      </c>
      <c r="U42" s="14">
        <f t="shared" si="7"/>
        <v>675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>
        <v>212868</v>
      </c>
      <c r="C43" s="292" t="s">
        <v>200</v>
      </c>
      <c r="D43" s="271" t="s">
        <v>18</v>
      </c>
      <c r="E43" s="293" t="s">
        <v>176</v>
      </c>
      <c r="F43" s="273">
        <v>1</v>
      </c>
      <c r="G43" s="259">
        <v>675</v>
      </c>
      <c r="H43" s="9">
        <f t="shared" si="4"/>
        <v>489.13</v>
      </c>
      <c r="I43" s="10">
        <f t="shared" si="5"/>
        <v>675</v>
      </c>
      <c r="J43" s="151"/>
      <c r="K43" s="88">
        <f t="shared" si="0"/>
        <v>1</v>
      </c>
      <c r="L43" s="38">
        <f t="shared" si="1"/>
        <v>1850</v>
      </c>
      <c r="M43" s="38">
        <f t="shared" si="6"/>
        <v>1850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1850</v>
      </c>
      <c r="U43" s="52">
        <f t="shared" si="7"/>
        <v>1850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>
        <v>213767</v>
      </c>
      <c r="C44" s="286" t="s">
        <v>254</v>
      </c>
      <c r="D44" s="271" t="s">
        <v>15</v>
      </c>
      <c r="E44" s="287" t="s">
        <v>176</v>
      </c>
      <c r="F44" s="288">
        <v>1</v>
      </c>
      <c r="G44" s="281">
        <v>1850</v>
      </c>
      <c r="H44" s="38">
        <f t="shared" si="4"/>
        <v>1340.58</v>
      </c>
      <c r="I44" s="39">
        <f t="shared" si="5"/>
        <v>1850</v>
      </c>
      <c r="J44" s="151"/>
      <c r="K44" s="89">
        <f t="shared" si="0"/>
        <v>1</v>
      </c>
      <c r="L44" s="9">
        <f t="shared" si="1"/>
        <v>4250</v>
      </c>
      <c r="M44" s="9">
        <f t="shared" si="6"/>
        <v>4250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4250</v>
      </c>
      <c r="U44" s="14">
        <f t="shared" si="7"/>
        <v>4250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220131</v>
      </c>
      <c r="C45" s="292" t="s">
        <v>224</v>
      </c>
      <c r="D45" s="271" t="s">
        <v>16</v>
      </c>
      <c r="E45" s="293" t="s">
        <v>176</v>
      </c>
      <c r="F45" s="273">
        <v>1</v>
      </c>
      <c r="G45" s="259">
        <v>4250</v>
      </c>
      <c r="H45" s="9">
        <f t="shared" si="4"/>
        <v>3079.71</v>
      </c>
      <c r="I45" s="10">
        <f t="shared" si="5"/>
        <v>4250</v>
      </c>
      <c r="J45" s="151"/>
      <c r="K45" s="88">
        <f t="shared" si="0"/>
        <v>0</v>
      </c>
      <c r="L45" s="38">
        <f t="shared" si="1"/>
        <v>0</v>
      </c>
      <c r="M45" s="38">
        <f t="shared" si="6"/>
        <v>0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0</v>
      </c>
      <c r="U45" s="52">
        <f t="shared" si="7"/>
        <v>0</v>
      </c>
      <c r="V45" s="41">
        <f t="shared" si="8"/>
        <v>0</v>
      </c>
      <c r="W45" s="41">
        <f t="shared" si="9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/>
      <c r="C46" s="286"/>
      <c r="D46" s="271"/>
      <c r="E46" s="287"/>
      <c r="F46" s="288"/>
      <c r="G46" s="281"/>
      <c r="H46" s="38">
        <f t="shared" si="4"/>
        <v>0</v>
      </c>
      <c r="I46" s="39">
        <f t="shared" si="5"/>
        <v>0</v>
      </c>
      <c r="J46" s="151"/>
      <c r="K46" s="89">
        <f t="shared" si="0"/>
        <v>0</v>
      </c>
      <c r="L46" s="9">
        <f t="shared" si="1"/>
        <v>0</v>
      </c>
      <c r="M46" s="9">
        <f t="shared" si="6"/>
        <v>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0</v>
      </c>
      <c r="U46" s="14">
        <f t="shared" si="7"/>
        <v>0</v>
      </c>
      <c r="V46" s="29">
        <f t="shared" si="8"/>
        <v>0</v>
      </c>
      <c r="W46" s="29">
        <f t="shared" si="9"/>
        <v>0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/>
      <c r="C47" s="292"/>
      <c r="D47" s="271"/>
      <c r="E47" s="293"/>
      <c r="F47" s="273"/>
      <c r="G47" s="259"/>
      <c r="H47" s="9">
        <f t="shared" si="4"/>
        <v>0</v>
      </c>
      <c r="I47" s="10">
        <f t="shared" si="5"/>
        <v>0</v>
      </c>
      <c r="J47" s="151"/>
      <c r="K47" s="88">
        <f t="shared" si="0"/>
        <v>0</v>
      </c>
      <c r="L47" s="38">
        <f t="shared" si="1"/>
        <v>0</v>
      </c>
      <c r="M47" s="38">
        <f t="shared" si="6"/>
        <v>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0</v>
      </c>
      <c r="U47" s="52">
        <f t="shared" si="7"/>
        <v>0</v>
      </c>
      <c r="V47" s="41">
        <f t="shared" si="8"/>
        <v>0</v>
      </c>
      <c r="W47" s="41">
        <f t="shared" si="9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/>
      <c r="C48" s="181"/>
      <c r="D48" s="271"/>
      <c r="E48" s="287"/>
      <c r="F48" s="288"/>
      <c r="G48" s="281"/>
      <c r="H48" s="38">
        <f t="shared" si="4"/>
        <v>0</v>
      </c>
      <c r="I48" s="39">
        <f t="shared" si="5"/>
        <v>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991</v>
      </c>
      <c r="L81" s="79">
        <f>SUM(L18:L80)</f>
        <v>26535.79</v>
      </c>
      <c r="M81" s="80">
        <f>SUM(M18:M80)</f>
        <v>101122.29000000001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26535.79</v>
      </c>
      <c r="U81" s="80">
        <f>SUM(U18:U80)</f>
        <v>101122.29000000001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991</v>
      </c>
      <c r="G82" s="78">
        <f>SUM(G19:G81)</f>
        <v>26535.79</v>
      </c>
      <c r="H82" s="79">
        <f>SUM(H19:H81)</f>
        <v>19228.829999999998</v>
      </c>
      <c r="I82" s="80">
        <f>SUM(I19:I81)</f>
        <v>101122.29000000001</v>
      </c>
    </row>
    <row r="83" spans="1:25" ht="15" customHeight="1" x14ac:dyDescent="0.25">
      <c r="V83" s="87"/>
    </row>
  </sheetData>
  <mergeCells count="74">
    <mergeCell ref="S17:W17"/>
    <mergeCell ref="K16:K17"/>
    <mergeCell ref="N16:N17"/>
    <mergeCell ref="O16:O17"/>
    <mergeCell ref="Q16:Q17"/>
    <mergeCell ref="L17:M17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T9:T10"/>
    <mergeCell ref="U9:U10"/>
    <mergeCell ref="V9:V10"/>
    <mergeCell ref="W9:W10"/>
    <mergeCell ref="X9:X10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T1:X1"/>
    <mergeCell ref="B1:C1"/>
    <mergeCell ref="E1:H1"/>
    <mergeCell ref="I1:L1"/>
    <mergeCell ref="M1:P1"/>
    <mergeCell ref="Q1:S1"/>
  </mergeCells>
  <conditionalFormatting sqref="V9:V10">
    <cfRule type="expression" dxfId="155" priority="3" stopIfTrue="1">
      <formula>$V$9&gt;100%</formula>
    </cfRule>
    <cfRule type="expression" dxfId="154" priority="4">
      <formula>$V$9&lt;50%</formula>
    </cfRule>
  </conditionalFormatting>
  <conditionalFormatting sqref="W9:W10">
    <cfRule type="expression" dxfId="153" priority="1">
      <formula>$W$9&lt;50%</formula>
    </cfRule>
    <cfRule type="expression" dxfId="152" priority="2">
      <formula>$W$9&gt;50%</formula>
    </cfRule>
  </conditionalFormatting>
  <dataValidations count="6">
    <dataValidation type="list" allowBlank="1" showInputMessage="1" showErrorMessage="1" sqref="G2" xr:uid="{8AAFB832-76BB-43C2-800D-E2C928A83488}">
      <formula1>$Z$34:$Z$48</formula1>
    </dataValidation>
    <dataValidation type="list" allowBlank="1" showInputMessage="1" showErrorMessage="1" sqref="N18:N80" xr:uid="{25A264DC-2316-4592-9F96-D9429130112D}">
      <formula1>$Z$31:$Z$32</formula1>
    </dataValidation>
    <dataValidation type="list" showInputMessage="1" showErrorMessage="1" sqref="E19:E81" xr:uid="{3466456E-C8C1-4B81-886F-48922AB17195}">
      <formula1>$AA$18:$AA$29</formula1>
    </dataValidation>
    <dataValidation type="list" allowBlank="1" showInputMessage="1" showErrorMessage="1" sqref="J13" xr:uid="{E6FACD74-1016-4C74-8675-B6A5D5C21D71}">
      <formula1>$L$9:$L$9</formula1>
    </dataValidation>
    <dataValidation type="list" allowBlank="1" showInputMessage="1" showErrorMessage="1" sqref="I13" xr:uid="{779C433F-D2EC-421D-8399-8418762DD227}">
      <formula1>$Z$13:$Z$14</formula1>
    </dataValidation>
    <dataValidation type="list" allowBlank="1" showInputMessage="1" showErrorMessage="1" sqref="G18 R14 R17 L17" xr:uid="{5FEA09B7-F068-4D96-A999-C1D59F2BBEDC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EAFEE4-DA64-4E65-9951-72D09F282A94}">
          <x14:formula1>
            <xm:f>'Product Type'!$A$1:$A$55</xm:f>
          </x14:formula1>
          <xm:sqref>D19:D64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A738-163B-401A-AF7D-271109B99C33}">
  <sheetPr>
    <pageSetUpPr fitToPage="1"/>
  </sheetPr>
  <dimension ref="A1:AC83"/>
  <sheetViews>
    <sheetView zoomScale="84" zoomScaleNormal="84" workbookViewId="0">
      <selection activeCell="H20" sqref="H2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101122.29000000001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481" t="s">
        <v>67</v>
      </c>
      <c r="F3" s="482"/>
      <c r="G3" s="161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101122.29000000001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275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481" t="s">
        <v>90</v>
      </c>
      <c r="F5" s="482"/>
      <c r="G5" s="403">
        <v>83073287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101122.29000000001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101122.29000000001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991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45</v>
      </c>
      <c r="M18" s="9">
        <f>ROUND((K18*L18),2)</f>
        <v>45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45</v>
      </c>
      <c r="U18" s="14">
        <f>ROUND(M18-S18,2)</f>
        <v>45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9">
        <f t="shared" ref="H19:H81" si="4">ROUND(IF($G$18="USD $", G19*$F$15,G19*$E$15),2)</f>
        <v>32.61</v>
      </c>
      <c r="I19" s="10">
        <f t="shared" ref="I19:I81" si="5">ROUND(IF($I$18=$H$18,F19*H19,F19*G19),2)</f>
        <v>45</v>
      </c>
      <c r="J19" s="151"/>
      <c r="K19" s="88">
        <f t="shared" si="0"/>
        <v>1</v>
      </c>
      <c r="L19" s="38">
        <f t="shared" si="1"/>
        <v>50</v>
      </c>
      <c r="M19" s="38">
        <f t="shared" ref="M19:M80" si="6">ROUND((K19*L19),2)</f>
        <v>50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50</v>
      </c>
      <c r="U19" s="52">
        <f t="shared" ref="U19:U80" si="7">ROUND(M19-S19,2)</f>
        <v>50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38">
        <f t="shared" si="4"/>
        <v>36.229999999999997</v>
      </c>
      <c r="I20" s="39">
        <f t="shared" si="5"/>
        <v>50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5</v>
      </c>
      <c r="L21" s="38">
        <f t="shared" si="1"/>
        <v>140</v>
      </c>
      <c r="M21" s="38">
        <f t="shared" si="6"/>
        <v>700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700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38">
        <f t="shared" si="4"/>
        <v>101.45</v>
      </c>
      <c r="I22" s="39">
        <f t="shared" si="5"/>
        <v>700</v>
      </c>
      <c r="J22" s="151"/>
      <c r="K22" s="89">
        <f t="shared" si="0"/>
        <v>1</v>
      </c>
      <c r="L22" s="9">
        <f t="shared" si="1"/>
        <v>125</v>
      </c>
      <c r="M22" s="9">
        <f t="shared" si="6"/>
        <v>125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125</v>
      </c>
      <c r="U22" s="14">
        <f t="shared" si="7"/>
        <v>125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9">
        <f t="shared" si="4"/>
        <v>90.58</v>
      </c>
      <c r="I23" s="10">
        <f t="shared" si="5"/>
        <v>125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1</v>
      </c>
      <c r="L25" s="38">
        <f t="shared" si="1"/>
        <v>50</v>
      </c>
      <c r="M25" s="38">
        <f t="shared" si="6"/>
        <v>50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50</v>
      </c>
      <c r="U25" s="52">
        <f t="shared" si="7"/>
        <v>50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38">
        <f t="shared" si="4"/>
        <v>36.229999999999997</v>
      </c>
      <c r="I26" s="39">
        <f t="shared" si="5"/>
        <v>50</v>
      </c>
      <c r="J26" s="151"/>
      <c r="K26" s="89">
        <f t="shared" si="0"/>
        <v>2</v>
      </c>
      <c r="L26" s="9">
        <f t="shared" si="1"/>
        <v>325</v>
      </c>
      <c r="M26" s="9">
        <f t="shared" si="6"/>
        <v>650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325</v>
      </c>
      <c r="U26" s="14">
        <f t="shared" si="7"/>
        <v>650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9">
        <f t="shared" si="4"/>
        <v>235.51</v>
      </c>
      <c r="I27" s="10">
        <f t="shared" si="5"/>
        <v>650</v>
      </c>
      <c r="J27" s="151"/>
      <c r="K27" s="88">
        <f t="shared" si="0"/>
        <v>1</v>
      </c>
      <c r="L27" s="38">
        <f t="shared" si="1"/>
        <v>2647.79</v>
      </c>
      <c r="M27" s="38">
        <f t="shared" si="6"/>
        <v>2647.79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2647.79</v>
      </c>
      <c r="U27" s="52">
        <f t="shared" si="7"/>
        <v>2647.79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 t="s">
        <v>277</v>
      </c>
      <c r="C28" s="286" t="s">
        <v>174</v>
      </c>
      <c r="D28" s="271" t="s">
        <v>39</v>
      </c>
      <c r="E28" s="287" t="s">
        <v>176</v>
      </c>
      <c r="F28" s="288">
        <v>1</v>
      </c>
      <c r="G28" s="281">
        <v>2647.79</v>
      </c>
      <c r="H28" s="38">
        <f t="shared" si="4"/>
        <v>1918.69</v>
      </c>
      <c r="I28" s="39">
        <f t="shared" si="5"/>
        <v>2647.79</v>
      </c>
      <c r="J28" s="151"/>
      <c r="K28" s="89">
        <f t="shared" si="0"/>
        <v>6</v>
      </c>
      <c r="L28" s="9">
        <f t="shared" si="1"/>
        <v>1150</v>
      </c>
      <c r="M28" s="9">
        <f t="shared" si="6"/>
        <v>6900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1150</v>
      </c>
      <c r="U28" s="14">
        <f t="shared" si="7"/>
        <v>6900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9">
        <f t="shared" si="4"/>
        <v>833.33</v>
      </c>
      <c r="I29" s="10">
        <f t="shared" si="5"/>
        <v>6900</v>
      </c>
      <c r="J29" s="151"/>
      <c r="K29" s="88">
        <f t="shared" si="0"/>
        <v>1</v>
      </c>
      <c r="L29" s="38">
        <f t="shared" si="1"/>
        <v>4650</v>
      </c>
      <c r="M29" s="38">
        <f>ROUND((K29*L29),2)</f>
        <v>4650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4650</v>
      </c>
      <c r="U29" s="52">
        <f t="shared" si="7"/>
        <v>4650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38">
        <f t="shared" si="4"/>
        <v>3369.57</v>
      </c>
      <c r="I30" s="39">
        <f t="shared" si="5"/>
        <v>4650</v>
      </c>
      <c r="J30" s="151"/>
      <c r="K30" s="89">
        <f t="shared" si="0"/>
        <v>0</v>
      </c>
      <c r="L30" s="9">
        <f t="shared" si="1"/>
        <v>0</v>
      </c>
      <c r="M30" s="9">
        <f t="shared" si="6"/>
        <v>0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0</v>
      </c>
      <c r="U30" s="14">
        <f t="shared" si="7"/>
        <v>0</v>
      </c>
      <c r="V30" s="29">
        <f t="shared" si="8"/>
        <v>0</v>
      </c>
      <c r="W30" s="29">
        <f t="shared" si="9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/>
      <c r="C31" s="292"/>
      <c r="D31" s="271"/>
      <c r="E31" s="293"/>
      <c r="F31" s="273"/>
      <c r="G31" s="259"/>
      <c r="H31" s="9">
        <f t="shared" si="4"/>
        <v>0</v>
      </c>
      <c r="I31" s="10">
        <f t="shared" si="5"/>
        <v>0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6</v>
      </c>
      <c r="L35" s="38">
        <f t="shared" si="1"/>
        <v>675</v>
      </c>
      <c r="M35" s="38">
        <f t="shared" si="6"/>
        <v>4050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4050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38">
        <f t="shared" si="4"/>
        <v>489.13</v>
      </c>
      <c r="I36" s="39">
        <f t="shared" si="5"/>
        <v>4050</v>
      </c>
      <c r="J36" s="151"/>
      <c r="K36" s="89">
        <f t="shared" si="0"/>
        <v>12</v>
      </c>
      <c r="L36" s="9">
        <f t="shared" si="1"/>
        <v>650</v>
      </c>
      <c r="M36" s="9">
        <f t="shared" si="6"/>
        <v>7800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7800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9">
        <f t="shared" si="4"/>
        <v>471.01</v>
      </c>
      <c r="I37" s="10">
        <f t="shared" si="5"/>
        <v>7800</v>
      </c>
      <c r="J37" s="151"/>
      <c r="K37" s="88">
        <f t="shared" si="0"/>
        <v>2</v>
      </c>
      <c r="L37" s="38">
        <f t="shared" si="1"/>
        <v>5500</v>
      </c>
      <c r="M37" s="38">
        <f t="shared" si="6"/>
        <v>11000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5500</v>
      </c>
      <c r="U37" s="52">
        <f t="shared" si="7"/>
        <v>11000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>
        <v>98252</v>
      </c>
      <c r="C38" s="286" t="s">
        <v>190</v>
      </c>
      <c r="D38" s="271" t="s">
        <v>51</v>
      </c>
      <c r="E38" s="287" t="s">
        <v>176</v>
      </c>
      <c r="F38" s="288">
        <v>2</v>
      </c>
      <c r="G38" s="281">
        <v>5500</v>
      </c>
      <c r="H38" s="38">
        <f t="shared" si="4"/>
        <v>3985.51</v>
      </c>
      <c r="I38" s="39">
        <f t="shared" si="5"/>
        <v>11000</v>
      </c>
      <c r="J38" s="151"/>
      <c r="K38" s="89">
        <f t="shared" si="0"/>
        <v>94</v>
      </c>
      <c r="L38" s="9">
        <f t="shared" si="1"/>
        <v>450</v>
      </c>
      <c r="M38" s="9">
        <f t="shared" si="6"/>
        <v>42300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450</v>
      </c>
      <c r="U38" s="14">
        <f t="shared" si="7"/>
        <v>42300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9">
        <f t="shared" si="4"/>
        <v>326.08999999999997</v>
      </c>
      <c r="I39" s="10">
        <f t="shared" si="5"/>
        <v>42300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1</v>
      </c>
      <c r="L42" s="9">
        <f t="shared" si="1"/>
        <v>675</v>
      </c>
      <c r="M42" s="9">
        <f t="shared" si="6"/>
        <v>675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675</v>
      </c>
      <c r="U42" s="14">
        <f t="shared" si="7"/>
        <v>675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>
        <v>212868</v>
      </c>
      <c r="C43" s="292" t="s">
        <v>200</v>
      </c>
      <c r="D43" s="271" t="s">
        <v>18</v>
      </c>
      <c r="E43" s="293" t="s">
        <v>176</v>
      </c>
      <c r="F43" s="273">
        <v>1</v>
      </c>
      <c r="G43" s="259">
        <v>675</v>
      </c>
      <c r="H43" s="9">
        <f t="shared" si="4"/>
        <v>489.13</v>
      </c>
      <c r="I43" s="10">
        <f t="shared" si="5"/>
        <v>675</v>
      </c>
      <c r="J43" s="151"/>
      <c r="K43" s="88">
        <f t="shared" si="0"/>
        <v>1</v>
      </c>
      <c r="L43" s="38">
        <f t="shared" si="1"/>
        <v>1850</v>
      </c>
      <c r="M43" s="38">
        <f t="shared" si="6"/>
        <v>1850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1850</v>
      </c>
      <c r="U43" s="52">
        <f t="shared" si="7"/>
        <v>1850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>
        <v>213767</v>
      </c>
      <c r="C44" s="286" t="s">
        <v>254</v>
      </c>
      <c r="D44" s="271" t="s">
        <v>15</v>
      </c>
      <c r="E44" s="287" t="s">
        <v>176</v>
      </c>
      <c r="F44" s="288">
        <v>1</v>
      </c>
      <c r="G44" s="281">
        <v>1850</v>
      </c>
      <c r="H44" s="38">
        <f t="shared" si="4"/>
        <v>1340.58</v>
      </c>
      <c r="I44" s="39">
        <f t="shared" si="5"/>
        <v>1850</v>
      </c>
      <c r="J44" s="151"/>
      <c r="K44" s="89">
        <f t="shared" si="0"/>
        <v>1</v>
      </c>
      <c r="L44" s="9">
        <f t="shared" si="1"/>
        <v>4250</v>
      </c>
      <c r="M44" s="9">
        <f t="shared" si="6"/>
        <v>4250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4250</v>
      </c>
      <c r="U44" s="14">
        <f t="shared" si="7"/>
        <v>4250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220131</v>
      </c>
      <c r="C45" s="292" t="s">
        <v>224</v>
      </c>
      <c r="D45" s="271" t="s">
        <v>16</v>
      </c>
      <c r="E45" s="293" t="s">
        <v>176</v>
      </c>
      <c r="F45" s="273">
        <v>1</v>
      </c>
      <c r="G45" s="259">
        <v>4250</v>
      </c>
      <c r="H45" s="9">
        <f t="shared" si="4"/>
        <v>3079.71</v>
      </c>
      <c r="I45" s="10">
        <f t="shared" si="5"/>
        <v>4250</v>
      </c>
      <c r="J45" s="151"/>
      <c r="K45" s="88">
        <f t="shared" si="0"/>
        <v>0</v>
      </c>
      <c r="L45" s="38">
        <f t="shared" si="1"/>
        <v>0</v>
      </c>
      <c r="M45" s="38">
        <f t="shared" si="6"/>
        <v>0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0</v>
      </c>
      <c r="U45" s="52">
        <f t="shared" si="7"/>
        <v>0</v>
      </c>
      <c r="V45" s="41">
        <f t="shared" si="8"/>
        <v>0</v>
      </c>
      <c r="W45" s="41">
        <f t="shared" si="9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/>
      <c r="C46" s="286"/>
      <c r="D46" s="271"/>
      <c r="E46" s="287"/>
      <c r="F46" s="288"/>
      <c r="G46" s="281"/>
      <c r="H46" s="38">
        <f t="shared" si="4"/>
        <v>0</v>
      </c>
      <c r="I46" s="39">
        <f t="shared" si="5"/>
        <v>0</v>
      </c>
      <c r="J46" s="151"/>
      <c r="K46" s="89">
        <f t="shared" si="0"/>
        <v>0</v>
      </c>
      <c r="L46" s="9">
        <f t="shared" si="1"/>
        <v>0</v>
      </c>
      <c r="M46" s="9">
        <f t="shared" si="6"/>
        <v>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0</v>
      </c>
      <c r="U46" s="14">
        <f t="shared" si="7"/>
        <v>0</v>
      </c>
      <c r="V46" s="29">
        <f t="shared" si="8"/>
        <v>0</v>
      </c>
      <c r="W46" s="29">
        <f t="shared" si="9"/>
        <v>0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/>
      <c r="C47" s="292"/>
      <c r="D47" s="271"/>
      <c r="E47" s="293"/>
      <c r="F47" s="273"/>
      <c r="G47" s="259"/>
      <c r="H47" s="9">
        <f t="shared" si="4"/>
        <v>0</v>
      </c>
      <c r="I47" s="10">
        <f t="shared" si="5"/>
        <v>0</v>
      </c>
      <c r="J47" s="151"/>
      <c r="K47" s="88">
        <f t="shared" si="0"/>
        <v>0</v>
      </c>
      <c r="L47" s="38">
        <f t="shared" si="1"/>
        <v>0</v>
      </c>
      <c r="M47" s="38">
        <f t="shared" si="6"/>
        <v>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0</v>
      </c>
      <c r="U47" s="52">
        <f t="shared" si="7"/>
        <v>0</v>
      </c>
      <c r="V47" s="41">
        <f t="shared" si="8"/>
        <v>0</v>
      </c>
      <c r="W47" s="41">
        <f t="shared" si="9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/>
      <c r="C48" s="181"/>
      <c r="D48" s="271"/>
      <c r="E48" s="287"/>
      <c r="F48" s="288"/>
      <c r="G48" s="281"/>
      <c r="H48" s="38">
        <f t="shared" si="4"/>
        <v>0</v>
      </c>
      <c r="I48" s="39">
        <f t="shared" si="5"/>
        <v>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991</v>
      </c>
      <c r="L81" s="79">
        <f>SUM(L18:L80)</f>
        <v>26535.79</v>
      </c>
      <c r="M81" s="80">
        <f>SUM(M18:M80)</f>
        <v>101122.29000000001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26535.79</v>
      </c>
      <c r="U81" s="80">
        <f>SUM(U18:U80)</f>
        <v>101122.29000000001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991</v>
      </c>
      <c r="G82" s="78">
        <f>SUM(G19:G81)</f>
        <v>26535.79</v>
      </c>
      <c r="H82" s="79">
        <f>SUM(H19:H81)</f>
        <v>19228.829999999998</v>
      </c>
      <c r="I82" s="80">
        <f>SUM(I19:I81)</f>
        <v>101122.29000000001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51" priority="3" stopIfTrue="1">
      <formula>$V$9&gt;100%</formula>
    </cfRule>
    <cfRule type="expression" dxfId="150" priority="4">
      <formula>$V$9&lt;50%</formula>
    </cfRule>
  </conditionalFormatting>
  <conditionalFormatting sqref="W9:W10">
    <cfRule type="expression" dxfId="149" priority="1">
      <formula>$W$9&lt;50%</formula>
    </cfRule>
    <cfRule type="expression" dxfId="148" priority="2">
      <formula>$W$9&gt;50%</formula>
    </cfRule>
  </conditionalFormatting>
  <dataValidations count="6">
    <dataValidation type="list" allowBlank="1" showInputMessage="1" showErrorMessage="1" sqref="G18 R14 R17 L17" xr:uid="{0F183A8A-843A-402F-835A-113667C7930F}">
      <formula1>$Z$11:$Z$12</formula1>
    </dataValidation>
    <dataValidation type="list" allowBlank="1" showInputMessage="1" showErrorMessage="1" sqref="I13" xr:uid="{4D9C5535-AF6B-458A-BD98-33F30A111042}">
      <formula1>$Z$13:$Z$14</formula1>
    </dataValidation>
    <dataValidation type="list" allowBlank="1" showInputMessage="1" showErrorMessage="1" sqref="J13" xr:uid="{AE9AED06-C140-4EC4-B41C-91037BBE163E}">
      <formula1>$L$9:$L$9</formula1>
    </dataValidation>
    <dataValidation type="list" showInputMessage="1" showErrorMessage="1" sqref="E19:E81" xr:uid="{FDD7CD4B-25EF-43DD-9751-F7398CBB1A79}">
      <formula1>$AA$18:$AA$29</formula1>
    </dataValidation>
    <dataValidation type="list" allowBlank="1" showInputMessage="1" showErrorMessage="1" sqref="N18:N80" xr:uid="{7F75F57C-711E-47DF-BD99-3D724735E526}">
      <formula1>$Z$31:$Z$32</formula1>
    </dataValidation>
    <dataValidation type="list" allowBlank="1" showInputMessage="1" showErrorMessage="1" sqref="G2" xr:uid="{150667BC-B7AC-4399-8151-825946F83A7D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68886B-6C8D-4220-9CE1-D2F99EFAA066}">
          <x14:formula1>
            <xm:f>'Product Type'!$A$1:$A$55</xm:f>
          </x14:formula1>
          <xm:sqref>D19:D64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403A-F7AF-4AE3-ABDE-34D1D07A00C4}">
  <sheetPr>
    <pageSetUpPr fitToPage="1"/>
  </sheetPr>
  <dimension ref="A1:AC83"/>
  <sheetViews>
    <sheetView zoomScale="84" zoomScaleNormal="84" workbookViewId="0">
      <selection activeCell="F34" sqref="F3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108124.5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723" t="s">
        <v>67</v>
      </c>
      <c r="F3" s="724"/>
      <c r="G3" s="405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108124.5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719" t="s">
        <v>68</v>
      </c>
      <c r="F4" s="720"/>
      <c r="G4" s="404" t="s">
        <v>279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721" t="s">
        <v>90</v>
      </c>
      <c r="F5" s="722"/>
      <c r="G5" s="403">
        <v>83074130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108124.5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403" t="s">
        <v>280</v>
      </c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108124.5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991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45</v>
      </c>
      <c r="M18" s="9">
        <f>ROUND((K18*L18),2)</f>
        <v>45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45</v>
      </c>
      <c r="U18" s="14">
        <f>ROUND(M18-S18,2)</f>
        <v>45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9">
        <f t="shared" ref="H19:H81" si="4">ROUND(IF($G$18="USD $", G19*$F$15,G19*$E$15),2)</f>
        <v>32.61</v>
      </c>
      <c r="I19" s="10">
        <f t="shared" ref="I19:I81" si="5">ROUND(IF($I$18=$H$18,F19*H19,F19*G19),2)</f>
        <v>45</v>
      </c>
      <c r="J19" s="151"/>
      <c r="K19" s="88">
        <f t="shared" si="0"/>
        <v>1</v>
      </c>
      <c r="L19" s="38">
        <f t="shared" si="1"/>
        <v>50</v>
      </c>
      <c r="M19" s="38">
        <f t="shared" ref="M19:M80" si="6">ROUND((K19*L19),2)</f>
        <v>50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50</v>
      </c>
      <c r="U19" s="52">
        <f t="shared" ref="U19:U80" si="7">ROUND(M19-S19,2)</f>
        <v>50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38">
        <f t="shared" si="4"/>
        <v>36.229999999999997</v>
      </c>
      <c r="I20" s="39">
        <f t="shared" si="5"/>
        <v>50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5</v>
      </c>
      <c r="L21" s="38">
        <f t="shared" si="1"/>
        <v>140</v>
      </c>
      <c r="M21" s="38">
        <f t="shared" si="6"/>
        <v>700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700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38">
        <f t="shared" si="4"/>
        <v>101.45</v>
      </c>
      <c r="I22" s="39">
        <f t="shared" si="5"/>
        <v>700</v>
      </c>
      <c r="J22" s="151"/>
      <c r="K22" s="89">
        <f t="shared" si="0"/>
        <v>1</v>
      </c>
      <c r="L22" s="9">
        <f t="shared" si="1"/>
        <v>125</v>
      </c>
      <c r="M22" s="9">
        <f t="shared" si="6"/>
        <v>125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125</v>
      </c>
      <c r="U22" s="14">
        <f t="shared" si="7"/>
        <v>125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9">
        <f t="shared" si="4"/>
        <v>90.58</v>
      </c>
      <c r="I23" s="10">
        <f t="shared" si="5"/>
        <v>125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1</v>
      </c>
      <c r="L25" s="38">
        <f t="shared" si="1"/>
        <v>50</v>
      </c>
      <c r="M25" s="38">
        <f t="shared" si="6"/>
        <v>50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50</v>
      </c>
      <c r="U25" s="52">
        <f t="shared" si="7"/>
        <v>50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38">
        <f t="shared" si="4"/>
        <v>36.229999999999997</v>
      </c>
      <c r="I26" s="39">
        <f t="shared" si="5"/>
        <v>50</v>
      </c>
      <c r="J26" s="151"/>
      <c r="K26" s="89">
        <f t="shared" si="0"/>
        <v>2</v>
      </c>
      <c r="L26" s="9">
        <f t="shared" si="1"/>
        <v>325</v>
      </c>
      <c r="M26" s="9">
        <f t="shared" si="6"/>
        <v>650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325</v>
      </c>
      <c r="U26" s="14">
        <f t="shared" si="7"/>
        <v>650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9">
        <f t="shared" si="4"/>
        <v>235.51</v>
      </c>
      <c r="I27" s="10">
        <f t="shared" si="5"/>
        <v>650</v>
      </c>
      <c r="J27" s="151"/>
      <c r="K27" s="88">
        <f t="shared" si="0"/>
        <v>1</v>
      </c>
      <c r="L27" s="38">
        <f t="shared" si="1"/>
        <v>2150</v>
      </c>
      <c r="M27" s="38">
        <f t="shared" si="6"/>
        <v>2150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2150</v>
      </c>
      <c r="U27" s="52">
        <f t="shared" si="7"/>
        <v>2150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 t="s">
        <v>281</v>
      </c>
      <c r="C28" s="286" t="s">
        <v>174</v>
      </c>
      <c r="D28" s="271" t="s">
        <v>39</v>
      </c>
      <c r="E28" s="287" t="s">
        <v>176</v>
      </c>
      <c r="F28" s="288">
        <v>1</v>
      </c>
      <c r="G28" s="281">
        <v>2150</v>
      </c>
      <c r="H28" s="38">
        <f t="shared" si="4"/>
        <v>1557.97</v>
      </c>
      <c r="I28" s="39">
        <f t="shared" si="5"/>
        <v>2150</v>
      </c>
      <c r="J28" s="151"/>
      <c r="K28" s="89">
        <f t="shared" si="0"/>
        <v>6</v>
      </c>
      <c r="L28" s="9">
        <f t="shared" si="1"/>
        <v>1150</v>
      </c>
      <c r="M28" s="9">
        <f t="shared" si="6"/>
        <v>6900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1150</v>
      </c>
      <c r="U28" s="14">
        <f t="shared" si="7"/>
        <v>6900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9">
        <f t="shared" si="4"/>
        <v>833.33</v>
      </c>
      <c r="I29" s="10">
        <f t="shared" si="5"/>
        <v>6900</v>
      </c>
      <c r="J29" s="151"/>
      <c r="K29" s="88">
        <f t="shared" si="0"/>
        <v>1</v>
      </c>
      <c r="L29" s="38">
        <f t="shared" si="1"/>
        <v>4650</v>
      </c>
      <c r="M29" s="38">
        <f>ROUND((K29*L29),2)</f>
        <v>4650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4650</v>
      </c>
      <c r="U29" s="52">
        <f t="shared" si="7"/>
        <v>4650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38">
        <f t="shared" si="4"/>
        <v>3369.57</v>
      </c>
      <c r="I30" s="39">
        <f t="shared" si="5"/>
        <v>4650</v>
      </c>
      <c r="J30" s="151"/>
      <c r="K30" s="89">
        <f t="shared" si="0"/>
        <v>0</v>
      </c>
      <c r="L30" s="9">
        <f t="shared" si="1"/>
        <v>0</v>
      </c>
      <c r="M30" s="9">
        <f t="shared" si="6"/>
        <v>0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0</v>
      </c>
      <c r="U30" s="14">
        <f t="shared" si="7"/>
        <v>0</v>
      </c>
      <c r="V30" s="29">
        <f t="shared" si="8"/>
        <v>0</v>
      </c>
      <c r="W30" s="29">
        <f t="shared" si="9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/>
      <c r="C31" s="292"/>
      <c r="D31" s="271"/>
      <c r="E31" s="293"/>
      <c r="F31" s="273"/>
      <c r="G31" s="259"/>
      <c r="H31" s="9">
        <f t="shared" si="4"/>
        <v>0</v>
      </c>
      <c r="I31" s="10">
        <f t="shared" si="5"/>
        <v>0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6</v>
      </c>
      <c r="L35" s="38">
        <f t="shared" si="1"/>
        <v>675</v>
      </c>
      <c r="M35" s="38">
        <f t="shared" si="6"/>
        <v>4050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4050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38">
        <f t="shared" si="4"/>
        <v>489.13</v>
      </c>
      <c r="I36" s="39">
        <f t="shared" si="5"/>
        <v>4050</v>
      </c>
      <c r="J36" s="151"/>
      <c r="K36" s="89">
        <f t="shared" si="0"/>
        <v>12</v>
      </c>
      <c r="L36" s="9">
        <f t="shared" si="1"/>
        <v>650</v>
      </c>
      <c r="M36" s="9">
        <f t="shared" si="6"/>
        <v>7800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7800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9">
        <f t="shared" si="4"/>
        <v>471.01</v>
      </c>
      <c r="I37" s="10">
        <f t="shared" si="5"/>
        <v>7800</v>
      </c>
      <c r="J37" s="151"/>
      <c r="K37" s="88">
        <f t="shared" si="0"/>
        <v>2</v>
      </c>
      <c r="L37" s="38">
        <f t="shared" si="1"/>
        <v>9250</v>
      </c>
      <c r="M37" s="38">
        <f t="shared" si="6"/>
        <v>18500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9250</v>
      </c>
      <c r="U37" s="52">
        <f t="shared" si="7"/>
        <v>18500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38">
        <f t="shared" si="4"/>
        <v>6702.9</v>
      </c>
      <c r="I38" s="39">
        <f t="shared" si="5"/>
        <v>18500</v>
      </c>
      <c r="J38" s="151"/>
      <c r="K38" s="89">
        <f t="shared" si="0"/>
        <v>94</v>
      </c>
      <c r="L38" s="9">
        <f t="shared" si="1"/>
        <v>450</v>
      </c>
      <c r="M38" s="9">
        <f t="shared" si="6"/>
        <v>42300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450</v>
      </c>
      <c r="U38" s="14">
        <f t="shared" si="7"/>
        <v>42300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9">
        <f t="shared" si="4"/>
        <v>326.08999999999997</v>
      </c>
      <c r="I39" s="10">
        <f t="shared" si="5"/>
        <v>42300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1</v>
      </c>
      <c r="L42" s="9">
        <f t="shared" si="1"/>
        <v>675</v>
      </c>
      <c r="M42" s="9">
        <f t="shared" si="6"/>
        <v>675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675</v>
      </c>
      <c r="U42" s="14">
        <f t="shared" si="7"/>
        <v>675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>
        <v>212868</v>
      </c>
      <c r="C43" s="292" t="s">
        <v>200</v>
      </c>
      <c r="D43" s="271" t="s">
        <v>18</v>
      </c>
      <c r="E43" s="293" t="s">
        <v>176</v>
      </c>
      <c r="F43" s="273">
        <v>1</v>
      </c>
      <c r="G43" s="259">
        <v>675</v>
      </c>
      <c r="H43" s="9">
        <f t="shared" si="4"/>
        <v>489.13</v>
      </c>
      <c r="I43" s="10">
        <f t="shared" si="5"/>
        <v>675</v>
      </c>
      <c r="J43" s="151"/>
      <c r="K43" s="88">
        <f t="shared" si="0"/>
        <v>1</v>
      </c>
      <c r="L43" s="38">
        <f t="shared" si="1"/>
        <v>1850</v>
      </c>
      <c r="M43" s="38">
        <f t="shared" si="6"/>
        <v>1850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1850</v>
      </c>
      <c r="U43" s="52">
        <f t="shared" si="7"/>
        <v>1850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>
        <v>213767</v>
      </c>
      <c r="C44" s="286" t="s">
        <v>254</v>
      </c>
      <c r="D44" s="271" t="s">
        <v>15</v>
      </c>
      <c r="E44" s="287" t="s">
        <v>176</v>
      </c>
      <c r="F44" s="288">
        <v>1</v>
      </c>
      <c r="G44" s="281">
        <v>1850</v>
      </c>
      <c r="H44" s="38">
        <f t="shared" si="4"/>
        <v>1340.58</v>
      </c>
      <c r="I44" s="39">
        <f t="shared" si="5"/>
        <v>1850</v>
      </c>
      <c r="J44" s="151"/>
      <c r="K44" s="89">
        <f t="shared" si="0"/>
        <v>1</v>
      </c>
      <c r="L44" s="9">
        <f t="shared" si="1"/>
        <v>4250</v>
      </c>
      <c r="M44" s="9">
        <f t="shared" si="6"/>
        <v>4250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4250</v>
      </c>
      <c r="U44" s="14">
        <f t="shared" si="7"/>
        <v>4250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220131</v>
      </c>
      <c r="C45" s="292" t="s">
        <v>224</v>
      </c>
      <c r="D45" s="271" t="s">
        <v>16</v>
      </c>
      <c r="E45" s="293" t="s">
        <v>176</v>
      </c>
      <c r="F45" s="273">
        <v>1</v>
      </c>
      <c r="G45" s="259">
        <v>4250</v>
      </c>
      <c r="H45" s="9">
        <f t="shared" si="4"/>
        <v>3079.71</v>
      </c>
      <c r="I45" s="10">
        <f t="shared" si="5"/>
        <v>4250</v>
      </c>
      <c r="J45" s="151"/>
      <c r="K45" s="88">
        <f t="shared" si="0"/>
        <v>0</v>
      </c>
      <c r="L45" s="38">
        <f t="shared" si="1"/>
        <v>0</v>
      </c>
      <c r="M45" s="38">
        <f t="shared" si="6"/>
        <v>0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0</v>
      </c>
      <c r="U45" s="52">
        <f t="shared" si="7"/>
        <v>0</v>
      </c>
      <c r="V45" s="41">
        <f t="shared" si="8"/>
        <v>0</v>
      </c>
      <c r="W45" s="41">
        <f t="shared" si="9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/>
      <c r="C46" s="286"/>
      <c r="D46" s="271"/>
      <c r="E46" s="287"/>
      <c r="F46" s="288"/>
      <c r="G46" s="281"/>
      <c r="H46" s="38">
        <f t="shared" si="4"/>
        <v>0</v>
      </c>
      <c r="I46" s="39">
        <f t="shared" si="5"/>
        <v>0</v>
      </c>
      <c r="J46" s="151"/>
      <c r="K46" s="89">
        <f t="shared" si="0"/>
        <v>0</v>
      </c>
      <c r="L46" s="9">
        <f t="shared" si="1"/>
        <v>0</v>
      </c>
      <c r="M46" s="9">
        <f t="shared" si="6"/>
        <v>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0</v>
      </c>
      <c r="U46" s="14">
        <f t="shared" si="7"/>
        <v>0</v>
      </c>
      <c r="V46" s="29">
        <f t="shared" si="8"/>
        <v>0</v>
      </c>
      <c r="W46" s="29">
        <f t="shared" si="9"/>
        <v>0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/>
      <c r="C47" s="292"/>
      <c r="D47" s="271"/>
      <c r="E47" s="293"/>
      <c r="F47" s="273"/>
      <c r="G47" s="259"/>
      <c r="H47" s="9">
        <f t="shared" si="4"/>
        <v>0</v>
      </c>
      <c r="I47" s="10">
        <f t="shared" si="5"/>
        <v>0</v>
      </c>
      <c r="J47" s="151"/>
      <c r="K47" s="88">
        <f t="shared" si="0"/>
        <v>0</v>
      </c>
      <c r="L47" s="38">
        <f t="shared" si="1"/>
        <v>0</v>
      </c>
      <c r="M47" s="38">
        <f t="shared" si="6"/>
        <v>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0</v>
      </c>
      <c r="U47" s="52">
        <f t="shared" si="7"/>
        <v>0</v>
      </c>
      <c r="V47" s="41">
        <f t="shared" si="8"/>
        <v>0</v>
      </c>
      <c r="W47" s="41">
        <f t="shared" si="9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/>
      <c r="C48" s="181"/>
      <c r="D48" s="271"/>
      <c r="E48" s="287"/>
      <c r="F48" s="288"/>
      <c r="G48" s="281"/>
      <c r="H48" s="38">
        <f t="shared" si="4"/>
        <v>0</v>
      </c>
      <c r="I48" s="39">
        <f t="shared" si="5"/>
        <v>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991</v>
      </c>
      <c r="L81" s="79">
        <f>SUM(L18:L80)</f>
        <v>29788</v>
      </c>
      <c r="M81" s="80">
        <f>SUM(M18:M80)</f>
        <v>108124.5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29788</v>
      </c>
      <c r="U81" s="80">
        <f>SUM(U18:U80)</f>
        <v>108124.5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991</v>
      </c>
      <c r="G82" s="78">
        <f>SUM(G19:G81)</f>
        <v>29788</v>
      </c>
      <c r="H82" s="79">
        <f>SUM(H19:H81)</f>
        <v>21585.5</v>
      </c>
      <c r="I82" s="80">
        <f>SUM(I19:I81)</f>
        <v>108124.5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47" priority="3" stopIfTrue="1">
      <formula>$V$9&gt;100%</formula>
    </cfRule>
    <cfRule type="expression" dxfId="146" priority="4">
      <formula>$V$9&lt;50%</formula>
    </cfRule>
  </conditionalFormatting>
  <conditionalFormatting sqref="W9:W10">
    <cfRule type="expression" dxfId="145" priority="1">
      <formula>$W$9&lt;50%</formula>
    </cfRule>
    <cfRule type="expression" dxfId="144" priority="2">
      <formula>$W$9&gt;50%</formula>
    </cfRule>
  </conditionalFormatting>
  <dataValidations count="6">
    <dataValidation type="list" allowBlank="1" showInputMessage="1" showErrorMessage="1" sqref="G2" xr:uid="{6249FE98-989E-4E92-BE9A-6E523316EF86}">
      <formula1>$Z$34:$Z$48</formula1>
    </dataValidation>
    <dataValidation type="list" allowBlank="1" showInputMessage="1" showErrorMessage="1" sqref="N18:N80" xr:uid="{F33C806D-2872-4E28-A9DB-73C0F2B19420}">
      <formula1>$Z$31:$Z$32</formula1>
    </dataValidation>
    <dataValidation type="list" showInputMessage="1" showErrorMessage="1" sqref="E19:E81" xr:uid="{44FAF69A-4231-47B7-97A9-F5BC96FBA34B}">
      <formula1>$AA$18:$AA$29</formula1>
    </dataValidation>
    <dataValidation type="list" allowBlank="1" showInputMessage="1" showErrorMessage="1" sqref="J13" xr:uid="{0EFF27AA-90AC-46DB-A0DB-C3C12D968997}">
      <formula1>$L$9:$L$9</formula1>
    </dataValidation>
    <dataValidation type="list" allowBlank="1" showInputMessage="1" showErrorMessage="1" sqref="I13" xr:uid="{090425D5-2A18-4EE5-BED8-2F2120850284}">
      <formula1>$Z$13:$Z$14</formula1>
    </dataValidation>
    <dataValidation type="list" allowBlank="1" showInputMessage="1" showErrorMessage="1" sqref="G18 R14 R17 L17" xr:uid="{A141494D-0406-4EB1-8428-5CC3433B67EF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AE24A7-2EA9-4FAB-BF36-933EC563DC43}">
          <x14:formula1>
            <xm:f>'Product Type'!$A$1:$A$55</xm:f>
          </x14:formula1>
          <xm:sqref>D19:D64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4FF8-1E18-41B4-9416-BF1881A16F1E}">
  <sheetPr>
    <pageSetUpPr fitToPage="1"/>
  </sheetPr>
  <dimension ref="A1:AC83"/>
  <sheetViews>
    <sheetView zoomScale="84" zoomScaleNormal="84" workbookViewId="0">
      <selection activeCell="B46" sqref="B46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58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84749.5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84749.5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7">
        <v>875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8752006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84749.5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 t="s">
        <v>282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84749.5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989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85</v>
      </c>
      <c r="M19" s="277">
        <f t="shared" si="2"/>
        <v>85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85</v>
      </c>
      <c r="U19" s="283">
        <f t="shared" si="5"/>
        <v>85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85</v>
      </c>
      <c r="H20" s="277">
        <f t="shared" si="8"/>
        <v>61.59</v>
      </c>
      <c r="I20" s="289">
        <f t="shared" si="9"/>
        <v>85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1</v>
      </c>
      <c r="L21" s="277">
        <f t="shared" si="1"/>
        <v>140</v>
      </c>
      <c r="M21" s="277">
        <f t="shared" si="2"/>
        <v>140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140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1</v>
      </c>
      <c r="G22" s="281">
        <v>140</v>
      </c>
      <c r="H22" s="277">
        <f t="shared" si="8"/>
        <v>101.45</v>
      </c>
      <c r="I22" s="289">
        <f t="shared" si="9"/>
        <v>140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395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0</v>
      </c>
      <c r="L25" s="277">
        <f t="shared" si="1"/>
        <v>0</v>
      </c>
      <c r="M25" s="277">
        <f t="shared" si="2"/>
        <v>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0</v>
      </c>
      <c r="U25" s="283">
        <f t="shared" si="5"/>
        <v>0</v>
      </c>
      <c r="V25" s="284">
        <f t="shared" si="6"/>
        <v>0</v>
      </c>
      <c r="W25" s="284">
        <f t="shared" si="7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/>
      <c r="C26" s="286" t="s">
        <v>170</v>
      </c>
      <c r="D26" s="271" t="s">
        <v>24</v>
      </c>
      <c r="E26" s="287">
        <v>375</v>
      </c>
      <c r="F26" s="288"/>
      <c r="G26" s="281"/>
      <c r="H26" s="277">
        <f t="shared" si="8"/>
        <v>0</v>
      </c>
      <c r="I26" s="289">
        <f t="shared" si="9"/>
        <v>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1</v>
      </c>
      <c r="L27" s="277">
        <f t="shared" si="1"/>
        <v>2150</v>
      </c>
      <c r="M27" s="277">
        <f t="shared" si="2"/>
        <v>2150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2150</v>
      </c>
      <c r="U27" s="283">
        <f t="shared" si="5"/>
        <v>2150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281</v>
      </c>
      <c r="C28" s="286" t="s">
        <v>174</v>
      </c>
      <c r="D28" s="271" t="s">
        <v>39</v>
      </c>
      <c r="E28" s="287" t="s">
        <v>176</v>
      </c>
      <c r="F28" s="288">
        <v>1</v>
      </c>
      <c r="G28" s="281">
        <v>2150</v>
      </c>
      <c r="H28" s="277">
        <f t="shared" si="8"/>
        <v>1557.97</v>
      </c>
      <c r="I28" s="289">
        <f t="shared" si="9"/>
        <v>2150</v>
      </c>
      <c r="J28" s="275"/>
      <c r="K28" s="257">
        <f t="shared" si="0"/>
        <v>6</v>
      </c>
      <c r="L28" s="258">
        <f t="shared" si="1"/>
        <v>1300</v>
      </c>
      <c r="M28" s="258">
        <f t="shared" si="2"/>
        <v>7800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1300</v>
      </c>
      <c r="U28" s="264">
        <f t="shared" si="5"/>
        <v>7800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1300</v>
      </c>
      <c r="H29" s="258">
        <f t="shared" si="8"/>
        <v>942.03</v>
      </c>
      <c r="I29" s="274">
        <f t="shared" si="9"/>
        <v>7800</v>
      </c>
      <c r="J29" s="275"/>
      <c r="K29" s="276">
        <f t="shared" si="0"/>
        <v>1</v>
      </c>
      <c r="L29" s="277">
        <f t="shared" si="1"/>
        <v>2250</v>
      </c>
      <c r="M29" s="277">
        <f t="shared" si="2"/>
        <v>2250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2250</v>
      </c>
      <c r="U29" s="283">
        <f t="shared" si="5"/>
        <v>2250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2250</v>
      </c>
      <c r="H30" s="277">
        <f t="shared" si="8"/>
        <v>1630.43</v>
      </c>
      <c r="I30" s="289">
        <f t="shared" si="9"/>
        <v>2250</v>
      </c>
      <c r="J30" s="275"/>
      <c r="K30" s="257">
        <f t="shared" si="0"/>
        <v>1</v>
      </c>
      <c r="L30" s="258">
        <f t="shared" si="1"/>
        <v>65</v>
      </c>
      <c r="M30" s="258">
        <f t="shared" si="2"/>
        <v>65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65</v>
      </c>
      <c r="U30" s="264">
        <f t="shared" si="5"/>
        <v>65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 t="s">
        <v>286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65</v>
      </c>
      <c r="H31" s="258">
        <f t="shared" si="8"/>
        <v>47.1</v>
      </c>
      <c r="I31" s="274">
        <f t="shared" si="9"/>
        <v>65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 t="s">
        <v>288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98252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94</v>
      </c>
      <c r="L38" s="258">
        <f t="shared" si="1"/>
        <v>200</v>
      </c>
      <c r="M38" s="258">
        <f t="shared" si="2"/>
        <v>18800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18800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95746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200</v>
      </c>
      <c r="H39" s="258">
        <f t="shared" si="8"/>
        <v>144.93</v>
      </c>
      <c r="I39" s="274">
        <f t="shared" si="9"/>
        <v>18800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989</v>
      </c>
      <c r="L81" s="308">
        <f>SUM(L18:L80)</f>
        <v>29418</v>
      </c>
      <c r="M81" s="309">
        <f>SUM(M18:M80)</f>
        <v>84749.5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29418</v>
      </c>
      <c r="U81" s="309">
        <f>SUM(U18:U80)</f>
        <v>84749.5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989</v>
      </c>
      <c r="G82" s="318">
        <f>SUM(G19:G81)</f>
        <v>29418</v>
      </c>
      <c r="H82" s="308">
        <f>SUM(H19:H81)</f>
        <v>21317.370000000003</v>
      </c>
      <c r="I82" s="309">
        <f>SUM(I19:I81)</f>
        <v>84749.5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43" priority="3" stopIfTrue="1">
      <formula>$V$9&gt;100%</formula>
    </cfRule>
    <cfRule type="expression" dxfId="142" priority="4">
      <formula>$V$9&lt;50%</formula>
    </cfRule>
  </conditionalFormatting>
  <conditionalFormatting sqref="W9:W10">
    <cfRule type="expression" dxfId="141" priority="1">
      <formula>$W$9&lt;50%</formula>
    </cfRule>
    <cfRule type="expression" dxfId="140" priority="2">
      <formula>$W$9&gt;50%</formula>
    </cfRule>
  </conditionalFormatting>
  <dataValidations count="6">
    <dataValidation type="list" allowBlank="1" showInputMessage="1" showErrorMessage="1" sqref="G2" xr:uid="{59E7B796-7FA9-4198-829F-1DC0516153E9}">
      <formula1>$Z$34:$Z$48</formula1>
    </dataValidation>
    <dataValidation type="list" allowBlank="1" showInputMessage="1" showErrorMessage="1" sqref="N18:N80" xr:uid="{A607ACB0-CE63-4F54-98E8-FAFFE4692F8B}">
      <formula1>$Z$31:$Z$32</formula1>
    </dataValidation>
    <dataValidation type="list" showInputMessage="1" showErrorMessage="1" sqref="E19:E81" xr:uid="{63E770FC-663D-40A5-BC5E-C3738C384ED7}">
      <formula1>$AA$18:$AA$29</formula1>
    </dataValidation>
    <dataValidation type="list" allowBlank="1" showInputMessage="1" showErrorMessage="1" sqref="J13" xr:uid="{1C3CA7E0-65C9-4540-8BEA-D72A5D85A031}">
      <formula1>$L$9:$L$9</formula1>
    </dataValidation>
    <dataValidation type="list" allowBlank="1" showInputMessage="1" showErrorMessage="1" sqref="I13" xr:uid="{328995B6-A516-4886-9402-1036E596EBE9}">
      <formula1>$Z$13:$Z$14</formula1>
    </dataValidation>
    <dataValidation type="list" allowBlank="1" showInputMessage="1" showErrorMessage="1" sqref="G18 R14 R17 L17" xr:uid="{E014554D-B61C-44A9-9DEB-4999E37CB800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1ABB25-2B7D-4F51-A35D-29B4D8B6A9C5}">
          <x14:formula1>
            <xm:f>'Product Type'!$A$1:$A$55</xm:f>
          </x14:formula1>
          <xm:sqref>D19:D64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3582-6214-4AC5-9F6A-9EC95D2EBB41}">
  <sheetPr>
    <pageSetUpPr fitToPage="1"/>
  </sheetPr>
  <dimension ref="A1:AC83"/>
  <sheetViews>
    <sheetView topLeftCell="A11" zoomScale="84" zoomScaleNormal="84" workbookViewId="0">
      <selection activeCell="G40" sqref="G4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82349.5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723" t="s">
        <v>67</v>
      </c>
      <c r="F3" s="724"/>
      <c r="G3" s="405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82349.5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719" t="s">
        <v>68</v>
      </c>
      <c r="F4" s="720"/>
      <c r="G4" s="407">
        <v>875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721" t="s">
        <v>90</v>
      </c>
      <c r="F5" s="722"/>
      <c r="G5" s="403">
        <v>8750639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82349.5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403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82349.5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988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50</v>
      </c>
      <c r="M18" s="9">
        <f>ROUND((K18*L18),2)</f>
        <v>50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50</v>
      </c>
      <c r="U18" s="14">
        <f>ROUND(M18-S18,2)</f>
        <v>50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9">
        <f t="shared" ref="H19:H81" si="4">ROUND(IF($G$18="USD $", G19*$F$15,G19*$E$15),2)</f>
        <v>36.229999999999997</v>
      </c>
      <c r="I19" s="10">
        <f t="shared" ref="I19:I81" si="5">ROUND(IF($I$18=$H$18,F19*H19,F19*G19),2)</f>
        <v>50</v>
      </c>
      <c r="J19" s="151"/>
      <c r="K19" s="88">
        <f t="shared" si="0"/>
        <v>1</v>
      </c>
      <c r="L19" s="38">
        <f t="shared" si="1"/>
        <v>85</v>
      </c>
      <c r="M19" s="38">
        <f t="shared" ref="M19:M80" si="6">ROUND((K19*L19),2)</f>
        <v>85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85</v>
      </c>
      <c r="U19" s="52">
        <f t="shared" ref="U19:U80" si="7">ROUND(M19-S19,2)</f>
        <v>85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85</v>
      </c>
      <c r="H20" s="38">
        <f t="shared" si="4"/>
        <v>61.59</v>
      </c>
      <c r="I20" s="39">
        <f t="shared" si="5"/>
        <v>85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1</v>
      </c>
      <c r="L21" s="38">
        <f t="shared" si="1"/>
        <v>140</v>
      </c>
      <c r="M21" s="38">
        <f t="shared" si="6"/>
        <v>140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140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1</v>
      </c>
      <c r="G22" s="281">
        <v>140</v>
      </c>
      <c r="H22" s="38">
        <f t="shared" si="4"/>
        <v>101.45</v>
      </c>
      <c r="I22" s="39">
        <f t="shared" si="5"/>
        <v>140</v>
      </c>
      <c r="J22" s="151"/>
      <c r="K22" s="89">
        <f t="shared" si="0"/>
        <v>1</v>
      </c>
      <c r="L22" s="9">
        <f t="shared" si="1"/>
        <v>120</v>
      </c>
      <c r="M22" s="9">
        <f t="shared" si="6"/>
        <v>120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120</v>
      </c>
      <c r="U22" s="14">
        <f t="shared" si="7"/>
        <v>120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9">
        <f t="shared" si="4"/>
        <v>86.96</v>
      </c>
      <c r="I23" s="10">
        <f t="shared" si="5"/>
        <v>120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167"/>
      <c r="B24" s="280">
        <v>211219</v>
      </c>
      <c r="C24" s="286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0</v>
      </c>
      <c r="L25" s="38">
        <f t="shared" si="1"/>
        <v>0</v>
      </c>
      <c r="M25" s="38">
        <f t="shared" si="6"/>
        <v>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0</v>
      </c>
      <c r="U25" s="52">
        <f t="shared" si="7"/>
        <v>0</v>
      </c>
      <c r="V25" s="41">
        <f t="shared" si="8"/>
        <v>0</v>
      </c>
      <c r="W25" s="41">
        <f t="shared" si="9"/>
        <v>0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/>
      <c r="C26" s="286" t="s">
        <v>170</v>
      </c>
      <c r="D26" s="271" t="s">
        <v>24</v>
      </c>
      <c r="E26" s="287">
        <v>375</v>
      </c>
      <c r="F26" s="288"/>
      <c r="G26" s="281"/>
      <c r="H26" s="38">
        <f t="shared" si="4"/>
        <v>0</v>
      </c>
      <c r="I26" s="39">
        <f t="shared" si="5"/>
        <v>0</v>
      </c>
      <c r="J26" s="151"/>
      <c r="K26" s="89">
        <f t="shared" si="0"/>
        <v>2</v>
      </c>
      <c r="L26" s="9">
        <f t="shared" si="1"/>
        <v>330</v>
      </c>
      <c r="M26" s="9">
        <f t="shared" si="6"/>
        <v>660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330</v>
      </c>
      <c r="U26" s="14">
        <f t="shared" si="7"/>
        <v>660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9">
        <f t="shared" si="4"/>
        <v>239.13</v>
      </c>
      <c r="I27" s="10">
        <f t="shared" si="5"/>
        <v>660</v>
      </c>
      <c r="J27" s="151"/>
      <c r="K27" s="88">
        <f t="shared" si="0"/>
        <v>0</v>
      </c>
      <c r="L27" s="38">
        <f t="shared" si="1"/>
        <v>0</v>
      </c>
      <c r="M27" s="38">
        <f t="shared" si="6"/>
        <v>0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0</v>
      </c>
      <c r="U27" s="52">
        <f t="shared" si="7"/>
        <v>0</v>
      </c>
      <c r="V27" s="41">
        <f t="shared" si="8"/>
        <v>0</v>
      </c>
      <c r="W27" s="41">
        <f t="shared" si="9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/>
      <c r="C28" s="286" t="s">
        <v>174</v>
      </c>
      <c r="D28" s="271"/>
      <c r="E28" s="287"/>
      <c r="F28" s="288"/>
      <c r="G28" s="281"/>
      <c r="H28" s="38">
        <f t="shared" si="4"/>
        <v>0</v>
      </c>
      <c r="I28" s="39">
        <f t="shared" si="5"/>
        <v>0</v>
      </c>
      <c r="J28" s="151"/>
      <c r="K28" s="89">
        <f t="shared" si="0"/>
        <v>6</v>
      </c>
      <c r="L28" s="9">
        <f t="shared" si="1"/>
        <v>1300</v>
      </c>
      <c r="M28" s="9">
        <f t="shared" si="6"/>
        <v>7800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1300</v>
      </c>
      <c r="U28" s="14">
        <f t="shared" si="7"/>
        <v>7800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1300</v>
      </c>
      <c r="H29" s="9">
        <f t="shared" si="4"/>
        <v>942.03</v>
      </c>
      <c r="I29" s="10">
        <f t="shared" si="5"/>
        <v>7800</v>
      </c>
      <c r="J29" s="151"/>
      <c r="K29" s="88">
        <f t="shared" si="0"/>
        <v>1</v>
      </c>
      <c r="L29" s="38">
        <f t="shared" si="1"/>
        <v>2000</v>
      </c>
      <c r="M29" s="38">
        <f>ROUND((K29*L29),2)</f>
        <v>2000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2000</v>
      </c>
      <c r="U29" s="52">
        <f t="shared" si="7"/>
        <v>2000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>
        <v>211978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2000</v>
      </c>
      <c r="H30" s="38">
        <f t="shared" si="4"/>
        <v>1449.28</v>
      </c>
      <c r="I30" s="39">
        <f t="shared" si="5"/>
        <v>2000</v>
      </c>
      <c r="J30" s="151"/>
      <c r="K30" s="89">
        <f t="shared" si="0"/>
        <v>1</v>
      </c>
      <c r="L30" s="9">
        <f t="shared" si="1"/>
        <v>65</v>
      </c>
      <c r="M30" s="9">
        <f t="shared" si="6"/>
        <v>65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65</v>
      </c>
      <c r="U30" s="14">
        <f t="shared" si="7"/>
        <v>65</v>
      </c>
      <c r="V30" s="29">
        <f t="shared" si="8"/>
        <v>0</v>
      </c>
      <c r="W30" s="29">
        <f t="shared" si="9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 t="s">
        <v>291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65</v>
      </c>
      <c r="H31" s="9">
        <f t="shared" si="4"/>
        <v>47.1</v>
      </c>
      <c r="I31" s="10">
        <f t="shared" si="5"/>
        <v>65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 t="s">
        <v>288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8</v>
      </c>
      <c r="L35" s="38">
        <f t="shared" si="1"/>
        <v>675</v>
      </c>
      <c r="M35" s="38">
        <f t="shared" si="6"/>
        <v>5400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5400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38">
        <f t="shared" si="4"/>
        <v>489.13</v>
      </c>
      <c r="I36" s="39">
        <f t="shared" si="5"/>
        <v>5400</v>
      </c>
      <c r="J36" s="151"/>
      <c r="K36" s="89">
        <f t="shared" si="0"/>
        <v>10</v>
      </c>
      <c r="L36" s="9">
        <f t="shared" si="1"/>
        <v>650</v>
      </c>
      <c r="M36" s="9">
        <f t="shared" si="6"/>
        <v>6500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6500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9">
        <f t="shared" si="4"/>
        <v>471.01</v>
      </c>
      <c r="I37" s="10">
        <f t="shared" si="5"/>
        <v>6500</v>
      </c>
      <c r="J37" s="151"/>
      <c r="K37" s="88">
        <f t="shared" si="0"/>
        <v>2</v>
      </c>
      <c r="L37" s="38">
        <f t="shared" si="1"/>
        <v>9250</v>
      </c>
      <c r="M37" s="38">
        <f t="shared" si="6"/>
        <v>18500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9250</v>
      </c>
      <c r="U37" s="52">
        <f t="shared" si="7"/>
        <v>18500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>
        <v>98252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38">
        <f t="shared" si="4"/>
        <v>6702.9</v>
      </c>
      <c r="I38" s="39">
        <f t="shared" si="5"/>
        <v>18500</v>
      </c>
      <c r="J38" s="151"/>
      <c r="K38" s="89">
        <f t="shared" si="0"/>
        <v>94</v>
      </c>
      <c r="L38" s="9">
        <f t="shared" si="1"/>
        <v>200</v>
      </c>
      <c r="M38" s="9">
        <f t="shared" si="6"/>
        <v>18800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200</v>
      </c>
      <c r="U38" s="14">
        <f t="shared" si="7"/>
        <v>18800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95746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200</v>
      </c>
      <c r="H39" s="9">
        <f t="shared" si="4"/>
        <v>144.93</v>
      </c>
      <c r="I39" s="10">
        <f t="shared" si="5"/>
        <v>18800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1</v>
      </c>
      <c r="L42" s="9">
        <f t="shared" si="1"/>
        <v>1100</v>
      </c>
      <c r="M42" s="9">
        <f t="shared" si="6"/>
        <v>1100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1100</v>
      </c>
      <c r="U42" s="14">
        <f t="shared" si="7"/>
        <v>1100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9">
        <f t="shared" si="4"/>
        <v>797.1</v>
      </c>
      <c r="I43" s="10">
        <f t="shared" si="5"/>
        <v>1100</v>
      </c>
      <c r="J43" s="151"/>
      <c r="K43" s="88">
        <f t="shared" si="0"/>
        <v>0</v>
      </c>
      <c r="L43" s="38">
        <f t="shared" si="1"/>
        <v>0</v>
      </c>
      <c r="M43" s="38">
        <f t="shared" si="6"/>
        <v>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0</v>
      </c>
      <c r="U43" s="52">
        <f t="shared" si="7"/>
        <v>0</v>
      </c>
      <c r="V43" s="41">
        <f t="shared" si="8"/>
        <v>0</v>
      </c>
      <c r="W43" s="41">
        <f t="shared" si="9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/>
      <c r="C44" s="286"/>
      <c r="D44" s="271"/>
      <c r="E44" s="287"/>
      <c r="F44" s="288"/>
      <c r="G44" s="281"/>
      <c r="H44" s="38">
        <f t="shared" si="4"/>
        <v>0</v>
      </c>
      <c r="I44" s="39">
        <f t="shared" si="5"/>
        <v>0</v>
      </c>
      <c r="J44" s="151"/>
      <c r="K44" s="89">
        <f t="shared" si="0"/>
        <v>1</v>
      </c>
      <c r="L44" s="9">
        <f t="shared" si="1"/>
        <v>675</v>
      </c>
      <c r="M44" s="9">
        <f t="shared" si="6"/>
        <v>675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675</v>
      </c>
      <c r="U44" s="14">
        <f t="shared" si="7"/>
        <v>675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9">
        <f t="shared" si="4"/>
        <v>489.13</v>
      </c>
      <c r="I45" s="10">
        <f t="shared" si="5"/>
        <v>675</v>
      </c>
      <c r="J45" s="151"/>
      <c r="K45" s="88">
        <f t="shared" si="0"/>
        <v>1</v>
      </c>
      <c r="L45" s="38">
        <f t="shared" si="1"/>
        <v>975</v>
      </c>
      <c r="M45" s="38">
        <f t="shared" si="6"/>
        <v>975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975</v>
      </c>
      <c r="U45" s="52">
        <f t="shared" si="7"/>
        <v>975</v>
      </c>
      <c r="V45" s="41">
        <f t="shared" si="8"/>
        <v>0</v>
      </c>
      <c r="W45" s="41">
        <f t="shared" si="9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38">
        <f t="shared" si="4"/>
        <v>706.52</v>
      </c>
      <c r="I46" s="39">
        <f t="shared" si="5"/>
        <v>975</v>
      </c>
      <c r="J46" s="151"/>
      <c r="K46" s="89">
        <f t="shared" si="0"/>
        <v>1</v>
      </c>
      <c r="L46" s="9">
        <f t="shared" si="1"/>
        <v>1850</v>
      </c>
      <c r="M46" s="9">
        <f t="shared" si="6"/>
        <v>1850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1850</v>
      </c>
      <c r="U46" s="14">
        <f t="shared" si="7"/>
        <v>1850</v>
      </c>
      <c r="V46" s="29">
        <f t="shared" si="8"/>
        <v>0</v>
      </c>
      <c r="W46" s="29">
        <f t="shared" si="9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9">
        <f t="shared" si="4"/>
        <v>1340.58</v>
      </c>
      <c r="I47" s="10">
        <f t="shared" si="5"/>
        <v>1850</v>
      </c>
      <c r="J47" s="151"/>
      <c r="K47" s="88">
        <f t="shared" si="0"/>
        <v>1</v>
      </c>
      <c r="L47" s="38">
        <f t="shared" si="1"/>
        <v>4250</v>
      </c>
      <c r="M47" s="38">
        <f t="shared" si="6"/>
        <v>4250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4250</v>
      </c>
      <c r="U47" s="52">
        <f t="shared" si="7"/>
        <v>4250</v>
      </c>
      <c r="V47" s="41">
        <f t="shared" si="8"/>
        <v>0</v>
      </c>
      <c r="W47" s="41">
        <f t="shared" si="9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38">
        <f t="shared" si="4"/>
        <v>3079.71</v>
      </c>
      <c r="I48" s="39">
        <f t="shared" si="5"/>
        <v>4250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988</v>
      </c>
      <c r="L81" s="79">
        <f>SUM(L18:L80)</f>
        <v>27018</v>
      </c>
      <c r="M81" s="80">
        <f>SUM(M18:M80)</f>
        <v>82349.5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27018</v>
      </c>
      <c r="U81" s="80">
        <f>SUM(U18:U80)</f>
        <v>82349.5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988</v>
      </c>
      <c r="G82" s="78">
        <f>SUM(G19:G81)</f>
        <v>27018</v>
      </c>
      <c r="H82" s="79">
        <f>SUM(H19:H81)</f>
        <v>19578.25</v>
      </c>
      <c r="I82" s="80">
        <f>SUM(I19:I81)</f>
        <v>82349.5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39" priority="3" stopIfTrue="1">
      <formula>$V$9&gt;100%</formula>
    </cfRule>
    <cfRule type="expression" dxfId="138" priority="4">
      <formula>$V$9&lt;50%</formula>
    </cfRule>
  </conditionalFormatting>
  <conditionalFormatting sqref="W9:W10">
    <cfRule type="expression" dxfId="137" priority="1">
      <formula>$W$9&lt;50%</formula>
    </cfRule>
    <cfRule type="expression" dxfId="136" priority="2">
      <formula>$W$9&gt;50%</formula>
    </cfRule>
  </conditionalFormatting>
  <dataValidations count="6">
    <dataValidation type="list" allowBlank="1" showInputMessage="1" showErrorMessage="1" sqref="G18 R14 R17 L17" xr:uid="{43D28767-B3BC-416C-B93D-8A497EDF54F7}">
      <formula1>$Z$11:$Z$12</formula1>
    </dataValidation>
    <dataValidation type="list" allowBlank="1" showInputMessage="1" showErrorMessage="1" sqref="I13" xr:uid="{78C913A7-14D0-4742-AE46-B5DE79320226}">
      <formula1>$Z$13:$Z$14</formula1>
    </dataValidation>
    <dataValidation type="list" allowBlank="1" showInputMessage="1" showErrorMessage="1" sqref="J13" xr:uid="{848A28D5-5F98-4E94-92A9-8622ECB9FA6D}">
      <formula1>$L$9:$L$9</formula1>
    </dataValidation>
    <dataValidation type="list" showInputMessage="1" showErrorMessage="1" sqref="E19:E81" xr:uid="{8F02F0E5-BD59-4723-99A0-CABE8D135D91}">
      <formula1>$AA$18:$AA$29</formula1>
    </dataValidation>
    <dataValidation type="list" allowBlank="1" showInputMessage="1" showErrorMessage="1" sqref="N18:N80" xr:uid="{D1A8D0A9-A2B8-4781-AF6E-CCB8876A57FE}">
      <formula1>$Z$31:$Z$32</formula1>
    </dataValidation>
    <dataValidation type="list" allowBlank="1" showInputMessage="1" showErrorMessage="1" sqref="G2" xr:uid="{020D25C9-C923-4284-AE89-4F2032866985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3BD824-0916-4FA9-A208-F824883416F8}">
          <x14:formula1>
            <xm:f>'Product Type'!$A$1:$A$55</xm:f>
          </x14:formula1>
          <xm:sqref>D19:D64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7A80-E56A-402C-A668-BC01397AA91A}">
  <sheetPr>
    <pageSetUpPr fitToPage="1"/>
  </sheetPr>
  <dimension ref="A1:AC83"/>
  <sheetViews>
    <sheetView zoomScale="84" zoomScaleNormal="84" workbookViewId="0">
      <selection activeCell="G40" sqref="G40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58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82349.5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82349.5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7">
        <v>875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8750546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82349.5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>
        <v>6244034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82349.5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988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85</v>
      </c>
      <c r="M19" s="277">
        <f t="shared" si="2"/>
        <v>85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85</v>
      </c>
      <c r="U19" s="283">
        <f t="shared" si="5"/>
        <v>85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85</v>
      </c>
      <c r="H20" s="277">
        <f t="shared" si="8"/>
        <v>61.59</v>
      </c>
      <c r="I20" s="289">
        <f t="shared" si="9"/>
        <v>85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1</v>
      </c>
      <c r="L21" s="277">
        <f t="shared" si="1"/>
        <v>140</v>
      </c>
      <c r="M21" s="277">
        <f t="shared" si="2"/>
        <v>140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140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1</v>
      </c>
      <c r="G22" s="281">
        <v>140</v>
      </c>
      <c r="H22" s="277">
        <f t="shared" si="8"/>
        <v>101.45</v>
      </c>
      <c r="I22" s="289">
        <f t="shared" si="9"/>
        <v>140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0</v>
      </c>
      <c r="L25" s="277">
        <f t="shared" si="1"/>
        <v>0</v>
      </c>
      <c r="M25" s="277">
        <f t="shared" si="2"/>
        <v>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0</v>
      </c>
      <c r="U25" s="283">
        <f t="shared" si="5"/>
        <v>0</v>
      </c>
      <c r="V25" s="284">
        <f t="shared" si="6"/>
        <v>0</v>
      </c>
      <c r="W25" s="284">
        <f t="shared" si="7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/>
      <c r="C26" s="286" t="s">
        <v>170</v>
      </c>
      <c r="D26" s="271" t="s">
        <v>24</v>
      </c>
      <c r="E26" s="287">
        <v>375</v>
      </c>
      <c r="F26" s="288"/>
      <c r="G26" s="281"/>
      <c r="H26" s="277">
        <f t="shared" si="8"/>
        <v>0</v>
      </c>
      <c r="I26" s="289">
        <f t="shared" si="9"/>
        <v>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0</v>
      </c>
      <c r="L27" s="277">
        <f t="shared" si="1"/>
        <v>0</v>
      </c>
      <c r="M27" s="277">
        <f t="shared" si="2"/>
        <v>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0</v>
      </c>
      <c r="U27" s="283">
        <f t="shared" si="5"/>
        <v>0</v>
      </c>
      <c r="V27" s="284">
        <f t="shared" si="6"/>
        <v>0</v>
      </c>
      <c r="W27" s="284">
        <f t="shared" si="7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/>
      <c r="C28" s="286" t="s">
        <v>174</v>
      </c>
      <c r="D28" s="271"/>
      <c r="E28" s="287"/>
      <c r="F28" s="288"/>
      <c r="G28" s="281"/>
      <c r="H28" s="277">
        <f t="shared" si="8"/>
        <v>0</v>
      </c>
      <c r="I28" s="289">
        <f t="shared" si="9"/>
        <v>0</v>
      </c>
      <c r="J28" s="275"/>
      <c r="K28" s="257">
        <f t="shared" si="0"/>
        <v>6</v>
      </c>
      <c r="L28" s="258">
        <f t="shared" si="1"/>
        <v>1300</v>
      </c>
      <c r="M28" s="258">
        <f t="shared" si="2"/>
        <v>7800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1300</v>
      </c>
      <c r="U28" s="264">
        <f t="shared" si="5"/>
        <v>7800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1300</v>
      </c>
      <c r="H29" s="258">
        <f t="shared" si="8"/>
        <v>942.03</v>
      </c>
      <c r="I29" s="274">
        <f t="shared" si="9"/>
        <v>7800</v>
      </c>
      <c r="J29" s="275"/>
      <c r="K29" s="276">
        <f t="shared" si="0"/>
        <v>1</v>
      </c>
      <c r="L29" s="277">
        <f t="shared" si="1"/>
        <v>2000</v>
      </c>
      <c r="M29" s="277">
        <f t="shared" si="2"/>
        <v>2000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2000</v>
      </c>
      <c r="U29" s="283">
        <f t="shared" si="5"/>
        <v>2000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>
        <v>211978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2000</v>
      </c>
      <c r="H30" s="277">
        <f t="shared" si="8"/>
        <v>1449.28</v>
      </c>
      <c r="I30" s="289">
        <f t="shared" si="9"/>
        <v>2000</v>
      </c>
      <c r="J30" s="275"/>
      <c r="K30" s="257">
        <f t="shared" si="0"/>
        <v>1</v>
      </c>
      <c r="L30" s="258">
        <f t="shared" si="1"/>
        <v>65</v>
      </c>
      <c r="M30" s="258">
        <f t="shared" si="2"/>
        <v>65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65</v>
      </c>
      <c r="U30" s="264">
        <f t="shared" si="5"/>
        <v>65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 t="s">
        <v>291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65</v>
      </c>
      <c r="H31" s="258">
        <f t="shared" si="8"/>
        <v>47.1</v>
      </c>
      <c r="I31" s="274">
        <f t="shared" si="9"/>
        <v>65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 t="s">
        <v>288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98252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94</v>
      </c>
      <c r="L38" s="258">
        <f t="shared" si="1"/>
        <v>200</v>
      </c>
      <c r="M38" s="258">
        <f t="shared" si="2"/>
        <v>18800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18800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95746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200</v>
      </c>
      <c r="H39" s="258">
        <f t="shared" si="8"/>
        <v>144.93</v>
      </c>
      <c r="I39" s="274">
        <f t="shared" si="9"/>
        <v>18800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988</v>
      </c>
      <c r="L81" s="308">
        <f>SUM(L18:L80)</f>
        <v>27018</v>
      </c>
      <c r="M81" s="309">
        <f>SUM(M18:M80)</f>
        <v>82349.5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27018</v>
      </c>
      <c r="U81" s="309">
        <f>SUM(U18:U80)</f>
        <v>82349.5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988</v>
      </c>
      <c r="G82" s="318">
        <f>SUM(G19:G81)</f>
        <v>27018</v>
      </c>
      <c r="H82" s="308">
        <f>SUM(H19:H81)</f>
        <v>19578.25</v>
      </c>
      <c r="I82" s="309">
        <f>SUM(I19:I81)</f>
        <v>82349.5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35" priority="3" stopIfTrue="1">
      <formula>$V$9&gt;100%</formula>
    </cfRule>
    <cfRule type="expression" dxfId="134" priority="4">
      <formula>$V$9&lt;50%</formula>
    </cfRule>
  </conditionalFormatting>
  <conditionalFormatting sqref="W9:W10">
    <cfRule type="expression" dxfId="133" priority="1">
      <formula>$W$9&lt;50%</formula>
    </cfRule>
    <cfRule type="expression" dxfId="132" priority="2">
      <formula>$W$9&gt;50%</formula>
    </cfRule>
  </conditionalFormatting>
  <dataValidations count="6">
    <dataValidation type="list" allowBlank="1" showInputMessage="1" showErrorMessage="1" sqref="G2" xr:uid="{C799A7EC-C950-40C9-B7FC-E8AEA13A78A5}">
      <formula1>$Z$34:$Z$48</formula1>
    </dataValidation>
    <dataValidation type="list" allowBlank="1" showInputMessage="1" showErrorMessage="1" sqref="N18:N80" xr:uid="{92D1F0FC-3CAD-40D0-A2B8-C8958F7B80F9}">
      <formula1>$Z$31:$Z$32</formula1>
    </dataValidation>
    <dataValidation type="list" showInputMessage="1" showErrorMessage="1" sqref="E19:E81" xr:uid="{003F1D18-0012-467E-8EB1-4CB9144F0A89}">
      <formula1>$AA$18:$AA$29</formula1>
    </dataValidation>
    <dataValidation type="list" allowBlank="1" showInputMessage="1" showErrorMessage="1" sqref="J13" xr:uid="{51641A89-4EC8-402E-8AF8-4D64DF1DF38D}">
      <formula1>$L$9:$L$9</formula1>
    </dataValidation>
    <dataValidation type="list" allowBlank="1" showInputMessage="1" showErrorMessage="1" sqref="I13" xr:uid="{2D701CAA-31C1-4E5A-99E8-C57305E76CFB}">
      <formula1>$Z$13:$Z$14</formula1>
    </dataValidation>
    <dataValidation type="list" allowBlank="1" showInputMessage="1" showErrorMessage="1" sqref="G18 R14 R17 L17" xr:uid="{18BECF94-89D8-484F-BDBE-F4264C460728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D49809-D3F6-491C-AD52-8295EEF036A1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7F10-96EC-44B4-A091-F3C9A365622D}">
  <sheetPr>
    <pageSetUpPr fitToPage="1"/>
  </sheetPr>
  <dimension ref="A1:AC83"/>
  <sheetViews>
    <sheetView zoomScale="84" zoomScaleNormal="84" workbookViewId="0">
      <selection activeCell="G40" sqref="G40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58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82349.5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82349.5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7">
        <v>875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8750647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82349.5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 t="s">
        <v>292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82349.5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988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85</v>
      </c>
      <c r="M19" s="277">
        <f t="shared" si="2"/>
        <v>85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85</v>
      </c>
      <c r="U19" s="283">
        <f t="shared" si="5"/>
        <v>85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85</v>
      </c>
      <c r="H20" s="277">
        <f t="shared" si="8"/>
        <v>61.59</v>
      </c>
      <c r="I20" s="289">
        <f t="shared" si="9"/>
        <v>85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1</v>
      </c>
      <c r="L21" s="277">
        <f t="shared" si="1"/>
        <v>140</v>
      </c>
      <c r="M21" s="277">
        <f t="shared" si="2"/>
        <v>140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140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1</v>
      </c>
      <c r="G22" s="281">
        <v>140</v>
      </c>
      <c r="H22" s="277">
        <f t="shared" si="8"/>
        <v>101.45</v>
      </c>
      <c r="I22" s="289">
        <f t="shared" si="9"/>
        <v>140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395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0</v>
      </c>
      <c r="L25" s="277">
        <f t="shared" si="1"/>
        <v>0</v>
      </c>
      <c r="M25" s="277">
        <f t="shared" si="2"/>
        <v>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0</v>
      </c>
      <c r="U25" s="283">
        <f t="shared" si="5"/>
        <v>0</v>
      </c>
      <c r="V25" s="284">
        <f t="shared" si="6"/>
        <v>0</v>
      </c>
      <c r="W25" s="284">
        <f t="shared" si="7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/>
      <c r="C26" s="286"/>
      <c r="D26" s="271"/>
      <c r="E26" s="287"/>
      <c r="F26" s="288"/>
      <c r="G26" s="281"/>
      <c r="H26" s="277">
        <f t="shared" si="8"/>
        <v>0</v>
      </c>
      <c r="I26" s="289">
        <f t="shared" si="9"/>
        <v>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6</v>
      </c>
      <c r="L27" s="277">
        <f t="shared" si="1"/>
        <v>1300</v>
      </c>
      <c r="M27" s="277">
        <f t="shared" si="2"/>
        <v>7800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1300</v>
      </c>
      <c r="U27" s="283">
        <f t="shared" si="5"/>
        <v>7800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>
        <v>211953</v>
      </c>
      <c r="C28" s="286" t="s">
        <v>177</v>
      </c>
      <c r="D28" s="271" t="s">
        <v>19</v>
      </c>
      <c r="E28" s="287">
        <v>6000</v>
      </c>
      <c r="F28" s="288">
        <v>6</v>
      </c>
      <c r="G28" s="281">
        <v>1300</v>
      </c>
      <c r="H28" s="277">
        <f t="shared" si="8"/>
        <v>942.03</v>
      </c>
      <c r="I28" s="289">
        <f t="shared" si="9"/>
        <v>7800</v>
      </c>
      <c r="J28" s="275"/>
      <c r="K28" s="257">
        <f t="shared" si="0"/>
        <v>1</v>
      </c>
      <c r="L28" s="258">
        <f t="shared" si="1"/>
        <v>2000</v>
      </c>
      <c r="M28" s="258">
        <f t="shared" si="2"/>
        <v>2000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2000</v>
      </c>
      <c r="U28" s="264">
        <f t="shared" si="5"/>
        <v>2000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211978</v>
      </c>
      <c r="C29" s="292" t="s">
        <v>179</v>
      </c>
      <c r="D29" s="271" t="s">
        <v>30</v>
      </c>
      <c r="E29" s="293">
        <v>6000</v>
      </c>
      <c r="F29" s="273">
        <v>1</v>
      </c>
      <c r="G29" s="259">
        <v>2000</v>
      </c>
      <c r="H29" s="258">
        <f t="shared" si="8"/>
        <v>1449.28</v>
      </c>
      <c r="I29" s="274">
        <f t="shared" si="9"/>
        <v>2000</v>
      </c>
      <c r="J29" s="275"/>
      <c r="K29" s="276">
        <f t="shared" si="0"/>
        <v>1</v>
      </c>
      <c r="L29" s="277">
        <f t="shared" si="1"/>
        <v>65</v>
      </c>
      <c r="M29" s="277">
        <f t="shared" si="2"/>
        <v>65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65</v>
      </c>
      <c r="U29" s="283">
        <f t="shared" si="5"/>
        <v>65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291</v>
      </c>
      <c r="C30" s="286" t="s">
        <v>287</v>
      </c>
      <c r="D30" s="271" t="s">
        <v>28</v>
      </c>
      <c r="E30" s="287">
        <v>500</v>
      </c>
      <c r="F30" s="288">
        <v>1</v>
      </c>
      <c r="G30" s="281">
        <v>65</v>
      </c>
      <c r="H30" s="277">
        <f t="shared" si="8"/>
        <v>47.1</v>
      </c>
      <c r="I30" s="289">
        <f t="shared" si="9"/>
        <v>65</v>
      </c>
      <c r="J30" s="275"/>
      <c r="K30" s="257">
        <f t="shared" si="0"/>
        <v>2</v>
      </c>
      <c r="L30" s="258">
        <f t="shared" si="1"/>
        <v>1075</v>
      </c>
      <c r="M30" s="258">
        <f t="shared" si="2"/>
        <v>2150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1075</v>
      </c>
      <c r="U30" s="264">
        <f t="shared" si="5"/>
        <v>2150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 t="s">
        <v>278</v>
      </c>
      <c r="C31" s="292" t="s">
        <v>181</v>
      </c>
      <c r="D31" s="271" t="s">
        <v>49</v>
      </c>
      <c r="E31" s="293" t="s">
        <v>176</v>
      </c>
      <c r="F31" s="273">
        <v>2</v>
      </c>
      <c r="G31" s="259">
        <v>1075</v>
      </c>
      <c r="H31" s="258">
        <f t="shared" si="8"/>
        <v>778.99</v>
      </c>
      <c r="I31" s="274">
        <f t="shared" si="9"/>
        <v>2150</v>
      </c>
      <c r="J31" s="275"/>
      <c r="K31" s="276">
        <f t="shared" si="0"/>
        <v>48</v>
      </c>
      <c r="L31" s="277">
        <f t="shared" si="1"/>
        <v>11.5</v>
      </c>
      <c r="M31" s="277">
        <f t="shared" si="2"/>
        <v>552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11.5</v>
      </c>
      <c r="U31" s="283">
        <f t="shared" si="5"/>
        <v>552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268</v>
      </c>
      <c r="C32" s="286" t="s">
        <v>182</v>
      </c>
      <c r="D32" s="271" t="s">
        <v>50</v>
      </c>
      <c r="E32" s="287" t="s">
        <v>176</v>
      </c>
      <c r="F32" s="288">
        <v>48</v>
      </c>
      <c r="G32" s="281">
        <v>11.5</v>
      </c>
      <c r="H32" s="277">
        <f t="shared" si="8"/>
        <v>8.33</v>
      </c>
      <c r="I32" s="289">
        <f t="shared" si="9"/>
        <v>552</v>
      </c>
      <c r="J32" s="275"/>
      <c r="K32" s="257">
        <f t="shared" si="0"/>
        <v>48</v>
      </c>
      <c r="L32" s="258">
        <f t="shared" si="1"/>
        <v>13</v>
      </c>
      <c r="M32" s="258">
        <f t="shared" si="2"/>
        <v>624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13</v>
      </c>
      <c r="U32" s="264">
        <f t="shared" si="5"/>
        <v>624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269</v>
      </c>
      <c r="C33" s="292" t="s">
        <v>183</v>
      </c>
      <c r="D33" s="271" t="s">
        <v>50</v>
      </c>
      <c r="E33" s="293" t="s">
        <v>176</v>
      </c>
      <c r="F33" s="273">
        <v>48</v>
      </c>
      <c r="G33" s="259">
        <v>13</v>
      </c>
      <c r="H33" s="258">
        <f t="shared" si="8"/>
        <v>9.42</v>
      </c>
      <c r="I33" s="274">
        <f t="shared" si="9"/>
        <v>624</v>
      </c>
      <c r="J33" s="275"/>
      <c r="K33" s="276">
        <f t="shared" si="0"/>
        <v>2</v>
      </c>
      <c r="L33" s="277">
        <f t="shared" si="1"/>
        <v>1850</v>
      </c>
      <c r="M33" s="277">
        <f t="shared" si="2"/>
        <v>3700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1850</v>
      </c>
      <c r="U33" s="283">
        <f t="shared" si="5"/>
        <v>3700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288</v>
      </c>
      <c r="C34" s="286" t="s">
        <v>184</v>
      </c>
      <c r="D34" s="271" t="s">
        <v>47</v>
      </c>
      <c r="E34" s="287">
        <v>5000</v>
      </c>
      <c r="F34" s="288">
        <v>2</v>
      </c>
      <c r="G34" s="281">
        <v>1850</v>
      </c>
      <c r="H34" s="277">
        <f t="shared" si="8"/>
        <v>1340.58</v>
      </c>
      <c r="I34" s="289">
        <f t="shared" si="9"/>
        <v>3700</v>
      </c>
      <c r="J34" s="275"/>
      <c r="K34" s="257">
        <f t="shared" si="0"/>
        <v>8</v>
      </c>
      <c r="L34" s="258">
        <f t="shared" si="1"/>
        <v>675</v>
      </c>
      <c r="M34" s="258">
        <f t="shared" si="2"/>
        <v>5400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675</v>
      </c>
      <c r="U34" s="264">
        <f t="shared" si="5"/>
        <v>5400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 t="s">
        <v>270</v>
      </c>
      <c r="C35" s="292" t="s">
        <v>186</v>
      </c>
      <c r="D35" s="271" t="s">
        <v>43</v>
      </c>
      <c r="E35" s="293">
        <v>5000</v>
      </c>
      <c r="F35" s="273">
        <v>8</v>
      </c>
      <c r="G35" s="259">
        <v>675</v>
      </c>
      <c r="H35" s="258">
        <f t="shared" si="8"/>
        <v>489.13</v>
      </c>
      <c r="I35" s="274">
        <f t="shared" si="9"/>
        <v>5400</v>
      </c>
      <c r="J35" s="275"/>
      <c r="K35" s="276">
        <f t="shared" si="0"/>
        <v>10</v>
      </c>
      <c r="L35" s="277">
        <f t="shared" si="1"/>
        <v>650</v>
      </c>
      <c r="M35" s="277">
        <f t="shared" si="2"/>
        <v>6500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650</v>
      </c>
      <c r="U35" s="283">
        <f t="shared" si="5"/>
        <v>6500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271</v>
      </c>
      <c r="C36" s="286" t="s">
        <v>272</v>
      </c>
      <c r="D36" s="271" t="s">
        <v>43</v>
      </c>
      <c r="E36" s="287">
        <v>5000</v>
      </c>
      <c r="F36" s="288">
        <v>10</v>
      </c>
      <c r="G36" s="281">
        <v>650</v>
      </c>
      <c r="H36" s="277">
        <f t="shared" si="8"/>
        <v>471.01</v>
      </c>
      <c r="I36" s="289">
        <f t="shared" si="9"/>
        <v>6500</v>
      </c>
      <c r="J36" s="275"/>
      <c r="K36" s="257">
        <f t="shared" si="0"/>
        <v>2</v>
      </c>
      <c r="L36" s="258">
        <f t="shared" si="1"/>
        <v>9250</v>
      </c>
      <c r="M36" s="258">
        <f t="shared" si="2"/>
        <v>18500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9250</v>
      </c>
      <c r="U36" s="264">
        <f t="shared" si="5"/>
        <v>18500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>
        <v>98252</v>
      </c>
      <c r="C37" s="292" t="s">
        <v>190</v>
      </c>
      <c r="D37" s="271" t="s">
        <v>51</v>
      </c>
      <c r="E37" s="293">
        <v>5000</v>
      </c>
      <c r="F37" s="273">
        <v>2</v>
      </c>
      <c r="G37" s="259">
        <v>9250</v>
      </c>
      <c r="H37" s="258">
        <f t="shared" si="8"/>
        <v>6702.9</v>
      </c>
      <c r="I37" s="274">
        <f t="shared" si="9"/>
        <v>18500</v>
      </c>
      <c r="J37" s="275"/>
      <c r="K37" s="276">
        <f t="shared" si="0"/>
        <v>94</v>
      </c>
      <c r="L37" s="277">
        <f t="shared" si="1"/>
        <v>200</v>
      </c>
      <c r="M37" s="277">
        <f t="shared" si="2"/>
        <v>18800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200</v>
      </c>
      <c r="U37" s="283">
        <f t="shared" si="5"/>
        <v>18800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95746</v>
      </c>
      <c r="C38" s="286" t="s">
        <v>192</v>
      </c>
      <c r="D38" s="271" t="s">
        <v>53</v>
      </c>
      <c r="E38" s="287" t="s">
        <v>176</v>
      </c>
      <c r="F38" s="288">
        <v>94</v>
      </c>
      <c r="G38" s="281">
        <v>200</v>
      </c>
      <c r="H38" s="277">
        <f t="shared" si="8"/>
        <v>144.93</v>
      </c>
      <c r="I38" s="289">
        <f t="shared" si="9"/>
        <v>18800</v>
      </c>
      <c r="J38" s="275"/>
      <c r="K38" s="257">
        <f t="shared" si="0"/>
        <v>376</v>
      </c>
      <c r="L38" s="258">
        <f t="shared" si="1"/>
        <v>8.5</v>
      </c>
      <c r="M38" s="258">
        <f t="shared" si="2"/>
        <v>3196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8.5</v>
      </c>
      <c r="U38" s="264">
        <f t="shared" si="5"/>
        <v>3196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95748</v>
      </c>
      <c r="C39" s="292" t="s">
        <v>194</v>
      </c>
      <c r="D39" s="271" t="s">
        <v>54</v>
      </c>
      <c r="E39" s="293" t="s">
        <v>176</v>
      </c>
      <c r="F39" s="273">
        <v>376</v>
      </c>
      <c r="G39" s="259">
        <v>8.5</v>
      </c>
      <c r="H39" s="258">
        <f t="shared" si="8"/>
        <v>6.16</v>
      </c>
      <c r="I39" s="274">
        <f t="shared" si="9"/>
        <v>3196</v>
      </c>
      <c r="J39" s="275"/>
      <c r="K39" s="276">
        <f t="shared" si="0"/>
        <v>376</v>
      </c>
      <c r="L39" s="277">
        <f t="shared" si="1"/>
        <v>7.5</v>
      </c>
      <c r="M39" s="277">
        <f t="shared" si="2"/>
        <v>2820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7.5</v>
      </c>
      <c r="U39" s="283">
        <f t="shared" si="5"/>
        <v>2820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95747</v>
      </c>
      <c r="C40" s="286" t="s">
        <v>195</v>
      </c>
      <c r="D40" s="271" t="s">
        <v>54</v>
      </c>
      <c r="E40" s="287" t="s">
        <v>176</v>
      </c>
      <c r="F40" s="288">
        <v>376</v>
      </c>
      <c r="G40" s="281">
        <v>7.5</v>
      </c>
      <c r="H40" s="277">
        <f t="shared" si="8"/>
        <v>5.43</v>
      </c>
      <c r="I40" s="289">
        <f t="shared" si="9"/>
        <v>2820</v>
      </c>
      <c r="J40" s="275"/>
      <c r="K40" s="257">
        <f t="shared" si="0"/>
        <v>0</v>
      </c>
      <c r="L40" s="258">
        <f t="shared" si="1"/>
        <v>0</v>
      </c>
      <c r="M40" s="258">
        <f t="shared" si="2"/>
        <v>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0</v>
      </c>
      <c r="U40" s="264">
        <f t="shared" si="5"/>
        <v>0</v>
      </c>
      <c r="V40" s="265">
        <f t="shared" si="6"/>
        <v>0</v>
      </c>
      <c r="W40" s="265">
        <f t="shared" si="7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/>
      <c r="C41" s="292"/>
      <c r="D41" s="271"/>
      <c r="E41" s="293"/>
      <c r="F41" s="273"/>
      <c r="G41" s="259"/>
      <c r="H41" s="258">
        <f t="shared" si="8"/>
        <v>0</v>
      </c>
      <c r="I41" s="274">
        <f t="shared" si="9"/>
        <v>0</v>
      </c>
      <c r="J41" s="275"/>
      <c r="K41" s="276">
        <f t="shared" si="0"/>
        <v>1</v>
      </c>
      <c r="L41" s="277">
        <f t="shared" si="1"/>
        <v>1100</v>
      </c>
      <c r="M41" s="277">
        <f t="shared" si="2"/>
        <v>1100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1100</v>
      </c>
      <c r="U41" s="283">
        <f t="shared" si="5"/>
        <v>1100</v>
      </c>
      <c r="V41" s="284">
        <f t="shared" si="6"/>
        <v>0</v>
      </c>
      <c r="W41" s="284">
        <f t="shared" si="7"/>
        <v>1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 t="s">
        <v>289</v>
      </c>
      <c r="C42" s="286" t="s">
        <v>197</v>
      </c>
      <c r="D42" s="271" t="s">
        <v>22</v>
      </c>
      <c r="E42" s="287" t="s">
        <v>176</v>
      </c>
      <c r="F42" s="288">
        <v>1</v>
      </c>
      <c r="G42" s="281">
        <v>1100</v>
      </c>
      <c r="H42" s="277">
        <f t="shared" si="8"/>
        <v>797.1</v>
      </c>
      <c r="I42" s="289">
        <f t="shared" si="9"/>
        <v>1100</v>
      </c>
      <c r="J42" s="275"/>
      <c r="K42" s="257">
        <f t="shared" si="0"/>
        <v>1</v>
      </c>
      <c r="L42" s="258">
        <f t="shared" si="1"/>
        <v>675</v>
      </c>
      <c r="M42" s="258">
        <f t="shared" si="2"/>
        <v>675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675</v>
      </c>
      <c r="U42" s="264">
        <f t="shared" si="5"/>
        <v>675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>
        <v>213465</v>
      </c>
      <c r="C43" s="292" t="s">
        <v>200</v>
      </c>
      <c r="D43" s="271" t="s">
        <v>18</v>
      </c>
      <c r="E43" s="293" t="s">
        <v>176</v>
      </c>
      <c r="F43" s="273">
        <v>1</v>
      </c>
      <c r="G43" s="259">
        <v>675</v>
      </c>
      <c r="H43" s="258">
        <f t="shared" si="8"/>
        <v>489.13</v>
      </c>
      <c r="I43" s="274">
        <f t="shared" si="9"/>
        <v>675</v>
      </c>
      <c r="J43" s="275"/>
      <c r="K43" s="276">
        <f t="shared" si="0"/>
        <v>1</v>
      </c>
      <c r="L43" s="277">
        <f t="shared" si="1"/>
        <v>975</v>
      </c>
      <c r="M43" s="277">
        <f t="shared" si="2"/>
        <v>975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975</v>
      </c>
      <c r="U43" s="283">
        <f t="shared" si="5"/>
        <v>975</v>
      </c>
      <c r="V43" s="284">
        <f t="shared" si="6"/>
        <v>0</v>
      </c>
      <c r="W43" s="284">
        <f t="shared" si="7"/>
        <v>1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 t="s">
        <v>290</v>
      </c>
      <c r="C44" s="286" t="s">
        <v>201</v>
      </c>
      <c r="D44" s="271" t="s">
        <v>13</v>
      </c>
      <c r="E44" s="287" t="s">
        <v>176</v>
      </c>
      <c r="F44" s="288">
        <v>1</v>
      </c>
      <c r="G44" s="281">
        <v>975</v>
      </c>
      <c r="H44" s="277">
        <f t="shared" si="8"/>
        <v>706.52</v>
      </c>
      <c r="I44" s="289">
        <f t="shared" si="9"/>
        <v>975</v>
      </c>
      <c r="J44" s="275"/>
      <c r="K44" s="257">
        <f t="shared" si="0"/>
        <v>1</v>
      </c>
      <c r="L44" s="258">
        <f t="shared" si="1"/>
        <v>1850</v>
      </c>
      <c r="M44" s="258">
        <f t="shared" si="2"/>
        <v>1850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1850</v>
      </c>
      <c r="U44" s="264">
        <f t="shared" si="5"/>
        <v>1850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211971</v>
      </c>
      <c r="C45" s="292" t="s">
        <v>224</v>
      </c>
      <c r="D45" s="271" t="s">
        <v>15</v>
      </c>
      <c r="E45" s="293" t="s">
        <v>176</v>
      </c>
      <c r="F45" s="273">
        <v>1</v>
      </c>
      <c r="G45" s="259">
        <v>1850</v>
      </c>
      <c r="H45" s="258">
        <f t="shared" si="8"/>
        <v>1340.58</v>
      </c>
      <c r="I45" s="274">
        <f t="shared" si="9"/>
        <v>1850</v>
      </c>
      <c r="J45" s="275"/>
      <c r="K45" s="276">
        <f t="shared" si="0"/>
        <v>1</v>
      </c>
      <c r="L45" s="277">
        <f t="shared" si="1"/>
        <v>4250</v>
      </c>
      <c r="M45" s="277">
        <f t="shared" si="2"/>
        <v>4250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4250</v>
      </c>
      <c r="U45" s="283">
        <f t="shared" si="5"/>
        <v>4250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>
        <v>213737</v>
      </c>
      <c r="C46" s="286" t="s">
        <v>254</v>
      </c>
      <c r="D46" s="271" t="s">
        <v>16</v>
      </c>
      <c r="E46" s="287" t="s">
        <v>176</v>
      </c>
      <c r="F46" s="288">
        <v>1</v>
      </c>
      <c r="G46" s="281">
        <v>4250</v>
      </c>
      <c r="H46" s="277">
        <f t="shared" si="8"/>
        <v>3079.71</v>
      </c>
      <c r="I46" s="289">
        <f t="shared" si="9"/>
        <v>4250</v>
      </c>
      <c r="J46" s="275"/>
      <c r="K46" s="257">
        <f t="shared" si="0"/>
        <v>0</v>
      </c>
      <c r="L46" s="258">
        <f t="shared" si="1"/>
        <v>0</v>
      </c>
      <c r="M46" s="258">
        <f t="shared" si="2"/>
        <v>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0</v>
      </c>
      <c r="U46" s="264">
        <f t="shared" si="5"/>
        <v>0</v>
      </c>
      <c r="V46" s="265">
        <f t="shared" si="6"/>
        <v>0</v>
      </c>
      <c r="W46" s="265">
        <f t="shared" si="7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/>
      <c r="C47" s="292"/>
      <c r="D47" s="271"/>
      <c r="E47" s="293"/>
      <c r="F47" s="273"/>
      <c r="G47" s="259"/>
      <c r="H47" s="258">
        <f t="shared" si="8"/>
        <v>0</v>
      </c>
      <c r="I47" s="274">
        <f t="shared" si="9"/>
        <v>0</v>
      </c>
      <c r="J47" s="275"/>
      <c r="K47" s="276">
        <f t="shared" si="0"/>
        <v>0</v>
      </c>
      <c r="L47" s="277">
        <f t="shared" si="1"/>
        <v>0</v>
      </c>
      <c r="M47" s="277">
        <f t="shared" si="2"/>
        <v>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0</v>
      </c>
      <c r="U47" s="283">
        <f t="shared" si="5"/>
        <v>0</v>
      </c>
      <c r="V47" s="284">
        <f t="shared" si="6"/>
        <v>0</v>
      </c>
      <c r="W47" s="284">
        <f t="shared" si="7"/>
        <v>0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/>
      <c r="C48" s="181"/>
      <c r="D48" s="271"/>
      <c r="E48" s="287"/>
      <c r="F48" s="288"/>
      <c r="G48" s="281"/>
      <c r="H48" s="277">
        <f t="shared" si="8"/>
        <v>0</v>
      </c>
      <c r="I48" s="289">
        <f t="shared" si="9"/>
        <v>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988</v>
      </c>
      <c r="L81" s="308">
        <f>SUM(L18:L80)</f>
        <v>27018</v>
      </c>
      <c r="M81" s="309">
        <f>SUM(M18:M80)</f>
        <v>82349.5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27018</v>
      </c>
      <c r="U81" s="309">
        <f>SUM(U18:U80)</f>
        <v>82349.5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988</v>
      </c>
      <c r="G82" s="318">
        <f>SUM(G19:G81)</f>
        <v>27018</v>
      </c>
      <c r="H82" s="308">
        <f>SUM(H19:H81)</f>
        <v>19578.25</v>
      </c>
      <c r="I82" s="309">
        <f>SUM(I19:I81)</f>
        <v>82349.5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31" priority="3" stopIfTrue="1">
      <formula>$V$9&gt;100%</formula>
    </cfRule>
    <cfRule type="expression" dxfId="130" priority="4">
      <formula>$V$9&lt;50%</formula>
    </cfRule>
  </conditionalFormatting>
  <conditionalFormatting sqref="W9:W10">
    <cfRule type="expression" dxfId="129" priority="1">
      <formula>$W$9&lt;50%</formula>
    </cfRule>
    <cfRule type="expression" dxfId="128" priority="2">
      <formula>$W$9&gt;50%</formula>
    </cfRule>
  </conditionalFormatting>
  <dataValidations count="6">
    <dataValidation type="list" allowBlank="1" showInputMessage="1" showErrorMessage="1" sqref="G18 R14 R17 L17" xr:uid="{F87ED6E7-97AB-4AE9-BD3C-EAB6048EDB55}">
      <formula1>$Z$11:$Z$12</formula1>
    </dataValidation>
    <dataValidation type="list" allowBlank="1" showInputMessage="1" showErrorMessage="1" sqref="I13" xr:uid="{B2D6A5D0-CCCF-4517-9E48-7C16ACBC36E0}">
      <formula1>$Z$13:$Z$14</formula1>
    </dataValidation>
    <dataValidation type="list" allowBlank="1" showInputMessage="1" showErrorMessage="1" sqref="J13" xr:uid="{622A845D-72C4-4975-AF46-9616515BEA69}">
      <formula1>$L$9:$L$9</formula1>
    </dataValidation>
    <dataValidation type="list" showInputMessage="1" showErrorMessage="1" sqref="E19:E81" xr:uid="{62378987-D732-447B-AF5D-3EBAA246AE3B}">
      <formula1>$AA$18:$AA$29</formula1>
    </dataValidation>
    <dataValidation type="list" allowBlank="1" showInputMessage="1" showErrorMessage="1" sqref="N18:N80" xr:uid="{46B40CED-4184-490B-94EA-A0F4CB515653}">
      <formula1>$Z$31:$Z$32</formula1>
    </dataValidation>
    <dataValidation type="list" allowBlank="1" showInputMessage="1" showErrorMessage="1" sqref="G2" xr:uid="{0812FC1A-3B13-422C-9630-2922E583BE22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0C07B1-CCFB-4978-8E9F-7998485FD5C9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FADD-C067-4100-9740-1492C77D7B0E}">
  <sheetPr>
    <pageSetUpPr fitToPage="1"/>
  </sheetPr>
  <dimension ref="A1:AC83"/>
  <sheetViews>
    <sheetView zoomScale="84" zoomScaleNormal="84" workbookViewId="0">
      <selection activeCell="D50" sqref="D50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88661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88661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293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8801538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88661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88661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100859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100860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90019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1</v>
      </c>
      <c r="L26" s="258">
        <f t="shared" si="1"/>
        <v>330</v>
      </c>
      <c r="M26" s="258">
        <f t="shared" si="2"/>
        <v>330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330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1</v>
      </c>
      <c r="G27" s="259">
        <v>330</v>
      </c>
      <c r="H27" s="258">
        <f t="shared" si="8"/>
        <v>239.13</v>
      </c>
      <c r="I27" s="274">
        <f t="shared" si="9"/>
        <v>330</v>
      </c>
      <c r="J27" s="275"/>
      <c r="K27" s="276">
        <f t="shared" si="0"/>
        <v>1</v>
      </c>
      <c r="L27" s="277">
        <f t="shared" si="1"/>
        <v>2150</v>
      </c>
      <c r="M27" s="277">
        <f t="shared" si="2"/>
        <v>2150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2150</v>
      </c>
      <c r="U27" s="283">
        <f t="shared" si="5"/>
        <v>2150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281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2150</v>
      </c>
      <c r="H28" s="277">
        <f t="shared" si="8"/>
        <v>1557.97</v>
      </c>
      <c r="I28" s="289">
        <f t="shared" si="9"/>
        <v>2150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100</v>
      </c>
      <c r="L38" s="258">
        <f t="shared" si="1"/>
        <v>200</v>
      </c>
      <c r="M38" s="258">
        <f t="shared" si="2"/>
        <v>20000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20000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95745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200</v>
      </c>
      <c r="H39" s="258">
        <f t="shared" si="8"/>
        <v>144.93</v>
      </c>
      <c r="I39" s="274">
        <f t="shared" si="9"/>
        <v>20000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7.5</v>
      </c>
      <c r="M40" s="258">
        <f t="shared" si="2"/>
        <v>3000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3000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7.5</v>
      </c>
      <c r="H41" s="258">
        <f t="shared" si="8"/>
        <v>5.43</v>
      </c>
      <c r="I41" s="274">
        <f t="shared" si="9"/>
        <v>3000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31765.5</v>
      </c>
      <c r="M81" s="309">
        <f>SUM(M18:M80)</f>
        <v>88661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31765.5</v>
      </c>
      <c r="U81" s="309">
        <f>SUM(U18:U80)</f>
        <v>88661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31765.5</v>
      </c>
      <c r="H82" s="308">
        <f>SUM(H19:H81)</f>
        <v>23018.47</v>
      </c>
      <c r="I82" s="309">
        <f>SUM(I19:I81)</f>
        <v>88661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27" priority="3" stopIfTrue="1">
      <formula>$V$9&gt;100%</formula>
    </cfRule>
    <cfRule type="expression" dxfId="126" priority="4">
      <formula>$V$9&lt;50%</formula>
    </cfRule>
  </conditionalFormatting>
  <conditionalFormatting sqref="W9:W10">
    <cfRule type="expression" dxfId="125" priority="1">
      <formula>$W$9&lt;50%</formula>
    </cfRule>
    <cfRule type="expression" dxfId="124" priority="2">
      <formula>$W$9&gt;50%</formula>
    </cfRule>
  </conditionalFormatting>
  <dataValidations count="6">
    <dataValidation type="list" allowBlank="1" showInputMessage="1" showErrorMessage="1" sqref="G18 R14 R17 L17" xr:uid="{B7C47506-2C70-4167-88EC-20519C85DB99}">
      <formula1>$Z$11:$Z$12</formula1>
    </dataValidation>
    <dataValidation type="list" allowBlank="1" showInputMessage="1" showErrorMessage="1" sqref="I13" xr:uid="{99647195-9436-418C-8DD3-84A137EAF009}">
      <formula1>$Z$13:$Z$14</formula1>
    </dataValidation>
    <dataValidation type="list" allowBlank="1" showInputMessage="1" showErrorMessage="1" sqref="J13" xr:uid="{46BC0E99-8B8C-43E3-B006-C5729BC1F95C}">
      <formula1>$L$9:$L$9</formula1>
    </dataValidation>
    <dataValidation type="list" showInputMessage="1" showErrorMessage="1" sqref="E19:E81" xr:uid="{411B2C44-6CC6-406E-82CF-FF6F86F2ABA2}">
      <formula1>$AA$18:$AA$29</formula1>
    </dataValidation>
    <dataValidation type="list" allowBlank="1" showInputMessage="1" showErrorMessage="1" sqref="N18:N80" xr:uid="{2AE6F46D-31CD-42FC-91E9-C3E8D7C6BD0B}">
      <formula1>$Z$31:$Z$32</formula1>
    </dataValidation>
    <dataValidation type="list" allowBlank="1" showInputMessage="1" showErrorMessage="1" sqref="G2" xr:uid="{6021EA9A-CB1A-4579-AF8A-381CF10C3B51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DF5B10-DA16-49B3-AA00-51A166C45165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2CF7-E847-4490-973E-DBA1D334FBA9}">
  <sheetPr>
    <pageSetUpPr fitToPage="1"/>
  </sheetPr>
  <dimension ref="A1:AC83"/>
  <sheetViews>
    <sheetView topLeftCell="A15" zoomScale="84" zoomScaleNormal="84" workbookViewId="0">
      <selection activeCell="B45" sqref="B45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88156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88156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8800597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397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88156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8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88156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95</v>
      </c>
      <c r="M23" s="277">
        <f t="shared" si="2"/>
        <v>95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95</v>
      </c>
      <c r="U23" s="283">
        <f t="shared" si="5"/>
        <v>95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95</v>
      </c>
      <c r="H24" s="277">
        <f t="shared" si="8"/>
        <v>68.84</v>
      </c>
      <c r="I24" s="289">
        <f t="shared" si="9"/>
        <v>95</v>
      </c>
      <c r="J24" s="275"/>
      <c r="K24" s="257">
        <f t="shared" si="0"/>
        <v>1</v>
      </c>
      <c r="L24" s="258">
        <f t="shared" si="1"/>
        <v>65</v>
      </c>
      <c r="M24" s="258">
        <f t="shared" si="2"/>
        <v>65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65</v>
      </c>
      <c r="U24" s="264">
        <f t="shared" si="5"/>
        <v>65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65</v>
      </c>
      <c r="H25" s="258">
        <f t="shared" si="8"/>
        <v>47.1</v>
      </c>
      <c r="I25" s="274">
        <f t="shared" si="9"/>
        <v>65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90019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1</v>
      </c>
      <c r="L26" s="258">
        <f t="shared" si="1"/>
        <v>330</v>
      </c>
      <c r="M26" s="258">
        <f t="shared" si="2"/>
        <v>330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330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1</v>
      </c>
      <c r="G27" s="259">
        <v>330</v>
      </c>
      <c r="H27" s="258">
        <f t="shared" si="8"/>
        <v>239.13</v>
      </c>
      <c r="I27" s="274">
        <f t="shared" si="9"/>
        <v>330</v>
      </c>
      <c r="J27" s="275"/>
      <c r="K27" s="276">
        <f t="shared" si="0"/>
        <v>1</v>
      </c>
      <c r="L27" s="277">
        <f t="shared" si="1"/>
        <v>1700</v>
      </c>
      <c r="M27" s="277">
        <f t="shared" si="2"/>
        <v>1700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1700</v>
      </c>
      <c r="U27" s="283">
        <f t="shared" si="5"/>
        <v>1700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277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1700</v>
      </c>
      <c r="H28" s="277">
        <f t="shared" si="8"/>
        <v>1231.8800000000001</v>
      </c>
      <c r="I28" s="289">
        <f t="shared" si="9"/>
        <v>1700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100</v>
      </c>
      <c r="L38" s="258">
        <f t="shared" si="1"/>
        <v>200</v>
      </c>
      <c r="M38" s="258">
        <f t="shared" si="2"/>
        <v>20000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20000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95745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200</v>
      </c>
      <c r="H39" s="258">
        <f t="shared" si="8"/>
        <v>144.93</v>
      </c>
      <c r="I39" s="274">
        <f t="shared" si="9"/>
        <v>20000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7.5</v>
      </c>
      <c r="M40" s="258">
        <f t="shared" si="2"/>
        <v>3000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3000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7.5</v>
      </c>
      <c r="H41" s="258">
        <f t="shared" si="8"/>
        <v>5.43</v>
      </c>
      <c r="I41" s="274">
        <f t="shared" si="9"/>
        <v>3000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31260.5</v>
      </c>
      <c r="M81" s="309">
        <f>SUM(M18:M80)</f>
        <v>88156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31260.5</v>
      </c>
      <c r="U81" s="309">
        <f>SUM(U18:U80)</f>
        <v>88156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31260.5</v>
      </c>
      <c r="H82" s="308">
        <f>SUM(H19:H81)</f>
        <v>22652.53</v>
      </c>
      <c r="I82" s="309">
        <f>SUM(I19:I81)</f>
        <v>88156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23" priority="3" stopIfTrue="1">
      <formula>$V$9&gt;100%</formula>
    </cfRule>
    <cfRule type="expression" dxfId="122" priority="4">
      <formula>$V$9&lt;50%</formula>
    </cfRule>
  </conditionalFormatting>
  <conditionalFormatting sqref="W9:W10">
    <cfRule type="expression" dxfId="121" priority="1">
      <formula>$W$9&lt;50%</formula>
    </cfRule>
    <cfRule type="expression" dxfId="120" priority="2">
      <formula>$W$9&gt;50%</formula>
    </cfRule>
  </conditionalFormatting>
  <dataValidations count="6">
    <dataValidation type="list" allowBlank="1" showInputMessage="1" showErrorMessage="1" sqref="G18 R14 R17 L17" xr:uid="{085BD24D-4864-45D4-805C-60C1E7EA9E90}">
      <formula1>$Z$11:$Z$12</formula1>
    </dataValidation>
    <dataValidation type="list" allowBlank="1" showInputMessage="1" showErrorMessage="1" sqref="I13" xr:uid="{FE79A75B-72F6-4988-8184-96C5788658F0}">
      <formula1>$Z$13:$Z$14</formula1>
    </dataValidation>
    <dataValidation type="list" allowBlank="1" showInputMessage="1" showErrorMessage="1" sqref="J13" xr:uid="{F584D1B6-D6EF-43B0-81DB-655A4A750531}">
      <formula1>$L$9:$L$9</formula1>
    </dataValidation>
    <dataValidation type="list" showInputMessage="1" showErrorMessage="1" sqref="E19:E81" xr:uid="{4EDD97FF-DE2D-4D2E-8B53-8A9710D8A4EA}">
      <formula1>$AA$18:$AA$29</formula1>
    </dataValidation>
    <dataValidation type="list" allowBlank="1" showInputMessage="1" showErrorMessage="1" sqref="N18:N80" xr:uid="{EEBB9B0D-699C-4D2C-BCC5-6C38FF783DD3}">
      <formula1>$Z$31:$Z$32</formula1>
    </dataValidation>
    <dataValidation type="list" allowBlank="1" showInputMessage="1" showErrorMessage="1" sqref="G2" xr:uid="{A4476690-6E62-436E-8ECC-566E19081336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5BD617-2708-45E2-87FD-E4E37F2BCB1F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808C-BDDA-4741-9E21-DF9DA480B1FC}">
  <sheetPr>
    <pageSetUpPr fitToPage="1"/>
  </sheetPr>
  <dimension ref="A1:AC83"/>
  <sheetViews>
    <sheetView topLeftCell="A25" zoomScale="84" zoomScaleNormal="84" workbookViewId="0">
      <selection activeCell="B45" sqref="B45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88156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88156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8800616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397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88156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8">
        <v>605315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88156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95</v>
      </c>
      <c r="M23" s="277">
        <f t="shared" si="2"/>
        <v>95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95</v>
      </c>
      <c r="U23" s="283">
        <f t="shared" si="5"/>
        <v>95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95</v>
      </c>
      <c r="H24" s="277">
        <f t="shared" si="8"/>
        <v>68.84</v>
      </c>
      <c r="I24" s="289">
        <f t="shared" si="9"/>
        <v>95</v>
      </c>
      <c r="J24" s="275"/>
      <c r="K24" s="257">
        <f t="shared" si="0"/>
        <v>1</v>
      </c>
      <c r="L24" s="258">
        <f t="shared" si="1"/>
        <v>65</v>
      </c>
      <c r="M24" s="258">
        <f t="shared" si="2"/>
        <v>65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65</v>
      </c>
      <c r="U24" s="264">
        <f t="shared" si="5"/>
        <v>65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65</v>
      </c>
      <c r="H25" s="258">
        <f t="shared" si="8"/>
        <v>47.1</v>
      </c>
      <c r="I25" s="274">
        <f t="shared" si="9"/>
        <v>65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90019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1</v>
      </c>
      <c r="L26" s="258">
        <f t="shared" si="1"/>
        <v>330</v>
      </c>
      <c r="M26" s="258">
        <f t="shared" si="2"/>
        <v>330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330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1</v>
      </c>
      <c r="G27" s="259">
        <v>330</v>
      </c>
      <c r="H27" s="258">
        <f t="shared" si="8"/>
        <v>239.13</v>
      </c>
      <c r="I27" s="274">
        <f t="shared" si="9"/>
        <v>330</v>
      </c>
      <c r="J27" s="275"/>
      <c r="K27" s="276">
        <f t="shared" si="0"/>
        <v>1</v>
      </c>
      <c r="L27" s="277">
        <f t="shared" si="1"/>
        <v>1700</v>
      </c>
      <c r="M27" s="277">
        <f t="shared" si="2"/>
        <v>1700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1700</v>
      </c>
      <c r="U27" s="283">
        <f t="shared" si="5"/>
        <v>1700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277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1700</v>
      </c>
      <c r="H28" s="277">
        <f t="shared" si="8"/>
        <v>1231.8800000000001</v>
      </c>
      <c r="I28" s="289">
        <f t="shared" si="9"/>
        <v>1700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100</v>
      </c>
      <c r="L38" s="258">
        <f t="shared" si="1"/>
        <v>200</v>
      </c>
      <c r="M38" s="258">
        <f t="shared" si="2"/>
        <v>20000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20000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95745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200</v>
      </c>
      <c r="H39" s="258">
        <f t="shared" si="8"/>
        <v>144.93</v>
      </c>
      <c r="I39" s="274">
        <f t="shared" si="9"/>
        <v>20000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7.5</v>
      </c>
      <c r="M40" s="258">
        <f t="shared" si="2"/>
        <v>3000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3000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7.5</v>
      </c>
      <c r="H41" s="258">
        <f t="shared" si="8"/>
        <v>5.43</v>
      </c>
      <c r="I41" s="274">
        <f t="shared" si="9"/>
        <v>3000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31260.5</v>
      </c>
      <c r="M81" s="309">
        <f>SUM(M18:M80)</f>
        <v>88156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31260.5</v>
      </c>
      <c r="U81" s="309">
        <f>SUM(U18:U80)</f>
        <v>88156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31260.5</v>
      </c>
      <c r="H82" s="308">
        <f>SUM(H19:H81)</f>
        <v>22652.53</v>
      </c>
      <c r="I82" s="309">
        <f>SUM(I19:I81)</f>
        <v>88156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19" priority="3" stopIfTrue="1">
      <formula>$V$9&gt;100%</formula>
    </cfRule>
    <cfRule type="expression" dxfId="118" priority="4">
      <formula>$V$9&lt;50%</formula>
    </cfRule>
  </conditionalFormatting>
  <conditionalFormatting sqref="W9:W10">
    <cfRule type="expression" dxfId="117" priority="1">
      <formula>$W$9&lt;50%</formula>
    </cfRule>
    <cfRule type="expression" dxfId="116" priority="2">
      <formula>$W$9&gt;50%</formula>
    </cfRule>
  </conditionalFormatting>
  <dataValidations count="6">
    <dataValidation type="list" allowBlank="1" showInputMessage="1" showErrorMessage="1" sqref="G2" xr:uid="{3D512EF3-7FDF-4673-B2BB-E7DCBA1C4209}">
      <formula1>$Z$34:$Z$48</formula1>
    </dataValidation>
    <dataValidation type="list" allowBlank="1" showInputMessage="1" showErrorMessage="1" sqref="N18:N80" xr:uid="{0E15ABBC-1A97-453C-99CE-D364FDC37E85}">
      <formula1>$Z$31:$Z$32</formula1>
    </dataValidation>
    <dataValidation type="list" showInputMessage="1" showErrorMessage="1" sqref="E19:E81" xr:uid="{25FCD17E-545F-4608-B37F-812CAFA8D3B9}">
      <formula1>$AA$18:$AA$29</formula1>
    </dataValidation>
    <dataValidation type="list" allowBlank="1" showInputMessage="1" showErrorMessage="1" sqref="J13" xr:uid="{475BBE6E-EAFA-49FB-BB62-D7A6D557D330}">
      <formula1>$L$9:$L$9</formula1>
    </dataValidation>
    <dataValidation type="list" allowBlank="1" showInputMessage="1" showErrorMessage="1" sqref="I13" xr:uid="{919D811A-348F-4BF9-81BC-EB5966C0F437}">
      <formula1>$Z$13:$Z$14</formula1>
    </dataValidation>
    <dataValidation type="list" allowBlank="1" showInputMessage="1" showErrorMessage="1" sqref="G18 R14 R17 L17" xr:uid="{380D3AB0-CFDE-4A73-A14B-EF05FDE980D2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AC572-FD64-4F6C-83D0-D971BDF12D62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ACA9-8E89-4010-B8C0-22EABD870681}">
  <sheetPr>
    <pageSetUpPr fitToPage="1"/>
  </sheetPr>
  <dimension ref="A1:AC83"/>
  <sheetViews>
    <sheetView topLeftCell="A11" zoomScale="84" zoomScaleNormal="84" workbookViewId="0">
      <selection activeCell="B45" sqref="B45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88156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88156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295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8800608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397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88156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8">
        <v>605737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88156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95</v>
      </c>
      <c r="M23" s="277">
        <f t="shared" si="2"/>
        <v>95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95</v>
      </c>
      <c r="U23" s="283">
        <f t="shared" si="5"/>
        <v>95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95</v>
      </c>
      <c r="H24" s="277">
        <f t="shared" si="8"/>
        <v>68.84</v>
      </c>
      <c r="I24" s="289">
        <f t="shared" si="9"/>
        <v>95</v>
      </c>
      <c r="J24" s="275"/>
      <c r="K24" s="257">
        <f t="shared" si="0"/>
        <v>1</v>
      </c>
      <c r="L24" s="258">
        <f t="shared" si="1"/>
        <v>65</v>
      </c>
      <c r="M24" s="258">
        <f t="shared" si="2"/>
        <v>65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65</v>
      </c>
      <c r="U24" s="264">
        <f t="shared" si="5"/>
        <v>65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65</v>
      </c>
      <c r="H25" s="258">
        <f t="shared" si="8"/>
        <v>47.1</v>
      </c>
      <c r="I25" s="274">
        <f t="shared" si="9"/>
        <v>65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90019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1</v>
      </c>
      <c r="L26" s="258">
        <f t="shared" si="1"/>
        <v>330</v>
      </c>
      <c r="M26" s="258">
        <f t="shared" si="2"/>
        <v>330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330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1</v>
      </c>
      <c r="G27" s="259">
        <v>330</v>
      </c>
      <c r="H27" s="258">
        <f t="shared" si="8"/>
        <v>239.13</v>
      </c>
      <c r="I27" s="274">
        <f t="shared" si="9"/>
        <v>330</v>
      </c>
      <c r="J27" s="275"/>
      <c r="K27" s="276">
        <f t="shared" si="0"/>
        <v>1</v>
      </c>
      <c r="L27" s="277">
        <f t="shared" si="1"/>
        <v>1700</v>
      </c>
      <c r="M27" s="277">
        <f t="shared" si="2"/>
        <v>1700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1700</v>
      </c>
      <c r="U27" s="283">
        <f t="shared" si="5"/>
        <v>1700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277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1700</v>
      </c>
      <c r="H28" s="277">
        <f t="shared" si="8"/>
        <v>1231.8800000000001</v>
      </c>
      <c r="I28" s="289">
        <f t="shared" si="9"/>
        <v>1700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100</v>
      </c>
      <c r="L38" s="258">
        <f t="shared" si="1"/>
        <v>200</v>
      </c>
      <c r="M38" s="258">
        <f t="shared" si="2"/>
        <v>20000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20000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95745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200</v>
      </c>
      <c r="H39" s="258">
        <f t="shared" si="8"/>
        <v>144.93</v>
      </c>
      <c r="I39" s="274">
        <f t="shared" si="9"/>
        <v>20000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7.5</v>
      </c>
      <c r="M40" s="258">
        <f t="shared" si="2"/>
        <v>3000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3000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7.5</v>
      </c>
      <c r="H41" s="258">
        <f t="shared" si="8"/>
        <v>5.43</v>
      </c>
      <c r="I41" s="274">
        <f t="shared" si="9"/>
        <v>3000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31260.5</v>
      </c>
      <c r="M81" s="309">
        <f>SUM(M18:M80)</f>
        <v>88156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31260.5</v>
      </c>
      <c r="U81" s="309">
        <f>SUM(U18:U80)</f>
        <v>88156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31260.5</v>
      </c>
      <c r="H82" s="308">
        <f>SUM(H19:H81)</f>
        <v>22652.53</v>
      </c>
      <c r="I82" s="309">
        <f>SUM(I19:I81)</f>
        <v>88156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15" priority="3" stopIfTrue="1">
      <formula>$V$9&gt;100%</formula>
    </cfRule>
    <cfRule type="expression" dxfId="114" priority="4">
      <formula>$V$9&lt;50%</formula>
    </cfRule>
  </conditionalFormatting>
  <conditionalFormatting sqref="W9:W10">
    <cfRule type="expression" dxfId="113" priority="1">
      <formula>$W$9&lt;50%</formula>
    </cfRule>
    <cfRule type="expression" dxfId="112" priority="2">
      <formula>$W$9&gt;50%</formula>
    </cfRule>
  </conditionalFormatting>
  <dataValidations count="6">
    <dataValidation type="list" allowBlank="1" showInputMessage="1" showErrorMessage="1" sqref="G18 R14 R17 L17" xr:uid="{A28D2214-4E68-4AE9-BFD8-F94D3D7BBEA0}">
      <formula1>$Z$11:$Z$12</formula1>
    </dataValidation>
    <dataValidation type="list" allowBlank="1" showInputMessage="1" showErrorMessage="1" sqref="I13" xr:uid="{B7AA4342-36A8-4B40-B672-68C737308F67}">
      <formula1>$Z$13:$Z$14</formula1>
    </dataValidation>
    <dataValidation type="list" allowBlank="1" showInputMessage="1" showErrorMessage="1" sqref="J13" xr:uid="{54356BA5-9CC7-4D41-96D0-9B2233A1D094}">
      <formula1>$L$9:$L$9</formula1>
    </dataValidation>
    <dataValidation type="list" showInputMessage="1" showErrorMessage="1" sqref="E19:E81" xr:uid="{8A18904E-FD45-4EA0-977F-0E08296B874F}">
      <formula1>$AA$18:$AA$29</formula1>
    </dataValidation>
    <dataValidation type="list" allowBlank="1" showInputMessage="1" showErrorMessage="1" sqref="N18:N80" xr:uid="{E0BF0995-420B-4758-A7E3-7FF4CDD50204}">
      <formula1>$Z$31:$Z$32</formula1>
    </dataValidation>
    <dataValidation type="list" allowBlank="1" showInputMessage="1" showErrorMessage="1" sqref="G2" xr:uid="{4ADA54FA-D01B-4DC4-9594-66D67FDB5098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9A1739-8D2E-46E7-88EE-7D41A7CEF420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2A8E-5426-479A-8EFE-BC27CFD78896}">
  <sheetPr>
    <pageSetUpPr fitToPage="1"/>
  </sheetPr>
  <dimension ref="A1:AC83"/>
  <sheetViews>
    <sheetView topLeftCell="A17" zoomScale="84" zoomScaleNormal="84" workbookViewId="0">
      <selection activeCell="D50" sqref="D50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88661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88661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293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8801531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397">
        <v>605365</v>
      </c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88661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88661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100859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100860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90019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1</v>
      </c>
      <c r="L26" s="258">
        <f t="shared" si="1"/>
        <v>330</v>
      </c>
      <c r="M26" s="258">
        <f t="shared" si="2"/>
        <v>330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330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1</v>
      </c>
      <c r="G27" s="259">
        <v>330</v>
      </c>
      <c r="H27" s="258">
        <f t="shared" si="8"/>
        <v>239.13</v>
      </c>
      <c r="I27" s="274">
        <f t="shared" si="9"/>
        <v>330</v>
      </c>
      <c r="J27" s="275"/>
      <c r="K27" s="276">
        <f t="shared" si="0"/>
        <v>1</v>
      </c>
      <c r="L27" s="277">
        <f t="shared" si="1"/>
        <v>2150</v>
      </c>
      <c r="M27" s="277">
        <f t="shared" si="2"/>
        <v>2150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2150</v>
      </c>
      <c r="U27" s="283">
        <f t="shared" si="5"/>
        <v>2150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281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2150</v>
      </c>
      <c r="H28" s="277">
        <f t="shared" si="8"/>
        <v>1557.97</v>
      </c>
      <c r="I28" s="289">
        <f t="shared" si="9"/>
        <v>2150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8</v>
      </c>
      <c r="L35" s="277">
        <f t="shared" si="1"/>
        <v>675</v>
      </c>
      <c r="M35" s="277">
        <f t="shared" si="2"/>
        <v>5400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5400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8</v>
      </c>
      <c r="G36" s="281">
        <v>675</v>
      </c>
      <c r="H36" s="277">
        <f t="shared" si="8"/>
        <v>489.13</v>
      </c>
      <c r="I36" s="289">
        <f t="shared" si="9"/>
        <v>5400</v>
      </c>
      <c r="J36" s="275"/>
      <c r="K36" s="257">
        <f t="shared" si="0"/>
        <v>10</v>
      </c>
      <c r="L36" s="258">
        <f t="shared" si="1"/>
        <v>650</v>
      </c>
      <c r="M36" s="258">
        <f t="shared" si="2"/>
        <v>6500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6500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10</v>
      </c>
      <c r="G37" s="259">
        <v>650</v>
      </c>
      <c r="H37" s="258">
        <f t="shared" si="8"/>
        <v>471.01</v>
      </c>
      <c r="I37" s="274">
        <f t="shared" si="9"/>
        <v>6500</v>
      </c>
      <c r="J37" s="275"/>
      <c r="K37" s="276">
        <f t="shared" si="0"/>
        <v>2</v>
      </c>
      <c r="L37" s="277">
        <f t="shared" si="1"/>
        <v>9250</v>
      </c>
      <c r="M37" s="277">
        <f t="shared" si="2"/>
        <v>18500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9250</v>
      </c>
      <c r="U37" s="283">
        <f t="shared" si="5"/>
        <v>18500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>
        <v>5000</v>
      </c>
      <c r="F38" s="288">
        <v>2</v>
      </c>
      <c r="G38" s="281">
        <v>9250</v>
      </c>
      <c r="H38" s="277">
        <f t="shared" si="8"/>
        <v>6702.9</v>
      </c>
      <c r="I38" s="289">
        <f t="shared" si="9"/>
        <v>18500</v>
      </c>
      <c r="J38" s="275"/>
      <c r="K38" s="257">
        <f t="shared" si="0"/>
        <v>100</v>
      </c>
      <c r="L38" s="258">
        <f t="shared" si="1"/>
        <v>200</v>
      </c>
      <c r="M38" s="258">
        <f t="shared" si="2"/>
        <v>20000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200</v>
      </c>
      <c r="U38" s="264">
        <f t="shared" si="5"/>
        <v>20000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95745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200</v>
      </c>
      <c r="H39" s="258">
        <f t="shared" si="8"/>
        <v>144.93</v>
      </c>
      <c r="I39" s="274">
        <f t="shared" si="9"/>
        <v>20000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7.5</v>
      </c>
      <c r="M40" s="258">
        <f t="shared" si="2"/>
        <v>3000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3000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7.5</v>
      </c>
      <c r="H41" s="258">
        <f t="shared" si="8"/>
        <v>5.43</v>
      </c>
      <c r="I41" s="274">
        <f t="shared" si="9"/>
        <v>3000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31765.5</v>
      </c>
      <c r="M81" s="309">
        <f>SUM(M18:M80)</f>
        <v>88661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31765.5</v>
      </c>
      <c r="U81" s="309">
        <f>SUM(U18:U80)</f>
        <v>88661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31765.5</v>
      </c>
      <c r="H82" s="308">
        <f>SUM(H19:H81)</f>
        <v>23018.47</v>
      </c>
      <c r="I82" s="309">
        <f>SUM(I19:I81)</f>
        <v>88661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11" priority="3" stopIfTrue="1">
      <formula>$V$9&gt;100%</formula>
    </cfRule>
    <cfRule type="expression" dxfId="110" priority="4">
      <formula>$V$9&lt;50%</formula>
    </cfRule>
  </conditionalFormatting>
  <conditionalFormatting sqref="W9:W10">
    <cfRule type="expression" dxfId="109" priority="1">
      <formula>$W$9&lt;50%</formula>
    </cfRule>
    <cfRule type="expression" dxfId="108" priority="2">
      <formula>$W$9&gt;50%</formula>
    </cfRule>
  </conditionalFormatting>
  <dataValidations count="6">
    <dataValidation type="list" allowBlank="1" showInputMessage="1" showErrorMessage="1" sqref="G2" xr:uid="{8A1D23F8-B285-4B8A-BDD3-483406847EF0}">
      <formula1>$Z$34:$Z$48</formula1>
    </dataValidation>
    <dataValidation type="list" allowBlank="1" showInputMessage="1" showErrorMessage="1" sqref="N18:N80" xr:uid="{6FE8986B-635B-497F-8BE5-EB3008153A4A}">
      <formula1>$Z$31:$Z$32</formula1>
    </dataValidation>
    <dataValidation type="list" showInputMessage="1" showErrorMessage="1" sqref="E19:E81" xr:uid="{C8B9505A-4AD1-45BB-9F72-97E45FE66AC6}">
      <formula1>$AA$18:$AA$29</formula1>
    </dataValidation>
    <dataValidation type="list" allowBlank="1" showInputMessage="1" showErrorMessage="1" sqref="J13" xr:uid="{79D8C878-2E7C-4E58-B292-4938F89EFCA4}">
      <formula1>$L$9:$L$9</formula1>
    </dataValidation>
    <dataValidation type="list" allowBlank="1" showInputMessage="1" showErrorMessage="1" sqref="I13" xr:uid="{FEC02F9C-09F8-4B13-8CDD-4830B8DFA0BF}">
      <formula1>$Z$13:$Z$14</formula1>
    </dataValidation>
    <dataValidation type="list" allowBlank="1" showInputMessage="1" showErrorMessage="1" sqref="G18 R14 R17 L17" xr:uid="{27C37FA5-F147-4353-A42B-E21229075129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9A49D3-DD97-4BD4-BC20-94447433BA10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87A5-F064-4E0E-A7C0-1FAA197422A1}">
  <sheetPr>
    <pageSetUpPr fitToPage="1"/>
  </sheetPr>
  <dimension ref="A1:AC83"/>
  <sheetViews>
    <sheetView topLeftCell="A30" zoomScale="84" zoomScaleNormal="84" workbookViewId="0">
      <selection activeCell="C45" sqref="C45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76209.5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76209.5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296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8500119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76209.5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>
        <v>5680116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76209.5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1047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1</v>
      </c>
      <c r="L21" s="277">
        <f t="shared" si="1"/>
        <v>140</v>
      </c>
      <c r="M21" s="277">
        <f t="shared" si="2"/>
        <v>140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140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1</v>
      </c>
      <c r="G22" s="281">
        <v>140</v>
      </c>
      <c r="H22" s="277">
        <f t="shared" si="8"/>
        <v>101.45</v>
      </c>
      <c r="I22" s="289">
        <f t="shared" si="9"/>
        <v>140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395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100859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100860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72.5</v>
      </c>
      <c r="M25" s="277">
        <f t="shared" si="2"/>
        <v>72.5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72.5</v>
      </c>
      <c r="U25" s="283">
        <f t="shared" si="5"/>
        <v>72.5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 t="s">
        <v>297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72.5</v>
      </c>
      <c r="H26" s="277">
        <f t="shared" si="8"/>
        <v>52.54</v>
      </c>
      <c r="I26" s="289">
        <f t="shared" si="9"/>
        <v>72.5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1</v>
      </c>
      <c r="L27" s="277">
        <f t="shared" si="1"/>
        <v>1250</v>
      </c>
      <c r="M27" s="277">
        <f t="shared" si="2"/>
        <v>1250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1250</v>
      </c>
      <c r="U27" s="283">
        <f t="shared" si="5"/>
        <v>1250</v>
      </c>
      <c r="V27" s="284">
        <f t="shared" si="6"/>
        <v>0</v>
      </c>
      <c r="W27" s="284">
        <f t="shared" si="7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 t="s">
        <v>298</v>
      </c>
      <c r="C28" s="286" t="s">
        <v>294</v>
      </c>
      <c r="D28" s="271" t="s">
        <v>39</v>
      </c>
      <c r="E28" s="287" t="s">
        <v>176</v>
      </c>
      <c r="F28" s="288">
        <v>1</v>
      </c>
      <c r="G28" s="281">
        <v>1250</v>
      </c>
      <c r="H28" s="277">
        <f t="shared" si="8"/>
        <v>905.8</v>
      </c>
      <c r="I28" s="289">
        <f t="shared" si="9"/>
        <v>1250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630</v>
      </c>
      <c r="M31" s="277">
        <f t="shared" si="2"/>
        <v>1260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630</v>
      </c>
      <c r="U31" s="283">
        <f t="shared" si="5"/>
        <v>1260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299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630</v>
      </c>
      <c r="H32" s="277">
        <f t="shared" si="8"/>
        <v>456.52</v>
      </c>
      <c r="I32" s="289">
        <f t="shared" si="9"/>
        <v>1260</v>
      </c>
      <c r="J32" s="275"/>
      <c r="K32" s="257">
        <f t="shared" si="0"/>
        <v>48</v>
      </c>
      <c r="L32" s="258">
        <f t="shared" si="1"/>
        <v>8.5</v>
      </c>
      <c r="M32" s="258">
        <f t="shared" si="2"/>
        <v>408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8.5</v>
      </c>
      <c r="U32" s="264">
        <f t="shared" si="5"/>
        <v>408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300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8.5</v>
      </c>
      <c r="H33" s="258">
        <f t="shared" si="8"/>
        <v>6.16</v>
      </c>
      <c r="I33" s="274">
        <f t="shared" si="9"/>
        <v>408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2500</v>
      </c>
      <c r="M34" s="258">
        <f t="shared" si="2"/>
        <v>5000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2500</v>
      </c>
      <c r="U34" s="264">
        <f t="shared" si="5"/>
        <v>5000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 t="s">
        <v>301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2500</v>
      </c>
      <c r="H35" s="258">
        <f t="shared" si="8"/>
        <v>1811.59</v>
      </c>
      <c r="I35" s="274">
        <f t="shared" si="9"/>
        <v>5000</v>
      </c>
      <c r="J35" s="275"/>
      <c r="K35" s="276">
        <f t="shared" si="0"/>
        <v>0</v>
      </c>
      <c r="L35" s="277">
        <f t="shared" si="1"/>
        <v>0</v>
      </c>
      <c r="M35" s="277">
        <f t="shared" si="2"/>
        <v>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0</v>
      </c>
      <c r="U35" s="283">
        <f t="shared" si="5"/>
        <v>0</v>
      </c>
      <c r="V35" s="284">
        <f t="shared" si="6"/>
        <v>0</v>
      </c>
      <c r="W35" s="284">
        <f t="shared" si="7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/>
      <c r="C36" s="286"/>
      <c r="D36" s="271"/>
      <c r="E36" s="287"/>
      <c r="F36" s="288"/>
      <c r="G36" s="281"/>
      <c r="H36" s="277">
        <f t="shared" si="8"/>
        <v>0</v>
      </c>
      <c r="I36" s="289">
        <f t="shared" si="9"/>
        <v>0</v>
      </c>
      <c r="J36" s="275"/>
      <c r="K36" s="257">
        <f t="shared" si="0"/>
        <v>22</v>
      </c>
      <c r="L36" s="258">
        <f t="shared" si="1"/>
        <v>600</v>
      </c>
      <c r="M36" s="258">
        <f t="shared" si="2"/>
        <v>13200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600</v>
      </c>
      <c r="U36" s="264">
        <f t="shared" si="5"/>
        <v>13200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302</v>
      </c>
      <c r="C37" s="292" t="s">
        <v>187</v>
      </c>
      <c r="D37" s="271" t="s">
        <v>43</v>
      </c>
      <c r="E37" s="293">
        <v>5000</v>
      </c>
      <c r="F37" s="273">
        <v>22</v>
      </c>
      <c r="G37" s="259">
        <v>600</v>
      </c>
      <c r="H37" s="258">
        <f t="shared" si="8"/>
        <v>434.78</v>
      </c>
      <c r="I37" s="274">
        <f t="shared" si="9"/>
        <v>13200</v>
      </c>
      <c r="J37" s="275"/>
      <c r="K37" s="276">
        <f t="shared" si="0"/>
        <v>2</v>
      </c>
      <c r="L37" s="277">
        <f t="shared" si="1"/>
        <v>6750</v>
      </c>
      <c r="M37" s="277">
        <f t="shared" si="2"/>
        <v>13500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6750</v>
      </c>
      <c r="U37" s="283">
        <f t="shared" si="5"/>
        <v>13500</v>
      </c>
      <c r="V37" s="284">
        <f t="shared" si="6"/>
        <v>0</v>
      </c>
      <c r="W37" s="284">
        <f t="shared" si="7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204599</v>
      </c>
      <c r="C38" s="286" t="s">
        <v>190</v>
      </c>
      <c r="D38" s="271" t="s">
        <v>51</v>
      </c>
      <c r="E38" s="399">
        <v>5000</v>
      </c>
      <c r="F38" s="288">
        <v>2</v>
      </c>
      <c r="G38" s="281">
        <v>6750</v>
      </c>
      <c r="H38" s="277">
        <f t="shared" si="8"/>
        <v>4891.3</v>
      </c>
      <c r="I38" s="289">
        <f t="shared" si="9"/>
        <v>13500</v>
      </c>
      <c r="J38" s="275"/>
      <c r="K38" s="257">
        <f t="shared" si="0"/>
        <v>100</v>
      </c>
      <c r="L38" s="258">
        <f t="shared" si="1"/>
        <v>140</v>
      </c>
      <c r="M38" s="258">
        <f t="shared" si="2"/>
        <v>14000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140</v>
      </c>
      <c r="U38" s="264">
        <f t="shared" si="5"/>
        <v>14000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202282</v>
      </c>
      <c r="C39" s="292" t="s">
        <v>192</v>
      </c>
      <c r="D39" s="271" t="s">
        <v>53</v>
      </c>
      <c r="E39" s="293" t="s">
        <v>176</v>
      </c>
      <c r="F39" s="273">
        <v>100</v>
      </c>
      <c r="G39" s="259">
        <v>140</v>
      </c>
      <c r="H39" s="258">
        <f t="shared" si="8"/>
        <v>101.45</v>
      </c>
      <c r="I39" s="274">
        <f t="shared" si="9"/>
        <v>14000</v>
      </c>
      <c r="J39" s="275"/>
      <c r="K39" s="276">
        <f t="shared" si="0"/>
        <v>400</v>
      </c>
      <c r="L39" s="277">
        <f t="shared" si="1"/>
        <v>8.5</v>
      </c>
      <c r="M39" s="277">
        <f t="shared" si="2"/>
        <v>3400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3400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202278</v>
      </c>
      <c r="C40" s="286" t="s">
        <v>194</v>
      </c>
      <c r="D40" s="271" t="s">
        <v>54</v>
      </c>
      <c r="E40" s="287" t="s">
        <v>176</v>
      </c>
      <c r="F40" s="288">
        <v>400</v>
      </c>
      <c r="G40" s="281">
        <v>8.5</v>
      </c>
      <c r="H40" s="277">
        <f t="shared" si="8"/>
        <v>6.16</v>
      </c>
      <c r="I40" s="289">
        <f t="shared" si="9"/>
        <v>3400</v>
      </c>
      <c r="J40" s="275"/>
      <c r="K40" s="257">
        <f t="shared" si="0"/>
        <v>400</v>
      </c>
      <c r="L40" s="258">
        <f t="shared" si="1"/>
        <v>5.5</v>
      </c>
      <c r="M40" s="258">
        <f t="shared" si="2"/>
        <v>2200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5.5</v>
      </c>
      <c r="U40" s="264">
        <f t="shared" si="5"/>
        <v>2200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202279</v>
      </c>
      <c r="C41" s="292" t="s">
        <v>195</v>
      </c>
      <c r="D41" s="271" t="s">
        <v>54</v>
      </c>
      <c r="E41" s="293" t="s">
        <v>176</v>
      </c>
      <c r="F41" s="273">
        <v>400</v>
      </c>
      <c r="G41" s="259">
        <v>5.5</v>
      </c>
      <c r="H41" s="258">
        <f t="shared" si="8"/>
        <v>3.99</v>
      </c>
      <c r="I41" s="274">
        <f t="shared" si="9"/>
        <v>2200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0</v>
      </c>
      <c r="L42" s="258">
        <f t="shared" si="1"/>
        <v>0</v>
      </c>
      <c r="M42" s="258">
        <f t="shared" si="2"/>
        <v>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0</v>
      </c>
      <c r="U42" s="264">
        <f t="shared" si="5"/>
        <v>0</v>
      </c>
      <c r="V42" s="265">
        <f t="shared" si="6"/>
        <v>0</v>
      </c>
      <c r="W42" s="265">
        <f t="shared" si="7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/>
      <c r="C43" s="292"/>
      <c r="D43" s="271"/>
      <c r="E43" s="293"/>
      <c r="F43" s="273"/>
      <c r="G43" s="259"/>
      <c r="H43" s="258">
        <f t="shared" si="8"/>
        <v>0</v>
      </c>
      <c r="I43" s="274">
        <f t="shared" si="9"/>
        <v>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1047</v>
      </c>
      <c r="L81" s="308">
        <f>SUM(L18:L80)</f>
        <v>26693</v>
      </c>
      <c r="M81" s="309">
        <f>SUM(M18:M80)</f>
        <v>76209.5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26693</v>
      </c>
      <c r="U81" s="309">
        <f>SUM(U18:U80)</f>
        <v>76209.5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1047</v>
      </c>
      <c r="G82" s="318">
        <f>SUM(G19:G81)</f>
        <v>26693</v>
      </c>
      <c r="H82" s="308">
        <f>SUM(H19:H81)</f>
        <v>19342.750000000004</v>
      </c>
      <c r="I82" s="309">
        <f>SUM(I19:I81)</f>
        <v>76209.5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07" priority="3" stopIfTrue="1">
      <formula>$V$9&gt;100%</formula>
    </cfRule>
    <cfRule type="expression" dxfId="106" priority="4">
      <formula>$V$9&lt;50%</formula>
    </cfRule>
  </conditionalFormatting>
  <conditionalFormatting sqref="W9:W10">
    <cfRule type="expression" dxfId="105" priority="1">
      <formula>$W$9&lt;50%</formula>
    </cfRule>
    <cfRule type="expression" dxfId="104" priority="2">
      <formula>$W$9&gt;50%</formula>
    </cfRule>
  </conditionalFormatting>
  <dataValidations count="6">
    <dataValidation type="list" allowBlank="1" showInputMessage="1" showErrorMessage="1" sqref="G18 R14 R17 L17" xr:uid="{0E9F6A03-6567-42E3-966F-27DEED5FD686}">
      <formula1>$Z$11:$Z$12</formula1>
    </dataValidation>
    <dataValidation type="list" allowBlank="1" showInputMessage="1" showErrorMessage="1" sqref="I13" xr:uid="{8B2E79E3-649D-4194-A02D-F5AFF96E6345}">
      <formula1>$Z$13:$Z$14</formula1>
    </dataValidation>
    <dataValidation type="list" allowBlank="1" showInputMessage="1" showErrorMessage="1" sqref="J13" xr:uid="{69B77077-7A87-4041-898D-CC7C9E5A7A1C}">
      <formula1>$L$9:$L$9</formula1>
    </dataValidation>
    <dataValidation type="list" showInputMessage="1" showErrorMessage="1" sqref="E19:E37 E39:E81" xr:uid="{53BB82E6-CF1C-4194-8308-1D354E3F0BA2}">
      <formula1>$AA$18:$AA$29</formula1>
    </dataValidation>
    <dataValidation type="list" allowBlank="1" showInputMessage="1" showErrorMessage="1" sqref="N18:N80" xr:uid="{EDD10505-5ACA-47DF-90E7-3ADA207D929A}">
      <formula1>$Z$31:$Z$32</formula1>
    </dataValidation>
    <dataValidation type="list" allowBlank="1" showInputMessage="1" showErrorMessage="1" sqref="G2" xr:uid="{0BEA2E52-CA03-4F44-9580-04031DC8899A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8C371C-FF17-4837-AC5C-A2C0EB552D57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0AAD-D306-41DA-8DB6-F44D227DD9DA}">
  <sheetPr>
    <pageSetUpPr fitToPage="1"/>
  </sheetPr>
  <dimension ref="A1:AC83"/>
  <sheetViews>
    <sheetView zoomScale="84" zoomScaleNormal="84" workbookViewId="0"/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90207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90207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303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85504090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90207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>
        <v>51950500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90207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993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 t="s">
        <v>304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305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0</v>
      </c>
      <c r="L27" s="277">
        <f t="shared" si="1"/>
        <v>0</v>
      </c>
      <c r="M27" s="277">
        <f t="shared" si="2"/>
        <v>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0</v>
      </c>
      <c r="U27" s="283">
        <f t="shared" si="5"/>
        <v>0</v>
      </c>
      <c r="V27" s="284">
        <f t="shared" si="6"/>
        <v>0</v>
      </c>
      <c r="W27" s="284">
        <f t="shared" si="7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/>
      <c r="C28" s="286"/>
      <c r="D28" s="271"/>
      <c r="E28" s="287"/>
      <c r="F28" s="288"/>
      <c r="G28" s="281"/>
      <c r="H28" s="277">
        <f t="shared" si="8"/>
        <v>0</v>
      </c>
      <c r="I28" s="289">
        <f t="shared" si="9"/>
        <v>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6</v>
      </c>
      <c r="L35" s="277">
        <f t="shared" si="1"/>
        <v>675</v>
      </c>
      <c r="M35" s="277">
        <f t="shared" si="2"/>
        <v>4050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4050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277">
        <f t="shared" si="8"/>
        <v>489.13</v>
      </c>
      <c r="I36" s="289">
        <f t="shared" si="9"/>
        <v>4050</v>
      </c>
      <c r="J36" s="275"/>
      <c r="K36" s="257">
        <f t="shared" si="0"/>
        <v>12</v>
      </c>
      <c r="L36" s="258">
        <f t="shared" si="1"/>
        <v>650</v>
      </c>
      <c r="M36" s="258">
        <f t="shared" si="2"/>
        <v>7800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7800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258">
        <f t="shared" si="8"/>
        <v>471.01</v>
      </c>
      <c r="I37" s="274">
        <f t="shared" si="9"/>
        <v>7800</v>
      </c>
      <c r="J37" s="275"/>
      <c r="K37" s="276">
        <f t="shared" si="0"/>
        <v>2</v>
      </c>
      <c r="L37" s="277">
        <f t="shared" si="1"/>
        <v>0</v>
      </c>
      <c r="M37" s="277">
        <f t="shared" si="2"/>
        <v>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0</v>
      </c>
      <c r="U37" s="283">
        <f t="shared" si="5"/>
        <v>0</v>
      </c>
      <c r="V37" s="284">
        <f t="shared" si="6"/>
        <v>0</v>
      </c>
      <c r="W37" s="284">
        <f t="shared" si="7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/>
      <c r="F38" s="288">
        <v>2</v>
      </c>
      <c r="G38" s="281"/>
      <c r="H38" s="277">
        <f t="shared" si="8"/>
        <v>0</v>
      </c>
      <c r="I38" s="289">
        <f t="shared" si="9"/>
        <v>0</v>
      </c>
      <c r="J38" s="275"/>
      <c r="K38" s="257">
        <f t="shared" si="0"/>
        <v>94</v>
      </c>
      <c r="L38" s="258">
        <f t="shared" si="1"/>
        <v>450</v>
      </c>
      <c r="M38" s="258">
        <f t="shared" si="2"/>
        <v>42300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450</v>
      </c>
      <c r="U38" s="264">
        <f t="shared" si="5"/>
        <v>42300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258">
        <f t="shared" si="8"/>
        <v>326.08999999999997</v>
      </c>
      <c r="I39" s="274">
        <f t="shared" si="9"/>
        <v>42300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993</v>
      </c>
      <c r="L81" s="308">
        <f>SUM(L18:L80)</f>
        <v>20615.5</v>
      </c>
      <c r="M81" s="309">
        <f>SUM(M18:M80)</f>
        <v>90207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20615.5</v>
      </c>
      <c r="U81" s="309">
        <f>SUM(U18:U80)</f>
        <v>90207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993</v>
      </c>
      <c r="G82" s="318">
        <f>SUM(G19:G81)</f>
        <v>20615.5</v>
      </c>
      <c r="H82" s="308">
        <f>SUM(H19:H81)</f>
        <v>14938.759999999998</v>
      </c>
      <c r="I82" s="309">
        <f>SUM(I19:I81)</f>
        <v>90207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103" priority="3" stopIfTrue="1">
      <formula>$V$9&gt;100%</formula>
    </cfRule>
    <cfRule type="expression" dxfId="102" priority="4">
      <formula>$V$9&lt;50%</formula>
    </cfRule>
  </conditionalFormatting>
  <conditionalFormatting sqref="W9:W10">
    <cfRule type="expression" dxfId="101" priority="1">
      <formula>$W$9&lt;50%</formula>
    </cfRule>
    <cfRule type="expression" dxfId="100" priority="2">
      <formula>$W$9&gt;50%</formula>
    </cfRule>
  </conditionalFormatting>
  <dataValidations count="6">
    <dataValidation type="list" allowBlank="1" showInputMessage="1" showErrorMessage="1" sqref="G18 R14 R17 L17" xr:uid="{DA19BE55-B501-47E4-BFB5-DCB3A2EA1F0F}">
      <formula1>$Z$11:$Z$12</formula1>
    </dataValidation>
    <dataValidation type="list" allowBlank="1" showInputMessage="1" showErrorMessage="1" sqref="I13" xr:uid="{2D0C159C-072C-4BA1-ACF2-FE4EBA318A53}">
      <formula1>$Z$13:$Z$14</formula1>
    </dataValidation>
    <dataValidation type="list" allowBlank="1" showInputMessage="1" showErrorMessage="1" sqref="J13" xr:uid="{519A7D0C-D8E5-41C8-902C-0E3E26F2109C}">
      <formula1>$L$9:$L$9</formula1>
    </dataValidation>
    <dataValidation type="list" showInputMessage="1" showErrorMessage="1" sqref="E19:E81" xr:uid="{E92CAA97-AD28-4112-91A2-D9BF5A27D61F}">
      <formula1>$AA$18:$AA$29</formula1>
    </dataValidation>
    <dataValidation type="list" allowBlank="1" showInputMessage="1" showErrorMessage="1" sqref="N18:N80" xr:uid="{DD5D0349-26D4-461B-91C9-75B936DC272E}">
      <formula1>$Z$31:$Z$32</formula1>
    </dataValidation>
    <dataValidation type="list" allowBlank="1" showInputMessage="1" showErrorMessage="1" sqref="G2" xr:uid="{FC319C0F-84B4-46FE-84B3-7EC29D5A44DC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AA6BFF-CC5B-4200-82E3-D679FAE90D43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E0E3-C0AD-4CDB-80E4-D4C943EEDF31}">
  <sheetPr>
    <pageSetUpPr fitToPage="1"/>
  </sheetPr>
  <dimension ref="A1:AC83"/>
  <sheetViews>
    <sheetView topLeftCell="A14" zoomScale="84" zoomScaleNormal="84" workbookViewId="0">
      <selection activeCell="F27" sqref="F27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90207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90207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303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85503434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90207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>
        <v>51950316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90207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993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 t="s">
        <v>304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305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0</v>
      </c>
      <c r="L27" s="277">
        <f t="shared" si="1"/>
        <v>0</v>
      </c>
      <c r="M27" s="277">
        <f t="shared" si="2"/>
        <v>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0</v>
      </c>
      <c r="U27" s="283">
        <f t="shared" si="5"/>
        <v>0</v>
      </c>
      <c r="V27" s="284">
        <f t="shared" si="6"/>
        <v>0</v>
      </c>
      <c r="W27" s="284">
        <f t="shared" si="7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/>
      <c r="C28" s="286"/>
      <c r="D28" s="271"/>
      <c r="E28" s="287"/>
      <c r="F28" s="288"/>
      <c r="G28" s="281"/>
      <c r="H28" s="277">
        <f t="shared" si="8"/>
        <v>0</v>
      </c>
      <c r="I28" s="289">
        <f t="shared" si="9"/>
        <v>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6</v>
      </c>
      <c r="L35" s="277">
        <f t="shared" si="1"/>
        <v>675</v>
      </c>
      <c r="M35" s="277">
        <f t="shared" si="2"/>
        <v>4050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4050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277">
        <f t="shared" si="8"/>
        <v>489.13</v>
      </c>
      <c r="I36" s="289">
        <f t="shared" si="9"/>
        <v>4050</v>
      </c>
      <c r="J36" s="275"/>
      <c r="K36" s="257">
        <f t="shared" si="0"/>
        <v>12</v>
      </c>
      <c r="L36" s="258">
        <f t="shared" si="1"/>
        <v>650</v>
      </c>
      <c r="M36" s="258">
        <f t="shared" si="2"/>
        <v>7800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7800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258">
        <f t="shared" si="8"/>
        <v>471.01</v>
      </c>
      <c r="I37" s="274">
        <f t="shared" si="9"/>
        <v>7800</v>
      </c>
      <c r="J37" s="275"/>
      <c r="K37" s="276">
        <f t="shared" si="0"/>
        <v>2</v>
      </c>
      <c r="L37" s="277">
        <f t="shared" si="1"/>
        <v>0</v>
      </c>
      <c r="M37" s="277">
        <f t="shared" si="2"/>
        <v>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0</v>
      </c>
      <c r="U37" s="283">
        <f t="shared" si="5"/>
        <v>0</v>
      </c>
      <c r="V37" s="284">
        <f t="shared" si="6"/>
        <v>0</v>
      </c>
      <c r="W37" s="284">
        <f t="shared" si="7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/>
      <c r="F38" s="288">
        <v>2</v>
      </c>
      <c r="G38" s="281"/>
      <c r="H38" s="277">
        <f t="shared" si="8"/>
        <v>0</v>
      </c>
      <c r="I38" s="289">
        <f t="shared" si="9"/>
        <v>0</v>
      </c>
      <c r="J38" s="275"/>
      <c r="K38" s="257">
        <f t="shared" si="0"/>
        <v>94</v>
      </c>
      <c r="L38" s="258">
        <f t="shared" si="1"/>
        <v>450</v>
      </c>
      <c r="M38" s="258">
        <f t="shared" si="2"/>
        <v>42300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450</v>
      </c>
      <c r="U38" s="264">
        <f t="shared" si="5"/>
        <v>42300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258">
        <f t="shared" si="8"/>
        <v>326.08999999999997</v>
      </c>
      <c r="I39" s="274">
        <f t="shared" si="9"/>
        <v>42300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993</v>
      </c>
      <c r="L81" s="308">
        <f>SUM(L18:L80)</f>
        <v>20615.5</v>
      </c>
      <c r="M81" s="309">
        <f>SUM(M18:M80)</f>
        <v>90207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20615.5</v>
      </c>
      <c r="U81" s="309">
        <f>SUM(U18:U80)</f>
        <v>90207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993</v>
      </c>
      <c r="G82" s="318">
        <f>SUM(G19:G81)</f>
        <v>20615.5</v>
      </c>
      <c r="H82" s="308">
        <f>SUM(H19:H81)</f>
        <v>14938.759999999998</v>
      </c>
      <c r="I82" s="309">
        <f>SUM(I19:I81)</f>
        <v>90207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99" priority="3" stopIfTrue="1">
      <formula>$V$9&gt;100%</formula>
    </cfRule>
    <cfRule type="expression" dxfId="98" priority="4">
      <formula>$V$9&lt;50%</formula>
    </cfRule>
  </conditionalFormatting>
  <conditionalFormatting sqref="W9:W10">
    <cfRule type="expression" dxfId="97" priority="1">
      <formula>$W$9&lt;50%</formula>
    </cfRule>
    <cfRule type="expression" dxfId="96" priority="2">
      <formula>$W$9&gt;50%</formula>
    </cfRule>
  </conditionalFormatting>
  <dataValidations count="6">
    <dataValidation type="list" allowBlank="1" showInputMessage="1" showErrorMessage="1" sqref="G2" xr:uid="{5F5B0C04-64C8-4A01-A6FB-D585F5CC6260}">
      <formula1>$Z$34:$Z$48</formula1>
    </dataValidation>
    <dataValidation type="list" allowBlank="1" showInputMessage="1" showErrorMessage="1" sqref="N18:N80" xr:uid="{47BF3617-60CB-47D7-AB5E-0ABDE923ED8B}">
      <formula1>$Z$31:$Z$32</formula1>
    </dataValidation>
    <dataValidation type="list" showInputMessage="1" showErrorMessage="1" sqref="E19:E81" xr:uid="{22D3F054-897D-401E-9E65-DD3FAC626E6D}">
      <formula1>$AA$18:$AA$29</formula1>
    </dataValidation>
    <dataValidation type="list" allowBlank="1" showInputMessage="1" showErrorMessage="1" sqref="J13" xr:uid="{3EA7F121-AB59-4BC4-914C-633F3EE587DF}">
      <formula1>$L$9:$L$9</formula1>
    </dataValidation>
    <dataValidation type="list" allowBlank="1" showInputMessage="1" showErrorMessage="1" sqref="I13" xr:uid="{7DBB39AB-0C76-4179-AA17-51BFC1892204}">
      <formula1>$Z$13:$Z$14</formula1>
    </dataValidation>
    <dataValidation type="list" allowBlank="1" showInputMessage="1" showErrorMessage="1" sqref="G18 R14 R17 L17" xr:uid="{ACCDA55E-9514-429E-827A-6A874533A0D3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165D1-1AAD-4371-B691-E22A62FA226E}">
          <x14:formula1>
            <xm:f>'Product Type'!$A$1:$A$55</xm:f>
          </x14:formula1>
          <xm:sqref>D19:D64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983C-ECBD-4AF4-9FA1-F5C127003FC9}">
  <sheetPr>
    <pageSetUpPr fitToPage="1"/>
  </sheetPr>
  <dimension ref="A1:AC83"/>
  <sheetViews>
    <sheetView topLeftCell="A14" zoomScale="84" zoomScaleNormal="84" workbookViewId="0">
      <selection activeCell="F27" sqref="F27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61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90207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90207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303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85503510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90207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 t="s">
        <v>306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90207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993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50</v>
      </c>
      <c r="M18" s="258">
        <f t="shared" ref="M18:M49" si="2">ROUND((K18*L18),2)</f>
        <v>50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50</v>
      </c>
      <c r="U18" s="264">
        <f t="shared" ref="U18:U49" si="5">ROUND(M18-S18,2)</f>
        <v>50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258">
        <f t="shared" ref="H19:H50" si="8">ROUND(IF($G$18="USD $", G19*$F$15,G19*$E$15),2)</f>
        <v>36.229999999999997</v>
      </c>
      <c r="I19" s="274">
        <f t="shared" ref="I19:I50" si="9">ROUND(IF($I$18=$H$18,F19*H19,F19*G19),2)</f>
        <v>50</v>
      </c>
      <c r="J19" s="275"/>
      <c r="K19" s="276">
        <f t="shared" si="0"/>
        <v>1</v>
      </c>
      <c r="L19" s="277">
        <f t="shared" si="1"/>
        <v>70</v>
      </c>
      <c r="M19" s="277">
        <f t="shared" si="2"/>
        <v>70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70</v>
      </c>
      <c r="U19" s="283">
        <f t="shared" si="5"/>
        <v>70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277">
        <f t="shared" si="8"/>
        <v>50.72</v>
      </c>
      <c r="I20" s="289">
        <f t="shared" si="9"/>
        <v>70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120</v>
      </c>
      <c r="M22" s="258">
        <f t="shared" si="2"/>
        <v>120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120</v>
      </c>
      <c r="U22" s="264">
        <f t="shared" si="5"/>
        <v>120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258">
        <f t="shared" si="8"/>
        <v>86.96</v>
      </c>
      <c r="I23" s="274">
        <f t="shared" si="9"/>
        <v>120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60</v>
      </c>
      <c r="M25" s="277">
        <f t="shared" si="2"/>
        <v>60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60</v>
      </c>
      <c r="U25" s="283">
        <f t="shared" si="5"/>
        <v>60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 t="s">
        <v>304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277">
        <f t="shared" si="8"/>
        <v>43.48</v>
      </c>
      <c r="I26" s="289">
        <f t="shared" si="9"/>
        <v>60</v>
      </c>
      <c r="J26" s="275"/>
      <c r="K26" s="257">
        <f t="shared" si="0"/>
        <v>2</v>
      </c>
      <c r="L26" s="258">
        <f t="shared" si="1"/>
        <v>330</v>
      </c>
      <c r="M26" s="258">
        <f t="shared" si="2"/>
        <v>660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330</v>
      </c>
      <c r="U26" s="264">
        <f t="shared" si="5"/>
        <v>660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305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258">
        <f t="shared" si="8"/>
        <v>239.13</v>
      </c>
      <c r="I27" s="274">
        <f t="shared" si="9"/>
        <v>660</v>
      </c>
      <c r="J27" s="275"/>
      <c r="K27" s="276">
        <f t="shared" si="0"/>
        <v>0</v>
      </c>
      <c r="L27" s="277">
        <f t="shared" si="1"/>
        <v>0</v>
      </c>
      <c r="M27" s="277">
        <f t="shared" si="2"/>
        <v>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0</v>
      </c>
      <c r="U27" s="283">
        <f t="shared" si="5"/>
        <v>0</v>
      </c>
      <c r="V27" s="284">
        <f t="shared" si="6"/>
        <v>0</v>
      </c>
      <c r="W27" s="284">
        <f t="shared" si="7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/>
      <c r="C28" s="286"/>
      <c r="D28" s="271"/>
      <c r="E28" s="287"/>
      <c r="F28" s="288"/>
      <c r="G28" s="281"/>
      <c r="H28" s="277">
        <f t="shared" si="8"/>
        <v>0</v>
      </c>
      <c r="I28" s="289">
        <f t="shared" si="9"/>
        <v>0</v>
      </c>
      <c r="J28" s="275"/>
      <c r="K28" s="257">
        <f t="shared" si="0"/>
        <v>6</v>
      </c>
      <c r="L28" s="258">
        <f t="shared" si="1"/>
        <v>1250</v>
      </c>
      <c r="M28" s="258">
        <f t="shared" si="2"/>
        <v>7500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1250</v>
      </c>
      <c r="U28" s="264">
        <f t="shared" si="5"/>
        <v>7500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258">
        <f t="shared" si="8"/>
        <v>905.8</v>
      </c>
      <c r="I29" s="274">
        <f t="shared" si="9"/>
        <v>7500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1</v>
      </c>
      <c r="L30" s="258">
        <f t="shared" si="1"/>
        <v>17.5</v>
      </c>
      <c r="M30" s="258">
        <f t="shared" si="2"/>
        <v>17.5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17.5</v>
      </c>
      <c r="U30" s="264">
        <f t="shared" si="5"/>
        <v>17.5</v>
      </c>
      <c r="V30" s="265">
        <f t="shared" si="6"/>
        <v>0</v>
      </c>
      <c r="W30" s="265">
        <f t="shared" si="7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258">
        <f t="shared" si="8"/>
        <v>12.68</v>
      </c>
      <c r="I31" s="274">
        <f t="shared" si="9"/>
        <v>17.5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6</v>
      </c>
      <c r="L35" s="277">
        <f t="shared" si="1"/>
        <v>675</v>
      </c>
      <c r="M35" s="277">
        <f t="shared" si="2"/>
        <v>4050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4050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277">
        <f t="shared" si="8"/>
        <v>489.13</v>
      </c>
      <c r="I36" s="289">
        <f t="shared" si="9"/>
        <v>4050</v>
      </c>
      <c r="J36" s="275"/>
      <c r="K36" s="257">
        <f t="shared" si="0"/>
        <v>12</v>
      </c>
      <c r="L36" s="258">
        <f t="shared" si="1"/>
        <v>650</v>
      </c>
      <c r="M36" s="258">
        <f t="shared" si="2"/>
        <v>7800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7800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258">
        <f t="shared" si="8"/>
        <v>471.01</v>
      </c>
      <c r="I37" s="274">
        <f t="shared" si="9"/>
        <v>7800</v>
      </c>
      <c r="J37" s="275"/>
      <c r="K37" s="276">
        <f t="shared" si="0"/>
        <v>2</v>
      </c>
      <c r="L37" s="277">
        <f t="shared" si="1"/>
        <v>0</v>
      </c>
      <c r="M37" s="277">
        <f t="shared" si="2"/>
        <v>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0</v>
      </c>
      <c r="U37" s="283">
        <f t="shared" si="5"/>
        <v>0</v>
      </c>
      <c r="V37" s="284">
        <f t="shared" si="6"/>
        <v>0</v>
      </c>
      <c r="W37" s="284">
        <f t="shared" si="7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>
        <v>210764</v>
      </c>
      <c r="C38" s="286" t="s">
        <v>190</v>
      </c>
      <c r="D38" s="271" t="s">
        <v>51</v>
      </c>
      <c r="E38" s="287"/>
      <c r="F38" s="288">
        <v>2</v>
      </c>
      <c r="G38" s="281"/>
      <c r="H38" s="277">
        <f t="shared" si="8"/>
        <v>0</v>
      </c>
      <c r="I38" s="289">
        <f t="shared" si="9"/>
        <v>0</v>
      </c>
      <c r="J38" s="275"/>
      <c r="K38" s="257">
        <f t="shared" si="0"/>
        <v>94</v>
      </c>
      <c r="L38" s="258">
        <f t="shared" si="1"/>
        <v>450</v>
      </c>
      <c r="M38" s="258">
        <f t="shared" si="2"/>
        <v>42300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450</v>
      </c>
      <c r="U38" s="264">
        <f t="shared" si="5"/>
        <v>42300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258">
        <f t="shared" si="8"/>
        <v>326.08999999999997</v>
      </c>
      <c r="I39" s="274">
        <f t="shared" si="9"/>
        <v>42300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1</v>
      </c>
      <c r="L42" s="258">
        <f t="shared" si="1"/>
        <v>1100</v>
      </c>
      <c r="M42" s="258">
        <f t="shared" si="2"/>
        <v>1100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1100</v>
      </c>
      <c r="U42" s="264">
        <f t="shared" si="5"/>
        <v>1100</v>
      </c>
      <c r="V42" s="265">
        <f t="shared" si="6"/>
        <v>0</v>
      </c>
      <c r="W42" s="265">
        <f t="shared" si="7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258">
        <f t="shared" si="8"/>
        <v>797.1</v>
      </c>
      <c r="I43" s="274">
        <f t="shared" si="9"/>
        <v>1100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1</v>
      </c>
      <c r="L45" s="277">
        <f t="shared" si="1"/>
        <v>975</v>
      </c>
      <c r="M45" s="277">
        <f t="shared" si="2"/>
        <v>975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975</v>
      </c>
      <c r="U45" s="283">
        <f t="shared" si="5"/>
        <v>975</v>
      </c>
      <c r="V45" s="284">
        <f t="shared" si="6"/>
        <v>0</v>
      </c>
      <c r="W45" s="284">
        <f t="shared" si="7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277">
        <f t="shared" si="8"/>
        <v>706.52</v>
      </c>
      <c r="I46" s="289">
        <f t="shared" si="9"/>
        <v>975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993</v>
      </c>
      <c r="L81" s="308">
        <f>SUM(L18:L80)</f>
        <v>20615.5</v>
      </c>
      <c r="M81" s="309">
        <f>SUM(M18:M80)</f>
        <v>90207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20615.5</v>
      </c>
      <c r="U81" s="309">
        <f>SUM(U18:U80)</f>
        <v>90207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993</v>
      </c>
      <c r="G82" s="318">
        <f>SUM(G19:G81)</f>
        <v>20615.5</v>
      </c>
      <c r="H82" s="308">
        <f>SUM(H19:H81)</f>
        <v>14938.759999999998</v>
      </c>
      <c r="I82" s="309">
        <f>SUM(I19:I81)</f>
        <v>90207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95" priority="3" stopIfTrue="1">
      <formula>$V$9&gt;100%</formula>
    </cfRule>
    <cfRule type="expression" dxfId="94" priority="4">
      <formula>$V$9&lt;50%</formula>
    </cfRule>
  </conditionalFormatting>
  <conditionalFormatting sqref="W9:W10">
    <cfRule type="expression" dxfId="93" priority="1">
      <formula>$W$9&lt;50%</formula>
    </cfRule>
    <cfRule type="expression" dxfId="92" priority="2">
      <formula>$W$9&gt;50%</formula>
    </cfRule>
  </conditionalFormatting>
  <dataValidations count="6">
    <dataValidation type="list" allowBlank="1" showInputMessage="1" showErrorMessage="1" sqref="G18 R14 R17 L17" xr:uid="{BE4CFFC7-BE5D-45A8-BA71-AFBB61F5669F}">
      <formula1>$Z$11:$Z$12</formula1>
    </dataValidation>
    <dataValidation type="list" allowBlank="1" showInputMessage="1" showErrorMessage="1" sqref="I13" xr:uid="{DDF64DE2-43CD-45FA-80AA-28A641F4FA52}">
      <formula1>$Z$13:$Z$14</formula1>
    </dataValidation>
    <dataValidation type="list" allowBlank="1" showInputMessage="1" showErrorMessage="1" sqref="J13" xr:uid="{64A7B899-1170-44E1-8E93-62D327BC1808}">
      <formula1>$L$9:$L$9</formula1>
    </dataValidation>
    <dataValidation type="list" showInputMessage="1" showErrorMessage="1" sqref="E19:E81" xr:uid="{2D26C875-A2C8-4B30-B210-9B2EAF6926D5}">
      <formula1>$AA$18:$AA$29</formula1>
    </dataValidation>
    <dataValidation type="list" allowBlank="1" showInputMessage="1" showErrorMessage="1" sqref="N18:N80" xr:uid="{5A293E52-726D-4E82-A86D-78164BEAF9AB}">
      <formula1>$Z$31:$Z$32</formula1>
    </dataValidation>
    <dataValidation type="list" allowBlank="1" showInputMessage="1" showErrorMessage="1" sqref="G2" xr:uid="{270B03B0-BACE-4ED9-A55A-668B3FCF012B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75056E-3729-4A11-A4AA-3AC6C68AB747}">
          <x14:formula1>
            <xm:f>'Product Type'!$A$1:$A$55</xm:f>
          </x14:formula1>
          <xm:sqref>D19:D64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83AA-40D3-40D2-8501-426EC6DDCB7F}">
  <sheetPr>
    <pageSetUpPr fitToPage="1"/>
  </sheetPr>
  <dimension ref="A1:AC83"/>
  <sheetViews>
    <sheetView topLeftCell="A14" zoomScale="84" zoomScaleNormal="84" workbookViewId="0">
      <selection activeCell="F27" sqref="F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61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90207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723" t="s">
        <v>67</v>
      </c>
      <c r="F3" s="724"/>
      <c r="G3" s="405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90207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719" t="s">
        <v>68</v>
      </c>
      <c r="F4" s="720"/>
      <c r="G4" s="404" t="s">
        <v>303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721" t="s">
        <v>90</v>
      </c>
      <c r="F5" s="722"/>
      <c r="G5" s="403">
        <v>85503496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90207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403" t="s">
        <v>307</v>
      </c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90207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993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50</v>
      </c>
      <c r="M18" s="9">
        <f>ROUND((K18*L18),2)</f>
        <v>50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50</v>
      </c>
      <c r="U18" s="14">
        <f>ROUND(M18-S18,2)</f>
        <v>50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211556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50</v>
      </c>
      <c r="H19" s="9">
        <f t="shared" ref="H19:H81" si="4">ROUND(IF($G$18="USD $", G19*$F$15,G19*$E$15),2)</f>
        <v>36.229999999999997</v>
      </c>
      <c r="I19" s="10">
        <f t="shared" ref="I19:I81" si="5">ROUND(IF($I$18=$H$18,F19*H19,F19*G19),2)</f>
        <v>50</v>
      </c>
      <c r="J19" s="151"/>
      <c r="K19" s="88">
        <f t="shared" si="0"/>
        <v>1</v>
      </c>
      <c r="L19" s="38">
        <f t="shared" si="1"/>
        <v>70</v>
      </c>
      <c r="M19" s="38">
        <f t="shared" ref="M19:M80" si="6">ROUND((K19*L19),2)</f>
        <v>70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70</v>
      </c>
      <c r="U19" s="52">
        <f t="shared" ref="U19:U80" si="7">ROUND(M19-S19,2)</f>
        <v>70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 t="s">
        <v>283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70</v>
      </c>
      <c r="H20" s="38">
        <f t="shared" si="4"/>
        <v>50.72</v>
      </c>
      <c r="I20" s="39">
        <f t="shared" si="5"/>
        <v>70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/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5</v>
      </c>
      <c r="L21" s="38">
        <f t="shared" si="1"/>
        <v>140</v>
      </c>
      <c r="M21" s="38">
        <f t="shared" si="6"/>
        <v>700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700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38">
        <f t="shared" si="4"/>
        <v>101.45</v>
      </c>
      <c r="I22" s="39">
        <f t="shared" si="5"/>
        <v>700</v>
      </c>
      <c r="J22" s="151"/>
      <c r="K22" s="89">
        <f t="shared" si="0"/>
        <v>1</v>
      </c>
      <c r="L22" s="9">
        <f t="shared" si="1"/>
        <v>120</v>
      </c>
      <c r="M22" s="9">
        <f t="shared" si="6"/>
        <v>120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120</v>
      </c>
      <c r="U22" s="14">
        <f t="shared" si="7"/>
        <v>120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284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120</v>
      </c>
      <c r="H23" s="9">
        <f t="shared" si="4"/>
        <v>86.96</v>
      </c>
      <c r="I23" s="10">
        <f t="shared" si="5"/>
        <v>120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1</v>
      </c>
      <c r="L25" s="38">
        <f t="shared" si="1"/>
        <v>60</v>
      </c>
      <c r="M25" s="38">
        <f t="shared" si="6"/>
        <v>60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60</v>
      </c>
      <c r="U25" s="52">
        <f t="shared" si="7"/>
        <v>60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 t="s">
        <v>304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60</v>
      </c>
      <c r="H26" s="38">
        <f t="shared" si="4"/>
        <v>43.48</v>
      </c>
      <c r="I26" s="39">
        <f t="shared" si="5"/>
        <v>60</v>
      </c>
      <c r="J26" s="151"/>
      <c r="K26" s="89">
        <f t="shared" si="0"/>
        <v>2</v>
      </c>
      <c r="L26" s="9">
        <f t="shared" si="1"/>
        <v>330</v>
      </c>
      <c r="M26" s="9">
        <f t="shared" si="6"/>
        <v>660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330</v>
      </c>
      <c r="U26" s="14">
        <f t="shared" si="7"/>
        <v>660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305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330</v>
      </c>
      <c r="H27" s="9">
        <f t="shared" si="4"/>
        <v>239.13</v>
      </c>
      <c r="I27" s="10">
        <f t="shared" si="5"/>
        <v>660</v>
      </c>
      <c r="J27" s="151"/>
      <c r="K27" s="88">
        <f t="shared" si="0"/>
        <v>0</v>
      </c>
      <c r="L27" s="38">
        <f t="shared" si="1"/>
        <v>0</v>
      </c>
      <c r="M27" s="38">
        <f t="shared" si="6"/>
        <v>0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0</v>
      </c>
      <c r="U27" s="52">
        <f t="shared" si="7"/>
        <v>0</v>
      </c>
      <c r="V27" s="41">
        <f t="shared" si="8"/>
        <v>0</v>
      </c>
      <c r="W27" s="41">
        <f t="shared" si="9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/>
      <c r="C28" s="286"/>
      <c r="D28" s="271"/>
      <c r="E28" s="287"/>
      <c r="F28" s="288"/>
      <c r="G28" s="281"/>
      <c r="H28" s="38">
        <f t="shared" si="4"/>
        <v>0</v>
      </c>
      <c r="I28" s="39">
        <f t="shared" si="5"/>
        <v>0</v>
      </c>
      <c r="J28" s="151"/>
      <c r="K28" s="89">
        <f t="shared" si="0"/>
        <v>6</v>
      </c>
      <c r="L28" s="9">
        <f t="shared" si="1"/>
        <v>1250</v>
      </c>
      <c r="M28" s="9">
        <f t="shared" si="6"/>
        <v>7500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1250</v>
      </c>
      <c r="U28" s="14">
        <f t="shared" si="7"/>
        <v>7500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211953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1250</v>
      </c>
      <c r="H29" s="9">
        <f t="shared" si="4"/>
        <v>905.8</v>
      </c>
      <c r="I29" s="10">
        <f t="shared" si="5"/>
        <v>7500</v>
      </c>
      <c r="J29" s="151"/>
      <c r="K29" s="88">
        <f t="shared" si="0"/>
        <v>1</v>
      </c>
      <c r="L29" s="38">
        <f t="shared" si="1"/>
        <v>4650</v>
      </c>
      <c r="M29" s="38">
        <f>ROUND((K29*L29),2)</f>
        <v>4650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4650</v>
      </c>
      <c r="U29" s="52">
        <f t="shared" si="7"/>
        <v>4650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 t="s">
        <v>285</v>
      </c>
      <c r="C30" s="286" t="s">
        <v>179</v>
      </c>
      <c r="D30" s="271" t="s">
        <v>23</v>
      </c>
      <c r="E30" s="287">
        <v>6000</v>
      </c>
      <c r="F30" s="288">
        <v>1</v>
      </c>
      <c r="G30" s="281">
        <v>4650</v>
      </c>
      <c r="H30" s="38">
        <f t="shared" si="4"/>
        <v>3369.57</v>
      </c>
      <c r="I30" s="39">
        <f t="shared" si="5"/>
        <v>4650</v>
      </c>
      <c r="J30" s="151"/>
      <c r="K30" s="89">
        <f t="shared" si="0"/>
        <v>1</v>
      </c>
      <c r="L30" s="9">
        <f t="shared" si="1"/>
        <v>17.5</v>
      </c>
      <c r="M30" s="9">
        <f t="shared" si="6"/>
        <v>17.5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17.5</v>
      </c>
      <c r="U30" s="14">
        <f t="shared" si="7"/>
        <v>17.5</v>
      </c>
      <c r="V30" s="29">
        <f t="shared" si="8"/>
        <v>0</v>
      </c>
      <c r="W30" s="29">
        <f t="shared" si="9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>
        <v>213473</v>
      </c>
      <c r="C31" s="292" t="s">
        <v>287</v>
      </c>
      <c r="D31" s="271" t="s">
        <v>28</v>
      </c>
      <c r="E31" s="293">
        <v>500</v>
      </c>
      <c r="F31" s="273">
        <v>1</v>
      </c>
      <c r="G31" s="259">
        <v>17.5</v>
      </c>
      <c r="H31" s="9">
        <f t="shared" si="4"/>
        <v>12.68</v>
      </c>
      <c r="I31" s="10">
        <f t="shared" si="5"/>
        <v>17.5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6</v>
      </c>
      <c r="L35" s="38">
        <f t="shared" si="1"/>
        <v>675</v>
      </c>
      <c r="M35" s="38">
        <f t="shared" si="6"/>
        <v>4050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4050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38">
        <f t="shared" si="4"/>
        <v>489.13</v>
      </c>
      <c r="I36" s="39">
        <f t="shared" si="5"/>
        <v>4050</v>
      </c>
      <c r="J36" s="151"/>
      <c r="K36" s="89">
        <f t="shared" si="0"/>
        <v>12</v>
      </c>
      <c r="L36" s="9">
        <f t="shared" si="1"/>
        <v>650</v>
      </c>
      <c r="M36" s="9">
        <f t="shared" si="6"/>
        <v>7800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7800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9">
        <f t="shared" si="4"/>
        <v>471.01</v>
      </c>
      <c r="I37" s="10">
        <f t="shared" si="5"/>
        <v>7800</v>
      </c>
      <c r="J37" s="151"/>
      <c r="K37" s="88">
        <f t="shared" si="0"/>
        <v>2</v>
      </c>
      <c r="L37" s="38">
        <f t="shared" si="1"/>
        <v>0</v>
      </c>
      <c r="M37" s="38">
        <f t="shared" si="6"/>
        <v>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0</v>
      </c>
      <c r="U37" s="52">
        <f t="shared" si="7"/>
        <v>0</v>
      </c>
      <c r="V37" s="41">
        <f t="shared" si="8"/>
        <v>0</v>
      </c>
      <c r="W37" s="41">
        <f t="shared" si="9"/>
        <v>0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>
        <v>210764</v>
      </c>
      <c r="C38" s="286" t="s">
        <v>190</v>
      </c>
      <c r="D38" s="271" t="s">
        <v>51</v>
      </c>
      <c r="E38" s="287"/>
      <c r="F38" s="288">
        <v>2</v>
      </c>
      <c r="G38" s="281"/>
      <c r="H38" s="38">
        <f t="shared" si="4"/>
        <v>0</v>
      </c>
      <c r="I38" s="39">
        <f t="shared" si="5"/>
        <v>0</v>
      </c>
      <c r="J38" s="151"/>
      <c r="K38" s="89">
        <f t="shared" si="0"/>
        <v>94</v>
      </c>
      <c r="L38" s="9">
        <f t="shared" si="1"/>
        <v>450</v>
      </c>
      <c r="M38" s="9">
        <f t="shared" si="6"/>
        <v>42300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450</v>
      </c>
      <c r="U38" s="14">
        <f t="shared" si="7"/>
        <v>42300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9">
        <f t="shared" si="4"/>
        <v>326.08999999999997</v>
      </c>
      <c r="I39" s="10">
        <f t="shared" si="5"/>
        <v>42300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1</v>
      </c>
      <c r="L42" s="9">
        <f t="shared" si="1"/>
        <v>1100</v>
      </c>
      <c r="M42" s="9">
        <f t="shared" si="6"/>
        <v>1100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1100</v>
      </c>
      <c r="U42" s="14">
        <f t="shared" si="7"/>
        <v>1100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 t="s">
        <v>289</v>
      </c>
      <c r="C43" s="292" t="s">
        <v>197</v>
      </c>
      <c r="D43" s="271" t="s">
        <v>22</v>
      </c>
      <c r="E43" s="293" t="s">
        <v>176</v>
      </c>
      <c r="F43" s="273">
        <v>1</v>
      </c>
      <c r="G43" s="259">
        <v>1100</v>
      </c>
      <c r="H43" s="9">
        <f t="shared" si="4"/>
        <v>797.1</v>
      </c>
      <c r="I43" s="10">
        <f t="shared" si="5"/>
        <v>1100</v>
      </c>
      <c r="J43" s="151"/>
      <c r="K43" s="88">
        <f t="shared" si="0"/>
        <v>0</v>
      </c>
      <c r="L43" s="38">
        <f t="shared" si="1"/>
        <v>0</v>
      </c>
      <c r="M43" s="38">
        <f t="shared" si="6"/>
        <v>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0</v>
      </c>
      <c r="U43" s="52">
        <f t="shared" si="7"/>
        <v>0</v>
      </c>
      <c r="V43" s="41">
        <f t="shared" si="8"/>
        <v>0</v>
      </c>
      <c r="W43" s="41">
        <f t="shared" si="9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/>
      <c r="C44" s="286"/>
      <c r="D44" s="271"/>
      <c r="E44" s="287"/>
      <c r="F44" s="288"/>
      <c r="G44" s="281"/>
      <c r="H44" s="38">
        <f t="shared" si="4"/>
        <v>0</v>
      </c>
      <c r="I44" s="39">
        <f t="shared" si="5"/>
        <v>0</v>
      </c>
      <c r="J44" s="151"/>
      <c r="K44" s="89">
        <f t="shared" si="0"/>
        <v>1</v>
      </c>
      <c r="L44" s="9">
        <f t="shared" si="1"/>
        <v>675</v>
      </c>
      <c r="M44" s="9">
        <f t="shared" si="6"/>
        <v>675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675</v>
      </c>
      <c r="U44" s="14">
        <f t="shared" si="7"/>
        <v>675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213465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9">
        <f t="shared" si="4"/>
        <v>489.13</v>
      </c>
      <c r="I45" s="10">
        <f t="shared" si="5"/>
        <v>675</v>
      </c>
      <c r="J45" s="151"/>
      <c r="K45" s="88">
        <f t="shared" si="0"/>
        <v>1</v>
      </c>
      <c r="L45" s="38">
        <f t="shared" si="1"/>
        <v>975</v>
      </c>
      <c r="M45" s="38">
        <f t="shared" si="6"/>
        <v>975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975</v>
      </c>
      <c r="U45" s="52">
        <f t="shared" si="7"/>
        <v>975</v>
      </c>
      <c r="V45" s="41">
        <f t="shared" si="8"/>
        <v>0</v>
      </c>
      <c r="W45" s="41">
        <f t="shared" si="9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 t="s">
        <v>290</v>
      </c>
      <c r="C46" s="286" t="s">
        <v>201</v>
      </c>
      <c r="D46" s="271" t="s">
        <v>13</v>
      </c>
      <c r="E46" s="287" t="s">
        <v>176</v>
      </c>
      <c r="F46" s="288">
        <v>1</v>
      </c>
      <c r="G46" s="281">
        <v>975</v>
      </c>
      <c r="H46" s="38">
        <f t="shared" si="4"/>
        <v>706.52</v>
      </c>
      <c r="I46" s="39">
        <f t="shared" si="5"/>
        <v>975</v>
      </c>
      <c r="J46" s="151"/>
      <c r="K46" s="89">
        <f t="shared" si="0"/>
        <v>1</v>
      </c>
      <c r="L46" s="9">
        <f t="shared" si="1"/>
        <v>1850</v>
      </c>
      <c r="M46" s="9">
        <f t="shared" si="6"/>
        <v>1850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1850</v>
      </c>
      <c r="U46" s="14">
        <f t="shared" si="7"/>
        <v>1850</v>
      </c>
      <c r="V46" s="29">
        <f t="shared" si="8"/>
        <v>0</v>
      </c>
      <c r="W46" s="29">
        <f t="shared" si="9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>
        <v>211971</v>
      </c>
      <c r="C47" s="292" t="s">
        <v>224</v>
      </c>
      <c r="D47" s="271" t="s">
        <v>15</v>
      </c>
      <c r="E47" s="293" t="s">
        <v>176</v>
      </c>
      <c r="F47" s="273">
        <v>1</v>
      </c>
      <c r="G47" s="259">
        <v>1850</v>
      </c>
      <c r="H47" s="9">
        <f t="shared" si="4"/>
        <v>1340.58</v>
      </c>
      <c r="I47" s="10">
        <f t="shared" si="5"/>
        <v>1850</v>
      </c>
      <c r="J47" s="151"/>
      <c r="K47" s="88">
        <f t="shared" si="0"/>
        <v>1</v>
      </c>
      <c r="L47" s="38">
        <f t="shared" si="1"/>
        <v>4250</v>
      </c>
      <c r="M47" s="38">
        <f t="shared" si="6"/>
        <v>4250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4250</v>
      </c>
      <c r="U47" s="52">
        <f t="shared" si="7"/>
        <v>4250</v>
      </c>
      <c r="V47" s="41">
        <f t="shared" si="8"/>
        <v>0</v>
      </c>
      <c r="W47" s="41">
        <f t="shared" si="9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>
        <v>213737</v>
      </c>
      <c r="C48" s="181" t="s">
        <v>254</v>
      </c>
      <c r="D48" s="271" t="s">
        <v>16</v>
      </c>
      <c r="E48" s="287" t="s">
        <v>176</v>
      </c>
      <c r="F48" s="288">
        <v>1</v>
      </c>
      <c r="G48" s="281">
        <v>4250</v>
      </c>
      <c r="H48" s="38">
        <f t="shared" si="4"/>
        <v>3079.71</v>
      </c>
      <c r="I48" s="39">
        <f t="shared" si="5"/>
        <v>4250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993</v>
      </c>
      <c r="L81" s="79">
        <f>SUM(L18:L80)</f>
        <v>20615.5</v>
      </c>
      <c r="M81" s="80">
        <f>SUM(M18:M80)</f>
        <v>90207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20615.5</v>
      </c>
      <c r="U81" s="80">
        <f>SUM(U18:U80)</f>
        <v>90207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993</v>
      </c>
      <c r="G82" s="78">
        <f>SUM(G19:G81)</f>
        <v>20615.5</v>
      </c>
      <c r="H82" s="79">
        <f>SUM(H19:H81)</f>
        <v>14938.759999999998</v>
      </c>
      <c r="I82" s="80">
        <f>SUM(I19:I81)</f>
        <v>90207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91" priority="3" stopIfTrue="1">
      <formula>$V$9&gt;100%</formula>
    </cfRule>
    <cfRule type="expression" dxfId="90" priority="4">
      <formula>$V$9&lt;50%</formula>
    </cfRule>
  </conditionalFormatting>
  <conditionalFormatting sqref="W9:W10">
    <cfRule type="expression" dxfId="89" priority="1">
      <formula>$W$9&lt;50%</formula>
    </cfRule>
    <cfRule type="expression" dxfId="88" priority="2">
      <formula>$W$9&gt;50%</formula>
    </cfRule>
  </conditionalFormatting>
  <dataValidations count="6">
    <dataValidation type="list" allowBlank="1" showInputMessage="1" showErrorMessage="1" sqref="G2" xr:uid="{A1789B06-3BFF-4E0F-B6D6-804D1241A65E}">
      <formula1>$Z$34:$Z$48</formula1>
    </dataValidation>
    <dataValidation type="list" allowBlank="1" showInputMessage="1" showErrorMessage="1" sqref="N18:N80" xr:uid="{0F87F819-BE18-4CEE-ADFC-5D4CD89920AB}">
      <formula1>$Z$31:$Z$32</formula1>
    </dataValidation>
    <dataValidation type="list" showInputMessage="1" showErrorMessage="1" sqref="E19:E81" xr:uid="{96B7864C-1A12-4CCF-8040-F22638308832}">
      <formula1>$AA$18:$AA$29</formula1>
    </dataValidation>
    <dataValidation type="list" allowBlank="1" showInputMessage="1" showErrorMessage="1" sqref="J13" xr:uid="{98417EED-16E6-4828-BEF7-F8E659A9E2D8}">
      <formula1>$L$9:$L$9</formula1>
    </dataValidation>
    <dataValidation type="list" allowBlank="1" showInputMessage="1" showErrorMessage="1" sqref="I13" xr:uid="{536ECAA7-8E09-477E-AD21-F29BD05733AF}">
      <formula1>$Z$13:$Z$14</formula1>
    </dataValidation>
    <dataValidation type="list" allowBlank="1" showInputMessage="1" showErrorMessage="1" sqref="G18 R14 R17 L17" xr:uid="{EE1CF8DD-3B10-4CA9-980F-2DF77F9C07B2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0037F1-F759-4DCE-9B3F-CB70D0A5244C}">
          <x14:formula1>
            <xm:f>'Product Type'!$A$1:$A$55</xm:f>
          </x14:formula1>
          <xm:sqref>D19:D64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63C5-D92A-47CB-AB00-1FDB6B6115A8}">
  <sheetPr>
    <pageSetUpPr fitToPage="1"/>
  </sheetPr>
  <dimension ref="A1:AC83"/>
  <sheetViews>
    <sheetView topLeftCell="B17" zoomScale="84" zoomScaleNormal="84" workbookViewId="0">
      <selection activeCell="G3" sqref="G3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1.28515625" style="164" bestFit="1" customWidth="1"/>
    <col min="5" max="5" width="10.28515625" style="166" customWidth="1"/>
    <col min="6" max="6" width="10.4257812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546" t="s">
        <v>73</v>
      </c>
      <c r="C1" s="547"/>
      <c r="D1" s="168"/>
      <c r="E1" s="549" t="s">
        <v>74</v>
      </c>
      <c r="F1" s="550"/>
      <c r="G1" s="550"/>
      <c r="H1" s="551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CAD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58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4">
        <f>I82</f>
        <v>87474.5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 t="s">
        <v>82</v>
      </c>
      <c r="D3" s="181"/>
      <c r="E3" s="729" t="s">
        <v>67</v>
      </c>
      <c r="F3" s="730"/>
      <c r="G3" s="406" t="s">
        <v>259</v>
      </c>
      <c r="H3" s="175">
        <v>1</v>
      </c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7">
        <f>M81</f>
        <v>87474.5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725" t="s">
        <v>68</v>
      </c>
      <c r="F4" s="726"/>
      <c r="G4" s="404" t="s">
        <v>308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7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727" t="s">
        <v>90</v>
      </c>
      <c r="F5" s="728"/>
      <c r="G5" s="403">
        <v>87790135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5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>
        <v>1</v>
      </c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3">
        <f>U81</f>
        <v>87474.5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403">
        <v>800068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599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599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8">
        <f>W14</f>
        <v>0</v>
      </c>
      <c r="R9" s="609"/>
      <c r="S9" s="610"/>
      <c r="T9" s="611">
        <f>Q7+Q8+Q9</f>
        <v>0</v>
      </c>
      <c r="U9" s="611">
        <f>Q3-T9</f>
        <v>87474.5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>
        <v>250</v>
      </c>
      <c r="I10" s="199"/>
      <c r="J10" s="200"/>
      <c r="K10" s="200"/>
      <c r="L10" s="201"/>
      <c r="M10" s="580" t="s">
        <v>112</v>
      </c>
      <c r="N10" s="604"/>
      <c r="O10" s="581"/>
      <c r="P10" s="177"/>
      <c r="Q10" s="605">
        <f>F82</f>
        <v>988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617"/>
      <c r="C11" s="618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619"/>
      <c r="C12" s="620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619"/>
      <c r="C13" s="620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619"/>
      <c r="C14" s="620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621"/>
      <c r="C15" s="622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230" t="s">
        <v>130</v>
      </c>
      <c r="C16" s="231" t="s">
        <v>131</v>
      </c>
      <c r="D16" s="232" t="s">
        <v>132</v>
      </c>
      <c r="E16" s="233" t="s">
        <v>133</v>
      </c>
      <c r="F16" s="234" t="s">
        <v>134</v>
      </c>
      <c r="G16" s="235" t="s">
        <v>135</v>
      </c>
      <c r="H16" s="236" t="s">
        <v>136</v>
      </c>
      <c r="I16" s="237" t="s">
        <v>137</v>
      </c>
      <c r="J16" s="238"/>
      <c r="K16" s="671" t="s">
        <v>138</v>
      </c>
      <c r="L16" s="239" t="s">
        <v>139</v>
      </c>
      <c r="M16" s="240" t="s">
        <v>140</v>
      </c>
      <c r="N16" s="673" t="s">
        <v>141</v>
      </c>
      <c r="O16" s="675" t="s">
        <v>142</v>
      </c>
      <c r="P16" s="241"/>
      <c r="Q16" s="677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25.5" x14ac:dyDescent="0.25">
      <c r="A17" s="246"/>
      <c r="B17" s="230" t="s">
        <v>150</v>
      </c>
      <c r="C17" s="231" t="s">
        <v>151</v>
      </c>
      <c r="D17" s="232" t="s">
        <v>152</v>
      </c>
      <c r="E17" s="233" t="s">
        <v>153</v>
      </c>
      <c r="F17" s="234" t="s">
        <v>138</v>
      </c>
      <c r="G17" s="235" t="s">
        <v>154</v>
      </c>
      <c r="H17" s="236"/>
      <c r="I17" s="237" t="s">
        <v>155</v>
      </c>
      <c r="J17" s="247"/>
      <c r="K17" s="672"/>
      <c r="L17" s="679" t="s">
        <v>116</v>
      </c>
      <c r="M17" s="680"/>
      <c r="N17" s="674"/>
      <c r="O17" s="676"/>
      <c r="P17" s="248"/>
      <c r="Q17" s="678"/>
      <c r="R17" s="220" t="s">
        <v>117</v>
      </c>
      <c r="S17" s="668" t="str">
        <f>L17</f>
        <v>CAD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39"/>
      <c r="C18" s="237"/>
      <c r="D18" s="252"/>
      <c r="E18" s="253"/>
      <c r="F18" s="239"/>
      <c r="G18" s="220" t="s">
        <v>116</v>
      </c>
      <c r="H18" s="254" t="str">
        <f>IF(G18="USD $", "CAD $", "USD $")</f>
        <v>USD $</v>
      </c>
      <c r="I18" s="255" t="str">
        <f>L17</f>
        <v>CAD $</v>
      </c>
      <c r="J18" s="256"/>
      <c r="K18" s="257">
        <f t="shared" ref="K18:K49" si="0">F19</f>
        <v>1</v>
      </c>
      <c r="L18" s="258">
        <f t="shared" ref="L18:L49" si="1">IFERROR(IF(N18="OEM DISC %",ROUND(IF($L$17=$G$18,G19*(1-O18),H19*(1-O18)),2),IF(N18="MARKUP %",ROUND(S18/K18*(1+O18),2))),0)</f>
        <v>45</v>
      </c>
      <c r="M18" s="258">
        <f t="shared" ref="M18:M49" si="2">ROUND((K18*L18),2)</f>
        <v>45</v>
      </c>
      <c r="N18" s="259" t="s">
        <v>156</v>
      </c>
      <c r="O18" s="260"/>
      <c r="P18" s="261"/>
      <c r="Q18" s="262"/>
      <c r="R18" s="263"/>
      <c r="S18" s="264">
        <f t="shared" ref="S18:S49" si="3">ROUND(IF($S$17=$R$17,R18,IF($S$17="USD $",R18*$E$15,R18*$F$15))*F19,2)</f>
        <v>0</v>
      </c>
      <c r="T18" s="264">
        <f t="shared" ref="T18:T49" si="4">IFERROR(ROUND(U18/F19,2),0)</f>
        <v>45</v>
      </c>
      <c r="U18" s="264">
        <f t="shared" ref="U18:U49" si="5">ROUND(M18-S18,2)</f>
        <v>45</v>
      </c>
      <c r="V18" s="265">
        <f t="shared" ref="V18:V49" si="6">IFERROR(((L18-(S18/K18))/(S18/K18)),0)</f>
        <v>0</v>
      </c>
      <c r="W18" s="265">
        <f t="shared" ref="W18:W49" si="7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258">
        <f t="shared" ref="H19:H50" si="8">ROUND(IF($G$18="USD $", G19*$F$15,G19*$E$15),2)</f>
        <v>32.61</v>
      </c>
      <c r="I19" s="274">
        <f t="shared" ref="I19:I50" si="9">ROUND(IF($I$18=$H$18,F19*H19,F19*G19),2)</f>
        <v>45</v>
      </c>
      <c r="J19" s="275"/>
      <c r="K19" s="276">
        <f t="shared" si="0"/>
        <v>1</v>
      </c>
      <c r="L19" s="277">
        <f t="shared" si="1"/>
        <v>50</v>
      </c>
      <c r="M19" s="277">
        <f t="shared" si="2"/>
        <v>50</v>
      </c>
      <c r="N19" s="278" t="s">
        <v>156</v>
      </c>
      <c r="O19" s="279"/>
      <c r="P19" s="261"/>
      <c r="Q19" s="280"/>
      <c r="R19" s="281"/>
      <c r="S19" s="282">
        <f t="shared" si="3"/>
        <v>0</v>
      </c>
      <c r="T19" s="283">
        <f t="shared" si="4"/>
        <v>50</v>
      </c>
      <c r="U19" s="283">
        <f t="shared" si="5"/>
        <v>50</v>
      </c>
      <c r="V19" s="284">
        <f t="shared" si="6"/>
        <v>0</v>
      </c>
      <c r="W19" s="284">
        <f t="shared" si="7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277">
        <f t="shared" si="8"/>
        <v>36.229999999999997</v>
      </c>
      <c r="I20" s="289">
        <f t="shared" si="9"/>
        <v>50</v>
      </c>
      <c r="J20" s="275"/>
      <c r="K20" s="257">
        <f t="shared" si="0"/>
        <v>1</v>
      </c>
      <c r="L20" s="258">
        <f t="shared" si="1"/>
        <v>122.5</v>
      </c>
      <c r="M20" s="258">
        <f t="shared" si="2"/>
        <v>122.5</v>
      </c>
      <c r="N20" s="259" t="s">
        <v>156</v>
      </c>
      <c r="O20" s="290"/>
      <c r="P20" s="261"/>
      <c r="Q20" s="291"/>
      <c r="R20" s="263"/>
      <c r="S20" s="264">
        <f t="shared" si="3"/>
        <v>0</v>
      </c>
      <c r="T20" s="264">
        <f t="shared" si="4"/>
        <v>122.5</v>
      </c>
      <c r="U20" s="264">
        <f t="shared" si="5"/>
        <v>122.5</v>
      </c>
      <c r="V20" s="265">
        <f t="shared" si="6"/>
        <v>0</v>
      </c>
      <c r="W20" s="265">
        <f t="shared" si="7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258">
        <f t="shared" si="8"/>
        <v>88.77</v>
      </c>
      <c r="I21" s="274">
        <f t="shared" si="9"/>
        <v>122.5</v>
      </c>
      <c r="J21" s="275"/>
      <c r="K21" s="276">
        <f t="shared" si="0"/>
        <v>5</v>
      </c>
      <c r="L21" s="277">
        <f t="shared" si="1"/>
        <v>140</v>
      </c>
      <c r="M21" s="277">
        <f t="shared" si="2"/>
        <v>700</v>
      </c>
      <c r="N21" s="278" t="s">
        <v>156</v>
      </c>
      <c r="O21" s="279"/>
      <c r="P21" s="261"/>
      <c r="Q21" s="280"/>
      <c r="R21" s="281"/>
      <c r="S21" s="282">
        <f t="shared" si="3"/>
        <v>0</v>
      </c>
      <c r="T21" s="283">
        <f t="shared" si="4"/>
        <v>140</v>
      </c>
      <c r="U21" s="283">
        <f t="shared" si="5"/>
        <v>700</v>
      </c>
      <c r="V21" s="284">
        <f t="shared" si="6"/>
        <v>0</v>
      </c>
      <c r="W21" s="284">
        <f t="shared" si="7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277">
        <f t="shared" si="8"/>
        <v>101.45</v>
      </c>
      <c r="I22" s="289">
        <f t="shared" si="9"/>
        <v>700</v>
      </c>
      <c r="J22" s="275"/>
      <c r="K22" s="257">
        <f t="shared" si="0"/>
        <v>1</v>
      </c>
      <c r="L22" s="258">
        <f t="shared" si="1"/>
        <v>125</v>
      </c>
      <c r="M22" s="258">
        <f t="shared" si="2"/>
        <v>125</v>
      </c>
      <c r="N22" s="259" t="s">
        <v>156</v>
      </c>
      <c r="O22" s="290"/>
      <c r="P22" s="261"/>
      <c r="Q22" s="291"/>
      <c r="R22" s="263"/>
      <c r="S22" s="264">
        <f t="shared" si="3"/>
        <v>0</v>
      </c>
      <c r="T22" s="264">
        <f t="shared" si="4"/>
        <v>125</v>
      </c>
      <c r="U22" s="264">
        <f t="shared" si="5"/>
        <v>125</v>
      </c>
      <c r="V22" s="265">
        <f t="shared" si="6"/>
        <v>0</v>
      </c>
      <c r="W22" s="265">
        <f t="shared" si="7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258">
        <f t="shared" si="8"/>
        <v>90.58</v>
      </c>
      <c r="I23" s="274">
        <f t="shared" si="9"/>
        <v>125</v>
      </c>
      <c r="J23" s="275"/>
      <c r="K23" s="276">
        <f t="shared" si="0"/>
        <v>1</v>
      </c>
      <c r="L23" s="277">
        <f t="shared" si="1"/>
        <v>145</v>
      </c>
      <c r="M23" s="277">
        <f t="shared" si="2"/>
        <v>145</v>
      </c>
      <c r="N23" s="278" t="s">
        <v>156</v>
      </c>
      <c r="O23" s="279"/>
      <c r="P23" s="261"/>
      <c r="Q23" s="280"/>
      <c r="R23" s="281"/>
      <c r="S23" s="282">
        <f t="shared" si="3"/>
        <v>0</v>
      </c>
      <c r="T23" s="283">
        <f t="shared" si="4"/>
        <v>145</v>
      </c>
      <c r="U23" s="283">
        <f t="shared" si="5"/>
        <v>145</v>
      </c>
      <c r="V23" s="284">
        <f t="shared" si="6"/>
        <v>0</v>
      </c>
      <c r="W23" s="284">
        <f t="shared" si="7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211219</v>
      </c>
      <c r="C24" s="286" t="s">
        <v>166</v>
      </c>
      <c r="D24" s="271" t="s">
        <v>25</v>
      </c>
      <c r="E24" s="287">
        <v>500</v>
      </c>
      <c r="F24" s="288">
        <v>1</v>
      </c>
      <c r="G24" s="281">
        <v>145</v>
      </c>
      <c r="H24" s="277">
        <f t="shared" si="8"/>
        <v>105.07</v>
      </c>
      <c r="I24" s="289">
        <f t="shared" si="9"/>
        <v>145</v>
      </c>
      <c r="J24" s="275"/>
      <c r="K24" s="257">
        <f t="shared" si="0"/>
        <v>1</v>
      </c>
      <c r="L24" s="258">
        <f t="shared" si="1"/>
        <v>70</v>
      </c>
      <c r="M24" s="258">
        <f t="shared" si="2"/>
        <v>70</v>
      </c>
      <c r="N24" s="259" t="s">
        <v>156</v>
      </c>
      <c r="O24" s="290"/>
      <c r="P24" s="261"/>
      <c r="Q24" s="291"/>
      <c r="R24" s="263"/>
      <c r="S24" s="264">
        <f t="shared" si="3"/>
        <v>0</v>
      </c>
      <c r="T24" s="264">
        <f t="shared" si="4"/>
        <v>70</v>
      </c>
      <c r="U24" s="264">
        <f t="shared" si="5"/>
        <v>70</v>
      </c>
      <c r="V24" s="265">
        <f t="shared" si="6"/>
        <v>0</v>
      </c>
      <c r="W24" s="265">
        <f t="shared" si="7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211220</v>
      </c>
      <c r="C25" s="292" t="s">
        <v>168</v>
      </c>
      <c r="D25" s="271" t="s">
        <v>25</v>
      </c>
      <c r="E25" s="293">
        <v>375</v>
      </c>
      <c r="F25" s="273">
        <v>1</v>
      </c>
      <c r="G25" s="259">
        <v>70</v>
      </c>
      <c r="H25" s="258">
        <f t="shared" si="8"/>
        <v>50.72</v>
      </c>
      <c r="I25" s="274">
        <f t="shared" si="9"/>
        <v>70</v>
      </c>
      <c r="J25" s="275"/>
      <c r="K25" s="276">
        <f t="shared" si="0"/>
        <v>1</v>
      </c>
      <c r="L25" s="277">
        <f t="shared" si="1"/>
        <v>50</v>
      </c>
      <c r="M25" s="277">
        <f t="shared" si="2"/>
        <v>50</v>
      </c>
      <c r="N25" s="278" t="s">
        <v>156</v>
      </c>
      <c r="O25" s="279"/>
      <c r="P25" s="261"/>
      <c r="Q25" s="280"/>
      <c r="R25" s="281"/>
      <c r="S25" s="282">
        <f t="shared" si="3"/>
        <v>0</v>
      </c>
      <c r="T25" s="283">
        <f t="shared" si="4"/>
        <v>50</v>
      </c>
      <c r="U25" s="283">
        <f t="shared" si="5"/>
        <v>50</v>
      </c>
      <c r="V25" s="284">
        <f t="shared" si="6"/>
        <v>0</v>
      </c>
      <c r="W25" s="284">
        <f t="shared" si="7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277">
        <f t="shared" si="8"/>
        <v>36.229999999999997</v>
      </c>
      <c r="I26" s="289">
        <f t="shared" si="9"/>
        <v>50</v>
      </c>
      <c r="J26" s="275"/>
      <c r="K26" s="257">
        <f t="shared" si="0"/>
        <v>2</v>
      </c>
      <c r="L26" s="258">
        <f t="shared" si="1"/>
        <v>325</v>
      </c>
      <c r="M26" s="258">
        <f t="shared" si="2"/>
        <v>650</v>
      </c>
      <c r="N26" s="259" t="s">
        <v>156</v>
      </c>
      <c r="O26" s="290"/>
      <c r="P26" s="261"/>
      <c r="Q26" s="291"/>
      <c r="R26" s="263"/>
      <c r="S26" s="264">
        <f t="shared" si="3"/>
        <v>0</v>
      </c>
      <c r="T26" s="264">
        <f t="shared" si="4"/>
        <v>325</v>
      </c>
      <c r="U26" s="264">
        <f t="shared" si="5"/>
        <v>650</v>
      </c>
      <c r="V26" s="265">
        <f t="shared" si="6"/>
        <v>0</v>
      </c>
      <c r="W26" s="265">
        <f t="shared" si="7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258">
        <f t="shared" si="8"/>
        <v>235.51</v>
      </c>
      <c r="I27" s="274">
        <f t="shared" si="9"/>
        <v>650</v>
      </c>
      <c r="J27" s="275"/>
      <c r="K27" s="276">
        <f t="shared" si="0"/>
        <v>0</v>
      </c>
      <c r="L27" s="277">
        <f t="shared" si="1"/>
        <v>0</v>
      </c>
      <c r="M27" s="277">
        <f t="shared" si="2"/>
        <v>0</v>
      </c>
      <c r="N27" s="278" t="s">
        <v>156</v>
      </c>
      <c r="O27" s="279"/>
      <c r="P27" s="261"/>
      <c r="Q27" s="280"/>
      <c r="R27" s="281"/>
      <c r="S27" s="282">
        <f t="shared" si="3"/>
        <v>0</v>
      </c>
      <c r="T27" s="283">
        <f t="shared" si="4"/>
        <v>0</v>
      </c>
      <c r="U27" s="283">
        <f t="shared" si="5"/>
        <v>0</v>
      </c>
      <c r="V27" s="284">
        <f t="shared" si="6"/>
        <v>0</v>
      </c>
      <c r="W27" s="284">
        <f t="shared" si="7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80"/>
      <c r="C28" s="286"/>
      <c r="D28" s="271"/>
      <c r="E28" s="287"/>
      <c r="F28" s="288"/>
      <c r="G28" s="281"/>
      <c r="H28" s="277">
        <f t="shared" si="8"/>
        <v>0</v>
      </c>
      <c r="I28" s="289">
        <f t="shared" si="9"/>
        <v>0</v>
      </c>
      <c r="J28" s="275"/>
      <c r="K28" s="257">
        <f t="shared" si="0"/>
        <v>6</v>
      </c>
      <c r="L28" s="258">
        <f t="shared" si="1"/>
        <v>1150</v>
      </c>
      <c r="M28" s="258">
        <f t="shared" si="2"/>
        <v>6900</v>
      </c>
      <c r="N28" s="259" t="s">
        <v>156</v>
      </c>
      <c r="O28" s="290"/>
      <c r="P28" s="261"/>
      <c r="Q28" s="291"/>
      <c r="R28" s="263"/>
      <c r="S28" s="264">
        <f t="shared" si="3"/>
        <v>0</v>
      </c>
      <c r="T28" s="264">
        <f t="shared" si="4"/>
        <v>1150</v>
      </c>
      <c r="U28" s="264">
        <f t="shared" si="5"/>
        <v>6900</v>
      </c>
      <c r="V28" s="265">
        <f t="shared" si="6"/>
        <v>0</v>
      </c>
      <c r="W28" s="265">
        <f t="shared" si="7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258">
        <f t="shared" si="8"/>
        <v>833.33</v>
      </c>
      <c r="I29" s="274">
        <f t="shared" si="9"/>
        <v>6900</v>
      </c>
      <c r="J29" s="275"/>
      <c r="K29" s="276">
        <f t="shared" si="0"/>
        <v>1</v>
      </c>
      <c r="L29" s="277">
        <f t="shared" si="1"/>
        <v>4650</v>
      </c>
      <c r="M29" s="277">
        <f t="shared" si="2"/>
        <v>4650</v>
      </c>
      <c r="N29" s="278" t="s">
        <v>156</v>
      </c>
      <c r="O29" s="279"/>
      <c r="P29" s="261"/>
      <c r="Q29" s="280"/>
      <c r="R29" s="281"/>
      <c r="S29" s="282">
        <f t="shared" si="3"/>
        <v>0</v>
      </c>
      <c r="T29" s="283">
        <f t="shared" si="4"/>
        <v>4650</v>
      </c>
      <c r="U29" s="283">
        <f t="shared" si="5"/>
        <v>4650</v>
      </c>
      <c r="V29" s="284">
        <f t="shared" si="6"/>
        <v>0</v>
      </c>
      <c r="W29" s="284">
        <f t="shared" si="7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277">
        <f t="shared" si="8"/>
        <v>3369.57</v>
      </c>
      <c r="I30" s="289">
        <f t="shared" si="9"/>
        <v>4650</v>
      </c>
      <c r="J30" s="275"/>
      <c r="K30" s="257">
        <f t="shared" si="0"/>
        <v>0</v>
      </c>
      <c r="L30" s="258">
        <f t="shared" si="1"/>
        <v>0</v>
      </c>
      <c r="M30" s="258">
        <f t="shared" si="2"/>
        <v>0</v>
      </c>
      <c r="N30" s="259" t="s">
        <v>156</v>
      </c>
      <c r="O30" s="290"/>
      <c r="P30" s="261"/>
      <c r="Q30" s="291"/>
      <c r="R30" s="263"/>
      <c r="S30" s="264">
        <f t="shared" si="3"/>
        <v>0</v>
      </c>
      <c r="T30" s="264">
        <f t="shared" si="4"/>
        <v>0</v>
      </c>
      <c r="U30" s="264">
        <f t="shared" si="5"/>
        <v>0</v>
      </c>
      <c r="V30" s="265">
        <f t="shared" si="6"/>
        <v>0</v>
      </c>
      <c r="W30" s="265">
        <f t="shared" si="7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62"/>
      <c r="C31" s="292"/>
      <c r="D31" s="271"/>
      <c r="E31" s="293"/>
      <c r="F31" s="273"/>
      <c r="G31" s="259"/>
      <c r="H31" s="258">
        <f t="shared" si="8"/>
        <v>0</v>
      </c>
      <c r="I31" s="274">
        <f t="shared" si="9"/>
        <v>0</v>
      </c>
      <c r="J31" s="275"/>
      <c r="K31" s="276">
        <f t="shared" si="0"/>
        <v>2</v>
      </c>
      <c r="L31" s="277">
        <f t="shared" si="1"/>
        <v>1075</v>
      </c>
      <c r="M31" s="277">
        <f t="shared" si="2"/>
        <v>2150</v>
      </c>
      <c r="N31" s="278" t="s">
        <v>156</v>
      </c>
      <c r="O31" s="279"/>
      <c r="P31" s="261"/>
      <c r="Q31" s="280"/>
      <c r="R31" s="281"/>
      <c r="S31" s="282">
        <f t="shared" si="3"/>
        <v>0</v>
      </c>
      <c r="T31" s="283">
        <f t="shared" si="4"/>
        <v>1075</v>
      </c>
      <c r="U31" s="283">
        <f t="shared" si="5"/>
        <v>2150</v>
      </c>
      <c r="V31" s="284">
        <f t="shared" si="6"/>
        <v>0</v>
      </c>
      <c r="W31" s="284">
        <f t="shared" si="7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277">
        <f t="shared" si="8"/>
        <v>778.99</v>
      </c>
      <c r="I32" s="289">
        <f t="shared" si="9"/>
        <v>2150</v>
      </c>
      <c r="J32" s="275"/>
      <c r="K32" s="257">
        <f t="shared" si="0"/>
        <v>48</v>
      </c>
      <c r="L32" s="258">
        <f t="shared" si="1"/>
        <v>11.5</v>
      </c>
      <c r="M32" s="258">
        <f t="shared" si="2"/>
        <v>552</v>
      </c>
      <c r="N32" s="259" t="s">
        <v>156</v>
      </c>
      <c r="O32" s="290"/>
      <c r="P32" s="261"/>
      <c r="Q32" s="291"/>
      <c r="R32" s="263"/>
      <c r="S32" s="264">
        <f t="shared" si="3"/>
        <v>0</v>
      </c>
      <c r="T32" s="264">
        <f t="shared" si="4"/>
        <v>11.5</v>
      </c>
      <c r="U32" s="264">
        <f t="shared" si="5"/>
        <v>552</v>
      </c>
      <c r="V32" s="265">
        <f t="shared" si="6"/>
        <v>0</v>
      </c>
      <c r="W32" s="265">
        <f t="shared" si="7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258">
        <f t="shared" si="8"/>
        <v>8.33</v>
      </c>
      <c r="I33" s="274">
        <f t="shared" si="9"/>
        <v>552</v>
      </c>
      <c r="J33" s="275"/>
      <c r="K33" s="276">
        <f t="shared" si="0"/>
        <v>48</v>
      </c>
      <c r="L33" s="277">
        <f t="shared" si="1"/>
        <v>13</v>
      </c>
      <c r="M33" s="277">
        <f t="shared" si="2"/>
        <v>624</v>
      </c>
      <c r="N33" s="278" t="s">
        <v>156</v>
      </c>
      <c r="O33" s="279"/>
      <c r="P33" s="261"/>
      <c r="Q33" s="280"/>
      <c r="R33" s="281"/>
      <c r="S33" s="282">
        <f t="shared" si="3"/>
        <v>0</v>
      </c>
      <c r="T33" s="283">
        <f t="shared" si="4"/>
        <v>13</v>
      </c>
      <c r="U33" s="283">
        <f t="shared" si="5"/>
        <v>624</v>
      </c>
      <c r="V33" s="284">
        <f t="shared" si="6"/>
        <v>0</v>
      </c>
      <c r="W33" s="284">
        <f t="shared" si="7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277">
        <f t="shared" si="8"/>
        <v>9.42</v>
      </c>
      <c r="I34" s="289">
        <f t="shared" si="9"/>
        <v>624</v>
      </c>
      <c r="J34" s="275"/>
      <c r="K34" s="257">
        <f t="shared" si="0"/>
        <v>2</v>
      </c>
      <c r="L34" s="258">
        <f t="shared" si="1"/>
        <v>1850</v>
      </c>
      <c r="M34" s="258">
        <f t="shared" si="2"/>
        <v>3700</v>
      </c>
      <c r="N34" s="259" t="s">
        <v>156</v>
      </c>
      <c r="O34" s="290"/>
      <c r="P34" s="261"/>
      <c r="Q34" s="291"/>
      <c r="R34" s="263"/>
      <c r="S34" s="264">
        <f t="shared" si="3"/>
        <v>0</v>
      </c>
      <c r="T34" s="264">
        <f t="shared" si="4"/>
        <v>1850</v>
      </c>
      <c r="U34" s="264">
        <f t="shared" si="5"/>
        <v>3700</v>
      </c>
      <c r="V34" s="265">
        <f t="shared" si="6"/>
        <v>0</v>
      </c>
      <c r="W34" s="265">
        <f t="shared" si="7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258">
        <f t="shared" si="8"/>
        <v>1340.58</v>
      </c>
      <c r="I35" s="274">
        <f t="shared" si="9"/>
        <v>3700</v>
      </c>
      <c r="J35" s="275"/>
      <c r="K35" s="276">
        <f t="shared" si="0"/>
        <v>6</v>
      </c>
      <c r="L35" s="277">
        <f t="shared" si="1"/>
        <v>675</v>
      </c>
      <c r="M35" s="277">
        <f t="shared" si="2"/>
        <v>4050</v>
      </c>
      <c r="N35" s="278" t="s">
        <v>156</v>
      </c>
      <c r="O35" s="279"/>
      <c r="P35" s="261"/>
      <c r="Q35" s="280"/>
      <c r="R35" s="281"/>
      <c r="S35" s="282">
        <f t="shared" si="3"/>
        <v>0</v>
      </c>
      <c r="T35" s="283">
        <f t="shared" si="4"/>
        <v>675</v>
      </c>
      <c r="U35" s="283">
        <f t="shared" si="5"/>
        <v>4050</v>
      </c>
      <c r="V35" s="284">
        <f t="shared" si="6"/>
        <v>0</v>
      </c>
      <c r="W35" s="284">
        <f t="shared" si="7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277">
        <f t="shared" si="8"/>
        <v>489.13</v>
      </c>
      <c r="I36" s="289">
        <f t="shared" si="9"/>
        <v>4050</v>
      </c>
      <c r="J36" s="275"/>
      <c r="K36" s="257">
        <f t="shared" si="0"/>
        <v>12</v>
      </c>
      <c r="L36" s="258">
        <f t="shared" si="1"/>
        <v>650</v>
      </c>
      <c r="M36" s="258">
        <f t="shared" si="2"/>
        <v>7800</v>
      </c>
      <c r="N36" s="259" t="s">
        <v>156</v>
      </c>
      <c r="O36" s="290"/>
      <c r="P36" s="261"/>
      <c r="Q36" s="291"/>
      <c r="R36" s="263"/>
      <c r="S36" s="264">
        <f t="shared" si="3"/>
        <v>0</v>
      </c>
      <c r="T36" s="264">
        <f t="shared" si="4"/>
        <v>650</v>
      </c>
      <c r="U36" s="264">
        <f t="shared" si="5"/>
        <v>7800</v>
      </c>
      <c r="V36" s="265">
        <f t="shared" si="6"/>
        <v>0</v>
      </c>
      <c r="W36" s="265">
        <f t="shared" si="7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258">
        <f t="shared" si="8"/>
        <v>471.01</v>
      </c>
      <c r="I37" s="274">
        <f t="shared" si="9"/>
        <v>7800</v>
      </c>
      <c r="J37" s="275"/>
      <c r="K37" s="276">
        <f t="shared" si="0"/>
        <v>0</v>
      </c>
      <c r="L37" s="277">
        <f t="shared" si="1"/>
        <v>0</v>
      </c>
      <c r="M37" s="277">
        <f t="shared" si="2"/>
        <v>0</v>
      </c>
      <c r="N37" s="278" t="s">
        <v>156</v>
      </c>
      <c r="O37" s="279"/>
      <c r="P37" s="261"/>
      <c r="Q37" s="280"/>
      <c r="R37" s="281"/>
      <c r="S37" s="282">
        <f t="shared" si="3"/>
        <v>0</v>
      </c>
      <c r="T37" s="283">
        <f t="shared" si="4"/>
        <v>0</v>
      </c>
      <c r="U37" s="283">
        <f t="shared" si="5"/>
        <v>0</v>
      </c>
      <c r="V37" s="284">
        <f t="shared" si="6"/>
        <v>0</v>
      </c>
      <c r="W37" s="284">
        <f t="shared" si="7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80"/>
      <c r="C38" s="286" t="s">
        <v>190</v>
      </c>
      <c r="D38" s="271"/>
      <c r="E38" s="287"/>
      <c r="F38" s="288"/>
      <c r="G38" s="281"/>
      <c r="H38" s="277">
        <f t="shared" si="8"/>
        <v>0</v>
      </c>
      <c r="I38" s="289">
        <f t="shared" si="9"/>
        <v>0</v>
      </c>
      <c r="J38" s="275"/>
      <c r="K38" s="257">
        <f t="shared" si="0"/>
        <v>94</v>
      </c>
      <c r="L38" s="258">
        <f t="shared" si="1"/>
        <v>450</v>
      </c>
      <c r="M38" s="258">
        <f t="shared" si="2"/>
        <v>42300</v>
      </c>
      <c r="N38" s="259" t="s">
        <v>156</v>
      </c>
      <c r="O38" s="290"/>
      <c r="P38" s="261"/>
      <c r="Q38" s="291"/>
      <c r="R38" s="263"/>
      <c r="S38" s="264">
        <f t="shared" si="3"/>
        <v>0</v>
      </c>
      <c r="T38" s="264">
        <f t="shared" si="4"/>
        <v>450</v>
      </c>
      <c r="U38" s="264">
        <f t="shared" si="5"/>
        <v>42300</v>
      </c>
      <c r="V38" s="265">
        <f t="shared" si="6"/>
        <v>0</v>
      </c>
      <c r="W38" s="265">
        <f t="shared" si="7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258">
        <f t="shared" si="8"/>
        <v>326.08999999999997</v>
      </c>
      <c r="I39" s="274">
        <f t="shared" si="9"/>
        <v>42300</v>
      </c>
      <c r="J39" s="275"/>
      <c r="K39" s="276">
        <f t="shared" si="0"/>
        <v>376</v>
      </c>
      <c r="L39" s="277">
        <f t="shared" si="1"/>
        <v>8.5</v>
      </c>
      <c r="M39" s="277">
        <f t="shared" si="2"/>
        <v>3196</v>
      </c>
      <c r="N39" s="278" t="s">
        <v>156</v>
      </c>
      <c r="O39" s="279"/>
      <c r="P39" s="261"/>
      <c r="Q39" s="280"/>
      <c r="R39" s="281"/>
      <c r="S39" s="282">
        <f t="shared" si="3"/>
        <v>0</v>
      </c>
      <c r="T39" s="283">
        <f t="shared" si="4"/>
        <v>8.5</v>
      </c>
      <c r="U39" s="283">
        <f t="shared" si="5"/>
        <v>3196</v>
      </c>
      <c r="V39" s="284">
        <f t="shared" si="6"/>
        <v>0</v>
      </c>
      <c r="W39" s="284">
        <f t="shared" si="7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277">
        <f t="shared" si="8"/>
        <v>6.16</v>
      </c>
      <c r="I40" s="289">
        <f t="shared" si="9"/>
        <v>3196</v>
      </c>
      <c r="J40" s="275"/>
      <c r="K40" s="257">
        <f t="shared" si="0"/>
        <v>376</v>
      </c>
      <c r="L40" s="258">
        <f t="shared" si="1"/>
        <v>7.5</v>
      </c>
      <c r="M40" s="258">
        <f t="shared" si="2"/>
        <v>2820</v>
      </c>
      <c r="N40" s="259" t="s">
        <v>156</v>
      </c>
      <c r="O40" s="290"/>
      <c r="P40" s="261"/>
      <c r="Q40" s="291"/>
      <c r="R40" s="263"/>
      <c r="S40" s="264">
        <f t="shared" si="3"/>
        <v>0</v>
      </c>
      <c r="T40" s="264">
        <f t="shared" si="4"/>
        <v>7.5</v>
      </c>
      <c r="U40" s="264">
        <f t="shared" si="5"/>
        <v>2820</v>
      </c>
      <c r="V40" s="265">
        <f t="shared" si="6"/>
        <v>0</v>
      </c>
      <c r="W40" s="265">
        <f t="shared" si="7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258">
        <f t="shared" si="8"/>
        <v>5.43</v>
      </c>
      <c r="I41" s="274">
        <f t="shared" si="9"/>
        <v>2820</v>
      </c>
      <c r="J41" s="275"/>
      <c r="K41" s="276">
        <f t="shared" si="0"/>
        <v>0</v>
      </c>
      <c r="L41" s="277">
        <f t="shared" si="1"/>
        <v>0</v>
      </c>
      <c r="M41" s="277">
        <f t="shared" si="2"/>
        <v>0</v>
      </c>
      <c r="N41" s="278" t="s">
        <v>156</v>
      </c>
      <c r="O41" s="279"/>
      <c r="P41" s="261"/>
      <c r="Q41" s="280"/>
      <c r="R41" s="281"/>
      <c r="S41" s="282">
        <f t="shared" si="3"/>
        <v>0</v>
      </c>
      <c r="T41" s="283">
        <f t="shared" si="4"/>
        <v>0</v>
      </c>
      <c r="U41" s="283">
        <f t="shared" si="5"/>
        <v>0</v>
      </c>
      <c r="V41" s="284">
        <f t="shared" si="6"/>
        <v>0</v>
      </c>
      <c r="W41" s="284">
        <f t="shared" si="7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286"/>
      <c r="D42" s="271"/>
      <c r="E42" s="287"/>
      <c r="F42" s="288"/>
      <c r="G42" s="281"/>
      <c r="H42" s="277">
        <f t="shared" si="8"/>
        <v>0</v>
      </c>
      <c r="I42" s="289">
        <f t="shared" si="9"/>
        <v>0</v>
      </c>
      <c r="J42" s="275"/>
      <c r="K42" s="257">
        <f t="shared" si="0"/>
        <v>0</v>
      </c>
      <c r="L42" s="258">
        <f t="shared" si="1"/>
        <v>0</v>
      </c>
      <c r="M42" s="258">
        <f t="shared" si="2"/>
        <v>0</v>
      </c>
      <c r="N42" s="259" t="s">
        <v>156</v>
      </c>
      <c r="O42" s="290"/>
      <c r="P42" s="261"/>
      <c r="Q42" s="291"/>
      <c r="R42" s="263"/>
      <c r="S42" s="264">
        <f t="shared" si="3"/>
        <v>0</v>
      </c>
      <c r="T42" s="264">
        <f t="shared" si="4"/>
        <v>0</v>
      </c>
      <c r="U42" s="264">
        <f t="shared" si="5"/>
        <v>0</v>
      </c>
      <c r="V42" s="265">
        <f t="shared" si="6"/>
        <v>0</v>
      </c>
      <c r="W42" s="265">
        <f t="shared" si="7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/>
      <c r="C43" s="292"/>
      <c r="D43" s="271"/>
      <c r="E43" s="293"/>
      <c r="F43" s="273"/>
      <c r="G43" s="259"/>
      <c r="H43" s="258">
        <f t="shared" si="8"/>
        <v>0</v>
      </c>
      <c r="I43" s="274">
        <f t="shared" si="9"/>
        <v>0</v>
      </c>
      <c r="J43" s="275"/>
      <c r="K43" s="276">
        <f t="shared" si="0"/>
        <v>0</v>
      </c>
      <c r="L43" s="277">
        <f t="shared" si="1"/>
        <v>0</v>
      </c>
      <c r="M43" s="277">
        <f t="shared" si="2"/>
        <v>0</v>
      </c>
      <c r="N43" s="278" t="s">
        <v>156</v>
      </c>
      <c r="O43" s="279"/>
      <c r="P43" s="261"/>
      <c r="Q43" s="280"/>
      <c r="R43" s="281"/>
      <c r="S43" s="282">
        <f t="shared" si="3"/>
        <v>0</v>
      </c>
      <c r="T43" s="283">
        <f t="shared" si="4"/>
        <v>0</v>
      </c>
      <c r="U43" s="283">
        <f t="shared" si="5"/>
        <v>0</v>
      </c>
      <c r="V43" s="284">
        <f t="shared" si="6"/>
        <v>0</v>
      </c>
      <c r="W43" s="284">
        <f t="shared" si="7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286"/>
      <c r="D44" s="271"/>
      <c r="E44" s="287"/>
      <c r="F44" s="288"/>
      <c r="G44" s="281"/>
      <c r="H44" s="277">
        <f t="shared" si="8"/>
        <v>0</v>
      </c>
      <c r="I44" s="289">
        <f t="shared" si="9"/>
        <v>0</v>
      </c>
      <c r="J44" s="275"/>
      <c r="K44" s="257">
        <f t="shared" si="0"/>
        <v>1</v>
      </c>
      <c r="L44" s="258">
        <f t="shared" si="1"/>
        <v>675</v>
      </c>
      <c r="M44" s="258">
        <f t="shared" si="2"/>
        <v>675</v>
      </c>
      <c r="N44" s="259" t="s">
        <v>156</v>
      </c>
      <c r="O44" s="290"/>
      <c r="P44" s="261"/>
      <c r="Q44" s="291"/>
      <c r="R44" s="263"/>
      <c r="S44" s="264">
        <f t="shared" si="3"/>
        <v>0</v>
      </c>
      <c r="T44" s="264">
        <f t="shared" si="4"/>
        <v>675</v>
      </c>
      <c r="U44" s="264">
        <f t="shared" si="5"/>
        <v>675</v>
      </c>
      <c r="V44" s="265">
        <f t="shared" si="6"/>
        <v>0</v>
      </c>
      <c r="W44" s="265">
        <f t="shared" si="7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>
        <v>212868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258">
        <f t="shared" si="8"/>
        <v>489.13</v>
      </c>
      <c r="I45" s="274">
        <f t="shared" si="9"/>
        <v>675</v>
      </c>
      <c r="J45" s="275"/>
      <c r="K45" s="276">
        <f t="shared" si="0"/>
        <v>0</v>
      </c>
      <c r="L45" s="277">
        <f t="shared" si="1"/>
        <v>0</v>
      </c>
      <c r="M45" s="277">
        <f t="shared" si="2"/>
        <v>0</v>
      </c>
      <c r="N45" s="278" t="s">
        <v>156</v>
      </c>
      <c r="O45" s="279"/>
      <c r="P45" s="261"/>
      <c r="Q45" s="280"/>
      <c r="R45" s="281"/>
      <c r="S45" s="282">
        <f t="shared" si="3"/>
        <v>0</v>
      </c>
      <c r="T45" s="283">
        <f t="shared" si="4"/>
        <v>0</v>
      </c>
      <c r="U45" s="283">
        <f t="shared" si="5"/>
        <v>0</v>
      </c>
      <c r="V45" s="284">
        <f t="shared" si="6"/>
        <v>0</v>
      </c>
      <c r="W45" s="284">
        <f t="shared" si="7"/>
        <v>0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80"/>
      <c r="C46" s="286"/>
      <c r="D46" s="271"/>
      <c r="E46" s="287"/>
      <c r="F46" s="288"/>
      <c r="G46" s="281"/>
      <c r="H46" s="277">
        <f t="shared" si="8"/>
        <v>0</v>
      </c>
      <c r="I46" s="289">
        <f t="shared" si="9"/>
        <v>0</v>
      </c>
      <c r="J46" s="275"/>
      <c r="K46" s="257">
        <f t="shared" si="0"/>
        <v>1</v>
      </c>
      <c r="L46" s="258">
        <f t="shared" si="1"/>
        <v>1850</v>
      </c>
      <c r="M46" s="258">
        <f t="shared" si="2"/>
        <v>1850</v>
      </c>
      <c r="N46" s="259" t="s">
        <v>156</v>
      </c>
      <c r="O46" s="290"/>
      <c r="P46" s="261"/>
      <c r="Q46" s="291"/>
      <c r="R46" s="263"/>
      <c r="S46" s="264">
        <f t="shared" si="3"/>
        <v>0</v>
      </c>
      <c r="T46" s="264">
        <f t="shared" si="4"/>
        <v>1850</v>
      </c>
      <c r="U46" s="264">
        <f t="shared" si="5"/>
        <v>1850</v>
      </c>
      <c r="V46" s="265">
        <f t="shared" si="6"/>
        <v>0</v>
      </c>
      <c r="W46" s="265">
        <f t="shared" si="7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62">
        <v>213767</v>
      </c>
      <c r="C47" s="292" t="s">
        <v>254</v>
      </c>
      <c r="D47" s="271" t="s">
        <v>15</v>
      </c>
      <c r="E47" s="293" t="s">
        <v>176</v>
      </c>
      <c r="F47" s="273">
        <v>1</v>
      </c>
      <c r="G47" s="259">
        <v>1850</v>
      </c>
      <c r="H47" s="258">
        <f t="shared" si="8"/>
        <v>1340.58</v>
      </c>
      <c r="I47" s="274">
        <f t="shared" si="9"/>
        <v>1850</v>
      </c>
      <c r="J47" s="275"/>
      <c r="K47" s="276">
        <f t="shared" si="0"/>
        <v>1</v>
      </c>
      <c r="L47" s="277">
        <f t="shared" si="1"/>
        <v>4250</v>
      </c>
      <c r="M47" s="277">
        <f t="shared" si="2"/>
        <v>4250</v>
      </c>
      <c r="N47" s="278" t="s">
        <v>156</v>
      </c>
      <c r="O47" s="279"/>
      <c r="P47" s="261"/>
      <c r="Q47" s="280"/>
      <c r="R47" s="281"/>
      <c r="S47" s="282">
        <f t="shared" si="3"/>
        <v>0</v>
      </c>
      <c r="T47" s="283">
        <f t="shared" si="4"/>
        <v>4250</v>
      </c>
      <c r="U47" s="283">
        <f t="shared" si="5"/>
        <v>4250</v>
      </c>
      <c r="V47" s="284">
        <f t="shared" si="6"/>
        <v>0</v>
      </c>
      <c r="W47" s="284">
        <f t="shared" si="7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80">
        <v>220131</v>
      </c>
      <c r="C48" s="181" t="s">
        <v>224</v>
      </c>
      <c r="D48" s="271" t="s">
        <v>16</v>
      </c>
      <c r="E48" s="287" t="s">
        <v>176</v>
      </c>
      <c r="F48" s="288">
        <v>1</v>
      </c>
      <c r="G48" s="281">
        <v>4250</v>
      </c>
      <c r="H48" s="277">
        <f t="shared" si="8"/>
        <v>3079.71</v>
      </c>
      <c r="I48" s="289">
        <f t="shared" si="9"/>
        <v>4250</v>
      </c>
      <c r="J48" s="275"/>
      <c r="K48" s="257">
        <f t="shared" si="0"/>
        <v>0</v>
      </c>
      <c r="L48" s="258">
        <f t="shared" si="1"/>
        <v>0</v>
      </c>
      <c r="M48" s="258">
        <f t="shared" si="2"/>
        <v>0</v>
      </c>
      <c r="N48" s="259" t="s">
        <v>156</v>
      </c>
      <c r="O48" s="290"/>
      <c r="P48" s="261"/>
      <c r="Q48" s="291"/>
      <c r="R48" s="263"/>
      <c r="S48" s="264">
        <f t="shared" si="3"/>
        <v>0</v>
      </c>
      <c r="T48" s="264">
        <f t="shared" si="4"/>
        <v>0</v>
      </c>
      <c r="U48" s="264">
        <f t="shared" si="5"/>
        <v>0</v>
      </c>
      <c r="V48" s="265">
        <f t="shared" si="6"/>
        <v>0</v>
      </c>
      <c r="W48" s="265">
        <f t="shared" si="7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62"/>
      <c r="C49" s="295"/>
      <c r="D49" s="271"/>
      <c r="E49" s="293"/>
      <c r="F49" s="273"/>
      <c r="G49" s="259"/>
      <c r="H49" s="258">
        <f t="shared" si="8"/>
        <v>0</v>
      </c>
      <c r="I49" s="274">
        <f t="shared" si="9"/>
        <v>0</v>
      </c>
      <c r="J49" s="275"/>
      <c r="K49" s="276">
        <f t="shared" si="0"/>
        <v>0</v>
      </c>
      <c r="L49" s="277">
        <f t="shared" si="1"/>
        <v>0</v>
      </c>
      <c r="M49" s="277">
        <f t="shared" si="2"/>
        <v>0</v>
      </c>
      <c r="N49" s="278" t="s">
        <v>156</v>
      </c>
      <c r="O49" s="279"/>
      <c r="P49" s="261"/>
      <c r="Q49" s="280"/>
      <c r="R49" s="281"/>
      <c r="S49" s="282">
        <f t="shared" si="3"/>
        <v>0</v>
      </c>
      <c r="T49" s="283">
        <f t="shared" si="4"/>
        <v>0</v>
      </c>
      <c r="U49" s="283">
        <f t="shared" si="5"/>
        <v>0</v>
      </c>
      <c r="V49" s="284">
        <f t="shared" si="6"/>
        <v>0</v>
      </c>
      <c r="W49" s="284">
        <f t="shared" si="7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80"/>
      <c r="C50" s="181"/>
      <c r="D50" s="271"/>
      <c r="E50" s="287"/>
      <c r="F50" s="288"/>
      <c r="G50" s="281"/>
      <c r="H50" s="277">
        <f t="shared" si="8"/>
        <v>0</v>
      </c>
      <c r="I50" s="289">
        <f t="shared" si="9"/>
        <v>0</v>
      </c>
      <c r="J50" s="275"/>
      <c r="K50" s="257">
        <f t="shared" ref="K50:K80" si="10">F51</f>
        <v>0</v>
      </c>
      <c r="L50" s="258">
        <f t="shared" ref="L50:L81" si="11">IFERROR(IF(N50="OEM DISC %",ROUND(IF($L$17=$G$18,G51*(1-O50),H51*(1-O50)),2),IF(N50="MARKUP %",ROUND(S50/K50*(1+O50),2))),0)</f>
        <v>0</v>
      </c>
      <c r="M50" s="258">
        <f t="shared" ref="M50:M81" si="12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3">ROUND(IF($S$17=$R$17,R50,IF($S$17="USD $",R50*$E$15,R50*$F$15))*F51,2)</f>
        <v>0</v>
      </c>
      <c r="T50" s="264">
        <f t="shared" ref="T50:T81" si="14">IFERROR(ROUND(U50/F51,2),0)</f>
        <v>0</v>
      </c>
      <c r="U50" s="264">
        <f t="shared" ref="U50:U80" si="15">ROUND(M50-S50,2)</f>
        <v>0</v>
      </c>
      <c r="V50" s="265">
        <f t="shared" ref="V50:V80" si="16">IFERROR(((L50-(S50/K50))/(S50/K50)),0)</f>
        <v>0</v>
      </c>
      <c r="W50" s="265">
        <f t="shared" ref="W50:W80" si="17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62"/>
      <c r="C51" s="295"/>
      <c r="D51" s="271"/>
      <c r="E51" s="293"/>
      <c r="F51" s="273"/>
      <c r="G51" s="259"/>
      <c r="H51" s="258">
        <f t="shared" ref="H51:H82" si="18">ROUND(IF($G$18="USD $", G51*$F$15,G51*$E$15),2)</f>
        <v>0</v>
      </c>
      <c r="I51" s="274">
        <f t="shared" ref="I51:I82" si="19">ROUND(IF($I$18=$H$18,F51*H51,F51*G51),2)</f>
        <v>0</v>
      </c>
      <c r="J51" s="275"/>
      <c r="K51" s="276">
        <f t="shared" si="10"/>
        <v>0</v>
      </c>
      <c r="L51" s="277">
        <f t="shared" si="11"/>
        <v>0</v>
      </c>
      <c r="M51" s="277">
        <f t="shared" si="12"/>
        <v>0</v>
      </c>
      <c r="N51" s="278" t="s">
        <v>156</v>
      </c>
      <c r="O51" s="279"/>
      <c r="P51" s="261"/>
      <c r="Q51" s="280"/>
      <c r="R51" s="281"/>
      <c r="S51" s="282">
        <f t="shared" si="13"/>
        <v>0</v>
      </c>
      <c r="T51" s="283">
        <f t="shared" si="14"/>
        <v>0</v>
      </c>
      <c r="U51" s="283">
        <f t="shared" si="15"/>
        <v>0</v>
      </c>
      <c r="V51" s="284">
        <f t="shared" si="16"/>
        <v>0</v>
      </c>
      <c r="W51" s="284">
        <f t="shared" si="17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80"/>
      <c r="C52" s="181"/>
      <c r="D52" s="271"/>
      <c r="E52" s="287"/>
      <c r="F52" s="288"/>
      <c r="G52" s="281"/>
      <c r="H52" s="277">
        <f t="shared" si="18"/>
        <v>0</v>
      </c>
      <c r="I52" s="289">
        <f t="shared" si="19"/>
        <v>0</v>
      </c>
      <c r="J52" s="275"/>
      <c r="K52" s="257">
        <f t="shared" si="10"/>
        <v>0</v>
      </c>
      <c r="L52" s="258">
        <f t="shared" si="11"/>
        <v>0</v>
      </c>
      <c r="M52" s="258">
        <f t="shared" si="12"/>
        <v>0</v>
      </c>
      <c r="N52" s="259" t="s">
        <v>156</v>
      </c>
      <c r="O52" s="290"/>
      <c r="P52" s="261"/>
      <c r="Q52" s="291"/>
      <c r="R52" s="263"/>
      <c r="S52" s="264">
        <f t="shared" si="13"/>
        <v>0</v>
      </c>
      <c r="T52" s="264">
        <f t="shared" si="14"/>
        <v>0</v>
      </c>
      <c r="U52" s="264">
        <f t="shared" si="15"/>
        <v>0</v>
      </c>
      <c r="V52" s="265">
        <f t="shared" si="16"/>
        <v>0</v>
      </c>
      <c r="W52" s="265">
        <f t="shared" si="17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62"/>
      <c r="C53" s="295"/>
      <c r="D53" s="271"/>
      <c r="E53" s="293"/>
      <c r="F53" s="273"/>
      <c r="G53" s="259"/>
      <c r="H53" s="258">
        <f t="shared" si="18"/>
        <v>0</v>
      </c>
      <c r="I53" s="274">
        <f t="shared" si="19"/>
        <v>0</v>
      </c>
      <c r="J53" s="275"/>
      <c r="K53" s="276">
        <f t="shared" si="10"/>
        <v>0</v>
      </c>
      <c r="L53" s="277">
        <f t="shared" si="11"/>
        <v>0</v>
      </c>
      <c r="M53" s="277">
        <f t="shared" si="12"/>
        <v>0</v>
      </c>
      <c r="N53" s="278" t="s">
        <v>156</v>
      </c>
      <c r="O53" s="279"/>
      <c r="P53" s="261"/>
      <c r="Q53" s="280"/>
      <c r="R53" s="281"/>
      <c r="S53" s="282">
        <f t="shared" si="13"/>
        <v>0</v>
      </c>
      <c r="T53" s="283">
        <f t="shared" si="14"/>
        <v>0</v>
      </c>
      <c r="U53" s="283">
        <f t="shared" si="15"/>
        <v>0</v>
      </c>
      <c r="V53" s="284">
        <f t="shared" si="16"/>
        <v>0</v>
      </c>
      <c r="W53" s="284">
        <f t="shared" si="17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80"/>
      <c r="C54" s="181"/>
      <c r="D54" s="271"/>
      <c r="E54" s="287"/>
      <c r="F54" s="288"/>
      <c r="G54" s="281"/>
      <c r="H54" s="277">
        <f t="shared" si="18"/>
        <v>0</v>
      </c>
      <c r="I54" s="289">
        <f t="shared" si="19"/>
        <v>0</v>
      </c>
      <c r="J54" s="275"/>
      <c r="K54" s="257">
        <f t="shared" si="10"/>
        <v>0</v>
      </c>
      <c r="L54" s="258">
        <f t="shared" si="11"/>
        <v>0</v>
      </c>
      <c r="M54" s="258">
        <f t="shared" si="12"/>
        <v>0</v>
      </c>
      <c r="N54" s="259" t="s">
        <v>156</v>
      </c>
      <c r="O54" s="290"/>
      <c r="P54" s="261"/>
      <c r="Q54" s="291"/>
      <c r="R54" s="263"/>
      <c r="S54" s="264">
        <f t="shared" si="13"/>
        <v>0</v>
      </c>
      <c r="T54" s="264">
        <f t="shared" si="14"/>
        <v>0</v>
      </c>
      <c r="U54" s="264">
        <f t="shared" si="15"/>
        <v>0</v>
      </c>
      <c r="V54" s="265">
        <f t="shared" si="16"/>
        <v>0</v>
      </c>
      <c r="W54" s="265">
        <f t="shared" si="17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62"/>
      <c r="C55" s="295"/>
      <c r="D55" s="271"/>
      <c r="E55" s="293"/>
      <c r="F55" s="273"/>
      <c r="G55" s="259"/>
      <c r="H55" s="258">
        <f t="shared" si="18"/>
        <v>0</v>
      </c>
      <c r="I55" s="274">
        <f t="shared" si="19"/>
        <v>0</v>
      </c>
      <c r="J55" s="275"/>
      <c r="K55" s="276">
        <f t="shared" si="10"/>
        <v>0</v>
      </c>
      <c r="L55" s="277">
        <f t="shared" si="11"/>
        <v>0</v>
      </c>
      <c r="M55" s="277">
        <f t="shared" si="12"/>
        <v>0</v>
      </c>
      <c r="N55" s="278" t="s">
        <v>156</v>
      </c>
      <c r="O55" s="279"/>
      <c r="P55" s="261"/>
      <c r="Q55" s="280"/>
      <c r="R55" s="281"/>
      <c r="S55" s="282">
        <f t="shared" si="13"/>
        <v>0</v>
      </c>
      <c r="T55" s="283">
        <f t="shared" si="14"/>
        <v>0</v>
      </c>
      <c r="U55" s="283">
        <f t="shared" si="15"/>
        <v>0</v>
      </c>
      <c r="V55" s="284">
        <f t="shared" si="16"/>
        <v>0</v>
      </c>
      <c r="W55" s="284">
        <f t="shared" si="17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80"/>
      <c r="C56" s="181"/>
      <c r="D56" s="271"/>
      <c r="E56" s="287"/>
      <c r="F56" s="288"/>
      <c r="G56" s="281"/>
      <c r="H56" s="277">
        <f t="shared" si="18"/>
        <v>0</v>
      </c>
      <c r="I56" s="289">
        <f t="shared" si="19"/>
        <v>0</v>
      </c>
      <c r="J56" s="275"/>
      <c r="K56" s="257">
        <f t="shared" si="10"/>
        <v>0</v>
      </c>
      <c r="L56" s="258">
        <f t="shared" si="11"/>
        <v>0</v>
      </c>
      <c r="M56" s="258">
        <f t="shared" si="12"/>
        <v>0</v>
      </c>
      <c r="N56" s="259" t="s">
        <v>156</v>
      </c>
      <c r="O56" s="290"/>
      <c r="P56" s="261"/>
      <c r="Q56" s="291"/>
      <c r="R56" s="263"/>
      <c r="S56" s="264">
        <f t="shared" si="13"/>
        <v>0</v>
      </c>
      <c r="T56" s="264">
        <f t="shared" si="14"/>
        <v>0</v>
      </c>
      <c r="U56" s="264">
        <f t="shared" si="15"/>
        <v>0</v>
      </c>
      <c r="V56" s="265">
        <f t="shared" si="16"/>
        <v>0</v>
      </c>
      <c r="W56" s="265">
        <f t="shared" si="17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62"/>
      <c r="C57" s="295"/>
      <c r="D57" s="271"/>
      <c r="E57" s="293"/>
      <c r="F57" s="273"/>
      <c r="G57" s="259"/>
      <c r="H57" s="258">
        <f t="shared" si="18"/>
        <v>0</v>
      </c>
      <c r="I57" s="274">
        <f t="shared" si="19"/>
        <v>0</v>
      </c>
      <c r="J57" s="275"/>
      <c r="K57" s="276">
        <f t="shared" si="10"/>
        <v>0</v>
      </c>
      <c r="L57" s="277">
        <f t="shared" si="11"/>
        <v>0</v>
      </c>
      <c r="M57" s="277">
        <f t="shared" si="12"/>
        <v>0</v>
      </c>
      <c r="N57" s="278" t="s">
        <v>156</v>
      </c>
      <c r="O57" s="279"/>
      <c r="P57" s="261"/>
      <c r="Q57" s="280"/>
      <c r="R57" s="281"/>
      <c r="S57" s="282">
        <f t="shared" si="13"/>
        <v>0</v>
      </c>
      <c r="T57" s="283">
        <f t="shared" si="14"/>
        <v>0</v>
      </c>
      <c r="U57" s="283">
        <f t="shared" si="15"/>
        <v>0</v>
      </c>
      <c r="V57" s="284">
        <f t="shared" si="16"/>
        <v>0</v>
      </c>
      <c r="W57" s="284">
        <f t="shared" si="17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80"/>
      <c r="C58" s="181"/>
      <c r="D58" s="271"/>
      <c r="E58" s="287"/>
      <c r="F58" s="288"/>
      <c r="G58" s="281"/>
      <c r="H58" s="277">
        <f t="shared" si="18"/>
        <v>0</v>
      </c>
      <c r="I58" s="289">
        <f t="shared" si="19"/>
        <v>0</v>
      </c>
      <c r="J58" s="275"/>
      <c r="K58" s="257">
        <f t="shared" si="10"/>
        <v>0</v>
      </c>
      <c r="L58" s="258">
        <f t="shared" si="11"/>
        <v>0</v>
      </c>
      <c r="M58" s="258">
        <f t="shared" si="12"/>
        <v>0</v>
      </c>
      <c r="N58" s="259" t="s">
        <v>156</v>
      </c>
      <c r="O58" s="290"/>
      <c r="P58" s="261"/>
      <c r="Q58" s="291"/>
      <c r="R58" s="263"/>
      <c r="S58" s="264">
        <f t="shared" si="13"/>
        <v>0</v>
      </c>
      <c r="T58" s="264">
        <f t="shared" si="14"/>
        <v>0</v>
      </c>
      <c r="U58" s="264">
        <f t="shared" si="15"/>
        <v>0</v>
      </c>
      <c r="V58" s="265">
        <f t="shared" si="16"/>
        <v>0</v>
      </c>
      <c r="W58" s="265">
        <f t="shared" si="17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62"/>
      <c r="C59" s="295"/>
      <c r="D59" s="271"/>
      <c r="E59" s="293"/>
      <c r="F59" s="273"/>
      <c r="G59" s="259"/>
      <c r="H59" s="258">
        <f t="shared" si="18"/>
        <v>0</v>
      </c>
      <c r="I59" s="274">
        <f t="shared" si="19"/>
        <v>0</v>
      </c>
      <c r="J59" s="275"/>
      <c r="K59" s="276">
        <f t="shared" si="10"/>
        <v>0</v>
      </c>
      <c r="L59" s="277">
        <f t="shared" si="11"/>
        <v>0</v>
      </c>
      <c r="M59" s="277">
        <f t="shared" si="12"/>
        <v>0</v>
      </c>
      <c r="N59" s="278" t="s">
        <v>156</v>
      </c>
      <c r="O59" s="279"/>
      <c r="P59" s="261"/>
      <c r="Q59" s="280"/>
      <c r="R59" s="281"/>
      <c r="S59" s="282">
        <f t="shared" si="13"/>
        <v>0</v>
      </c>
      <c r="T59" s="283">
        <f t="shared" si="14"/>
        <v>0</v>
      </c>
      <c r="U59" s="283">
        <f t="shared" si="15"/>
        <v>0</v>
      </c>
      <c r="V59" s="284">
        <f t="shared" si="16"/>
        <v>0</v>
      </c>
      <c r="W59" s="284">
        <f t="shared" si="17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80"/>
      <c r="C60" s="181"/>
      <c r="D60" s="271"/>
      <c r="E60" s="287"/>
      <c r="F60" s="288"/>
      <c r="G60" s="281"/>
      <c r="H60" s="277">
        <f t="shared" si="18"/>
        <v>0</v>
      </c>
      <c r="I60" s="289">
        <f t="shared" si="19"/>
        <v>0</v>
      </c>
      <c r="J60" s="275"/>
      <c r="K60" s="257">
        <f t="shared" si="10"/>
        <v>0</v>
      </c>
      <c r="L60" s="258">
        <f t="shared" si="11"/>
        <v>0</v>
      </c>
      <c r="M60" s="258">
        <f t="shared" si="12"/>
        <v>0</v>
      </c>
      <c r="N60" s="259" t="s">
        <v>156</v>
      </c>
      <c r="O60" s="290"/>
      <c r="P60" s="261"/>
      <c r="Q60" s="291"/>
      <c r="R60" s="263"/>
      <c r="S60" s="264">
        <f t="shared" si="13"/>
        <v>0</v>
      </c>
      <c r="T60" s="264">
        <f t="shared" si="14"/>
        <v>0</v>
      </c>
      <c r="U60" s="264">
        <f t="shared" si="15"/>
        <v>0</v>
      </c>
      <c r="V60" s="265">
        <f t="shared" si="16"/>
        <v>0</v>
      </c>
      <c r="W60" s="265">
        <f t="shared" si="17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62"/>
      <c r="C61" s="295"/>
      <c r="D61" s="271"/>
      <c r="E61" s="293"/>
      <c r="F61" s="273"/>
      <c r="G61" s="259"/>
      <c r="H61" s="258">
        <f t="shared" si="18"/>
        <v>0</v>
      </c>
      <c r="I61" s="274">
        <f t="shared" si="19"/>
        <v>0</v>
      </c>
      <c r="J61" s="275"/>
      <c r="K61" s="276">
        <f t="shared" si="10"/>
        <v>0</v>
      </c>
      <c r="L61" s="277">
        <f t="shared" si="11"/>
        <v>0</v>
      </c>
      <c r="M61" s="277">
        <f t="shared" si="12"/>
        <v>0</v>
      </c>
      <c r="N61" s="278" t="s">
        <v>156</v>
      </c>
      <c r="O61" s="279"/>
      <c r="P61" s="261"/>
      <c r="Q61" s="280"/>
      <c r="R61" s="281"/>
      <c r="S61" s="282">
        <f t="shared" si="13"/>
        <v>0</v>
      </c>
      <c r="T61" s="283">
        <f t="shared" si="14"/>
        <v>0</v>
      </c>
      <c r="U61" s="283">
        <f t="shared" si="15"/>
        <v>0</v>
      </c>
      <c r="V61" s="284">
        <f t="shared" si="16"/>
        <v>0</v>
      </c>
      <c r="W61" s="284">
        <f t="shared" si="17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80"/>
      <c r="C62" s="181"/>
      <c r="D62" s="271"/>
      <c r="E62" s="287"/>
      <c r="F62" s="288"/>
      <c r="G62" s="281"/>
      <c r="H62" s="277">
        <f t="shared" si="18"/>
        <v>0</v>
      </c>
      <c r="I62" s="289">
        <f t="shared" si="19"/>
        <v>0</v>
      </c>
      <c r="J62" s="275"/>
      <c r="K62" s="257">
        <f t="shared" si="10"/>
        <v>0</v>
      </c>
      <c r="L62" s="258">
        <f t="shared" si="11"/>
        <v>0</v>
      </c>
      <c r="M62" s="258">
        <f t="shared" si="12"/>
        <v>0</v>
      </c>
      <c r="N62" s="259" t="s">
        <v>156</v>
      </c>
      <c r="O62" s="290"/>
      <c r="P62" s="261"/>
      <c r="Q62" s="291"/>
      <c r="R62" s="263"/>
      <c r="S62" s="264">
        <f t="shared" si="13"/>
        <v>0</v>
      </c>
      <c r="T62" s="264">
        <f t="shared" si="14"/>
        <v>0</v>
      </c>
      <c r="U62" s="264">
        <f t="shared" si="15"/>
        <v>0</v>
      </c>
      <c r="V62" s="265">
        <f t="shared" si="16"/>
        <v>0</v>
      </c>
      <c r="W62" s="265">
        <f t="shared" si="17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62"/>
      <c r="C63" s="295"/>
      <c r="D63" s="271"/>
      <c r="E63" s="293"/>
      <c r="F63" s="273"/>
      <c r="G63" s="259"/>
      <c r="H63" s="258">
        <f t="shared" si="18"/>
        <v>0</v>
      </c>
      <c r="I63" s="274">
        <f t="shared" si="19"/>
        <v>0</v>
      </c>
      <c r="J63" s="275"/>
      <c r="K63" s="276">
        <f t="shared" si="10"/>
        <v>0</v>
      </c>
      <c r="L63" s="277">
        <f t="shared" si="11"/>
        <v>0</v>
      </c>
      <c r="M63" s="277">
        <f t="shared" si="12"/>
        <v>0</v>
      </c>
      <c r="N63" s="278" t="s">
        <v>156</v>
      </c>
      <c r="O63" s="279"/>
      <c r="P63" s="261"/>
      <c r="Q63" s="280"/>
      <c r="R63" s="281"/>
      <c r="S63" s="282">
        <f t="shared" si="13"/>
        <v>0</v>
      </c>
      <c r="T63" s="283">
        <f t="shared" si="14"/>
        <v>0</v>
      </c>
      <c r="U63" s="283">
        <f t="shared" si="15"/>
        <v>0</v>
      </c>
      <c r="V63" s="284">
        <f t="shared" si="16"/>
        <v>0</v>
      </c>
      <c r="W63" s="284">
        <f t="shared" si="17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80"/>
      <c r="C64" s="181"/>
      <c r="D64" s="271"/>
      <c r="E64" s="287"/>
      <c r="F64" s="288"/>
      <c r="G64" s="281"/>
      <c r="H64" s="277">
        <f t="shared" si="18"/>
        <v>0</v>
      </c>
      <c r="I64" s="289">
        <f t="shared" si="19"/>
        <v>0</v>
      </c>
      <c r="J64" s="275"/>
      <c r="K64" s="257">
        <f t="shared" si="10"/>
        <v>0</v>
      </c>
      <c r="L64" s="258">
        <f t="shared" si="11"/>
        <v>0</v>
      </c>
      <c r="M64" s="258">
        <f t="shared" si="12"/>
        <v>0</v>
      </c>
      <c r="N64" s="259" t="s">
        <v>156</v>
      </c>
      <c r="O64" s="290"/>
      <c r="P64" s="261"/>
      <c r="Q64" s="291"/>
      <c r="R64" s="263"/>
      <c r="S64" s="264">
        <f t="shared" si="13"/>
        <v>0</v>
      </c>
      <c r="T64" s="264">
        <f t="shared" si="14"/>
        <v>0</v>
      </c>
      <c r="U64" s="264">
        <f t="shared" si="15"/>
        <v>0</v>
      </c>
      <c r="V64" s="265">
        <f t="shared" si="16"/>
        <v>0</v>
      </c>
      <c r="W64" s="265">
        <f t="shared" si="17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62"/>
      <c r="C65" s="295"/>
      <c r="D65" s="271"/>
      <c r="E65" s="293"/>
      <c r="F65" s="273"/>
      <c r="G65" s="259"/>
      <c r="H65" s="258">
        <f t="shared" si="18"/>
        <v>0</v>
      </c>
      <c r="I65" s="274">
        <f t="shared" si="19"/>
        <v>0</v>
      </c>
      <c r="J65" s="275"/>
      <c r="K65" s="276">
        <f t="shared" si="10"/>
        <v>0</v>
      </c>
      <c r="L65" s="277">
        <f t="shared" si="11"/>
        <v>0</v>
      </c>
      <c r="M65" s="277">
        <f t="shared" si="12"/>
        <v>0</v>
      </c>
      <c r="N65" s="278" t="s">
        <v>156</v>
      </c>
      <c r="O65" s="279"/>
      <c r="P65" s="261"/>
      <c r="Q65" s="280"/>
      <c r="R65" s="281"/>
      <c r="S65" s="282">
        <f t="shared" si="13"/>
        <v>0</v>
      </c>
      <c r="T65" s="283">
        <f t="shared" si="14"/>
        <v>0</v>
      </c>
      <c r="U65" s="283">
        <f t="shared" si="15"/>
        <v>0</v>
      </c>
      <c r="V65" s="284">
        <f t="shared" si="16"/>
        <v>0</v>
      </c>
      <c r="W65" s="284">
        <f t="shared" si="17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80"/>
      <c r="C66" s="181"/>
      <c r="D66" s="296"/>
      <c r="E66" s="287"/>
      <c r="F66" s="288"/>
      <c r="G66" s="281"/>
      <c r="H66" s="277">
        <f t="shared" si="18"/>
        <v>0</v>
      </c>
      <c r="I66" s="289">
        <f t="shared" si="19"/>
        <v>0</v>
      </c>
      <c r="J66" s="275"/>
      <c r="K66" s="257">
        <f t="shared" si="10"/>
        <v>0</v>
      </c>
      <c r="L66" s="258">
        <f t="shared" si="11"/>
        <v>0</v>
      </c>
      <c r="M66" s="258">
        <f t="shared" si="12"/>
        <v>0</v>
      </c>
      <c r="N66" s="259" t="s">
        <v>156</v>
      </c>
      <c r="O66" s="290"/>
      <c r="P66" s="261"/>
      <c r="Q66" s="291"/>
      <c r="R66" s="263"/>
      <c r="S66" s="264">
        <f t="shared" si="13"/>
        <v>0</v>
      </c>
      <c r="T66" s="264">
        <f t="shared" si="14"/>
        <v>0</v>
      </c>
      <c r="U66" s="264">
        <f t="shared" si="15"/>
        <v>0</v>
      </c>
      <c r="V66" s="265">
        <f t="shared" si="16"/>
        <v>0</v>
      </c>
      <c r="W66" s="265">
        <f t="shared" si="17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62"/>
      <c r="C67" s="295"/>
      <c r="D67" s="271"/>
      <c r="E67" s="293"/>
      <c r="F67" s="273"/>
      <c r="G67" s="259"/>
      <c r="H67" s="258">
        <f t="shared" si="18"/>
        <v>0</v>
      </c>
      <c r="I67" s="274">
        <f t="shared" si="19"/>
        <v>0</v>
      </c>
      <c r="J67" s="275"/>
      <c r="K67" s="276">
        <f t="shared" si="10"/>
        <v>0</v>
      </c>
      <c r="L67" s="277">
        <f t="shared" si="11"/>
        <v>0</v>
      </c>
      <c r="M67" s="277">
        <f t="shared" si="12"/>
        <v>0</v>
      </c>
      <c r="N67" s="278" t="s">
        <v>156</v>
      </c>
      <c r="O67" s="279"/>
      <c r="P67" s="261"/>
      <c r="Q67" s="280"/>
      <c r="R67" s="281"/>
      <c r="S67" s="282">
        <f t="shared" si="13"/>
        <v>0</v>
      </c>
      <c r="T67" s="283">
        <f t="shared" si="14"/>
        <v>0</v>
      </c>
      <c r="U67" s="283">
        <f t="shared" si="15"/>
        <v>0</v>
      </c>
      <c r="V67" s="284">
        <f t="shared" si="16"/>
        <v>0</v>
      </c>
      <c r="W67" s="284">
        <f t="shared" si="17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80"/>
      <c r="C68" s="181"/>
      <c r="D68" s="296"/>
      <c r="E68" s="287"/>
      <c r="F68" s="288"/>
      <c r="G68" s="281"/>
      <c r="H68" s="277">
        <f t="shared" si="18"/>
        <v>0</v>
      </c>
      <c r="I68" s="289">
        <f t="shared" si="19"/>
        <v>0</v>
      </c>
      <c r="J68" s="275"/>
      <c r="K68" s="257">
        <f t="shared" si="10"/>
        <v>0</v>
      </c>
      <c r="L68" s="258">
        <f t="shared" si="11"/>
        <v>0</v>
      </c>
      <c r="M68" s="258">
        <f t="shared" si="12"/>
        <v>0</v>
      </c>
      <c r="N68" s="259" t="s">
        <v>156</v>
      </c>
      <c r="O68" s="290"/>
      <c r="P68" s="261"/>
      <c r="Q68" s="291"/>
      <c r="R68" s="263"/>
      <c r="S68" s="264">
        <f t="shared" si="13"/>
        <v>0</v>
      </c>
      <c r="T68" s="264">
        <f t="shared" si="14"/>
        <v>0</v>
      </c>
      <c r="U68" s="264">
        <f t="shared" si="15"/>
        <v>0</v>
      </c>
      <c r="V68" s="265">
        <f t="shared" si="16"/>
        <v>0</v>
      </c>
      <c r="W68" s="265">
        <f t="shared" si="17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62"/>
      <c r="C69" s="295"/>
      <c r="D69" s="271"/>
      <c r="E69" s="293"/>
      <c r="F69" s="273"/>
      <c r="G69" s="259"/>
      <c r="H69" s="258">
        <f t="shared" si="18"/>
        <v>0</v>
      </c>
      <c r="I69" s="274">
        <f t="shared" si="19"/>
        <v>0</v>
      </c>
      <c r="J69" s="275"/>
      <c r="K69" s="276">
        <f t="shared" si="10"/>
        <v>0</v>
      </c>
      <c r="L69" s="277">
        <f t="shared" si="11"/>
        <v>0</v>
      </c>
      <c r="M69" s="277">
        <f t="shared" si="12"/>
        <v>0</v>
      </c>
      <c r="N69" s="278" t="s">
        <v>156</v>
      </c>
      <c r="O69" s="279"/>
      <c r="P69" s="261"/>
      <c r="Q69" s="280"/>
      <c r="R69" s="281"/>
      <c r="S69" s="282">
        <f t="shared" si="13"/>
        <v>0</v>
      </c>
      <c r="T69" s="283">
        <f t="shared" si="14"/>
        <v>0</v>
      </c>
      <c r="U69" s="283">
        <f t="shared" si="15"/>
        <v>0</v>
      </c>
      <c r="V69" s="284">
        <f t="shared" si="16"/>
        <v>0</v>
      </c>
      <c r="W69" s="284">
        <f t="shared" si="17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80"/>
      <c r="C70" s="181"/>
      <c r="D70" s="296"/>
      <c r="E70" s="287"/>
      <c r="F70" s="288"/>
      <c r="G70" s="281"/>
      <c r="H70" s="277">
        <f t="shared" si="18"/>
        <v>0</v>
      </c>
      <c r="I70" s="289">
        <f t="shared" si="19"/>
        <v>0</v>
      </c>
      <c r="J70" s="275"/>
      <c r="K70" s="257">
        <f t="shared" si="10"/>
        <v>0</v>
      </c>
      <c r="L70" s="258">
        <f t="shared" si="11"/>
        <v>0</v>
      </c>
      <c r="M70" s="258">
        <f t="shared" si="12"/>
        <v>0</v>
      </c>
      <c r="N70" s="259" t="s">
        <v>156</v>
      </c>
      <c r="O70" s="290"/>
      <c r="P70" s="261"/>
      <c r="Q70" s="291"/>
      <c r="R70" s="263"/>
      <c r="S70" s="264">
        <f t="shared" si="13"/>
        <v>0</v>
      </c>
      <c r="T70" s="264">
        <f t="shared" si="14"/>
        <v>0</v>
      </c>
      <c r="U70" s="264">
        <f t="shared" si="15"/>
        <v>0</v>
      </c>
      <c r="V70" s="265">
        <f t="shared" si="16"/>
        <v>0</v>
      </c>
      <c r="W70" s="265">
        <f t="shared" si="17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62"/>
      <c r="C71" s="295"/>
      <c r="D71" s="271"/>
      <c r="E71" s="293"/>
      <c r="F71" s="273"/>
      <c r="G71" s="259"/>
      <c r="H71" s="258">
        <f t="shared" si="18"/>
        <v>0</v>
      </c>
      <c r="I71" s="274">
        <f t="shared" si="19"/>
        <v>0</v>
      </c>
      <c r="J71" s="275"/>
      <c r="K71" s="276">
        <f t="shared" si="10"/>
        <v>0</v>
      </c>
      <c r="L71" s="277">
        <f t="shared" si="11"/>
        <v>0</v>
      </c>
      <c r="M71" s="277">
        <f t="shared" si="12"/>
        <v>0</v>
      </c>
      <c r="N71" s="278" t="s">
        <v>156</v>
      </c>
      <c r="O71" s="279"/>
      <c r="P71" s="261"/>
      <c r="Q71" s="280"/>
      <c r="R71" s="281"/>
      <c r="S71" s="282">
        <f t="shared" si="13"/>
        <v>0</v>
      </c>
      <c r="T71" s="283">
        <f t="shared" si="14"/>
        <v>0</v>
      </c>
      <c r="U71" s="283">
        <f t="shared" si="15"/>
        <v>0</v>
      </c>
      <c r="V71" s="284">
        <f t="shared" si="16"/>
        <v>0</v>
      </c>
      <c r="W71" s="284">
        <f t="shared" si="17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80"/>
      <c r="C72" s="181"/>
      <c r="D72" s="296"/>
      <c r="E72" s="287"/>
      <c r="F72" s="288"/>
      <c r="G72" s="281"/>
      <c r="H72" s="277">
        <f t="shared" si="18"/>
        <v>0</v>
      </c>
      <c r="I72" s="289">
        <f t="shared" si="19"/>
        <v>0</v>
      </c>
      <c r="J72" s="275"/>
      <c r="K72" s="257">
        <f t="shared" si="10"/>
        <v>0</v>
      </c>
      <c r="L72" s="258">
        <f t="shared" si="11"/>
        <v>0</v>
      </c>
      <c r="M72" s="258">
        <f t="shared" si="12"/>
        <v>0</v>
      </c>
      <c r="N72" s="259" t="s">
        <v>156</v>
      </c>
      <c r="O72" s="290"/>
      <c r="P72" s="261"/>
      <c r="Q72" s="291"/>
      <c r="R72" s="263"/>
      <c r="S72" s="264">
        <f t="shared" si="13"/>
        <v>0</v>
      </c>
      <c r="T72" s="264">
        <f t="shared" si="14"/>
        <v>0</v>
      </c>
      <c r="U72" s="264">
        <f t="shared" si="15"/>
        <v>0</v>
      </c>
      <c r="V72" s="265">
        <f t="shared" si="16"/>
        <v>0</v>
      </c>
      <c r="W72" s="265">
        <f t="shared" si="17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62"/>
      <c r="C73" s="295"/>
      <c r="D73" s="271"/>
      <c r="E73" s="293"/>
      <c r="F73" s="273"/>
      <c r="G73" s="259"/>
      <c r="H73" s="258">
        <f t="shared" si="18"/>
        <v>0</v>
      </c>
      <c r="I73" s="274">
        <f t="shared" si="19"/>
        <v>0</v>
      </c>
      <c r="J73" s="275"/>
      <c r="K73" s="276">
        <f t="shared" si="10"/>
        <v>0</v>
      </c>
      <c r="L73" s="277">
        <f t="shared" si="11"/>
        <v>0</v>
      </c>
      <c r="M73" s="277">
        <f t="shared" si="12"/>
        <v>0</v>
      </c>
      <c r="N73" s="278" t="s">
        <v>156</v>
      </c>
      <c r="O73" s="279"/>
      <c r="P73" s="261"/>
      <c r="Q73" s="280"/>
      <c r="R73" s="281"/>
      <c r="S73" s="282">
        <f t="shared" si="13"/>
        <v>0</v>
      </c>
      <c r="T73" s="283">
        <f t="shared" si="14"/>
        <v>0</v>
      </c>
      <c r="U73" s="283">
        <f t="shared" si="15"/>
        <v>0</v>
      </c>
      <c r="V73" s="284">
        <f t="shared" si="16"/>
        <v>0</v>
      </c>
      <c r="W73" s="284">
        <f t="shared" si="17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80"/>
      <c r="C74" s="181"/>
      <c r="D74" s="296"/>
      <c r="E74" s="287"/>
      <c r="F74" s="288"/>
      <c r="G74" s="281"/>
      <c r="H74" s="277">
        <f t="shared" si="18"/>
        <v>0</v>
      </c>
      <c r="I74" s="289">
        <f t="shared" si="19"/>
        <v>0</v>
      </c>
      <c r="J74" s="275"/>
      <c r="K74" s="257">
        <f t="shared" si="10"/>
        <v>0</v>
      </c>
      <c r="L74" s="258">
        <f t="shared" si="11"/>
        <v>0</v>
      </c>
      <c r="M74" s="258">
        <f t="shared" si="12"/>
        <v>0</v>
      </c>
      <c r="N74" s="259" t="s">
        <v>156</v>
      </c>
      <c r="O74" s="290"/>
      <c r="P74" s="261"/>
      <c r="Q74" s="291"/>
      <c r="R74" s="263"/>
      <c r="S74" s="264">
        <f t="shared" si="13"/>
        <v>0</v>
      </c>
      <c r="T74" s="264">
        <f t="shared" si="14"/>
        <v>0</v>
      </c>
      <c r="U74" s="264">
        <f t="shared" si="15"/>
        <v>0</v>
      </c>
      <c r="V74" s="265">
        <f t="shared" si="16"/>
        <v>0</v>
      </c>
      <c r="W74" s="265">
        <f t="shared" si="17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62"/>
      <c r="C75" s="295"/>
      <c r="D75" s="271"/>
      <c r="E75" s="293"/>
      <c r="F75" s="273"/>
      <c r="G75" s="259"/>
      <c r="H75" s="258">
        <f t="shared" si="18"/>
        <v>0</v>
      </c>
      <c r="I75" s="274">
        <f t="shared" si="19"/>
        <v>0</v>
      </c>
      <c r="J75" s="275"/>
      <c r="K75" s="276">
        <f t="shared" si="10"/>
        <v>0</v>
      </c>
      <c r="L75" s="277">
        <f t="shared" si="11"/>
        <v>0</v>
      </c>
      <c r="M75" s="277">
        <f t="shared" si="12"/>
        <v>0</v>
      </c>
      <c r="N75" s="278" t="s">
        <v>156</v>
      </c>
      <c r="O75" s="279"/>
      <c r="P75" s="261"/>
      <c r="Q75" s="280"/>
      <c r="R75" s="281"/>
      <c r="S75" s="282">
        <f t="shared" si="13"/>
        <v>0</v>
      </c>
      <c r="T75" s="283">
        <f t="shared" si="14"/>
        <v>0</v>
      </c>
      <c r="U75" s="283">
        <f t="shared" si="15"/>
        <v>0</v>
      </c>
      <c r="V75" s="284">
        <f t="shared" si="16"/>
        <v>0</v>
      </c>
      <c r="W75" s="284">
        <f t="shared" si="17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80"/>
      <c r="C76" s="181"/>
      <c r="D76" s="296"/>
      <c r="E76" s="287"/>
      <c r="F76" s="288"/>
      <c r="G76" s="281"/>
      <c r="H76" s="277">
        <f t="shared" si="18"/>
        <v>0</v>
      </c>
      <c r="I76" s="289">
        <f t="shared" si="19"/>
        <v>0</v>
      </c>
      <c r="J76" s="275"/>
      <c r="K76" s="257">
        <f t="shared" si="10"/>
        <v>0</v>
      </c>
      <c r="L76" s="258">
        <f t="shared" si="11"/>
        <v>0</v>
      </c>
      <c r="M76" s="258">
        <f t="shared" si="12"/>
        <v>0</v>
      </c>
      <c r="N76" s="259" t="s">
        <v>156</v>
      </c>
      <c r="O76" s="290"/>
      <c r="P76" s="261"/>
      <c r="Q76" s="291"/>
      <c r="R76" s="263"/>
      <c r="S76" s="264">
        <f t="shared" si="13"/>
        <v>0</v>
      </c>
      <c r="T76" s="264">
        <f t="shared" si="14"/>
        <v>0</v>
      </c>
      <c r="U76" s="264">
        <f t="shared" si="15"/>
        <v>0</v>
      </c>
      <c r="V76" s="265">
        <f t="shared" si="16"/>
        <v>0</v>
      </c>
      <c r="W76" s="265">
        <f t="shared" si="17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62"/>
      <c r="C77" s="295"/>
      <c r="D77" s="271"/>
      <c r="E77" s="293"/>
      <c r="F77" s="273"/>
      <c r="G77" s="259"/>
      <c r="H77" s="258">
        <f t="shared" si="18"/>
        <v>0</v>
      </c>
      <c r="I77" s="274">
        <f t="shared" si="19"/>
        <v>0</v>
      </c>
      <c r="J77" s="275"/>
      <c r="K77" s="276">
        <f t="shared" si="10"/>
        <v>0</v>
      </c>
      <c r="L77" s="277">
        <f t="shared" si="11"/>
        <v>0</v>
      </c>
      <c r="M77" s="277">
        <f t="shared" si="12"/>
        <v>0</v>
      </c>
      <c r="N77" s="278" t="s">
        <v>156</v>
      </c>
      <c r="O77" s="279"/>
      <c r="P77" s="261"/>
      <c r="Q77" s="280"/>
      <c r="R77" s="281"/>
      <c r="S77" s="282">
        <f t="shared" si="13"/>
        <v>0</v>
      </c>
      <c r="T77" s="283">
        <f t="shared" si="14"/>
        <v>0</v>
      </c>
      <c r="U77" s="283">
        <f t="shared" si="15"/>
        <v>0</v>
      </c>
      <c r="V77" s="284">
        <f t="shared" si="16"/>
        <v>0</v>
      </c>
      <c r="W77" s="284">
        <f t="shared" si="17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80"/>
      <c r="C78" s="181"/>
      <c r="D78" s="296"/>
      <c r="E78" s="287"/>
      <c r="F78" s="288"/>
      <c r="G78" s="281"/>
      <c r="H78" s="277">
        <f t="shared" si="18"/>
        <v>0</v>
      </c>
      <c r="I78" s="289">
        <f t="shared" si="19"/>
        <v>0</v>
      </c>
      <c r="J78" s="275"/>
      <c r="K78" s="257">
        <f t="shared" si="10"/>
        <v>0</v>
      </c>
      <c r="L78" s="258">
        <f t="shared" si="11"/>
        <v>0</v>
      </c>
      <c r="M78" s="258">
        <f t="shared" si="12"/>
        <v>0</v>
      </c>
      <c r="N78" s="259" t="s">
        <v>156</v>
      </c>
      <c r="O78" s="290"/>
      <c r="P78" s="261"/>
      <c r="Q78" s="291"/>
      <c r="R78" s="263"/>
      <c r="S78" s="264">
        <f t="shared" si="13"/>
        <v>0</v>
      </c>
      <c r="T78" s="264">
        <f t="shared" si="14"/>
        <v>0</v>
      </c>
      <c r="U78" s="264">
        <f t="shared" si="15"/>
        <v>0</v>
      </c>
      <c r="V78" s="265">
        <f t="shared" si="16"/>
        <v>0</v>
      </c>
      <c r="W78" s="265">
        <f t="shared" si="17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62"/>
      <c r="C79" s="295"/>
      <c r="D79" s="271"/>
      <c r="E79" s="293"/>
      <c r="F79" s="273"/>
      <c r="G79" s="259"/>
      <c r="H79" s="258">
        <f t="shared" si="18"/>
        <v>0</v>
      </c>
      <c r="I79" s="274">
        <f t="shared" si="19"/>
        <v>0</v>
      </c>
      <c r="J79" s="275"/>
      <c r="K79" s="276">
        <f t="shared" si="10"/>
        <v>0</v>
      </c>
      <c r="L79" s="277">
        <f t="shared" si="11"/>
        <v>0</v>
      </c>
      <c r="M79" s="277">
        <f t="shared" si="12"/>
        <v>0</v>
      </c>
      <c r="N79" s="278" t="s">
        <v>156</v>
      </c>
      <c r="O79" s="279"/>
      <c r="P79" s="261"/>
      <c r="Q79" s="280"/>
      <c r="R79" s="281"/>
      <c r="S79" s="282">
        <f t="shared" si="13"/>
        <v>0</v>
      </c>
      <c r="T79" s="283">
        <f t="shared" si="14"/>
        <v>0</v>
      </c>
      <c r="U79" s="283">
        <f t="shared" si="15"/>
        <v>0</v>
      </c>
      <c r="V79" s="284">
        <f t="shared" si="16"/>
        <v>0</v>
      </c>
      <c r="W79" s="284">
        <f t="shared" si="17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80"/>
      <c r="C80" s="181"/>
      <c r="D80" s="296"/>
      <c r="E80" s="287"/>
      <c r="F80" s="288"/>
      <c r="G80" s="281"/>
      <c r="H80" s="277">
        <f t="shared" si="18"/>
        <v>0</v>
      </c>
      <c r="I80" s="289">
        <f t="shared" si="19"/>
        <v>0</v>
      </c>
      <c r="J80" s="275"/>
      <c r="K80" s="257">
        <f t="shared" si="10"/>
        <v>0</v>
      </c>
      <c r="L80" s="258">
        <f t="shared" si="11"/>
        <v>0</v>
      </c>
      <c r="M80" s="258">
        <f t="shared" si="12"/>
        <v>0</v>
      </c>
      <c r="N80" s="259" t="s">
        <v>156</v>
      </c>
      <c r="O80" s="290"/>
      <c r="P80" s="261"/>
      <c r="Q80" s="291"/>
      <c r="R80" s="263"/>
      <c r="S80" s="264">
        <f t="shared" si="13"/>
        <v>0</v>
      </c>
      <c r="T80" s="264">
        <f t="shared" si="14"/>
        <v>0</v>
      </c>
      <c r="U80" s="264">
        <f t="shared" si="15"/>
        <v>0</v>
      </c>
      <c r="V80" s="265">
        <f t="shared" si="16"/>
        <v>0</v>
      </c>
      <c r="W80" s="265">
        <f t="shared" si="17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298"/>
      <c r="C81" s="299"/>
      <c r="D81" s="300"/>
      <c r="E81" s="301"/>
      <c r="F81" s="302"/>
      <c r="G81" s="303"/>
      <c r="H81" s="304">
        <f t="shared" si="18"/>
        <v>0</v>
      </c>
      <c r="I81" s="305">
        <f t="shared" si="19"/>
        <v>0</v>
      </c>
      <c r="J81" s="306"/>
      <c r="K81" s="307">
        <f>SUM(K18:K80)</f>
        <v>988</v>
      </c>
      <c r="L81" s="308">
        <f>SUM(L18:L80)</f>
        <v>18388</v>
      </c>
      <c r="M81" s="309">
        <f>SUM(M18:M80)</f>
        <v>87474.5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18388</v>
      </c>
      <c r="U81" s="309">
        <f>SUM(U18:U80)</f>
        <v>87474.5</v>
      </c>
      <c r="V81" s="312"/>
      <c r="W81" s="312"/>
      <c r="X81" s="313"/>
      <c r="Y81" s="314"/>
    </row>
    <row r="82" spans="1:25" ht="15.75" x14ac:dyDescent="0.25">
      <c r="B82" s="315"/>
      <c r="C82" s="315"/>
      <c r="D82" s="315"/>
      <c r="E82" s="316" t="s">
        <v>202</v>
      </c>
      <c r="F82" s="317">
        <f>SUM(F19:F81)</f>
        <v>988</v>
      </c>
      <c r="G82" s="318">
        <f>SUM(G19:G81)</f>
        <v>18388</v>
      </c>
      <c r="H82" s="308">
        <f>SUM(H19:H81)</f>
        <v>13324.629999999997</v>
      </c>
      <c r="I82" s="309">
        <f>SUM(I19:I81)</f>
        <v>87474.5</v>
      </c>
    </row>
    <row r="83" spans="1:25" ht="15" customHeight="1" x14ac:dyDescent="0.25">
      <c r="V83" s="319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87" priority="3" stopIfTrue="1">
      <formula>$V$9&gt;100%</formula>
    </cfRule>
    <cfRule type="expression" dxfId="86" priority="4">
      <formula>$V$9&lt;50%</formula>
    </cfRule>
  </conditionalFormatting>
  <conditionalFormatting sqref="W9:W10">
    <cfRule type="expression" dxfId="85" priority="1">
      <formula>$W$9&lt;50%</formula>
    </cfRule>
    <cfRule type="expression" dxfId="84" priority="2">
      <formula>$W$9&gt;50%</formula>
    </cfRule>
  </conditionalFormatting>
  <dataValidations count="6">
    <dataValidation type="list" allowBlank="1" showInputMessage="1" showErrorMessage="1" sqref="G2" xr:uid="{F1B60A74-30E1-4684-9969-1413AE4D7B8C}">
      <formula1>$Z$34:$Z$48</formula1>
    </dataValidation>
    <dataValidation type="list" allowBlank="1" showInputMessage="1" showErrorMessage="1" sqref="N18:N80" xr:uid="{7DFEB269-B169-44CC-A760-BE564529656F}">
      <formula1>$Z$31:$Z$32</formula1>
    </dataValidation>
    <dataValidation type="list" showInputMessage="1" showErrorMessage="1" sqref="E19:E81" xr:uid="{4E8ED29D-5F96-4FDD-AA95-89CE5EF83BD1}">
      <formula1>$AA$18:$AA$29</formula1>
    </dataValidation>
    <dataValidation type="list" allowBlank="1" showInputMessage="1" showErrorMessage="1" sqref="J13" xr:uid="{86F41B48-7FB6-429C-8386-5E05B8E0ED78}">
      <formula1>$L$9:$L$9</formula1>
    </dataValidation>
    <dataValidation type="list" allowBlank="1" showInputMessage="1" showErrorMessage="1" sqref="I13" xr:uid="{60A76D67-FC33-4B43-867B-AB678BF522A1}">
      <formula1>$Z$13:$Z$14</formula1>
    </dataValidation>
    <dataValidation type="list" allowBlank="1" showInputMessage="1" showErrorMessage="1" sqref="G18 R14 R17 L17" xr:uid="{D4911512-FA37-4355-A44B-C2177D820C12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6ED20-7B8B-4034-AA72-20884C492358}">
          <x14:formula1>
            <xm:f>'Product Type'!$A$1:$A$55</xm:f>
          </x14:formula1>
          <xm:sqref>D19:D64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1D39-60F0-47B6-84A3-C8F5966B90B7}">
  <sheetPr>
    <pageSetUpPr fitToPage="1"/>
  </sheetPr>
  <dimension ref="A1:AC83"/>
  <sheetViews>
    <sheetView topLeftCell="A21" zoomScale="84" zoomScaleNormal="84" workbookViewId="0">
      <selection activeCell="B32" sqref="B32:G3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1.28515625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87474.5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723" t="s">
        <v>67</v>
      </c>
      <c r="F3" s="724"/>
      <c r="G3" s="405" t="s">
        <v>259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87474.5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719" t="s">
        <v>68</v>
      </c>
      <c r="F4" s="720"/>
      <c r="G4" s="404" t="s">
        <v>309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721" t="s">
        <v>90</v>
      </c>
      <c r="F5" s="722"/>
      <c r="G5" s="403">
        <v>87770131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87474.5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403" t="s">
        <v>310</v>
      </c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87474.5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988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45</v>
      </c>
      <c r="M18" s="9">
        <f>ROUND((K18*L18),2)</f>
        <v>45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45</v>
      </c>
      <c r="U18" s="14">
        <f>ROUND(M18-S18,2)</f>
        <v>45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62">
        <v>212610</v>
      </c>
      <c r="C19" s="270" t="s">
        <v>157</v>
      </c>
      <c r="D19" s="271" t="s">
        <v>29</v>
      </c>
      <c r="E19" s="272">
        <v>375</v>
      </c>
      <c r="F19" s="273">
        <v>1</v>
      </c>
      <c r="G19" s="259">
        <v>45</v>
      </c>
      <c r="H19" s="9">
        <f t="shared" ref="H19:H81" si="4">ROUND(IF($G$18="USD $", G19*$F$15,G19*$E$15),2)</f>
        <v>32.61</v>
      </c>
      <c r="I19" s="10">
        <f t="shared" ref="I19:I81" si="5">ROUND(IF($I$18=$H$18,F19*H19,F19*G19),2)</f>
        <v>45</v>
      </c>
      <c r="J19" s="151"/>
      <c r="K19" s="88">
        <f t="shared" si="0"/>
        <v>1</v>
      </c>
      <c r="L19" s="38">
        <f t="shared" si="1"/>
        <v>50</v>
      </c>
      <c r="M19" s="38">
        <f t="shared" ref="M19:M80" si="6">ROUND((K19*L19),2)</f>
        <v>50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50</v>
      </c>
      <c r="U19" s="52">
        <f t="shared" ref="U19:U80" si="7">ROUND(M19-S19,2)</f>
        <v>50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80">
        <v>213471</v>
      </c>
      <c r="C20" s="286" t="s">
        <v>159</v>
      </c>
      <c r="D20" s="271" t="s">
        <v>28</v>
      </c>
      <c r="E20" s="287">
        <v>500</v>
      </c>
      <c r="F20" s="288">
        <v>1</v>
      </c>
      <c r="G20" s="281">
        <v>50</v>
      </c>
      <c r="H20" s="38">
        <f t="shared" si="4"/>
        <v>36.229999999999997</v>
      </c>
      <c r="I20" s="39">
        <f t="shared" si="5"/>
        <v>50</v>
      </c>
      <c r="J20" s="151"/>
      <c r="K20" s="89">
        <f t="shared" si="0"/>
        <v>1</v>
      </c>
      <c r="L20" s="9">
        <f t="shared" si="1"/>
        <v>122.5</v>
      </c>
      <c r="M20" s="9">
        <f t="shared" si="6"/>
        <v>122.5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122.5</v>
      </c>
      <c r="U20" s="14">
        <f t="shared" si="7"/>
        <v>122.5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62" t="s">
        <v>261</v>
      </c>
      <c r="C21" s="292" t="s">
        <v>262</v>
      </c>
      <c r="D21" s="271" t="s">
        <v>27</v>
      </c>
      <c r="E21" s="293">
        <v>500</v>
      </c>
      <c r="F21" s="273">
        <v>1</v>
      </c>
      <c r="G21" s="259">
        <v>122.5</v>
      </c>
      <c r="H21" s="9">
        <f t="shared" si="4"/>
        <v>88.77</v>
      </c>
      <c r="I21" s="10">
        <f t="shared" si="5"/>
        <v>122.5</v>
      </c>
      <c r="J21" s="151"/>
      <c r="K21" s="88">
        <f t="shared" si="0"/>
        <v>5</v>
      </c>
      <c r="L21" s="38">
        <f t="shared" si="1"/>
        <v>140</v>
      </c>
      <c r="M21" s="38">
        <f t="shared" si="6"/>
        <v>700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140</v>
      </c>
      <c r="U21" s="52">
        <f t="shared" si="7"/>
        <v>700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80" t="s">
        <v>263</v>
      </c>
      <c r="C22" s="286" t="s">
        <v>276</v>
      </c>
      <c r="D22" s="271" t="s">
        <v>27</v>
      </c>
      <c r="E22" s="287">
        <v>500</v>
      </c>
      <c r="F22" s="288">
        <v>5</v>
      </c>
      <c r="G22" s="281">
        <v>140</v>
      </c>
      <c r="H22" s="38">
        <f t="shared" si="4"/>
        <v>101.45</v>
      </c>
      <c r="I22" s="39">
        <f t="shared" si="5"/>
        <v>700</v>
      </c>
      <c r="J22" s="151"/>
      <c r="K22" s="89">
        <f t="shared" si="0"/>
        <v>1</v>
      </c>
      <c r="L22" s="9">
        <f t="shared" si="1"/>
        <v>125</v>
      </c>
      <c r="M22" s="9">
        <f t="shared" si="6"/>
        <v>125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125</v>
      </c>
      <c r="U22" s="14">
        <f t="shared" si="7"/>
        <v>125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62" t="s">
        <v>264</v>
      </c>
      <c r="C23" s="292" t="s">
        <v>163</v>
      </c>
      <c r="D23" s="271" t="s">
        <v>27</v>
      </c>
      <c r="E23" s="287">
        <v>500</v>
      </c>
      <c r="F23" s="273">
        <v>1</v>
      </c>
      <c r="G23" s="259">
        <v>125</v>
      </c>
      <c r="H23" s="9">
        <f t="shared" si="4"/>
        <v>90.58</v>
      </c>
      <c r="I23" s="10">
        <f t="shared" si="5"/>
        <v>125</v>
      </c>
      <c r="J23" s="151"/>
      <c r="K23" s="88">
        <f t="shared" si="0"/>
        <v>1</v>
      </c>
      <c r="L23" s="38">
        <f t="shared" si="1"/>
        <v>145</v>
      </c>
      <c r="M23" s="38">
        <f t="shared" si="6"/>
        <v>145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145</v>
      </c>
      <c r="U23" s="52">
        <f t="shared" si="7"/>
        <v>145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80">
        <v>211219</v>
      </c>
      <c r="C24" s="144" t="s">
        <v>166</v>
      </c>
      <c r="D24" s="139" t="s">
        <v>25</v>
      </c>
      <c r="E24" s="287">
        <v>500</v>
      </c>
      <c r="F24" s="288">
        <v>1</v>
      </c>
      <c r="G24" s="281">
        <v>145</v>
      </c>
      <c r="H24" s="38">
        <f t="shared" si="4"/>
        <v>105.07</v>
      </c>
      <c r="I24" s="39">
        <f t="shared" si="5"/>
        <v>145</v>
      </c>
      <c r="J24" s="151"/>
      <c r="K24" s="89">
        <f t="shared" si="0"/>
        <v>1</v>
      </c>
      <c r="L24" s="9">
        <f t="shared" si="1"/>
        <v>70</v>
      </c>
      <c r="M24" s="9">
        <f t="shared" si="6"/>
        <v>70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70</v>
      </c>
      <c r="U24" s="14">
        <f t="shared" si="7"/>
        <v>70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62">
        <v>211220</v>
      </c>
      <c r="C25" s="145" t="s">
        <v>168</v>
      </c>
      <c r="D25" s="139" t="s">
        <v>25</v>
      </c>
      <c r="E25" s="293">
        <v>375</v>
      </c>
      <c r="F25" s="273">
        <v>1</v>
      </c>
      <c r="G25" s="259">
        <v>70</v>
      </c>
      <c r="H25" s="9">
        <f t="shared" si="4"/>
        <v>50.72</v>
      </c>
      <c r="I25" s="10">
        <f t="shared" si="5"/>
        <v>70</v>
      </c>
      <c r="J25" s="151"/>
      <c r="K25" s="88">
        <f t="shared" si="0"/>
        <v>1</v>
      </c>
      <c r="L25" s="38">
        <f t="shared" si="1"/>
        <v>50</v>
      </c>
      <c r="M25" s="38">
        <f t="shared" si="6"/>
        <v>50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50</v>
      </c>
      <c r="U25" s="52">
        <f t="shared" si="7"/>
        <v>50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80">
        <v>219652</v>
      </c>
      <c r="C26" s="286" t="s">
        <v>170</v>
      </c>
      <c r="D26" s="271" t="s">
        <v>24</v>
      </c>
      <c r="E26" s="287">
        <v>375</v>
      </c>
      <c r="F26" s="288">
        <v>1</v>
      </c>
      <c r="G26" s="281">
        <v>50</v>
      </c>
      <c r="H26" s="38">
        <f t="shared" si="4"/>
        <v>36.229999999999997</v>
      </c>
      <c r="I26" s="39">
        <f t="shared" si="5"/>
        <v>50</v>
      </c>
      <c r="J26" s="151"/>
      <c r="K26" s="89">
        <f t="shared" si="0"/>
        <v>2</v>
      </c>
      <c r="L26" s="9">
        <f t="shared" si="1"/>
        <v>325</v>
      </c>
      <c r="M26" s="9">
        <f t="shared" si="6"/>
        <v>650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325</v>
      </c>
      <c r="U26" s="14">
        <f t="shared" si="7"/>
        <v>650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62" t="s">
        <v>265</v>
      </c>
      <c r="C27" s="292" t="s">
        <v>172</v>
      </c>
      <c r="D27" s="271" t="s">
        <v>0</v>
      </c>
      <c r="E27" s="293" t="s">
        <v>176</v>
      </c>
      <c r="F27" s="273">
        <v>2</v>
      </c>
      <c r="G27" s="259">
        <v>325</v>
      </c>
      <c r="H27" s="9">
        <f t="shared" si="4"/>
        <v>235.51</v>
      </c>
      <c r="I27" s="10">
        <f t="shared" si="5"/>
        <v>650</v>
      </c>
      <c r="J27" s="151"/>
      <c r="K27" s="88">
        <f t="shared" si="0"/>
        <v>0</v>
      </c>
      <c r="L27" s="38">
        <f t="shared" si="1"/>
        <v>0</v>
      </c>
      <c r="M27" s="38">
        <f t="shared" si="6"/>
        <v>0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0</v>
      </c>
      <c r="U27" s="52">
        <f t="shared" si="7"/>
        <v>0</v>
      </c>
      <c r="V27" s="41">
        <f t="shared" si="8"/>
        <v>0</v>
      </c>
      <c r="W27" s="41">
        <f t="shared" si="9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80"/>
      <c r="C28" s="286"/>
      <c r="D28" s="271"/>
      <c r="E28" s="287"/>
      <c r="F28" s="288"/>
      <c r="G28" s="281"/>
      <c r="H28" s="38">
        <f t="shared" si="4"/>
        <v>0</v>
      </c>
      <c r="I28" s="39">
        <f t="shared" si="5"/>
        <v>0</v>
      </c>
      <c r="J28" s="151"/>
      <c r="K28" s="89">
        <f t="shared" si="0"/>
        <v>6</v>
      </c>
      <c r="L28" s="9">
        <f t="shared" si="1"/>
        <v>1150</v>
      </c>
      <c r="M28" s="9">
        <f t="shared" si="6"/>
        <v>6900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1150</v>
      </c>
      <c r="U28" s="14">
        <f t="shared" si="7"/>
        <v>6900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62">
        <v>212881</v>
      </c>
      <c r="C29" s="292" t="s">
        <v>177</v>
      </c>
      <c r="D29" s="271" t="s">
        <v>19</v>
      </c>
      <c r="E29" s="293">
        <v>6000</v>
      </c>
      <c r="F29" s="273">
        <v>6</v>
      </c>
      <c r="G29" s="259">
        <v>1150</v>
      </c>
      <c r="H29" s="9">
        <f t="shared" si="4"/>
        <v>833.33</v>
      </c>
      <c r="I29" s="10">
        <f t="shared" si="5"/>
        <v>6900</v>
      </c>
      <c r="J29" s="151"/>
      <c r="K29" s="88">
        <f t="shared" si="0"/>
        <v>1</v>
      </c>
      <c r="L29" s="38">
        <f t="shared" si="1"/>
        <v>4650</v>
      </c>
      <c r="M29" s="38">
        <f>ROUND((K29*L29),2)</f>
        <v>4650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4650</v>
      </c>
      <c r="U29" s="52">
        <f t="shared" si="7"/>
        <v>4650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80">
        <v>225472</v>
      </c>
      <c r="C30" s="286" t="s">
        <v>179</v>
      </c>
      <c r="D30" s="271" t="s">
        <v>30</v>
      </c>
      <c r="E30" s="287">
        <v>6000</v>
      </c>
      <c r="F30" s="288">
        <v>1</v>
      </c>
      <c r="G30" s="281">
        <v>4650</v>
      </c>
      <c r="H30" s="38">
        <f t="shared" si="4"/>
        <v>3369.57</v>
      </c>
      <c r="I30" s="39">
        <f t="shared" si="5"/>
        <v>4650</v>
      </c>
      <c r="J30" s="151"/>
      <c r="K30" s="89">
        <f t="shared" si="0"/>
        <v>0</v>
      </c>
      <c r="L30" s="9">
        <f t="shared" si="1"/>
        <v>0</v>
      </c>
      <c r="M30" s="9">
        <f t="shared" si="6"/>
        <v>0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0</v>
      </c>
      <c r="U30" s="14">
        <f t="shared" si="7"/>
        <v>0</v>
      </c>
      <c r="V30" s="29">
        <f t="shared" si="8"/>
        <v>0</v>
      </c>
      <c r="W30" s="29">
        <f t="shared" si="9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62"/>
      <c r="C31" s="292"/>
      <c r="D31" s="271"/>
      <c r="E31" s="293"/>
      <c r="F31" s="273"/>
      <c r="G31" s="259"/>
      <c r="H31" s="9">
        <f t="shared" si="4"/>
        <v>0</v>
      </c>
      <c r="I31" s="10">
        <f t="shared" si="5"/>
        <v>0</v>
      </c>
      <c r="J31" s="151"/>
      <c r="K31" s="88">
        <f t="shared" si="0"/>
        <v>2</v>
      </c>
      <c r="L31" s="38">
        <f t="shared" si="1"/>
        <v>1075</v>
      </c>
      <c r="M31" s="38">
        <f t="shared" si="6"/>
        <v>2150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1075</v>
      </c>
      <c r="U31" s="52">
        <f t="shared" si="7"/>
        <v>2150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80" t="s">
        <v>278</v>
      </c>
      <c r="C32" s="286" t="s">
        <v>181</v>
      </c>
      <c r="D32" s="271" t="s">
        <v>49</v>
      </c>
      <c r="E32" s="287" t="s">
        <v>176</v>
      </c>
      <c r="F32" s="288">
        <v>2</v>
      </c>
      <c r="G32" s="281">
        <v>1075</v>
      </c>
      <c r="H32" s="38">
        <f t="shared" si="4"/>
        <v>778.99</v>
      </c>
      <c r="I32" s="39">
        <f t="shared" si="5"/>
        <v>2150</v>
      </c>
      <c r="J32" s="151"/>
      <c r="K32" s="89">
        <f t="shared" si="0"/>
        <v>48</v>
      </c>
      <c r="L32" s="9">
        <f t="shared" si="1"/>
        <v>11.5</v>
      </c>
      <c r="M32" s="9">
        <f t="shared" si="6"/>
        <v>552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11.5</v>
      </c>
      <c r="U32" s="14">
        <f t="shared" si="7"/>
        <v>552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62" t="s">
        <v>268</v>
      </c>
      <c r="C33" s="292" t="s">
        <v>182</v>
      </c>
      <c r="D33" s="271" t="s">
        <v>50</v>
      </c>
      <c r="E33" s="293" t="s">
        <v>176</v>
      </c>
      <c r="F33" s="273">
        <v>48</v>
      </c>
      <c r="G33" s="259">
        <v>11.5</v>
      </c>
      <c r="H33" s="9">
        <f t="shared" si="4"/>
        <v>8.33</v>
      </c>
      <c r="I33" s="10">
        <f t="shared" si="5"/>
        <v>552</v>
      </c>
      <c r="J33" s="151"/>
      <c r="K33" s="88">
        <f t="shared" si="0"/>
        <v>48</v>
      </c>
      <c r="L33" s="38">
        <f t="shared" si="1"/>
        <v>13</v>
      </c>
      <c r="M33" s="38">
        <f t="shared" si="6"/>
        <v>624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13</v>
      </c>
      <c r="U33" s="52">
        <f t="shared" si="7"/>
        <v>624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80" t="s">
        <v>269</v>
      </c>
      <c r="C34" s="286" t="s">
        <v>183</v>
      </c>
      <c r="D34" s="271" t="s">
        <v>50</v>
      </c>
      <c r="E34" s="287" t="s">
        <v>176</v>
      </c>
      <c r="F34" s="288">
        <v>48</v>
      </c>
      <c r="G34" s="281">
        <v>13</v>
      </c>
      <c r="H34" s="38">
        <f t="shared" si="4"/>
        <v>9.42</v>
      </c>
      <c r="I34" s="39">
        <f t="shared" si="5"/>
        <v>624</v>
      </c>
      <c r="J34" s="151"/>
      <c r="K34" s="89">
        <f t="shared" si="0"/>
        <v>2</v>
      </c>
      <c r="L34" s="9">
        <f t="shared" si="1"/>
        <v>1850</v>
      </c>
      <c r="M34" s="9">
        <f t="shared" si="6"/>
        <v>3700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1850</v>
      </c>
      <c r="U34" s="14">
        <f t="shared" si="7"/>
        <v>3700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62">
        <v>205699</v>
      </c>
      <c r="C35" s="292" t="s">
        <v>184</v>
      </c>
      <c r="D35" s="271" t="s">
        <v>47</v>
      </c>
      <c r="E35" s="293">
        <v>5000</v>
      </c>
      <c r="F35" s="273">
        <v>2</v>
      </c>
      <c r="G35" s="259">
        <v>1850</v>
      </c>
      <c r="H35" s="9">
        <f t="shared" si="4"/>
        <v>1340.58</v>
      </c>
      <c r="I35" s="10">
        <f t="shared" si="5"/>
        <v>3700</v>
      </c>
      <c r="J35" s="151"/>
      <c r="K35" s="88">
        <f t="shared" si="0"/>
        <v>6</v>
      </c>
      <c r="L35" s="38">
        <f t="shared" si="1"/>
        <v>675</v>
      </c>
      <c r="M35" s="38">
        <f t="shared" si="6"/>
        <v>4050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675</v>
      </c>
      <c r="U35" s="52">
        <f t="shared" si="7"/>
        <v>4050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80" t="s">
        <v>270</v>
      </c>
      <c r="C36" s="286" t="s">
        <v>186</v>
      </c>
      <c r="D36" s="271" t="s">
        <v>43</v>
      </c>
      <c r="E36" s="287">
        <v>5000</v>
      </c>
      <c r="F36" s="288">
        <v>6</v>
      </c>
      <c r="G36" s="281">
        <v>675</v>
      </c>
      <c r="H36" s="38">
        <f t="shared" si="4"/>
        <v>489.13</v>
      </c>
      <c r="I36" s="39">
        <f t="shared" si="5"/>
        <v>4050</v>
      </c>
      <c r="J36" s="151"/>
      <c r="K36" s="89">
        <f t="shared" si="0"/>
        <v>12</v>
      </c>
      <c r="L36" s="9">
        <f t="shared" si="1"/>
        <v>650</v>
      </c>
      <c r="M36" s="9">
        <f t="shared" si="6"/>
        <v>7800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650</v>
      </c>
      <c r="U36" s="14">
        <f t="shared" si="7"/>
        <v>7800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62" t="s">
        <v>271</v>
      </c>
      <c r="C37" s="292" t="s">
        <v>272</v>
      </c>
      <c r="D37" s="271" t="s">
        <v>43</v>
      </c>
      <c r="E37" s="293">
        <v>5000</v>
      </c>
      <c r="F37" s="273">
        <v>12</v>
      </c>
      <c r="G37" s="259">
        <v>650</v>
      </c>
      <c r="H37" s="9">
        <f t="shared" si="4"/>
        <v>471.01</v>
      </c>
      <c r="I37" s="10">
        <f t="shared" si="5"/>
        <v>7800</v>
      </c>
      <c r="J37" s="151"/>
      <c r="K37" s="88">
        <f t="shared" si="0"/>
        <v>0</v>
      </c>
      <c r="L37" s="38">
        <f t="shared" si="1"/>
        <v>0</v>
      </c>
      <c r="M37" s="38">
        <f t="shared" si="6"/>
        <v>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0</v>
      </c>
      <c r="U37" s="52">
        <f t="shared" si="7"/>
        <v>0</v>
      </c>
      <c r="V37" s="41">
        <f t="shared" si="8"/>
        <v>0</v>
      </c>
      <c r="W37" s="41">
        <f t="shared" si="9"/>
        <v>0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80"/>
      <c r="C38" s="286" t="s">
        <v>190</v>
      </c>
      <c r="D38" s="271"/>
      <c r="E38" s="287"/>
      <c r="F38" s="288"/>
      <c r="G38" s="281"/>
      <c r="H38" s="38">
        <f t="shared" si="4"/>
        <v>0</v>
      </c>
      <c r="I38" s="39">
        <f t="shared" si="5"/>
        <v>0</v>
      </c>
      <c r="J38" s="151"/>
      <c r="K38" s="89">
        <f t="shared" si="0"/>
        <v>94</v>
      </c>
      <c r="L38" s="9">
        <f t="shared" si="1"/>
        <v>450</v>
      </c>
      <c r="M38" s="9">
        <f t="shared" si="6"/>
        <v>42300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450</v>
      </c>
      <c r="U38" s="14">
        <f t="shared" si="7"/>
        <v>42300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62">
        <v>221712</v>
      </c>
      <c r="C39" s="292" t="s">
        <v>192</v>
      </c>
      <c r="D39" s="271" t="s">
        <v>53</v>
      </c>
      <c r="E39" s="293" t="s">
        <v>176</v>
      </c>
      <c r="F39" s="273">
        <v>94</v>
      </c>
      <c r="G39" s="259">
        <v>450</v>
      </c>
      <c r="H39" s="9">
        <f t="shared" si="4"/>
        <v>326.08999999999997</v>
      </c>
      <c r="I39" s="10">
        <f t="shared" si="5"/>
        <v>42300</v>
      </c>
      <c r="J39" s="151"/>
      <c r="K39" s="88">
        <f t="shared" si="0"/>
        <v>376</v>
      </c>
      <c r="L39" s="38">
        <f t="shared" si="1"/>
        <v>8.5</v>
      </c>
      <c r="M39" s="38">
        <f t="shared" si="6"/>
        <v>3196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8.5</v>
      </c>
      <c r="U39" s="52">
        <f t="shared" si="7"/>
        <v>3196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80">
        <v>95748</v>
      </c>
      <c r="C40" s="286" t="s">
        <v>194</v>
      </c>
      <c r="D40" s="271" t="s">
        <v>54</v>
      </c>
      <c r="E40" s="287" t="s">
        <v>176</v>
      </c>
      <c r="F40" s="288">
        <v>376</v>
      </c>
      <c r="G40" s="281">
        <v>8.5</v>
      </c>
      <c r="H40" s="38">
        <f t="shared" si="4"/>
        <v>6.16</v>
      </c>
      <c r="I40" s="39">
        <f t="shared" si="5"/>
        <v>3196</v>
      </c>
      <c r="J40" s="151"/>
      <c r="K40" s="89">
        <f t="shared" si="0"/>
        <v>376</v>
      </c>
      <c r="L40" s="9">
        <f t="shared" si="1"/>
        <v>7.5</v>
      </c>
      <c r="M40" s="9">
        <f t="shared" si="6"/>
        <v>2820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7.5</v>
      </c>
      <c r="U40" s="14">
        <f t="shared" si="7"/>
        <v>2820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62">
        <v>95747</v>
      </c>
      <c r="C41" s="292" t="s">
        <v>195</v>
      </c>
      <c r="D41" s="271" t="s">
        <v>54</v>
      </c>
      <c r="E41" s="293" t="s">
        <v>176</v>
      </c>
      <c r="F41" s="273">
        <v>376</v>
      </c>
      <c r="G41" s="259">
        <v>7.5</v>
      </c>
      <c r="H41" s="9">
        <f t="shared" si="4"/>
        <v>5.43</v>
      </c>
      <c r="I41" s="10">
        <f t="shared" si="5"/>
        <v>2820</v>
      </c>
      <c r="J41" s="151"/>
      <c r="K41" s="88">
        <f t="shared" si="0"/>
        <v>0</v>
      </c>
      <c r="L41" s="38">
        <f t="shared" si="1"/>
        <v>0</v>
      </c>
      <c r="M41" s="38">
        <f t="shared" si="6"/>
        <v>0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0</v>
      </c>
      <c r="U41" s="52">
        <f t="shared" si="7"/>
        <v>0</v>
      </c>
      <c r="V41" s="41">
        <f t="shared" si="8"/>
        <v>0</v>
      </c>
      <c r="W41" s="41">
        <f t="shared" si="9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80"/>
      <c r="C42" s="286"/>
      <c r="D42" s="271"/>
      <c r="E42" s="287"/>
      <c r="F42" s="288"/>
      <c r="G42" s="281"/>
      <c r="H42" s="38">
        <f t="shared" si="4"/>
        <v>0</v>
      </c>
      <c r="I42" s="39">
        <f t="shared" si="5"/>
        <v>0</v>
      </c>
      <c r="J42" s="151"/>
      <c r="K42" s="89">
        <f t="shared" si="0"/>
        <v>0</v>
      </c>
      <c r="L42" s="9">
        <f t="shared" si="1"/>
        <v>0</v>
      </c>
      <c r="M42" s="9">
        <f t="shared" si="6"/>
        <v>0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0</v>
      </c>
      <c r="U42" s="14">
        <f t="shared" si="7"/>
        <v>0</v>
      </c>
      <c r="V42" s="29">
        <f t="shared" si="8"/>
        <v>0</v>
      </c>
      <c r="W42" s="29">
        <f t="shared" si="9"/>
        <v>0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62"/>
      <c r="C43" s="292"/>
      <c r="D43" s="271"/>
      <c r="E43" s="293"/>
      <c r="F43" s="273"/>
      <c r="G43" s="259"/>
      <c r="H43" s="9">
        <f t="shared" si="4"/>
        <v>0</v>
      </c>
      <c r="I43" s="10">
        <f t="shared" si="5"/>
        <v>0</v>
      </c>
      <c r="J43" s="151"/>
      <c r="K43" s="88">
        <f t="shared" si="0"/>
        <v>0</v>
      </c>
      <c r="L43" s="38">
        <f t="shared" si="1"/>
        <v>0</v>
      </c>
      <c r="M43" s="38">
        <f t="shared" si="6"/>
        <v>0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0</v>
      </c>
      <c r="U43" s="52">
        <f t="shared" si="7"/>
        <v>0</v>
      </c>
      <c r="V43" s="41">
        <f t="shared" si="8"/>
        <v>0</v>
      </c>
      <c r="W43" s="41">
        <f t="shared" si="9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80"/>
      <c r="C44" s="286"/>
      <c r="D44" s="271"/>
      <c r="E44" s="287"/>
      <c r="F44" s="288"/>
      <c r="G44" s="281"/>
      <c r="H44" s="38">
        <f t="shared" si="4"/>
        <v>0</v>
      </c>
      <c r="I44" s="39">
        <f t="shared" si="5"/>
        <v>0</v>
      </c>
      <c r="J44" s="151"/>
      <c r="K44" s="89">
        <f t="shared" si="0"/>
        <v>1</v>
      </c>
      <c r="L44" s="9">
        <f t="shared" si="1"/>
        <v>675</v>
      </c>
      <c r="M44" s="9">
        <f t="shared" si="6"/>
        <v>675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675</v>
      </c>
      <c r="U44" s="14">
        <f t="shared" si="7"/>
        <v>675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62">
        <v>212868</v>
      </c>
      <c r="C45" s="292" t="s">
        <v>200</v>
      </c>
      <c r="D45" s="271" t="s">
        <v>18</v>
      </c>
      <c r="E45" s="293" t="s">
        <v>176</v>
      </c>
      <c r="F45" s="273">
        <v>1</v>
      </c>
      <c r="G45" s="259">
        <v>675</v>
      </c>
      <c r="H45" s="9">
        <f t="shared" si="4"/>
        <v>489.13</v>
      </c>
      <c r="I45" s="10">
        <f t="shared" si="5"/>
        <v>675</v>
      </c>
      <c r="J45" s="151"/>
      <c r="K45" s="88">
        <f t="shared" si="0"/>
        <v>0</v>
      </c>
      <c r="L45" s="38">
        <f t="shared" si="1"/>
        <v>0</v>
      </c>
      <c r="M45" s="38">
        <f t="shared" si="6"/>
        <v>0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0</v>
      </c>
      <c r="U45" s="52">
        <f t="shared" si="7"/>
        <v>0</v>
      </c>
      <c r="V45" s="41">
        <f t="shared" si="8"/>
        <v>0</v>
      </c>
      <c r="W45" s="41">
        <f t="shared" si="9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80"/>
      <c r="C46" s="286"/>
      <c r="D46" s="271"/>
      <c r="E46" s="287"/>
      <c r="F46" s="288"/>
      <c r="G46" s="281"/>
      <c r="H46" s="38">
        <f t="shared" si="4"/>
        <v>0</v>
      </c>
      <c r="I46" s="39">
        <f t="shared" si="5"/>
        <v>0</v>
      </c>
      <c r="J46" s="151"/>
      <c r="K46" s="89">
        <f t="shared" si="0"/>
        <v>1</v>
      </c>
      <c r="L46" s="9">
        <f t="shared" si="1"/>
        <v>1850</v>
      </c>
      <c r="M46" s="9">
        <f t="shared" si="6"/>
        <v>1850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1850</v>
      </c>
      <c r="U46" s="14">
        <f t="shared" si="7"/>
        <v>1850</v>
      </c>
      <c r="V46" s="29">
        <f t="shared" si="8"/>
        <v>0</v>
      </c>
      <c r="W46" s="29">
        <f t="shared" si="9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62">
        <v>213767</v>
      </c>
      <c r="C47" s="292" t="s">
        <v>254</v>
      </c>
      <c r="D47" s="271" t="s">
        <v>15</v>
      </c>
      <c r="E47" s="293" t="s">
        <v>176</v>
      </c>
      <c r="F47" s="273">
        <v>1</v>
      </c>
      <c r="G47" s="259">
        <v>1850</v>
      </c>
      <c r="H47" s="9">
        <f t="shared" si="4"/>
        <v>1340.58</v>
      </c>
      <c r="I47" s="10">
        <f t="shared" si="5"/>
        <v>1850</v>
      </c>
      <c r="J47" s="151"/>
      <c r="K47" s="88">
        <f t="shared" si="0"/>
        <v>1</v>
      </c>
      <c r="L47" s="38">
        <f t="shared" si="1"/>
        <v>4250</v>
      </c>
      <c r="M47" s="38">
        <f t="shared" si="6"/>
        <v>4250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4250</v>
      </c>
      <c r="U47" s="52">
        <f t="shared" si="7"/>
        <v>4250</v>
      </c>
      <c r="V47" s="41">
        <f t="shared" si="8"/>
        <v>0</v>
      </c>
      <c r="W47" s="41">
        <f t="shared" si="9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80">
        <v>220131</v>
      </c>
      <c r="C48" s="181" t="s">
        <v>224</v>
      </c>
      <c r="D48" s="271" t="s">
        <v>16</v>
      </c>
      <c r="E48" s="287" t="s">
        <v>176</v>
      </c>
      <c r="F48" s="288">
        <v>1</v>
      </c>
      <c r="G48" s="281">
        <v>4250</v>
      </c>
      <c r="H48" s="38">
        <f t="shared" si="4"/>
        <v>3079.71</v>
      </c>
      <c r="I48" s="39">
        <f t="shared" si="5"/>
        <v>4250</v>
      </c>
      <c r="J48" s="151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62"/>
      <c r="C49" s="295"/>
      <c r="D49" s="271"/>
      <c r="E49" s="293"/>
      <c r="F49" s="273"/>
      <c r="G49" s="259"/>
      <c r="H49" s="9">
        <f t="shared" si="4"/>
        <v>0</v>
      </c>
      <c r="I49" s="10">
        <f t="shared" si="5"/>
        <v>0</v>
      </c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80"/>
      <c r="C50" s="181"/>
      <c r="D50" s="271"/>
      <c r="E50" s="287"/>
      <c r="F50" s="288"/>
      <c r="G50" s="281"/>
      <c r="H50" s="38">
        <f t="shared" si="4"/>
        <v>0</v>
      </c>
      <c r="I50" s="39">
        <f t="shared" si="5"/>
        <v>0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62"/>
      <c r="C51" s="295"/>
      <c r="D51" s="271"/>
      <c r="E51" s="293"/>
      <c r="F51" s="273"/>
      <c r="G51" s="259"/>
      <c r="H51" s="9">
        <f t="shared" si="4"/>
        <v>0</v>
      </c>
      <c r="I51" s="10">
        <f t="shared" si="5"/>
        <v>0</v>
      </c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80"/>
      <c r="C52" s="181"/>
      <c r="D52" s="271"/>
      <c r="E52" s="287"/>
      <c r="F52" s="288"/>
      <c r="G52" s="281"/>
      <c r="H52" s="38">
        <f t="shared" si="4"/>
        <v>0</v>
      </c>
      <c r="I52" s="39">
        <f t="shared" si="5"/>
        <v>0</v>
      </c>
      <c r="J52" s="151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29">
        <f t="shared" si="8"/>
        <v>0</v>
      </c>
      <c r="W52" s="29">
        <f t="shared" si="9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62"/>
      <c r="C53" s="295"/>
      <c r="D53" s="271"/>
      <c r="E53" s="293"/>
      <c r="F53" s="273"/>
      <c r="G53" s="259"/>
      <c r="H53" s="9">
        <f t="shared" si="4"/>
        <v>0</v>
      </c>
      <c r="I53" s="10">
        <f t="shared" si="5"/>
        <v>0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80"/>
      <c r="C54" s="181"/>
      <c r="D54" s="271"/>
      <c r="E54" s="287"/>
      <c r="F54" s="288"/>
      <c r="G54" s="281"/>
      <c r="H54" s="38">
        <f t="shared" si="4"/>
        <v>0</v>
      </c>
      <c r="I54" s="39">
        <f t="shared" si="5"/>
        <v>0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4"/>
      <c r="D56" s="139"/>
      <c r="E56" s="125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6"/>
      <c r="D57" s="139"/>
      <c r="E57" s="126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4"/>
      <c r="D58" s="139"/>
      <c r="E58" s="125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4"/>
      <c r="D60" s="139"/>
      <c r="E60" s="125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4"/>
      <c r="D62" s="139"/>
      <c r="E62" s="125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988</v>
      </c>
      <c r="L81" s="79">
        <f>SUM(L18:L80)</f>
        <v>18388</v>
      </c>
      <c r="M81" s="80">
        <f>SUM(M18:M80)</f>
        <v>87474.5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18388</v>
      </c>
      <c r="U81" s="80">
        <f>SUM(U18:U80)</f>
        <v>87474.5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988</v>
      </c>
      <c r="G82" s="78">
        <f>SUM(G19:G81)</f>
        <v>18388</v>
      </c>
      <c r="H82" s="79">
        <f>SUM(H19:H81)</f>
        <v>13324.629999999997</v>
      </c>
      <c r="I82" s="80">
        <f>SUM(I19:I81)</f>
        <v>87474.5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83" priority="3" stopIfTrue="1">
      <formula>$V$9&gt;100%</formula>
    </cfRule>
    <cfRule type="expression" dxfId="82" priority="4">
      <formula>$V$9&lt;50%</formula>
    </cfRule>
  </conditionalFormatting>
  <conditionalFormatting sqref="W9:W10">
    <cfRule type="expression" dxfId="81" priority="1">
      <formula>$W$9&lt;50%</formula>
    </cfRule>
    <cfRule type="expression" dxfId="80" priority="2">
      <formula>$W$9&gt;50%</formula>
    </cfRule>
  </conditionalFormatting>
  <dataValidations count="6">
    <dataValidation type="list" allowBlank="1" showInputMessage="1" showErrorMessage="1" sqref="G18 R14 R17 L17" xr:uid="{C813949C-FAD3-4615-8962-8306C77DA28D}">
      <formula1>$Z$11:$Z$12</formula1>
    </dataValidation>
    <dataValidation type="list" allowBlank="1" showInputMessage="1" showErrorMessage="1" sqref="I13" xr:uid="{C51B9FFC-C6BB-4F18-A02D-16878C4817B5}">
      <formula1>$Z$13:$Z$14</formula1>
    </dataValidation>
    <dataValidation type="list" allowBlank="1" showInputMessage="1" showErrorMessage="1" sqref="J13" xr:uid="{14522E9D-4EFF-4FAC-BB4D-1328BF6C71E7}">
      <formula1>$L$9:$L$9</formula1>
    </dataValidation>
    <dataValidation type="list" showInputMessage="1" showErrorMessage="1" sqref="E19:E81" xr:uid="{31B28281-B68C-446E-B83B-81452CDDBB4A}">
      <formula1>$AA$18:$AA$29</formula1>
    </dataValidation>
    <dataValidation type="list" allowBlank="1" showInputMessage="1" showErrorMessage="1" sqref="N18:N80" xr:uid="{383F904B-7BBA-4ABB-B434-C9968EDB9F2C}">
      <formula1>$Z$31:$Z$32</formula1>
    </dataValidation>
    <dataValidation type="list" allowBlank="1" showInputMessage="1" showErrorMessage="1" sqref="G2" xr:uid="{DD9E9208-CD33-4C03-85D8-E13C4C27315B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2D0E3A-F4BE-4CE4-8DBE-8F1C530919D2}">
          <x14:formula1>
            <xm:f>'Product Type'!$A$1:$A$55</xm:f>
          </x14:formula1>
          <xm:sqref>D19:D64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CBCB-A53B-4BCC-B74A-3176109DE8B7}">
  <sheetPr>
    <pageSetUpPr fitToPage="1"/>
  </sheetPr>
  <dimension ref="A1:AC83"/>
  <sheetViews>
    <sheetView zoomScale="85" zoomScaleNormal="85" workbookViewId="0">
      <selection activeCell="G46" sqref="G4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4.140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63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45243.459999999992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259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45243.459999999992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311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x14ac:dyDescent="0.25">
      <c r="A5" s="55"/>
      <c r="B5" s="117" t="s">
        <v>89</v>
      </c>
      <c r="C5" s="4"/>
      <c r="D5" s="4"/>
      <c r="E5" s="481" t="s">
        <v>90</v>
      </c>
      <c r="F5" s="482"/>
      <c r="G5" s="409">
        <v>6320341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3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45243.459999999992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45243.459999999992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x14ac:dyDescent="0.25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43"/>
      <c r="M10" s="483" t="s">
        <v>112</v>
      </c>
      <c r="N10" s="484"/>
      <c r="O10" s="485"/>
      <c r="P10" s="119"/>
      <c r="Q10" s="487">
        <f>F81</f>
        <v>38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/>
      <c r="C18" s="5" t="s">
        <v>209</v>
      </c>
      <c r="D18" s="139"/>
      <c r="E18" s="124"/>
      <c r="F18" s="53"/>
      <c r="G18" s="8"/>
      <c r="H18" s="9">
        <f>ROUND(IF($G$17="USD $", G18*$F$15,G18*$E$15),2)</f>
        <v>0</v>
      </c>
      <c r="I18" s="10">
        <f>ROUND(IF($I$17=$H$17,F18*H18,F18*G18),2)</f>
        <v>0</v>
      </c>
      <c r="J18" s="11"/>
      <c r="K18" s="89">
        <f t="shared" ref="K18:K80" si="0">F18</f>
        <v>0</v>
      </c>
      <c r="L18" s="9">
        <f>IFERROR(IF(N18="OEM DISC %",ROUND(IF($L$17=$G$17,G18*(1-O18),H18*(1-O18)),2),IF(N18="MARKUP %",ROUND(S18/K18*(1+O18),2))),0)</f>
        <v>0</v>
      </c>
      <c r="M18" s="9">
        <f>ROUND((K18*L18),2)</f>
        <v>0</v>
      </c>
      <c r="N18" s="8" t="s">
        <v>156</v>
      </c>
      <c r="O18" s="36"/>
      <c r="P18" s="51"/>
      <c r="Q18" s="2"/>
      <c r="R18" s="13"/>
      <c r="S18" s="14">
        <f>ROUND(IF($S$17=$R$17,R18,IF($S$17="USD $",R18*$E$15,R18*$F$15))*F18,2)</f>
        <v>0</v>
      </c>
      <c r="T18" s="14">
        <f>IFERROR(ROUND(U18/F18,2),0)</f>
        <v>0</v>
      </c>
      <c r="U18" s="14">
        <f>ROUND(M18-S18,2)</f>
        <v>0</v>
      </c>
      <c r="V18" s="29">
        <f>IFERROR(((L18-(S18/K18))/(S18/K18)),0)</f>
        <v>0</v>
      </c>
      <c r="W18" s="29">
        <f>IFERROR(((L18-(S18/K18))/L18),0)</f>
        <v>0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1">
        <v>211556</v>
      </c>
      <c r="C19" s="4" t="s">
        <v>210</v>
      </c>
      <c r="D19" s="139" t="s">
        <v>29</v>
      </c>
      <c r="E19" s="125"/>
      <c r="F19" s="54">
        <v>1</v>
      </c>
      <c r="G19" s="281">
        <v>50</v>
      </c>
      <c r="H19" s="38">
        <f t="shared" ref="H19:H80" si="1">ROUND(IF($G$17="USD $", G19*$F$15,G19*$E$15),2)</f>
        <v>36.229999999999997</v>
      </c>
      <c r="I19" s="39">
        <f t="shared" ref="I19:I80" si="2">ROUND(IF($I$17=$H$17,F19*H19,F19*G19),2)</f>
        <v>36.229999999999997</v>
      </c>
      <c r="J19" s="42"/>
      <c r="K19" s="88">
        <f t="shared" si="0"/>
        <v>1</v>
      </c>
      <c r="L19" s="38">
        <f t="shared" ref="L19:L80" si="3">IFERROR(IF(N19="OEM DISC %",ROUND(IF($L$17=$G$17,G19*(1-O19),H19*(1-O19)),2),IF(N19="MARKUP %",ROUND(S19/K19*(1+O19),2))),0)</f>
        <v>36.229999999999997</v>
      </c>
      <c r="M19" s="38">
        <f t="shared" ref="M19:M80" si="4">ROUND((K19*L19),2)</f>
        <v>36.229999999999997</v>
      </c>
      <c r="N19" s="128" t="s">
        <v>156</v>
      </c>
      <c r="O19" s="16"/>
      <c r="P19" s="51"/>
      <c r="Q19" s="1"/>
      <c r="R19" s="15"/>
      <c r="S19" s="40">
        <f>ROUND(IF($S$17=$R$17,R19,IF($S$17="USD $",R19*$E$15,R19*$F$15))*F19,2)</f>
        <v>0</v>
      </c>
      <c r="T19" s="52">
        <f t="shared" ref="T19:T80" si="5">IFERROR(ROUND(U19/F19,2),0)</f>
        <v>36.229999999999997</v>
      </c>
      <c r="U19" s="52">
        <f t="shared" ref="U19:U80" si="6">ROUND(M19-S19,2)</f>
        <v>36.229999999999997</v>
      </c>
      <c r="V19" s="41">
        <f t="shared" ref="V19:V80" si="7">IFERROR(((L19-(S19/K19))/(S19/K19)),0)</f>
        <v>0</v>
      </c>
      <c r="W19" s="41">
        <f t="shared" ref="W19:W80" si="8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283</v>
      </c>
      <c r="C20" s="6" t="s">
        <v>211</v>
      </c>
      <c r="D20" s="139" t="s">
        <v>28</v>
      </c>
      <c r="E20" s="126"/>
      <c r="F20" s="53">
        <v>1</v>
      </c>
      <c r="G20" s="259">
        <v>70</v>
      </c>
      <c r="H20" s="9">
        <f t="shared" si="1"/>
        <v>50.72</v>
      </c>
      <c r="I20" s="10">
        <f t="shared" si="2"/>
        <v>50.72</v>
      </c>
      <c r="J20" s="42"/>
      <c r="K20" s="89">
        <f t="shared" si="0"/>
        <v>1</v>
      </c>
      <c r="L20" s="9">
        <f t="shared" si="3"/>
        <v>50.72</v>
      </c>
      <c r="M20" s="9">
        <f t="shared" si="4"/>
        <v>50.72</v>
      </c>
      <c r="N20" s="8" t="s">
        <v>156</v>
      </c>
      <c r="O20" s="12"/>
      <c r="P20" s="51"/>
      <c r="Q20" s="3"/>
      <c r="R20" s="13"/>
      <c r="S20" s="14">
        <f t="shared" ref="S20:S80" si="9">ROUND(IF($S$17=$R$17,R20,IF($S$17="USD $",R20*$E$15,R20*$F$15))*F20,2)</f>
        <v>0</v>
      </c>
      <c r="T20" s="14">
        <f t="shared" si="5"/>
        <v>50.72</v>
      </c>
      <c r="U20" s="14">
        <f t="shared" si="6"/>
        <v>50.72</v>
      </c>
      <c r="V20" s="29">
        <f t="shared" si="7"/>
        <v>0</v>
      </c>
      <c r="W20" s="29">
        <f t="shared" si="8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>
        <v>213473</v>
      </c>
      <c r="C21" s="4" t="s">
        <v>212</v>
      </c>
      <c r="D21" s="139" t="s">
        <v>28</v>
      </c>
      <c r="E21" s="125"/>
      <c r="F21" s="54">
        <v>1</v>
      </c>
      <c r="G21" s="15">
        <v>80</v>
      </c>
      <c r="H21" s="38">
        <f t="shared" si="1"/>
        <v>57.97</v>
      </c>
      <c r="I21" s="39">
        <f t="shared" si="2"/>
        <v>57.97</v>
      </c>
      <c r="J21" s="42"/>
      <c r="K21" s="88">
        <f t="shared" si="0"/>
        <v>1</v>
      </c>
      <c r="L21" s="38">
        <f t="shared" si="3"/>
        <v>57.97</v>
      </c>
      <c r="M21" s="38">
        <f t="shared" si="4"/>
        <v>57.97</v>
      </c>
      <c r="N21" s="128" t="s">
        <v>156</v>
      </c>
      <c r="O21" s="16"/>
      <c r="P21" s="51"/>
      <c r="Q21" s="1"/>
      <c r="R21" s="15"/>
      <c r="S21" s="40">
        <f t="shared" si="9"/>
        <v>0</v>
      </c>
      <c r="T21" s="52">
        <f t="shared" si="5"/>
        <v>57.97</v>
      </c>
      <c r="U21" s="52">
        <f t="shared" si="6"/>
        <v>57.97</v>
      </c>
      <c r="V21" s="41">
        <f t="shared" si="7"/>
        <v>0</v>
      </c>
      <c r="W21" s="41">
        <f t="shared" si="8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"/>
      <c r="C22" s="6"/>
      <c r="D22" s="139"/>
      <c r="E22" s="126"/>
      <c r="F22" s="53"/>
      <c r="G22" s="8"/>
      <c r="H22" s="9">
        <f t="shared" si="1"/>
        <v>0</v>
      </c>
      <c r="I22" s="10">
        <f t="shared" si="2"/>
        <v>0</v>
      </c>
      <c r="J22" s="42"/>
      <c r="K22" s="89">
        <f t="shared" si="0"/>
        <v>0</v>
      </c>
      <c r="L22" s="9">
        <f t="shared" si="3"/>
        <v>0</v>
      </c>
      <c r="M22" s="9">
        <f t="shared" si="4"/>
        <v>0</v>
      </c>
      <c r="N22" s="8" t="s">
        <v>156</v>
      </c>
      <c r="O22" s="12"/>
      <c r="P22" s="51"/>
      <c r="Q22" s="3"/>
      <c r="R22" s="13"/>
      <c r="S22" s="14">
        <f t="shared" si="9"/>
        <v>0</v>
      </c>
      <c r="T22" s="14">
        <f t="shared" si="5"/>
        <v>0</v>
      </c>
      <c r="U22" s="14">
        <f t="shared" si="6"/>
        <v>0</v>
      </c>
      <c r="V22" s="29">
        <f t="shared" si="7"/>
        <v>0</v>
      </c>
      <c r="W22" s="29">
        <f t="shared" si="8"/>
        <v>0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263</v>
      </c>
      <c r="C23" s="4" t="s">
        <v>312</v>
      </c>
      <c r="D23" s="139" t="s">
        <v>27</v>
      </c>
      <c r="E23" s="125"/>
      <c r="F23" s="54">
        <v>1</v>
      </c>
      <c r="G23" s="400">
        <v>140</v>
      </c>
      <c r="H23" s="38">
        <f t="shared" si="1"/>
        <v>101.45</v>
      </c>
      <c r="I23" s="39">
        <f t="shared" si="2"/>
        <v>101.45</v>
      </c>
      <c r="J23" s="42"/>
      <c r="K23" s="88">
        <f t="shared" si="0"/>
        <v>1</v>
      </c>
      <c r="L23" s="38">
        <f t="shared" si="3"/>
        <v>101.45</v>
      </c>
      <c r="M23" s="38">
        <f t="shared" si="4"/>
        <v>101.45</v>
      </c>
      <c r="N23" s="128" t="s">
        <v>156</v>
      </c>
      <c r="O23" s="16"/>
      <c r="P23" s="51"/>
      <c r="Q23" s="1"/>
      <c r="R23" s="15"/>
      <c r="S23" s="40">
        <f t="shared" si="9"/>
        <v>0</v>
      </c>
      <c r="T23" s="52">
        <f t="shared" si="5"/>
        <v>101.45</v>
      </c>
      <c r="U23" s="52">
        <f t="shared" si="6"/>
        <v>101.45</v>
      </c>
      <c r="V23" s="41">
        <f t="shared" si="7"/>
        <v>0</v>
      </c>
      <c r="W23" s="41">
        <f t="shared" si="8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261</v>
      </c>
      <c r="C24" s="6" t="s">
        <v>214</v>
      </c>
      <c r="D24" s="139" t="s">
        <v>27</v>
      </c>
      <c r="E24" s="126"/>
      <c r="F24" s="53">
        <v>1</v>
      </c>
      <c r="G24" s="259">
        <v>122.5</v>
      </c>
      <c r="H24" s="9">
        <f t="shared" si="1"/>
        <v>88.77</v>
      </c>
      <c r="I24" s="10">
        <f t="shared" si="2"/>
        <v>88.77</v>
      </c>
      <c r="J24" s="42"/>
      <c r="K24" s="89">
        <f t="shared" si="0"/>
        <v>1</v>
      </c>
      <c r="L24" s="9">
        <f t="shared" si="3"/>
        <v>88.77</v>
      </c>
      <c r="M24" s="9">
        <f t="shared" si="4"/>
        <v>88.77</v>
      </c>
      <c r="N24" s="8" t="s">
        <v>156</v>
      </c>
      <c r="O24" s="12"/>
      <c r="P24" s="51"/>
      <c r="Q24" s="3"/>
      <c r="R24" s="13"/>
      <c r="S24" s="14">
        <f t="shared" si="9"/>
        <v>0</v>
      </c>
      <c r="T24" s="14">
        <f t="shared" si="5"/>
        <v>88.77</v>
      </c>
      <c r="U24" s="14">
        <f t="shared" si="6"/>
        <v>88.77</v>
      </c>
      <c r="V24" s="29">
        <f t="shared" si="7"/>
        <v>0</v>
      </c>
      <c r="W24" s="29">
        <f t="shared" si="8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>
        <v>219652</v>
      </c>
      <c r="C25" s="4" t="s">
        <v>215</v>
      </c>
      <c r="D25" s="139" t="s">
        <v>24</v>
      </c>
      <c r="E25" s="125"/>
      <c r="F25" s="54">
        <v>1</v>
      </c>
      <c r="G25" s="15">
        <v>50</v>
      </c>
      <c r="H25" s="38">
        <f t="shared" si="1"/>
        <v>36.229999999999997</v>
      </c>
      <c r="I25" s="39">
        <f t="shared" si="2"/>
        <v>36.229999999999997</v>
      </c>
      <c r="J25" s="42"/>
      <c r="K25" s="88">
        <f t="shared" si="0"/>
        <v>1</v>
      </c>
      <c r="L25" s="38">
        <f t="shared" si="3"/>
        <v>36.229999999999997</v>
      </c>
      <c r="M25" s="38">
        <f t="shared" si="4"/>
        <v>36.229999999999997</v>
      </c>
      <c r="N25" s="128" t="s">
        <v>156</v>
      </c>
      <c r="O25" s="16"/>
      <c r="P25" s="51"/>
      <c r="Q25" s="1"/>
      <c r="R25" s="15"/>
      <c r="S25" s="40">
        <f t="shared" si="9"/>
        <v>0</v>
      </c>
      <c r="T25" s="52">
        <f t="shared" si="5"/>
        <v>36.229999999999997</v>
      </c>
      <c r="U25" s="52">
        <f t="shared" si="6"/>
        <v>36.229999999999997</v>
      </c>
      <c r="V25" s="41">
        <f t="shared" si="7"/>
        <v>0</v>
      </c>
      <c r="W25" s="41">
        <f t="shared" si="8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/>
      <c r="C26" s="6"/>
      <c r="D26" s="139"/>
      <c r="E26" s="126"/>
      <c r="F26" s="53"/>
      <c r="G26" s="8"/>
      <c r="H26" s="9">
        <f t="shared" si="1"/>
        <v>0</v>
      </c>
      <c r="I26" s="10">
        <f t="shared" si="2"/>
        <v>0</v>
      </c>
      <c r="J26" s="42"/>
      <c r="K26" s="89">
        <f t="shared" si="0"/>
        <v>0</v>
      </c>
      <c r="L26" s="9">
        <f t="shared" si="3"/>
        <v>0</v>
      </c>
      <c r="M26" s="9">
        <f t="shared" si="4"/>
        <v>0</v>
      </c>
      <c r="N26" s="8" t="s">
        <v>156</v>
      </c>
      <c r="O26" s="12"/>
      <c r="P26" s="51"/>
      <c r="Q26" s="3"/>
      <c r="R26" s="13"/>
      <c r="S26" s="14">
        <f t="shared" si="9"/>
        <v>0</v>
      </c>
      <c r="T26" s="14">
        <f t="shared" si="5"/>
        <v>0</v>
      </c>
      <c r="U26" s="14">
        <f t="shared" si="6"/>
        <v>0</v>
      </c>
      <c r="V26" s="29">
        <f t="shared" si="7"/>
        <v>0</v>
      </c>
      <c r="W26" s="29">
        <f t="shared" si="8"/>
        <v>0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>
        <v>100859</v>
      </c>
      <c r="C27" s="4" t="s">
        <v>216</v>
      </c>
      <c r="D27" s="271" t="s">
        <v>25</v>
      </c>
      <c r="E27" s="125"/>
      <c r="F27" s="54">
        <v>1</v>
      </c>
      <c r="G27" s="15">
        <v>145</v>
      </c>
      <c r="H27" s="38">
        <f t="shared" si="1"/>
        <v>105.07</v>
      </c>
      <c r="I27" s="39">
        <f t="shared" si="2"/>
        <v>105.07</v>
      </c>
      <c r="J27" s="42"/>
      <c r="K27" s="88">
        <f t="shared" si="0"/>
        <v>1</v>
      </c>
      <c r="L27" s="38">
        <f t="shared" si="3"/>
        <v>105.07</v>
      </c>
      <c r="M27" s="38">
        <f t="shared" si="4"/>
        <v>105.07</v>
      </c>
      <c r="N27" s="128" t="s">
        <v>156</v>
      </c>
      <c r="O27" s="16"/>
      <c r="P27" s="51"/>
      <c r="Q27" s="1"/>
      <c r="R27" s="15"/>
      <c r="S27" s="40">
        <f t="shared" si="9"/>
        <v>0</v>
      </c>
      <c r="T27" s="52">
        <f t="shared" si="5"/>
        <v>105.07</v>
      </c>
      <c r="U27" s="52">
        <f t="shared" si="6"/>
        <v>105.07</v>
      </c>
      <c r="V27" s="41">
        <f t="shared" si="7"/>
        <v>0</v>
      </c>
      <c r="W27" s="41">
        <f t="shared" si="8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>
        <v>100860</v>
      </c>
      <c r="C28" s="6" t="s">
        <v>217</v>
      </c>
      <c r="D28" s="139" t="s">
        <v>25</v>
      </c>
      <c r="E28" s="126"/>
      <c r="F28" s="53">
        <v>1</v>
      </c>
      <c r="G28" s="8">
        <v>70</v>
      </c>
      <c r="H28" s="9">
        <f t="shared" si="1"/>
        <v>50.72</v>
      </c>
      <c r="I28" s="10">
        <f t="shared" si="2"/>
        <v>50.72</v>
      </c>
      <c r="J28" s="42"/>
      <c r="K28" s="89">
        <f t="shared" si="0"/>
        <v>1</v>
      </c>
      <c r="L28" s="9">
        <f t="shared" si="3"/>
        <v>50.72</v>
      </c>
      <c r="M28" s="9">
        <f t="shared" si="4"/>
        <v>50.72</v>
      </c>
      <c r="N28" s="8" t="s">
        <v>156</v>
      </c>
      <c r="O28" s="12"/>
      <c r="P28" s="51"/>
      <c r="Q28" s="3"/>
      <c r="R28" s="13"/>
      <c r="S28" s="14">
        <f t="shared" si="9"/>
        <v>0</v>
      </c>
      <c r="T28" s="14">
        <f t="shared" si="5"/>
        <v>50.72</v>
      </c>
      <c r="U28" s="14">
        <f t="shared" si="6"/>
        <v>50.72</v>
      </c>
      <c r="V28" s="29">
        <f t="shared" si="7"/>
        <v>0</v>
      </c>
      <c r="W28" s="29">
        <f t="shared" si="8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/>
      <c r="C29" s="4"/>
      <c r="D29" s="139"/>
      <c r="E29" s="125"/>
      <c r="F29" s="54"/>
      <c r="G29" s="15"/>
      <c r="H29" s="38">
        <f>ROUND(IF($G$17="USD $", G29*$F$15,G29*$E$15),2)</f>
        <v>0</v>
      </c>
      <c r="I29" s="39">
        <f>ROUND(IF($I$17=$H$17,F29*H29,F29*G29),2)</f>
        <v>0</v>
      </c>
      <c r="J29" s="42"/>
      <c r="K29" s="88">
        <f t="shared" si="0"/>
        <v>0</v>
      </c>
      <c r="L29" s="38">
        <f t="shared" si="3"/>
        <v>0</v>
      </c>
      <c r="M29" s="38">
        <f>ROUND((K29*L29),2)</f>
        <v>0</v>
      </c>
      <c r="N29" s="128" t="s">
        <v>156</v>
      </c>
      <c r="O29" s="16"/>
      <c r="P29" s="51"/>
      <c r="Q29" s="1"/>
      <c r="R29" s="15"/>
      <c r="S29" s="40">
        <f t="shared" si="9"/>
        <v>0</v>
      </c>
      <c r="T29" s="52">
        <f t="shared" si="5"/>
        <v>0</v>
      </c>
      <c r="U29" s="52">
        <f t="shared" si="6"/>
        <v>0</v>
      </c>
      <c r="V29" s="41">
        <f t="shared" si="7"/>
        <v>0</v>
      </c>
      <c r="W29" s="41">
        <f t="shared" si="8"/>
        <v>0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"/>
      <c r="C30" s="6" t="s">
        <v>313</v>
      </c>
      <c r="D30" s="139"/>
      <c r="E30" s="126"/>
      <c r="F30" s="53"/>
      <c r="G30" s="8"/>
      <c r="H30" s="9">
        <f t="shared" si="1"/>
        <v>0</v>
      </c>
      <c r="I30" s="10">
        <f t="shared" si="2"/>
        <v>0</v>
      </c>
      <c r="J30" s="42"/>
      <c r="K30" s="89">
        <f t="shared" si="0"/>
        <v>0</v>
      </c>
      <c r="L30" s="9">
        <f t="shared" si="3"/>
        <v>0</v>
      </c>
      <c r="M30" s="9">
        <f t="shared" si="4"/>
        <v>0</v>
      </c>
      <c r="N30" s="8" t="s">
        <v>156</v>
      </c>
      <c r="O30" s="12"/>
      <c r="P30" s="51"/>
      <c r="Q30" s="3"/>
      <c r="R30" s="13"/>
      <c r="S30" s="14">
        <f t="shared" si="9"/>
        <v>0</v>
      </c>
      <c r="T30" s="14">
        <f t="shared" si="5"/>
        <v>0</v>
      </c>
      <c r="U30" s="14">
        <f t="shared" si="6"/>
        <v>0</v>
      </c>
      <c r="V30" s="29">
        <f t="shared" si="7"/>
        <v>0</v>
      </c>
      <c r="W30" s="29">
        <f t="shared" si="8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1" t="s">
        <v>265</v>
      </c>
      <c r="C31" s="4" t="s">
        <v>220</v>
      </c>
      <c r="D31" s="139" t="s">
        <v>0</v>
      </c>
      <c r="E31" s="125"/>
      <c r="F31" s="54">
        <v>2</v>
      </c>
      <c r="G31" s="15">
        <v>325</v>
      </c>
      <c r="H31" s="38">
        <f t="shared" si="1"/>
        <v>235.51</v>
      </c>
      <c r="I31" s="39">
        <f t="shared" si="2"/>
        <v>471.02</v>
      </c>
      <c r="J31" s="42"/>
      <c r="K31" s="88">
        <f t="shared" si="0"/>
        <v>2</v>
      </c>
      <c r="L31" s="38">
        <f t="shared" si="3"/>
        <v>235.51</v>
      </c>
      <c r="M31" s="38">
        <f t="shared" si="4"/>
        <v>471.02</v>
      </c>
      <c r="N31" s="128" t="s">
        <v>156</v>
      </c>
      <c r="O31" s="16"/>
      <c r="P31" s="51"/>
      <c r="Q31" s="1"/>
      <c r="R31" s="15"/>
      <c r="S31" s="40">
        <f>ROUND(IF($S$17=$R$17,R31,IF($S$17="USD $",R31*$E$15,R31*$F$15))*F31,2)</f>
        <v>0</v>
      </c>
      <c r="T31" s="52">
        <f t="shared" si="5"/>
        <v>235.51</v>
      </c>
      <c r="U31" s="52">
        <f t="shared" si="6"/>
        <v>471.02</v>
      </c>
      <c r="V31" s="41">
        <f t="shared" si="7"/>
        <v>0</v>
      </c>
      <c r="W31" s="41">
        <f t="shared" si="8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" t="s">
        <v>314</v>
      </c>
      <c r="C32" s="6" t="s">
        <v>221</v>
      </c>
      <c r="D32" s="139" t="s">
        <v>39</v>
      </c>
      <c r="E32" s="126"/>
      <c r="F32" s="53">
        <v>1</v>
      </c>
      <c r="G32" s="8">
        <v>2647</v>
      </c>
      <c r="H32" s="9">
        <f t="shared" si="1"/>
        <v>1918.12</v>
      </c>
      <c r="I32" s="10">
        <f t="shared" si="2"/>
        <v>1918.12</v>
      </c>
      <c r="J32" s="42"/>
      <c r="K32" s="89">
        <f t="shared" si="0"/>
        <v>1</v>
      </c>
      <c r="L32" s="9">
        <f t="shared" si="3"/>
        <v>1918.12</v>
      </c>
      <c r="M32" s="9">
        <f t="shared" si="4"/>
        <v>1918.12</v>
      </c>
      <c r="N32" s="8" t="s">
        <v>156</v>
      </c>
      <c r="O32" s="12"/>
      <c r="P32" s="51"/>
      <c r="Q32" s="3"/>
      <c r="R32" s="13"/>
      <c r="S32" s="14">
        <f t="shared" si="9"/>
        <v>0</v>
      </c>
      <c r="T32" s="14">
        <f t="shared" si="5"/>
        <v>1918.12</v>
      </c>
      <c r="U32" s="14">
        <f t="shared" si="6"/>
        <v>1918.12</v>
      </c>
      <c r="V32" s="29">
        <f t="shared" si="7"/>
        <v>0</v>
      </c>
      <c r="W32" s="29">
        <f t="shared" si="8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1"/>
      <c r="C33" s="4"/>
      <c r="D33" s="139"/>
      <c r="E33" s="125"/>
      <c r="F33" s="54"/>
      <c r="G33" s="15"/>
      <c r="H33" s="38">
        <f t="shared" si="1"/>
        <v>0</v>
      </c>
      <c r="I33" s="39">
        <f t="shared" si="2"/>
        <v>0</v>
      </c>
      <c r="J33" s="42"/>
      <c r="K33" s="88">
        <f t="shared" si="0"/>
        <v>0</v>
      </c>
      <c r="L33" s="38">
        <f t="shared" si="3"/>
        <v>0</v>
      </c>
      <c r="M33" s="38">
        <f t="shared" si="4"/>
        <v>0</v>
      </c>
      <c r="N33" s="128" t="s">
        <v>156</v>
      </c>
      <c r="O33" s="16"/>
      <c r="P33" s="51"/>
      <c r="Q33" s="1"/>
      <c r="R33" s="15"/>
      <c r="S33" s="40">
        <f t="shared" si="9"/>
        <v>0</v>
      </c>
      <c r="T33" s="52">
        <f t="shared" si="5"/>
        <v>0</v>
      </c>
      <c r="U33" s="52">
        <f t="shared" si="6"/>
        <v>0</v>
      </c>
      <c r="V33" s="41">
        <f t="shared" si="7"/>
        <v>0</v>
      </c>
      <c r="W33" s="41">
        <f t="shared" si="8"/>
        <v>0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"/>
      <c r="C34" s="6" t="s">
        <v>222</v>
      </c>
      <c r="D34" s="139"/>
      <c r="E34" s="126"/>
      <c r="F34" s="53"/>
      <c r="G34" s="8"/>
      <c r="H34" s="9">
        <f t="shared" si="1"/>
        <v>0</v>
      </c>
      <c r="I34" s="10">
        <f t="shared" si="2"/>
        <v>0</v>
      </c>
      <c r="J34" s="42"/>
      <c r="K34" s="89">
        <f t="shared" si="0"/>
        <v>0</v>
      </c>
      <c r="L34" s="9">
        <f t="shared" si="3"/>
        <v>0</v>
      </c>
      <c r="M34" s="9">
        <f t="shared" si="4"/>
        <v>0</v>
      </c>
      <c r="N34" s="8" t="s">
        <v>156</v>
      </c>
      <c r="O34" s="12"/>
      <c r="P34" s="51"/>
      <c r="Q34" s="3"/>
      <c r="R34" s="13"/>
      <c r="S34" s="14">
        <f t="shared" si="9"/>
        <v>0</v>
      </c>
      <c r="T34" s="14">
        <f t="shared" si="5"/>
        <v>0</v>
      </c>
      <c r="U34" s="14">
        <f t="shared" si="6"/>
        <v>0</v>
      </c>
      <c r="V34" s="29">
        <f t="shared" si="7"/>
        <v>0</v>
      </c>
      <c r="W34" s="29">
        <f t="shared" si="8"/>
        <v>0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1">
        <v>211971</v>
      </c>
      <c r="C35" s="181" t="s">
        <v>224</v>
      </c>
      <c r="D35" s="139" t="s">
        <v>15</v>
      </c>
      <c r="E35" s="125"/>
      <c r="F35" s="54">
        <v>1</v>
      </c>
      <c r="G35" s="281">
        <v>1850</v>
      </c>
      <c r="H35" s="38">
        <f t="shared" si="1"/>
        <v>1340.58</v>
      </c>
      <c r="I35" s="39">
        <f t="shared" si="2"/>
        <v>1340.58</v>
      </c>
      <c r="J35" s="42"/>
      <c r="K35" s="88">
        <f t="shared" si="0"/>
        <v>1</v>
      </c>
      <c r="L35" s="38">
        <f t="shared" si="3"/>
        <v>1340.58</v>
      </c>
      <c r="M35" s="38">
        <f t="shared" si="4"/>
        <v>1340.58</v>
      </c>
      <c r="N35" s="128" t="s">
        <v>156</v>
      </c>
      <c r="O35" s="16"/>
      <c r="P35" s="51"/>
      <c r="Q35" s="1"/>
      <c r="R35" s="15"/>
      <c r="S35" s="40">
        <f t="shared" si="9"/>
        <v>0</v>
      </c>
      <c r="T35" s="52">
        <f t="shared" si="5"/>
        <v>1340.58</v>
      </c>
      <c r="U35" s="52">
        <f t="shared" si="6"/>
        <v>1340.58</v>
      </c>
      <c r="V35" s="41">
        <f t="shared" si="7"/>
        <v>0</v>
      </c>
      <c r="W35" s="41">
        <f t="shared" si="8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">
        <v>213737</v>
      </c>
      <c r="C36" s="6" t="s">
        <v>254</v>
      </c>
      <c r="D36" s="139" t="s">
        <v>16</v>
      </c>
      <c r="E36" s="126"/>
      <c r="F36" s="53">
        <v>1</v>
      </c>
      <c r="G36" s="259">
        <v>4250</v>
      </c>
      <c r="H36" s="9">
        <f t="shared" si="1"/>
        <v>3079.71</v>
      </c>
      <c r="I36" s="10">
        <f t="shared" si="2"/>
        <v>3079.71</v>
      </c>
      <c r="J36" s="42"/>
      <c r="K36" s="89">
        <f t="shared" si="0"/>
        <v>1</v>
      </c>
      <c r="L36" s="9">
        <f t="shared" si="3"/>
        <v>3079.71</v>
      </c>
      <c r="M36" s="9">
        <f t="shared" si="4"/>
        <v>3079.71</v>
      </c>
      <c r="N36" s="8" t="s">
        <v>156</v>
      </c>
      <c r="O36" s="12"/>
      <c r="P36" s="51"/>
      <c r="Q36" s="3"/>
      <c r="R36" s="13"/>
      <c r="S36" s="14">
        <f t="shared" si="9"/>
        <v>0</v>
      </c>
      <c r="T36" s="14">
        <f t="shared" si="5"/>
        <v>3079.71</v>
      </c>
      <c r="U36" s="14">
        <f t="shared" si="6"/>
        <v>3079.71</v>
      </c>
      <c r="V36" s="29">
        <f t="shared" si="7"/>
        <v>0</v>
      </c>
      <c r="W36" s="29">
        <f t="shared" si="8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1">
        <v>211591</v>
      </c>
      <c r="C37" s="4" t="s">
        <v>205</v>
      </c>
      <c r="D37" s="139" t="s">
        <v>17</v>
      </c>
      <c r="E37" s="125"/>
      <c r="F37" s="54">
        <v>1</v>
      </c>
      <c r="G37" s="15">
        <v>5500</v>
      </c>
      <c r="H37" s="38">
        <f t="shared" si="1"/>
        <v>3985.51</v>
      </c>
      <c r="I37" s="39">
        <f t="shared" si="2"/>
        <v>3985.51</v>
      </c>
      <c r="J37" s="42"/>
      <c r="K37" s="88">
        <f t="shared" si="0"/>
        <v>1</v>
      </c>
      <c r="L37" s="38">
        <f t="shared" si="3"/>
        <v>3985.51</v>
      </c>
      <c r="M37" s="38">
        <f t="shared" si="4"/>
        <v>3985.51</v>
      </c>
      <c r="N37" s="128" t="s">
        <v>156</v>
      </c>
      <c r="O37" s="16"/>
      <c r="P37" s="51"/>
      <c r="Q37" s="1"/>
      <c r="R37" s="15"/>
      <c r="S37" s="40">
        <f t="shared" si="9"/>
        <v>0</v>
      </c>
      <c r="T37" s="52">
        <f t="shared" si="5"/>
        <v>3985.51</v>
      </c>
      <c r="U37" s="52">
        <f t="shared" si="6"/>
        <v>3985.51</v>
      </c>
      <c r="V37" s="41">
        <f t="shared" si="7"/>
        <v>0</v>
      </c>
      <c r="W37" s="41">
        <f t="shared" si="8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" t="s">
        <v>285</v>
      </c>
      <c r="C38" s="6" t="s">
        <v>226</v>
      </c>
      <c r="D38" s="139" t="s">
        <v>23</v>
      </c>
      <c r="E38" s="126">
        <v>6000</v>
      </c>
      <c r="F38" s="53">
        <v>1</v>
      </c>
      <c r="G38" s="259">
        <v>4650</v>
      </c>
      <c r="H38" s="9">
        <f t="shared" si="1"/>
        <v>3369.57</v>
      </c>
      <c r="I38" s="10">
        <f t="shared" si="2"/>
        <v>3369.57</v>
      </c>
      <c r="J38" s="42"/>
      <c r="K38" s="89">
        <f t="shared" si="0"/>
        <v>1</v>
      </c>
      <c r="L38" s="9">
        <f t="shared" si="3"/>
        <v>3369.57</v>
      </c>
      <c r="M38" s="9">
        <f t="shared" si="4"/>
        <v>3369.57</v>
      </c>
      <c r="N38" s="8" t="s">
        <v>156</v>
      </c>
      <c r="O38" s="12"/>
      <c r="P38" s="51"/>
      <c r="Q38" s="3"/>
      <c r="R38" s="13"/>
      <c r="S38" s="14">
        <f t="shared" si="9"/>
        <v>0</v>
      </c>
      <c r="T38" s="14">
        <f t="shared" si="5"/>
        <v>3369.57</v>
      </c>
      <c r="U38" s="14">
        <f t="shared" si="6"/>
        <v>3369.57</v>
      </c>
      <c r="V38" s="29">
        <f t="shared" si="7"/>
        <v>0</v>
      </c>
      <c r="W38" s="29">
        <f t="shared" si="8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1">
        <v>211953</v>
      </c>
      <c r="C39" s="4" t="s">
        <v>227</v>
      </c>
      <c r="D39" s="139" t="s">
        <v>19</v>
      </c>
      <c r="E39" s="125">
        <v>6000</v>
      </c>
      <c r="F39" s="54">
        <v>6</v>
      </c>
      <c r="G39" s="281">
        <v>1250</v>
      </c>
      <c r="H39" s="38">
        <f t="shared" si="1"/>
        <v>905.8</v>
      </c>
      <c r="I39" s="39">
        <f t="shared" si="2"/>
        <v>5434.8</v>
      </c>
      <c r="J39" s="42"/>
      <c r="K39" s="88">
        <f t="shared" si="0"/>
        <v>6</v>
      </c>
      <c r="L39" s="38">
        <f t="shared" si="3"/>
        <v>905.8</v>
      </c>
      <c r="M39" s="38">
        <f t="shared" si="4"/>
        <v>5434.8</v>
      </c>
      <c r="N39" s="128" t="s">
        <v>156</v>
      </c>
      <c r="O39" s="16"/>
      <c r="P39" s="51"/>
      <c r="Q39" s="1"/>
      <c r="R39" s="15"/>
      <c r="S39" s="40">
        <f t="shared" si="9"/>
        <v>0</v>
      </c>
      <c r="T39" s="52">
        <f t="shared" si="5"/>
        <v>905.8</v>
      </c>
      <c r="U39" s="52">
        <f t="shared" si="6"/>
        <v>5434.8</v>
      </c>
      <c r="V39" s="41">
        <f t="shared" si="7"/>
        <v>0</v>
      </c>
      <c r="W39" s="41">
        <f t="shared" si="8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"/>
      <c r="C40" s="6"/>
      <c r="D40" s="139"/>
      <c r="E40" s="126"/>
      <c r="F40" s="53"/>
      <c r="G40" s="8"/>
      <c r="H40" s="9">
        <f t="shared" si="1"/>
        <v>0</v>
      </c>
      <c r="I40" s="10">
        <f t="shared" si="2"/>
        <v>0</v>
      </c>
      <c r="J40" s="42"/>
      <c r="K40" s="89">
        <f t="shared" si="0"/>
        <v>0</v>
      </c>
      <c r="L40" s="9">
        <f t="shared" si="3"/>
        <v>0</v>
      </c>
      <c r="M40" s="9">
        <f t="shared" si="4"/>
        <v>0</v>
      </c>
      <c r="N40" s="8" t="s">
        <v>156</v>
      </c>
      <c r="O40" s="12"/>
      <c r="P40" s="51"/>
      <c r="Q40" s="3"/>
      <c r="R40" s="13"/>
      <c r="S40" s="14">
        <f t="shared" si="9"/>
        <v>0</v>
      </c>
      <c r="T40" s="14">
        <f t="shared" si="5"/>
        <v>0</v>
      </c>
      <c r="U40" s="14">
        <f t="shared" si="6"/>
        <v>0</v>
      </c>
      <c r="V40" s="29">
        <f t="shared" si="7"/>
        <v>0</v>
      </c>
      <c r="W40" s="29">
        <f t="shared" si="8"/>
        <v>0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1"/>
      <c r="C41" s="4" t="s">
        <v>228</v>
      </c>
      <c r="D41" s="139"/>
      <c r="E41" s="125"/>
      <c r="F41" s="54"/>
      <c r="G41" s="15"/>
      <c r="H41" s="38">
        <f t="shared" si="1"/>
        <v>0</v>
      </c>
      <c r="I41" s="39">
        <f t="shared" si="2"/>
        <v>0</v>
      </c>
      <c r="J41" s="42"/>
      <c r="K41" s="88">
        <f t="shared" si="0"/>
        <v>0</v>
      </c>
      <c r="L41" s="38">
        <f t="shared" si="3"/>
        <v>0</v>
      </c>
      <c r="M41" s="38">
        <f t="shared" si="4"/>
        <v>0</v>
      </c>
      <c r="N41" s="128" t="s">
        <v>156</v>
      </c>
      <c r="O41" s="16"/>
      <c r="P41" s="51"/>
      <c r="Q41" s="1"/>
      <c r="R41" s="15"/>
      <c r="S41" s="40">
        <f t="shared" si="9"/>
        <v>0</v>
      </c>
      <c r="T41" s="52">
        <f t="shared" si="5"/>
        <v>0</v>
      </c>
      <c r="U41" s="52">
        <f t="shared" si="6"/>
        <v>0</v>
      </c>
      <c r="V41" s="41">
        <f t="shared" si="7"/>
        <v>0</v>
      </c>
      <c r="W41" s="41">
        <f t="shared" si="8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" t="s">
        <v>315</v>
      </c>
      <c r="C42" s="6" t="s">
        <v>316</v>
      </c>
      <c r="D42" s="139" t="s">
        <v>41</v>
      </c>
      <c r="E42" s="126"/>
      <c r="F42" s="53">
        <v>4</v>
      </c>
      <c r="G42" s="8">
        <v>4500</v>
      </c>
      <c r="H42" s="9">
        <f t="shared" si="1"/>
        <v>3260.87</v>
      </c>
      <c r="I42" s="10">
        <f t="shared" si="2"/>
        <v>13043.48</v>
      </c>
      <c r="J42" s="42"/>
      <c r="K42" s="89">
        <f t="shared" si="0"/>
        <v>4</v>
      </c>
      <c r="L42" s="9">
        <f t="shared" si="3"/>
        <v>3260.87</v>
      </c>
      <c r="M42" s="9">
        <f t="shared" si="4"/>
        <v>13043.48</v>
      </c>
      <c r="N42" s="8" t="s">
        <v>156</v>
      </c>
      <c r="O42" s="12"/>
      <c r="P42" s="51"/>
      <c r="Q42" s="3"/>
      <c r="R42" s="13"/>
      <c r="S42" s="14">
        <f t="shared" si="9"/>
        <v>0</v>
      </c>
      <c r="T42" s="14">
        <f t="shared" si="5"/>
        <v>3260.87</v>
      </c>
      <c r="U42" s="14">
        <f t="shared" si="6"/>
        <v>13043.48</v>
      </c>
      <c r="V42" s="29">
        <f t="shared" si="7"/>
        <v>0</v>
      </c>
      <c r="W42" s="29">
        <f t="shared" si="8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1"/>
      <c r="C43" s="4"/>
      <c r="D43" s="139"/>
      <c r="E43" s="125"/>
      <c r="F43" s="54"/>
      <c r="G43" s="15"/>
      <c r="H43" s="38">
        <f t="shared" si="1"/>
        <v>0</v>
      </c>
      <c r="I43" s="39">
        <f t="shared" si="2"/>
        <v>0</v>
      </c>
      <c r="J43" s="42"/>
      <c r="K43" s="88">
        <f t="shared" si="0"/>
        <v>0</v>
      </c>
      <c r="L43" s="38">
        <f t="shared" si="3"/>
        <v>0</v>
      </c>
      <c r="M43" s="38">
        <f t="shared" si="4"/>
        <v>0</v>
      </c>
      <c r="N43" s="128" t="s">
        <v>156</v>
      </c>
      <c r="O43" s="16"/>
      <c r="P43" s="51"/>
      <c r="Q43" s="1"/>
      <c r="R43" s="15"/>
      <c r="S43" s="40">
        <f t="shared" si="9"/>
        <v>0</v>
      </c>
      <c r="T43" s="52">
        <f t="shared" si="5"/>
        <v>0</v>
      </c>
      <c r="U43" s="52">
        <f t="shared" si="6"/>
        <v>0</v>
      </c>
      <c r="V43" s="41">
        <f t="shared" si="7"/>
        <v>0</v>
      </c>
      <c r="W43" s="41">
        <f t="shared" si="8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"/>
      <c r="C44" s="6" t="s">
        <v>230</v>
      </c>
      <c r="D44" s="139"/>
      <c r="E44" s="126"/>
      <c r="F44" s="53"/>
      <c r="G44" s="8"/>
      <c r="H44" s="9">
        <f t="shared" si="1"/>
        <v>0</v>
      </c>
      <c r="I44" s="10">
        <f t="shared" si="2"/>
        <v>0</v>
      </c>
      <c r="J44" s="42"/>
      <c r="K44" s="89">
        <f t="shared" si="0"/>
        <v>0</v>
      </c>
      <c r="L44" s="9">
        <f t="shared" si="3"/>
        <v>0</v>
      </c>
      <c r="M44" s="9">
        <f t="shared" si="4"/>
        <v>0</v>
      </c>
      <c r="N44" s="8" t="s">
        <v>156</v>
      </c>
      <c r="O44" s="12"/>
      <c r="P44" s="51"/>
      <c r="Q44" s="3"/>
      <c r="R44" s="13"/>
      <c r="S44" s="14">
        <f t="shared" si="9"/>
        <v>0</v>
      </c>
      <c r="T44" s="14">
        <f t="shared" si="5"/>
        <v>0</v>
      </c>
      <c r="U44" s="14">
        <f t="shared" si="6"/>
        <v>0</v>
      </c>
      <c r="V44" s="29">
        <f t="shared" si="7"/>
        <v>0</v>
      </c>
      <c r="W44" s="29">
        <f t="shared" si="8"/>
        <v>0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1" t="s">
        <v>317</v>
      </c>
      <c r="C45" s="4" t="s">
        <v>318</v>
      </c>
      <c r="D45" s="139" t="s">
        <v>42</v>
      </c>
      <c r="E45" s="125" t="s">
        <v>176</v>
      </c>
      <c r="F45" s="54">
        <v>2</v>
      </c>
      <c r="G45" s="15">
        <v>3750.49</v>
      </c>
      <c r="H45" s="38">
        <f t="shared" si="1"/>
        <v>2717.75</v>
      </c>
      <c r="I45" s="39">
        <f t="shared" si="2"/>
        <v>5435.5</v>
      </c>
      <c r="J45" s="42"/>
      <c r="K45" s="88">
        <f t="shared" si="0"/>
        <v>2</v>
      </c>
      <c r="L45" s="38">
        <f t="shared" si="3"/>
        <v>2717.75</v>
      </c>
      <c r="M45" s="38">
        <f t="shared" si="4"/>
        <v>5435.5</v>
      </c>
      <c r="N45" s="128" t="s">
        <v>156</v>
      </c>
      <c r="O45" s="16"/>
      <c r="P45" s="51"/>
      <c r="Q45" s="1"/>
      <c r="R45" s="15"/>
      <c r="S45" s="40">
        <f t="shared" si="9"/>
        <v>0</v>
      </c>
      <c r="T45" s="52">
        <f t="shared" si="5"/>
        <v>2717.75</v>
      </c>
      <c r="U45" s="52">
        <f t="shared" si="6"/>
        <v>5435.5</v>
      </c>
      <c r="V45" s="41">
        <f t="shared" si="7"/>
        <v>0</v>
      </c>
      <c r="W45" s="41">
        <f t="shared" si="8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" t="s">
        <v>319</v>
      </c>
      <c r="C46" s="6" t="s">
        <v>320</v>
      </c>
      <c r="D46" s="139" t="s">
        <v>42</v>
      </c>
      <c r="E46" s="126" t="s">
        <v>176</v>
      </c>
      <c r="F46" s="53">
        <v>1</v>
      </c>
      <c r="G46" s="259">
        <v>1709.8</v>
      </c>
      <c r="H46" s="9">
        <f t="shared" si="1"/>
        <v>1238.99</v>
      </c>
      <c r="I46" s="10">
        <f t="shared" si="2"/>
        <v>1238.99</v>
      </c>
      <c r="J46" s="42"/>
      <c r="K46" s="89">
        <f t="shared" si="0"/>
        <v>1</v>
      </c>
      <c r="L46" s="9">
        <f t="shared" si="3"/>
        <v>1238.99</v>
      </c>
      <c r="M46" s="9">
        <f t="shared" si="4"/>
        <v>1238.99</v>
      </c>
      <c r="N46" s="8" t="s">
        <v>156</v>
      </c>
      <c r="O46" s="12"/>
      <c r="P46" s="51"/>
      <c r="Q46" s="3"/>
      <c r="R46" s="13"/>
      <c r="S46" s="14">
        <f t="shared" si="9"/>
        <v>0</v>
      </c>
      <c r="T46" s="14">
        <f t="shared" si="5"/>
        <v>1238.99</v>
      </c>
      <c r="U46" s="14">
        <f t="shared" si="6"/>
        <v>1238.99</v>
      </c>
      <c r="V46" s="29">
        <f t="shared" si="7"/>
        <v>0</v>
      </c>
      <c r="W46" s="29">
        <f t="shared" si="8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1" t="s">
        <v>321</v>
      </c>
      <c r="C47" s="4" t="s">
        <v>322</v>
      </c>
      <c r="D47" s="139" t="s">
        <v>42</v>
      </c>
      <c r="E47" s="125" t="s">
        <v>176</v>
      </c>
      <c r="F47" s="54">
        <v>2</v>
      </c>
      <c r="G47" s="15">
        <v>563.25</v>
      </c>
      <c r="H47" s="38">
        <f t="shared" si="1"/>
        <v>408.15</v>
      </c>
      <c r="I47" s="39">
        <f t="shared" si="2"/>
        <v>816.3</v>
      </c>
      <c r="J47" s="42"/>
      <c r="K47" s="88">
        <f t="shared" si="0"/>
        <v>2</v>
      </c>
      <c r="L47" s="38">
        <f t="shared" si="3"/>
        <v>408.15</v>
      </c>
      <c r="M47" s="38">
        <f t="shared" si="4"/>
        <v>816.3</v>
      </c>
      <c r="N47" s="128" t="s">
        <v>156</v>
      </c>
      <c r="O47" s="16"/>
      <c r="P47" s="51"/>
      <c r="Q47" s="1"/>
      <c r="R47" s="15"/>
      <c r="S47" s="40">
        <f t="shared" si="9"/>
        <v>0</v>
      </c>
      <c r="T47" s="52">
        <f t="shared" si="5"/>
        <v>408.15</v>
      </c>
      <c r="U47" s="52">
        <f t="shared" si="6"/>
        <v>816.3</v>
      </c>
      <c r="V47" s="41">
        <f t="shared" si="7"/>
        <v>0</v>
      </c>
      <c r="W47" s="41">
        <f t="shared" si="8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" t="s">
        <v>323</v>
      </c>
      <c r="C48" s="6" t="s">
        <v>324</v>
      </c>
      <c r="D48" s="139" t="s">
        <v>42</v>
      </c>
      <c r="E48" s="126" t="s">
        <v>176</v>
      </c>
      <c r="F48" s="53">
        <v>4</v>
      </c>
      <c r="G48" s="8">
        <v>267.29000000000002</v>
      </c>
      <c r="H48" s="9">
        <f t="shared" si="1"/>
        <v>193.69</v>
      </c>
      <c r="I48" s="10">
        <f t="shared" si="2"/>
        <v>774.76</v>
      </c>
      <c r="J48" s="42"/>
      <c r="K48" s="89">
        <f t="shared" si="0"/>
        <v>4</v>
      </c>
      <c r="L48" s="9">
        <f t="shared" si="3"/>
        <v>193.69</v>
      </c>
      <c r="M48" s="9">
        <f t="shared" si="4"/>
        <v>774.76</v>
      </c>
      <c r="N48" s="8" t="s">
        <v>156</v>
      </c>
      <c r="O48" s="12"/>
      <c r="P48" s="51"/>
      <c r="Q48" s="3"/>
      <c r="R48" s="13"/>
      <c r="S48" s="14">
        <f t="shared" si="9"/>
        <v>0</v>
      </c>
      <c r="T48" s="14">
        <f t="shared" si="5"/>
        <v>193.69</v>
      </c>
      <c r="U48" s="14">
        <f t="shared" si="6"/>
        <v>774.76</v>
      </c>
      <c r="V48" s="29">
        <f t="shared" si="7"/>
        <v>0</v>
      </c>
      <c r="W48" s="29">
        <f t="shared" si="8"/>
        <v>1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1"/>
      <c r="C49" s="4"/>
      <c r="D49" s="139"/>
      <c r="E49" s="125"/>
      <c r="F49" s="54"/>
      <c r="G49" s="15"/>
      <c r="H49" s="38">
        <f t="shared" si="1"/>
        <v>0</v>
      </c>
      <c r="I49" s="39">
        <f t="shared" si="2"/>
        <v>0</v>
      </c>
      <c r="J49" s="42"/>
      <c r="K49" s="88">
        <f t="shared" si="0"/>
        <v>0</v>
      </c>
      <c r="L49" s="38">
        <f t="shared" si="3"/>
        <v>0</v>
      </c>
      <c r="M49" s="38">
        <f t="shared" si="4"/>
        <v>0</v>
      </c>
      <c r="N49" s="128" t="s">
        <v>156</v>
      </c>
      <c r="O49" s="16"/>
      <c r="P49" s="51"/>
      <c r="Q49" s="1"/>
      <c r="R49" s="15"/>
      <c r="S49" s="40">
        <f t="shared" si="9"/>
        <v>0</v>
      </c>
      <c r="T49" s="52">
        <f t="shared" si="5"/>
        <v>0</v>
      </c>
      <c r="U49" s="52">
        <f t="shared" si="6"/>
        <v>0</v>
      </c>
      <c r="V49" s="41">
        <f t="shared" si="7"/>
        <v>0</v>
      </c>
      <c r="W49" s="41">
        <f t="shared" si="8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" t="s">
        <v>289</v>
      </c>
      <c r="C50" s="6" t="s">
        <v>197</v>
      </c>
      <c r="D50" s="139" t="s">
        <v>22</v>
      </c>
      <c r="E50" s="126" t="s">
        <v>176</v>
      </c>
      <c r="F50" s="53">
        <v>1</v>
      </c>
      <c r="G50" s="8">
        <v>1100</v>
      </c>
      <c r="H50" s="9">
        <f t="shared" si="1"/>
        <v>797.1</v>
      </c>
      <c r="I50" s="10">
        <f t="shared" si="2"/>
        <v>797.1</v>
      </c>
      <c r="J50" s="42"/>
      <c r="K50" s="89">
        <f t="shared" si="0"/>
        <v>1</v>
      </c>
      <c r="L50" s="9">
        <f t="shared" si="3"/>
        <v>797.1</v>
      </c>
      <c r="M50" s="9">
        <f t="shared" si="4"/>
        <v>797.1</v>
      </c>
      <c r="N50" s="8" t="s">
        <v>156</v>
      </c>
      <c r="O50" s="12"/>
      <c r="P50" s="51"/>
      <c r="Q50" s="3"/>
      <c r="R50" s="13"/>
      <c r="S50" s="14">
        <f t="shared" si="9"/>
        <v>0</v>
      </c>
      <c r="T50" s="14">
        <f t="shared" si="5"/>
        <v>797.1</v>
      </c>
      <c r="U50" s="14">
        <f t="shared" si="6"/>
        <v>797.1</v>
      </c>
      <c r="V50" s="29">
        <f t="shared" si="7"/>
        <v>0</v>
      </c>
      <c r="W50" s="29">
        <f t="shared" si="8"/>
        <v>1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 t="s">
        <v>325</v>
      </c>
      <c r="C51" s="4" t="s">
        <v>198</v>
      </c>
      <c r="D51" s="139" t="s">
        <v>199</v>
      </c>
      <c r="E51" s="125" t="s">
        <v>176</v>
      </c>
      <c r="F51" s="54">
        <v>1</v>
      </c>
      <c r="G51" s="15">
        <v>2500</v>
      </c>
      <c r="H51" s="38">
        <f t="shared" si="1"/>
        <v>1811.59</v>
      </c>
      <c r="I51" s="39">
        <f t="shared" si="2"/>
        <v>1811.59</v>
      </c>
      <c r="J51" s="42"/>
      <c r="K51" s="88">
        <f t="shared" si="0"/>
        <v>1</v>
      </c>
      <c r="L51" s="38">
        <f t="shared" si="3"/>
        <v>1811.59</v>
      </c>
      <c r="M51" s="38">
        <f t="shared" si="4"/>
        <v>1811.59</v>
      </c>
      <c r="N51" s="128" t="s">
        <v>156</v>
      </c>
      <c r="O51" s="16"/>
      <c r="P51" s="51"/>
      <c r="Q51" s="1"/>
      <c r="R51" s="15"/>
      <c r="S51" s="40">
        <f t="shared" si="9"/>
        <v>0</v>
      </c>
      <c r="T51" s="52">
        <f t="shared" si="5"/>
        <v>1811.59</v>
      </c>
      <c r="U51" s="52">
        <f t="shared" si="6"/>
        <v>1811.59</v>
      </c>
      <c r="V51" s="41">
        <f t="shared" si="7"/>
        <v>0</v>
      </c>
      <c r="W51" s="41">
        <f t="shared" si="8"/>
        <v>1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>
        <v>213465</v>
      </c>
      <c r="C52" s="6" t="s">
        <v>200</v>
      </c>
      <c r="D52" s="139" t="s">
        <v>18</v>
      </c>
      <c r="E52" s="126" t="s">
        <v>176</v>
      </c>
      <c r="F52" s="53">
        <v>1</v>
      </c>
      <c r="G52" s="8">
        <v>675</v>
      </c>
      <c r="H52" s="9">
        <f t="shared" si="1"/>
        <v>489.13</v>
      </c>
      <c r="I52" s="10">
        <f t="shared" si="2"/>
        <v>489.13</v>
      </c>
      <c r="J52" s="42"/>
      <c r="K52" s="89">
        <f t="shared" si="0"/>
        <v>1</v>
      </c>
      <c r="L52" s="9">
        <f t="shared" si="3"/>
        <v>489.13</v>
      </c>
      <c r="M52" s="9">
        <f t="shared" si="4"/>
        <v>489.13</v>
      </c>
      <c r="N52" s="8" t="s">
        <v>156</v>
      </c>
      <c r="O52" s="12"/>
      <c r="P52" s="51"/>
      <c r="Q52" s="3"/>
      <c r="R52" s="13"/>
      <c r="S52" s="14">
        <f t="shared" si="9"/>
        <v>0</v>
      </c>
      <c r="T52" s="14">
        <f t="shared" si="5"/>
        <v>489.13</v>
      </c>
      <c r="U52" s="14">
        <f t="shared" si="6"/>
        <v>489.13</v>
      </c>
      <c r="V52" s="29">
        <f t="shared" si="7"/>
        <v>0</v>
      </c>
      <c r="W52" s="29">
        <f t="shared" si="8"/>
        <v>1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 t="s">
        <v>326</v>
      </c>
      <c r="C53" s="4" t="s">
        <v>201</v>
      </c>
      <c r="D53" s="139" t="s">
        <v>13</v>
      </c>
      <c r="E53" s="125" t="s">
        <v>176</v>
      </c>
      <c r="F53" s="54">
        <v>1</v>
      </c>
      <c r="G53" s="15">
        <v>980</v>
      </c>
      <c r="H53" s="38">
        <f t="shared" si="1"/>
        <v>710.14</v>
      </c>
      <c r="I53" s="39">
        <f t="shared" si="2"/>
        <v>710.14</v>
      </c>
      <c r="J53" s="42"/>
      <c r="K53" s="88">
        <f t="shared" si="0"/>
        <v>1</v>
      </c>
      <c r="L53" s="38">
        <f t="shared" si="3"/>
        <v>710.14</v>
      </c>
      <c r="M53" s="38">
        <f t="shared" si="4"/>
        <v>710.14</v>
      </c>
      <c r="N53" s="128" t="s">
        <v>156</v>
      </c>
      <c r="O53" s="16"/>
      <c r="P53" s="51"/>
      <c r="Q53" s="1"/>
      <c r="R53" s="15"/>
      <c r="S53" s="40">
        <f t="shared" si="9"/>
        <v>0</v>
      </c>
      <c r="T53" s="52">
        <f t="shared" si="5"/>
        <v>710.14</v>
      </c>
      <c r="U53" s="52">
        <f t="shared" si="6"/>
        <v>710.14</v>
      </c>
      <c r="V53" s="41">
        <f t="shared" si="7"/>
        <v>0</v>
      </c>
      <c r="W53" s="41">
        <f t="shared" si="8"/>
        <v>1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8"/>
      <c r="H54" s="9">
        <f t="shared" si="1"/>
        <v>0</v>
      </c>
      <c r="I54" s="10">
        <f t="shared" si="2"/>
        <v>0</v>
      </c>
      <c r="J54" s="42"/>
      <c r="K54" s="89">
        <f t="shared" si="0"/>
        <v>0</v>
      </c>
      <c r="L54" s="9">
        <f t="shared" si="3"/>
        <v>0</v>
      </c>
      <c r="M54" s="9">
        <f t="shared" si="4"/>
        <v>0</v>
      </c>
      <c r="N54" s="8" t="s">
        <v>156</v>
      </c>
      <c r="O54" s="12"/>
      <c r="P54" s="51"/>
      <c r="Q54" s="3"/>
      <c r="R54" s="13"/>
      <c r="S54" s="14">
        <f t="shared" si="9"/>
        <v>0</v>
      </c>
      <c r="T54" s="14">
        <f t="shared" si="5"/>
        <v>0</v>
      </c>
      <c r="U54" s="14">
        <f t="shared" si="6"/>
        <v>0</v>
      </c>
      <c r="V54" s="29">
        <f t="shared" si="7"/>
        <v>0</v>
      </c>
      <c r="W54" s="29">
        <f t="shared" si="8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8">
        <f t="shared" si="1"/>
        <v>0</v>
      </c>
      <c r="I55" s="39">
        <f t="shared" si="2"/>
        <v>0</v>
      </c>
      <c r="J55" s="42"/>
      <c r="K55" s="88">
        <f t="shared" si="0"/>
        <v>0</v>
      </c>
      <c r="L55" s="38">
        <f t="shared" si="3"/>
        <v>0</v>
      </c>
      <c r="M55" s="38">
        <f t="shared" si="4"/>
        <v>0</v>
      </c>
      <c r="N55" s="128" t="s">
        <v>156</v>
      </c>
      <c r="O55" s="16"/>
      <c r="P55" s="51"/>
      <c r="Q55" s="1"/>
      <c r="R55" s="15"/>
      <c r="S55" s="40">
        <f t="shared" si="9"/>
        <v>0</v>
      </c>
      <c r="T55" s="52">
        <f t="shared" si="5"/>
        <v>0</v>
      </c>
      <c r="U55" s="52">
        <f t="shared" si="6"/>
        <v>0</v>
      </c>
      <c r="V55" s="41">
        <f t="shared" si="7"/>
        <v>0</v>
      </c>
      <c r="W55" s="41">
        <f t="shared" si="8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8"/>
      <c r="H56" s="9">
        <f t="shared" si="1"/>
        <v>0</v>
      </c>
      <c r="I56" s="10">
        <f t="shared" si="2"/>
        <v>0</v>
      </c>
      <c r="J56" s="42"/>
      <c r="K56" s="89">
        <f t="shared" si="0"/>
        <v>0</v>
      </c>
      <c r="L56" s="9">
        <f t="shared" si="3"/>
        <v>0</v>
      </c>
      <c r="M56" s="9">
        <f t="shared" si="4"/>
        <v>0</v>
      </c>
      <c r="N56" s="8" t="s">
        <v>156</v>
      </c>
      <c r="O56" s="12"/>
      <c r="P56" s="51"/>
      <c r="Q56" s="3"/>
      <c r="R56" s="13"/>
      <c r="S56" s="14">
        <f t="shared" si="9"/>
        <v>0</v>
      </c>
      <c r="T56" s="14">
        <f t="shared" si="5"/>
        <v>0</v>
      </c>
      <c r="U56" s="14">
        <f t="shared" si="6"/>
        <v>0</v>
      </c>
      <c r="V56" s="29">
        <f t="shared" si="7"/>
        <v>0</v>
      </c>
      <c r="W56" s="29">
        <f t="shared" si="8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8">
        <f t="shared" si="1"/>
        <v>0</v>
      </c>
      <c r="I57" s="39">
        <f t="shared" si="2"/>
        <v>0</v>
      </c>
      <c r="J57" s="42"/>
      <c r="K57" s="88">
        <f t="shared" si="0"/>
        <v>0</v>
      </c>
      <c r="L57" s="38">
        <f t="shared" si="3"/>
        <v>0</v>
      </c>
      <c r="M57" s="38">
        <f t="shared" si="4"/>
        <v>0</v>
      </c>
      <c r="N57" s="128" t="s">
        <v>156</v>
      </c>
      <c r="O57" s="16"/>
      <c r="P57" s="51"/>
      <c r="Q57" s="1"/>
      <c r="R57" s="15"/>
      <c r="S57" s="40">
        <f t="shared" si="9"/>
        <v>0</v>
      </c>
      <c r="T57" s="52">
        <f t="shared" si="5"/>
        <v>0</v>
      </c>
      <c r="U57" s="52">
        <f t="shared" si="6"/>
        <v>0</v>
      </c>
      <c r="V57" s="41">
        <f t="shared" si="7"/>
        <v>0</v>
      </c>
      <c r="W57" s="41">
        <f t="shared" si="8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8"/>
      <c r="H58" s="9">
        <f t="shared" si="1"/>
        <v>0</v>
      </c>
      <c r="I58" s="10">
        <f t="shared" si="2"/>
        <v>0</v>
      </c>
      <c r="J58" s="42"/>
      <c r="K58" s="89">
        <f t="shared" si="0"/>
        <v>0</v>
      </c>
      <c r="L58" s="9">
        <f t="shared" si="3"/>
        <v>0</v>
      </c>
      <c r="M58" s="9">
        <f t="shared" si="4"/>
        <v>0</v>
      </c>
      <c r="N58" s="8" t="s">
        <v>156</v>
      </c>
      <c r="O58" s="12"/>
      <c r="P58" s="51"/>
      <c r="Q58" s="3"/>
      <c r="R58" s="13"/>
      <c r="S58" s="14">
        <f t="shared" si="9"/>
        <v>0</v>
      </c>
      <c r="T58" s="14">
        <f t="shared" si="5"/>
        <v>0</v>
      </c>
      <c r="U58" s="14">
        <f t="shared" si="6"/>
        <v>0</v>
      </c>
      <c r="V58" s="29">
        <f t="shared" si="7"/>
        <v>0</v>
      </c>
      <c r="W58" s="29">
        <f t="shared" si="8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8">
        <f t="shared" si="1"/>
        <v>0</v>
      </c>
      <c r="I59" s="39">
        <f t="shared" si="2"/>
        <v>0</v>
      </c>
      <c r="J59" s="42"/>
      <c r="K59" s="88">
        <f t="shared" si="0"/>
        <v>0</v>
      </c>
      <c r="L59" s="38">
        <f t="shared" si="3"/>
        <v>0</v>
      </c>
      <c r="M59" s="38">
        <f t="shared" si="4"/>
        <v>0</v>
      </c>
      <c r="N59" s="128" t="s">
        <v>156</v>
      </c>
      <c r="O59" s="16"/>
      <c r="P59" s="51"/>
      <c r="Q59" s="1"/>
      <c r="R59" s="15"/>
      <c r="S59" s="40">
        <f t="shared" si="9"/>
        <v>0</v>
      </c>
      <c r="T59" s="52">
        <f t="shared" si="5"/>
        <v>0</v>
      </c>
      <c r="U59" s="52">
        <f t="shared" si="6"/>
        <v>0</v>
      </c>
      <c r="V59" s="41">
        <f t="shared" si="7"/>
        <v>0</v>
      </c>
      <c r="W59" s="41">
        <f t="shared" si="8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8"/>
      <c r="H60" s="9">
        <f t="shared" si="1"/>
        <v>0</v>
      </c>
      <c r="I60" s="10">
        <f t="shared" si="2"/>
        <v>0</v>
      </c>
      <c r="J60" s="42"/>
      <c r="K60" s="89">
        <f t="shared" si="0"/>
        <v>0</v>
      </c>
      <c r="L60" s="9">
        <f t="shared" si="3"/>
        <v>0</v>
      </c>
      <c r="M60" s="9">
        <f t="shared" si="4"/>
        <v>0</v>
      </c>
      <c r="N60" s="8" t="s">
        <v>156</v>
      </c>
      <c r="O60" s="12"/>
      <c r="P60" s="51"/>
      <c r="Q60" s="3"/>
      <c r="R60" s="13"/>
      <c r="S60" s="14">
        <f t="shared" si="9"/>
        <v>0</v>
      </c>
      <c r="T60" s="14">
        <f t="shared" si="5"/>
        <v>0</v>
      </c>
      <c r="U60" s="14">
        <f t="shared" si="6"/>
        <v>0</v>
      </c>
      <c r="V60" s="29">
        <f t="shared" si="7"/>
        <v>0</v>
      </c>
      <c r="W60" s="29">
        <f t="shared" si="8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8">
        <f t="shared" si="1"/>
        <v>0</v>
      </c>
      <c r="I61" s="39">
        <f t="shared" si="2"/>
        <v>0</v>
      </c>
      <c r="J61" s="42"/>
      <c r="K61" s="88">
        <f t="shared" si="0"/>
        <v>0</v>
      </c>
      <c r="L61" s="38">
        <f t="shared" si="3"/>
        <v>0</v>
      </c>
      <c r="M61" s="38">
        <f t="shared" si="4"/>
        <v>0</v>
      </c>
      <c r="N61" s="128" t="s">
        <v>156</v>
      </c>
      <c r="O61" s="16"/>
      <c r="P61" s="51"/>
      <c r="Q61" s="1"/>
      <c r="R61" s="15"/>
      <c r="S61" s="40">
        <f t="shared" si="9"/>
        <v>0</v>
      </c>
      <c r="T61" s="52">
        <f t="shared" si="5"/>
        <v>0</v>
      </c>
      <c r="U61" s="52">
        <f t="shared" si="6"/>
        <v>0</v>
      </c>
      <c r="V61" s="41">
        <f t="shared" si="7"/>
        <v>0</v>
      </c>
      <c r="W61" s="41">
        <f t="shared" si="8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8"/>
      <c r="H62" s="9">
        <f t="shared" si="1"/>
        <v>0</v>
      </c>
      <c r="I62" s="10">
        <f t="shared" si="2"/>
        <v>0</v>
      </c>
      <c r="J62" s="42"/>
      <c r="K62" s="89">
        <f t="shared" si="0"/>
        <v>0</v>
      </c>
      <c r="L62" s="9">
        <f t="shared" si="3"/>
        <v>0</v>
      </c>
      <c r="M62" s="9">
        <f t="shared" si="4"/>
        <v>0</v>
      </c>
      <c r="N62" s="8" t="s">
        <v>156</v>
      </c>
      <c r="O62" s="12"/>
      <c r="P62" s="51"/>
      <c r="Q62" s="3"/>
      <c r="R62" s="13"/>
      <c r="S62" s="14">
        <f t="shared" si="9"/>
        <v>0</v>
      </c>
      <c r="T62" s="14">
        <f t="shared" si="5"/>
        <v>0</v>
      </c>
      <c r="U62" s="14">
        <f t="shared" si="6"/>
        <v>0</v>
      </c>
      <c r="V62" s="29">
        <f t="shared" si="7"/>
        <v>0</v>
      </c>
      <c r="W62" s="29">
        <f t="shared" si="8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8">
        <f t="shared" si="1"/>
        <v>0</v>
      </c>
      <c r="I63" s="39">
        <f t="shared" si="2"/>
        <v>0</v>
      </c>
      <c r="J63" s="42"/>
      <c r="K63" s="88">
        <f t="shared" si="0"/>
        <v>0</v>
      </c>
      <c r="L63" s="38">
        <f t="shared" si="3"/>
        <v>0</v>
      </c>
      <c r="M63" s="38">
        <f t="shared" si="4"/>
        <v>0</v>
      </c>
      <c r="N63" s="128" t="s">
        <v>156</v>
      </c>
      <c r="O63" s="16"/>
      <c r="P63" s="51"/>
      <c r="Q63" s="1"/>
      <c r="R63" s="15"/>
      <c r="S63" s="40">
        <f t="shared" si="9"/>
        <v>0</v>
      </c>
      <c r="T63" s="52">
        <f t="shared" si="5"/>
        <v>0</v>
      </c>
      <c r="U63" s="52">
        <f t="shared" si="6"/>
        <v>0</v>
      </c>
      <c r="V63" s="41">
        <f t="shared" si="7"/>
        <v>0</v>
      </c>
      <c r="W63" s="41">
        <f t="shared" si="8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8"/>
      <c r="H64" s="9">
        <f t="shared" si="1"/>
        <v>0</v>
      </c>
      <c r="I64" s="10">
        <f t="shared" si="2"/>
        <v>0</v>
      </c>
      <c r="J64" s="42"/>
      <c r="K64" s="89">
        <f t="shared" si="0"/>
        <v>0</v>
      </c>
      <c r="L64" s="9">
        <f t="shared" si="3"/>
        <v>0</v>
      </c>
      <c r="M64" s="9">
        <f t="shared" si="4"/>
        <v>0</v>
      </c>
      <c r="N64" s="8" t="s">
        <v>156</v>
      </c>
      <c r="O64" s="12"/>
      <c r="P64" s="51"/>
      <c r="Q64" s="3"/>
      <c r="R64" s="13"/>
      <c r="S64" s="14">
        <f t="shared" si="9"/>
        <v>0</v>
      </c>
      <c r="T64" s="14">
        <f t="shared" si="5"/>
        <v>0</v>
      </c>
      <c r="U64" s="14">
        <f t="shared" si="6"/>
        <v>0</v>
      </c>
      <c r="V64" s="29">
        <f t="shared" si="7"/>
        <v>0</v>
      </c>
      <c r="W64" s="29">
        <f t="shared" si="8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8">
        <f t="shared" si="1"/>
        <v>0</v>
      </c>
      <c r="I65" s="39">
        <f t="shared" si="2"/>
        <v>0</v>
      </c>
      <c r="J65" s="42"/>
      <c r="K65" s="88">
        <f t="shared" si="0"/>
        <v>0</v>
      </c>
      <c r="L65" s="38">
        <f t="shared" si="3"/>
        <v>0</v>
      </c>
      <c r="M65" s="38">
        <f t="shared" si="4"/>
        <v>0</v>
      </c>
      <c r="N65" s="128" t="s">
        <v>156</v>
      </c>
      <c r="O65" s="16"/>
      <c r="P65" s="51"/>
      <c r="Q65" s="1"/>
      <c r="R65" s="15"/>
      <c r="S65" s="40">
        <f t="shared" si="9"/>
        <v>0</v>
      </c>
      <c r="T65" s="52">
        <f t="shared" si="5"/>
        <v>0</v>
      </c>
      <c r="U65" s="52">
        <f t="shared" si="6"/>
        <v>0</v>
      </c>
      <c r="V65" s="41">
        <f t="shared" si="7"/>
        <v>0</v>
      </c>
      <c r="W65" s="41">
        <f t="shared" si="8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8"/>
      <c r="H66" s="9">
        <f t="shared" si="1"/>
        <v>0</v>
      </c>
      <c r="I66" s="10">
        <f t="shared" si="2"/>
        <v>0</v>
      </c>
      <c r="J66" s="42"/>
      <c r="K66" s="89">
        <f t="shared" si="0"/>
        <v>0</v>
      </c>
      <c r="L66" s="9">
        <f t="shared" si="3"/>
        <v>0</v>
      </c>
      <c r="M66" s="9">
        <f t="shared" si="4"/>
        <v>0</v>
      </c>
      <c r="N66" s="8" t="s">
        <v>156</v>
      </c>
      <c r="O66" s="12"/>
      <c r="P66" s="51"/>
      <c r="Q66" s="3"/>
      <c r="R66" s="13"/>
      <c r="S66" s="14">
        <f t="shared" si="9"/>
        <v>0</v>
      </c>
      <c r="T66" s="14">
        <f t="shared" si="5"/>
        <v>0</v>
      </c>
      <c r="U66" s="14">
        <f t="shared" si="6"/>
        <v>0</v>
      </c>
      <c r="V66" s="29">
        <f t="shared" si="7"/>
        <v>0</v>
      </c>
      <c r="W66" s="29">
        <f t="shared" si="8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8">
        <f t="shared" si="1"/>
        <v>0</v>
      </c>
      <c r="I67" s="39">
        <f t="shared" si="2"/>
        <v>0</v>
      </c>
      <c r="J67" s="42"/>
      <c r="K67" s="88">
        <f t="shared" si="0"/>
        <v>0</v>
      </c>
      <c r="L67" s="38">
        <f t="shared" si="3"/>
        <v>0</v>
      </c>
      <c r="M67" s="38">
        <f t="shared" si="4"/>
        <v>0</v>
      </c>
      <c r="N67" s="128" t="s">
        <v>156</v>
      </c>
      <c r="O67" s="16"/>
      <c r="P67" s="51"/>
      <c r="Q67" s="1"/>
      <c r="R67" s="15"/>
      <c r="S67" s="40">
        <f t="shared" si="9"/>
        <v>0</v>
      </c>
      <c r="T67" s="52">
        <f t="shared" si="5"/>
        <v>0</v>
      </c>
      <c r="U67" s="52">
        <f t="shared" si="6"/>
        <v>0</v>
      </c>
      <c r="V67" s="41">
        <f t="shared" si="7"/>
        <v>0</v>
      </c>
      <c r="W67" s="41">
        <f t="shared" si="8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8"/>
      <c r="H68" s="9">
        <f t="shared" si="1"/>
        <v>0</v>
      </c>
      <c r="I68" s="10">
        <f t="shared" si="2"/>
        <v>0</v>
      </c>
      <c r="J68" s="42"/>
      <c r="K68" s="89">
        <f t="shared" si="0"/>
        <v>0</v>
      </c>
      <c r="L68" s="9">
        <f t="shared" si="3"/>
        <v>0</v>
      </c>
      <c r="M68" s="9">
        <f t="shared" si="4"/>
        <v>0</v>
      </c>
      <c r="N68" s="8" t="s">
        <v>156</v>
      </c>
      <c r="O68" s="12"/>
      <c r="P68" s="51"/>
      <c r="Q68" s="3"/>
      <c r="R68" s="13"/>
      <c r="S68" s="14">
        <f t="shared" si="9"/>
        <v>0</v>
      </c>
      <c r="T68" s="14">
        <f t="shared" si="5"/>
        <v>0</v>
      </c>
      <c r="U68" s="14">
        <f t="shared" si="6"/>
        <v>0</v>
      </c>
      <c r="V68" s="29">
        <f t="shared" si="7"/>
        <v>0</v>
      </c>
      <c r="W68" s="29">
        <f t="shared" si="8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8">
        <f t="shared" si="1"/>
        <v>0</v>
      </c>
      <c r="I69" s="39">
        <f t="shared" si="2"/>
        <v>0</v>
      </c>
      <c r="J69" s="42"/>
      <c r="K69" s="88">
        <f t="shared" si="0"/>
        <v>0</v>
      </c>
      <c r="L69" s="38">
        <f t="shared" si="3"/>
        <v>0</v>
      </c>
      <c r="M69" s="38">
        <f t="shared" si="4"/>
        <v>0</v>
      </c>
      <c r="N69" s="128" t="s">
        <v>156</v>
      </c>
      <c r="O69" s="16"/>
      <c r="P69" s="51"/>
      <c r="Q69" s="1"/>
      <c r="R69" s="15"/>
      <c r="S69" s="40">
        <f t="shared" si="9"/>
        <v>0</v>
      </c>
      <c r="T69" s="52">
        <f t="shared" si="5"/>
        <v>0</v>
      </c>
      <c r="U69" s="52">
        <f t="shared" si="6"/>
        <v>0</v>
      </c>
      <c r="V69" s="41">
        <f t="shared" si="7"/>
        <v>0</v>
      </c>
      <c r="W69" s="41">
        <f t="shared" si="8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8"/>
      <c r="H70" s="9">
        <f t="shared" si="1"/>
        <v>0</v>
      </c>
      <c r="I70" s="10">
        <f t="shared" si="2"/>
        <v>0</v>
      </c>
      <c r="J70" s="42"/>
      <c r="K70" s="89">
        <f t="shared" si="0"/>
        <v>0</v>
      </c>
      <c r="L70" s="9">
        <f t="shared" si="3"/>
        <v>0</v>
      </c>
      <c r="M70" s="9">
        <f t="shared" si="4"/>
        <v>0</v>
      </c>
      <c r="N70" s="8" t="s">
        <v>156</v>
      </c>
      <c r="O70" s="12"/>
      <c r="P70" s="51"/>
      <c r="Q70" s="3"/>
      <c r="R70" s="13"/>
      <c r="S70" s="14">
        <f t="shared" si="9"/>
        <v>0</v>
      </c>
      <c r="T70" s="14">
        <f t="shared" si="5"/>
        <v>0</v>
      </c>
      <c r="U70" s="14">
        <f t="shared" si="6"/>
        <v>0</v>
      </c>
      <c r="V70" s="29">
        <f t="shared" si="7"/>
        <v>0</v>
      </c>
      <c r="W70" s="29">
        <f t="shared" si="8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8">
        <f t="shared" si="1"/>
        <v>0</v>
      </c>
      <c r="I71" s="39">
        <f t="shared" si="2"/>
        <v>0</v>
      </c>
      <c r="J71" s="42"/>
      <c r="K71" s="88">
        <f t="shared" si="0"/>
        <v>0</v>
      </c>
      <c r="L71" s="38">
        <f t="shared" si="3"/>
        <v>0</v>
      </c>
      <c r="M71" s="38">
        <f t="shared" si="4"/>
        <v>0</v>
      </c>
      <c r="N71" s="128" t="s">
        <v>156</v>
      </c>
      <c r="O71" s="16"/>
      <c r="P71" s="51"/>
      <c r="Q71" s="1"/>
      <c r="R71" s="15"/>
      <c r="S71" s="40">
        <f t="shared" si="9"/>
        <v>0</v>
      </c>
      <c r="T71" s="52">
        <f t="shared" si="5"/>
        <v>0</v>
      </c>
      <c r="U71" s="52">
        <f t="shared" si="6"/>
        <v>0</v>
      </c>
      <c r="V71" s="41">
        <f t="shared" si="7"/>
        <v>0</v>
      </c>
      <c r="W71" s="41">
        <f t="shared" si="8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8"/>
      <c r="H72" s="9">
        <f t="shared" si="1"/>
        <v>0</v>
      </c>
      <c r="I72" s="10">
        <f t="shared" si="2"/>
        <v>0</v>
      </c>
      <c r="J72" s="42"/>
      <c r="K72" s="89">
        <f t="shared" si="0"/>
        <v>0</v>
      </c>
      <c r="L72" s="9">
        <f t="shared" si="3"/>
        <v>0</v>
      </c>
      <c r="M72" s="9">
        <f t="shared" si="4"/>
        <v>0</v>
      </c>
      <c r="N72" s="8" t="s">
        <v>156</v>
      </c>
      <c r="O72" s="12"/>
      <c r="P72" s="51"/>
      <c r="Q72" s="3"/>
      <c r="R72" s="13"/>
      <c r="S72" s="14">
        <f t="shared" si="9"/>
        <v>0</v>
      </c>
      <c r="T72" s="14">
        <f t="shared" si="5"/>
        <v>0</v>
      </c>
      <c r="U72" s="14">
        <f t="shared" si="6"/>
        <v>0</v>
      </c>
      <c r="V72" s="29">
        <f t="shared" si="7"/>
        <v>0</v>
      </c>
      <c r="W72" s="29">
        <f t="shared" si="8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8">
        <f t="shared" si="1"/>
        <v>0</v>
      </c>
      <c r="I73" s="39">
        <f t="shared" si="2"/>
        <v>0</v>
      </c>
      <c r="J73" s="42"/>
      <c r="K73" s="88">
        <f t="shared" si="0"/>
        <v>0</v>
      </c>
      <c r="L73" s="38">
        <f t="shared" si="3"/>
        <v>0</v>
      </c>
      <c r="M73" s="38">
        <f t="shared" si="4"/>
        <v>0</v>
      </c>
      <c r="N73" s="128" t="s">
        <v>156</v>
      </c>
      <c r="O73" s="16"/>
      <c r="P73" s="51"/>
      <c r="Q73" s="1"/>
      <c r="R73" s="15"/>
      <c r="S73" s="40">
        <f t="shared" si="9"/>
        <v>0</v>
      </c>
      <c r="T73" s="52">
        <f t="shared" si="5"/>
        <v>0</v>
      </c>
      <c r="U73" s="52">
        <f t="shared" si="6"/>
        <v>0</v>
      </c>
      <c r="V73" s="41">
        <f t="shared" si="7"/>
        <v>0</v>
      </c>
      <c r="W73" s="41">
        <f t="shared" si="8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8"/>
      <c r="H74" s="9">
        <f t="shared" si="1"/>
        <v>0</v>
      </c>
      <c r="I74" s="10">
        <f t="shared" si="2"/>
        <v>0</v>
      </c>
      <c r="J74" s="42"/>
      <c r="K74" s="89">
        <f t="shared" si="0"/>
        <v>0</v>
      </c>
      <c r="L74" s="9">
        <f t="shared" si="3"/>
        <v>0</v>
      </c>
      <c r="M74" s="9">
        <f t="shared" si="4"/>
        <v>0</v>
      </c>
      <c r="N74" s="8" t="s">
        <v>156</v>
      </c>
      <c r="O74" s="12"/>
      <c r="P74" s="51"/>
      <c r="Q74" s="3"/>
      <c r="R74" s="13"/>
      <c r="S74" s="14">
        <f t="shared" si="9"/>
        <v>0</v>
      </c>
      <c r="T74" s="14">
        <f t="shared" si="5"/>
        <v>0</v>
      </c>
      <c r="U74" s="14">
        <f t="shared" si="6"/>
        <v>0</v>
      </c>
      <c r="V74" s="29">
        <f t="shared" si="7"/>
        <v>0</v>
      </c>
      <c r="W74" s="29">
        <f t="shared" si="8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8">
        <f t="shared" si="1"/>
        <v>0</v>
      </c>
      <c r="I75" s="39">
        <f t="shared" si="2"/>
        <v>0</v>
      </c>
      <c r="J75" s="42"/>
      <c r="K75" s="88">
        <f t="shared" si="0"/>
        <v>0</v>
      </c>
      <c r="L75" s="38">
        <f t="shared" si="3"/>
        <v>0</v>
      </c>
      <c r="M75" s="38">
        <f t="shared" si="4"/>
        <v>0</v>
      </c>
      <c r="N75" s="128" t="s">
        <v>156</v>
      </c>
      <c r="O75" s="16"/>
      <c r="P75" s="51"/>
      <c r="Q75" s="1"/>
      <c r="R75" s="15"/>
      <c r="S75" s="40">
        <f t="shared" si="9"/>
        <v>0</v>
      </c>
      <c r="T75" s="52">
        <f t="shared" si="5"/>
        <v>0</v>
      </c>
      <c r="U75" s="52">
        <f t="shared" si="6"/>
        <v>0</v>
      </c>
      <c r="V75" s="41">
        <f t="shared" si="7"/>
        <v>0</v>
      </c>
      <c r="W75" s="41">
        <f t="shared" si="8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8"/>
      <c r="H76" s="9">
        <f t="shared" si="1"/>
        <v>0</v>
      </c>
      <c r="I76" s="10">
        <f t="shared" si="2"/>
        <v>0</v>
      </c>
      <c r="J76" s="42"/>
      <c r="K76" s="89">
        <f t="shared" si="0"/>
        <v>0</v>
      </c>
      <c r="L76" s="9">
        <f t="shared" si="3"/>
        <v>0</v>
      </c>
      <c r="M76" s="9">
        <f t="shared" si="4"/>
        <v>0</v>
      </c>
      <c r="N76" s="8" t="s">
        <v>156</v>
      </c>
      <c r="O76" s="12"/>
      <c r="P76" s="51"/>
      <c r="Q76" s="3"/>
      <c r="R76" s="13"/>
      <c r="S76" s="14">
        <f t="shared" si="9"/>
        <v>0</v>
      </c>
      <c r="T76" s="14">
        <f t="shared" si="5"/>
        <v>0</v>
      </c>
      <c r="U76" s="14">
        <f t="shared" si="6"/>
        <v>0</v>
      </c>
      <c r="V76" s="29">
        <f t="shared" si="7"/>
        <v>0</v>
      </c>
      <c r="W76" s="29">
        <f t="shared" si="8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8">
        <f t="shared" si="1"/>
        <v>0</v>
      </c>
      <c r="I77" s="39">
        <f t="shared" si="2"/>
        <v>0</v>
      </c>
      <c r="J77" s="42"/>
      <c r="K77" s="88">
        <f t="shared" si="0"/>
        <v>0</v>
      </c>
      <c r="L77" s="38">
        <f t="shared" si="3"/>
        <v>0</v>
      </c>
      <c r="M77" s="38">
        <f t="shared" si="4"/>
        <v>0</v>
      </c>
      <c r="N77" s="128" t="s">
        <v>156</v>
      </c>
      <c r="O77" s="16"/>
      <c r="P77" s="51"/>
      <c r="Q77" s="1"/>
      <c r="R77" s="15"/>
      <c r="S77" s="40">
        <f t="shared" si="9"/>
        <v>0</v>
      </c>
      <c r="T77" s="52">
        <f t="shared" si="5"/>
        <v>0</v>
      </c>
      <c r="U77" s="52">
        <f t="shared" si="6"/>
        <v>0</v>
      </c>
      <c r="V77" s="41">
        <f t="shared" si="7"/>
        <v>0</v>
      </c>
      <c r="W77" s="41">
        <f t="shared" si="8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8"/>
      <c r="H78" s="9">
        <f t="shared" si="1"/>
        <v>0</v>
      </c>
      <c r="I78" s="10">
        <f t="shared" si="2"/>
        <v>0</v>
      </c>
      <c r="J78" s="42"/>
      <c r="K78" s="89">
        <f t="shared" si="0"/>
        <v>0</v>
      </c>
      <c r="L78" s="9">
        <f t="shared" si="3"/>
        <v>0</v>
      </c>
      <c r="M78" s="9">
        <f t="shared" si="4"/>
        <v>0</v>
      </c>
      <c r="N78" s="8" t="s">
        <v>156</v>
      </c>
      <c r="O78" s="12"/>
      <c r="P78" s="51"/>
      <c r="Q78" s="3"/>
      <c r="R78" s="13"/>
      <c r="S78" s="14">
        <f t="shared" si="9"/>
        <v>0</v>
      </c>
      <c r="T78" s="14">
        <f t="shared" si="5"/>
        <v>0</v>
      </c>
      <c r="U78" s="14">
        <f t="shared" si="6"/>
        <v>0</v>
      </c>
      <c r="V78" s="29">
        <f t="shared" si="7"/>
        <v>0</v>
      </c>
      <c r="W78" s="29">
        <f t="shared" si="8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8">
        <f t="shared" si="1"/>
        <v>0</v>
      </c>
      <c r="I79" s="39">
        <f t="shared" si="2"/>
        <v>0</v>
      </c>
      <c r="J79" s="42"/>
      <c r="K79" s="88">
        <f t="shared" si="0"/>
        <v>0</v>
      </c>
      <c r="L79" s="38">
        <f t="shared" si="3"/>
        <v>0</v>
      </c>
      <c r="M79" s="38">
        <f t="shared" si="4"/>
        <v>0</v>
      </c>
      <c r="N79" s="128" t="s">
        <v>156</v>
      </c>
      <c r="O79" s="16"/>
      <c r="P79" s="51"/>
      <c r="Q79" s="1"/>
      <c r="R79" s="15"/>
      <c r="S79" s="40">
        <f t="shared" si="9"/>
        <v>0</v>
      </c>
      <c r="T79" s="52">
        <f t="shared" si="5"/>
        <v>0</v>
      </c>
      <c r="U79" s="52">
        <f t="shared" si="6"/>
        <v>0</v>
      </c>
      <c r="V79" s="41">
        <f t="shared" si="7"/>
        <v>0</v>
      </c>
      <c r="W79" s="41">
        <f t="shared" si="8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8"/>
      <c r="H80" s="9">
        <f t="shared" si="1"/>
        <v>0</v>
      </c>
      <c r="I80" s="10">
        <f t="shared" si="2"/>
        <v>0</v>
      </c>
      <c r="J80" s="42"/>
      <c r="K80" s="89">
        <f t="shared" si="0"/>
        <v>0</v>
      </c>
      <c r="L80" s="9">
        <f t="shared" si="3"/>
        <v>0</v>
      </c>
      <c r="M80" s="9">
        <f t="shared" si="4"/>
        <v>0</v>
      </c>
      <c r="N80" s="8" t="s">
        <v>156</v>
      </c>
      <c r="O80" s="12"/>
      <c r="P80" s="51"/>
      <c r="Q80" s="3"/>
      <c r="R80" s="13"/>
      <c r="S80" s="14">
        <f t="shared" si="9"/>
        <v>0</v>
      </c>
      <c r="T80" s="14">
        <f t="shared" si="5"/>
        <v>0</v>
      </c>
      <c r="U80" s="14">
        <f t="shared" si="6"/>
        <v>0</v>
      </c>
      <c r="V80" s="29">
        <f t="shared" si="7"/>
        <v>0</v>
      </c>
      <c r="W80" s="29">
        <f t="shared" si="8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38</v>
      </c>
      <c r="G81" s="78">
        <f>SUM(G18:G80)</f>
        <v>37245.33</v>
      </c>
      <c r="H81" s="79">
        <f>SUM(H18:H80)</f>
        <v>26989.37</v>
      </c>
      <c r="I81" s="80">
        <f>SUM(I18:I80)</f>
        <v>45243.459999999992</v>
      </c>
      <c r="J81" s="81"/>
      <c r="K81" s="82">
        <f>SUM(K18:K80)</f>
        <v>38</v>
      </c>
      <c r="L81" s="79">
        <f>SUM(L18:L80)</f>
        <v>26989.37</v>
      </c>
      <c r="M81" s="80">
        <f>SUM(M18:M80)</f>
        <v>45243.459999999992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26989.37</v>
      </c>
      <c r="U81" s="80">
        <f>SUM(U18:U80)</f>
        <v>45243.459999999992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79" priority="3" stopIfTrue="1">
      <formula>$V$9&gt;100%</formula>
    </cfRule>
    <cfRule type="expression" dxfId="78" priority="4">
      <formula>$V$9&lt;50%</formula>
    </cfRule>
  </conditionalFormatting>
  <conditionalFormatting sqref="W9:W10">
    <cfRule type="expression" dxfId="77" priority="1">
      <formula>$W$9&lt;50%</formula>
    </cfRule>
    <cfRule type="expression" dxfId="76" priority="2">
      <formula>$W$9&gt;50%</formula>
    </cfRule>
  </conditionalFormatting>
  <dataValidations count="6">
    <dataValidation type="list" allowBlank="1" showInputMessage="1" showErrorMessage="1" sqref="G17 R14 R17 L17" xr:uid="{203F8851-2608-48E3-A65C-05A1B6171271}">
      <formula1>$Z$11:$Z$12</formula1>
    </dataValidation>
    <dataValidation type="list" allowBlank="1" showInputMessage="1" showErrorMessage="1" sqref="I13" xr:uid="{27DBBFB9-0C50-4F6B-ACF1-C6EAC6E96FA4}">
      <formula1>$Z$13:$Z$14</formula1>
    </dataValidation>
    <dataValidation type="list" allowBlank="1" showInputMessage="1" showErrorMessage="1" sqref="J13" xr:uid="{A14DAE61-CCD0-47B8-9D9A-067BF5E03FE5}">
      <formula1>$L$9:$L$9</formula1>
    </dataValidation>
    <dataValidation type="list" showInputMessage="1" showErrorMessage="1" sqref="E18:E80" xr:uid="{CD899B97-A9FF-4F9A-A279-B507611CEAA7}">
      <formula1>$AA$18:$AA$29</formula1>
    </dataValidation>
    <dataValidation type="list" allowBlank="1" showInputMessage="1" showErrorMessage="1" sqref="N18:N80" xr:uid="{98464009-D5CD-4E9A-83AE-3B4AC77A79FA}">
      <formula1>$Z$31:$Z$32</formula1>
    </dataValidation>
    <dataValidation type="list" allowBlank="1" showInputMessage="1" showErrorMessage="1" sqref="G2" xr:uid="{157DD47E-1542-498F-9915-4A3B0824196C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BAA2F8-D95C-4A15-9BEA-8537CBB4F7A0}">
          <x14:formula1>
            <xm:f>'Product Type'!$A$1:$A$55</xm:f>
          </x14:formula1>
          <xm:sqref>D18:D63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B0DF-9DE7-45D6-9E80-DA12D371682B}">
  <sheetPr>
    <pageSetUpPr fitToPage="1"/>
  </sheetPr>
  <dimension ref="A1:AC83"/>
  <sheetViews>
    <sheetView zoomScale="85" zoomScaleNormal="85" workbookViewId="0">
      <selection activeCell="G46" sqref="G46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4.140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63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45243.459999999992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259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45243.459999999992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327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397">
        <v>6320587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45243.459999999992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45243.459999999992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38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49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>
        <v>211556</v>
      </c>
      <c r="C19" s="181" t="s">
        <v>210</v>
      </c>
      <c r="D19" s="271" t="s">
        <v>29</v>
      </c>
      <c r="E19" s="181">
        <v>375</v>
      </c>
      <c r="F19" s="288">
        <v>1</v>
      </c>
      <c r="G19" s="281">
        <v>50</v>
      </c>
      <c r="H19" s="277">
        <f t="shared" si="0"/>
        <v>36.229999999999997</v>
      </c>
      <c r="I19" s="289">
        <f t="shared" si="1"/>
        <v>36.229999999999997</v>
      </c>
      <c r="J19" s="323"/>
      <c r="K19" s="276">
        <f t="shared" si="2"/>
        <v>1</v>
      </c>
      <c r="L19" s="277">
        <f t="shared" si="3"/>
        <v>36.229999999999997</v>
      </c>
      <c r="M19" s="277">
        <f t="shared" si="4"/>
        <v>36.229999999999997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36.229999999999997</v>
      </c>
      <c r="U19" s="283">
        <f t="shared" si="7"/>
        <v>36.229999999999997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283</v>
      </c>
      <c r="C20" s="295" t="s">
        <v>211</v>
      </c>
      <c r="D20" s="271" t="s">
        <v>28</v>
      </c>
      <c r="E20" s="295">
        <v>375</v>
      </c>
      <c r="F20" s="273">
        <v>1</v>
      </c>
      <c r="G20" s="259">
        <v>70</v>
      </c>
      <c r="H20" s="258">
        <f t="shared" si="0"/>
        <v>50.72</v>
      </c>
      <c r="I20" s="274">
        <f t="shared" si="1"/>
        <v>50.72</v>
      </c>
      <c r="J20" s="323"/>
      <c r="K20" s="257">
        <f t="shared" si="2"/>
        <v>1</v>
      </c>
      <c r="L20" s="258">
        <f t="shared" si="3"/>
        <v>50.72</v>
      </c>
      <c r="M20" s="258">
        <f t="shared" si="4"/>
        <v>50.72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50.72</v>
      </c>
      <c r="U20" s="264">
        <f t="shared" si="7"/>
        <v>50.72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>
        <v>213473</v>
      </c>
      <c r="C21" s="181" t="s">
        <v>212</v>
      </c>
      <c r="D21" s="271" t="s">
        <v>28</v>
      </c>
      <c r="E21" s="181">
        <v>375</v>
      </c>
      <c r="F21" s="288">
        <v>1</v>
      </c>
      <c r="G21" s="281">
        <v>80</v>
      </c>
      <c r="H21" s="277">
        <f t="shared" si="0"/>
        <v>57.97</v>
      </c>
      <c r="I21" s="289">
        <f t="shared" si="1"/>
        <v>57.97</v>
      </c>
      <c r="J21" s="323"/>
      <c r="K21" s="276">
        <f t="shared" si="2"/>
        <v>1</v>
      </c>
      <c r="L21" s="277">
        <f t="shared" si="3"/>
        <v>57.97</v>
      </c>
      <c r="M21" s="277">
        <f t="shared" si="4"/>
        <v>57.97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57.97</v>
      </c>
      <c r="U21" s="283">
        <f t="shared" si="7"/>
        <v>57.97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/>
      <c r="C22" s="295"/>
      <c r="D22" s="271"/>
      <c r="E22" s="293"/>
      <c r="F22" s="273"/>
      <c r="G22" s="259"/>
      <c r="H22" s="258">
        <f t="shared" si="0"/>
        <v>0</v>
      </c>
      <c r="I22" s="274">
        <f t="shared" si="1"/>
        <v>0</v>
      </c>
      <c r="J22" s="323"/>
      <c r="K22" s="257">
        <f t="shared" si="2"/>
        <v>0</v>
      </c>
      <c r="L22" s="258">
        <f t="shared" si="3"/>
        <v>0</v>
      </c>
      <c r="M22" s="258">
        <f t="shared" si="4"/>
        <v>0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0</v>
      </c>
      <c r="U22" s="264">
        <f t="shared" si="7"/>
        <v>0</v>
      </c>
      <c r="V22" s="265">
        <f t="shared" si="8"/>
        <v>0</v>
      </c>
      <c r="W22" s="265">
        <f t="shared" si="9"/>
        <v>0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263</v>
      </c>
      <c r="C23" s="181" t="s">
        <v>312</v>
      </c>
      <c r="D23" s="271" t="s">
        <v>27</v>
      </c>
      <c r="E23" s="287"/>
      <c r="F23" s="288">
        <v>1</v>
      </c>
      <c r="G23" s="400">
        <v>140</v>
      </c>
      <c r="H23" s="277">
        <f t="shared" si="0"/>
        <v>101.45</v>
      </c>
      <c r="I23" s="289">
        <f t="shared" si="1"/>
        <v>101.45</v>
      </c>
      <c r="J23" s="323"/>
      <c r="K23" s="276">
        <f t="shared" si="2"/>
        <v>1</v>
      </c>
      <c r="L23" s="277">
        <f t="shared" si="3"/>
        <v>101.45</v>
      </c>
      <c r="M23" s="277">
        <f t="shared" si="4"/>
        <v>101.45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101.45</v>
      </c>
      <c r="U23" s="283">
        <f t="shared" si="7"/>
        <v>101.45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261</v>
      </c>
      <c r="C24" s="295" t="s">
        <v>214</v>
      </c>
      <c r="D24" s="271" t="s">
        <v>27</v>
      </c>
      <c r="E24" s="293"/>
      <c r="F24" s="273">
        <v>1</v>
      </c>
      <c r="G24" s="259">
        <v>122.5</v>
      </c>
      <c r="H24" s="258">
        <f t="shared" si="0"/>
        <v>88.77</v>
      </c>
      <c r="I24" s="274">
        <f t="shared" si="1"/>
        <v>88.77</v>
      </c>
      <c r="J24" s="323"/>
      <c r="K24" s="257">
        <f t="shared" si="2"/>
        <v>1</v>
      </c>
      <c r="L24" s="258">
        <f t="shared" si="3"/>
        <v>88.77</v>
      </c>
      <c r="M24" s="258">
        <f t="shared" si="4"/>
        <v>88.77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88.77</v>
      </c>
      <c r="U24" s="264">
        <f t="shared" si="7"/>
        <v>88.77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>
        <v>219652</v>
      </c>
      <c r="C25" s="181" t="s">
        <v>215</v>
      </c>
      <c r="D25" s="271" t="s">
        <v>24</v>
      </c>
      <c r="E25" s="287"/>
      <c r="F25" s="288">
        <v>1</v>
      </c>
      <c r="G25" s="281">
        <v>50</v>
      </c>
      <c r="H25" s="277">
        <f t="shared" si="0"/>
        <v>36.229999999999997</v>
      </c>
      <c r="I25" s="289">
        <f t="shared" si="1"/>
        <v>36.229999999999997</v>
      </c>
      <c r="J25" s="323"/>
      <c r="K25" s="276">
        <f t="shared" si="2"/>
        <v>1</v>
      </c>
      <c r="L25" s="277">
        <f t="shared" si="3"/>
        <v>36.229999999999997</v>
      </c>
      <c r="M25" s="277">
        <f t="shared" si="4"/>
        <v>36.229999999999997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36.229999999999997</v>
      </c>
      <c r="U25" s="283">
        <f t="shared" si="7"/>
        <v>36.229999999999997</v>
      </c>
      <c r="V25" s="284">
        <f t="shared" si="8"/>
        <v>0</v>
      </c>
      <c r="W25" s="284">
        <f t="shared" si="9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/>
      <c r="C26" s="295"/>
      <c r="D26" s="271"/>
      <c r="E26" s="293"/>
      <c r="F26" s="273"/>
      <c r="G26" s="259"/>
      <c r="H26" s="258">
        <f t="shared" si="0"/>
        <v>0</v>
      </c>
      <c r="I26" s="274">
        <f t="shared" si="1"/>
        <v>0</v>
      </c>
      <c r="J26" s="323"/>
      <c r="K26" s="257">
        <f t="shared" si="2"/>
        <v>0</v>
      </c>
      <c r="L26" s="258">
        <f t="shared" si="3"/>
        <v>0</v>
      </c>
      <c r="M26" s="258">
        <f t="shared" si="4"/>
        <v>0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0</v>
      </c>
      <c r="U26" s="264">
        <f t="shared" si="7"/>
        <v>0</v>
      </c>
      <c r="V26" s="265">
        <f t="shared" si="8"/>
        <v>0</v>
      </c>
      <c r="W26" s="265">
        <f t="shared" si="9"/>
        <v>0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>
        <v>100859</v>
      </c>
      <c r="C27" s="181" t="s">
        <v>216</v>
      </c>
      <c r="D27" s="271" t="s">
        <v>25</v>
      </c>
      <c r="E27" s="287"/>
      <c r="F27" s="288">
        <v>1</v>
      </c>
      <c r="G27" s="281">
        <v>145</v>
      </c>
      <c r="H27" s="277">
        <f t="shared" si="0"/>
        <v>105.07</v>
      </c>
      <c r="I27" s="289">
        <f t="shared" si="1"/>
        <v>105.07</v>
      </c>
      <c r="J27" s="323"/>
      <c r="K27" s="276">
        <f t="shared" si="2"/>
        <v>1</v>
      </c>
      <c r="L27" s="277">
        <f t="shared" si="3"/>
        <v>105.07</v>
      </c>
      <c r="M27" s="277">
        <f t="shared" si="4"/>
        <v>105.07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105.07</v>
      </c>
      <c r="U27" s="283">
        <f t="shared" si="7"/>
        <v>105.07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>
        <v>100860</v>
      </c>
      <c r="C28" s="295" t="s">
        <v>217</v>
      </c>
      <c r="D28" s="271" t="s">
        <v>25</v>
      </c>
      <c r="E28" s="293"/>
      <c r="F28" s="273">
        <v>1</v>
      </c>
      <c r="G28" s="259">
        <v>70</v>
      </c>
      <c r="H28" s="258">
        <f t="shared" si="0"/>
        <v>50.72</v>
      </c>
      <c r="I28" s="274">
        <f t="shared" si="1"/>
        <v>50.72</v>
      </c>
      <c r="J28" s="323"/>
      <c r="K28" s="257">
        <f t="shared" si="2"/>
        <v>1</v>
      </c>
      <c r="L28" s="258">
        <f t="shared" si="3"/>
        <v>50.72</v>
      </c>
      <c r="M28" s="258">
        <f t="shared" si="4"/>
        <v>50.72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50.72</v>
      </c>
      <c r="U28" s="264">
        <f t="shared" si="7"/>
        <v>50.72</v>
      </c>
      <c r="V28" s="265">
        <f t="shared" si="8"/>
        <v>0</v>
      </c>
      <c r="W28" s="265">
        <f t="shared" si="9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/>
      <c r="C30" s="295" t="s">
        <v>313</v>
      </c>
      <c r="D30" s="271"/>
      <c r="E30" s="293"/>
      <c r="F30" s="273"/>
      <c r="G30" s="259"/>
      <c r="H30" s="258">
        <f t="shared" si="0"/>
        <v>0</v>
      </c>
      <c r="I30" s="274">
        <f t="shared" si="1"/>
        <v>0</v>
      </c>
      <c r="J30" s="323"/>
      <c r="K30" s="257">
        <f t="shared" si="2"/>
        <v>0</v>
      </c>
      <c r="L30" s="258">
        <f t="shared" si="3"/>
        <v>0</v>
      </c>
      <c r="M30" s="258">
        <f t="shared" si="4"/>
        <v>0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0</v>
      </c>
      <c r="U30" s="264">
        <f t="shared" si="7"/>
        <v>0</v>
      </c>
      <c r="V30" s="265">
        <f t="shared" si="8"/>
        <v>0</v>
      </c>
      <c r="W30" s="265">
        <f t="shared" si="9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 t="s">
        <v>265</v>
      </c>
      <c r="C31" s="181" t="s">
        <v>220</v>
      </c>
      <c r="D31" s="271" t="s">
        <v>0</v>
      </c>
      <c r="E31" s="287"/>
      <c r="F31" s="288">
        <v>2</v>
      </c>
      <c r="G31" s="281">
        <v>325</v>
      </c>
      <c r="H31" s="277">
        <f t="shared" si="0"/>
        <v>235.51</v>
      </c>
      <c r="I31" s="289">
        <f t="shared" si="1"/>
        <v>471.02</v>
      </c>
      <c r="J31" s="323"/>
      <c r="K31" s="276">
        <f t="shared" si="2"/>
        <v>2</v>
      </c>
      <c r="L31" s="277">
        <f t="shared" si="3"/>
        <v>235.51</v>
      </c>
      <c r="M31" s="277">
        <f t="shared" si="4"/>
        <v>471.02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235.51</v>
      </c>
      <c r="U31" s="283">
        <f t="shared" si="7"/>
        <v>471.02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314</v>
      </c>
      <c r="C32" s="295" t="s">
        <v>221</v>
      </c>
      <c r="D32" s="271" t="s">
        <v>39</v>
      </c>
      <c r="E32" s="293"/>
      <c r="F32" s="273">
        <v>1</v>
      </c>
      <c r="G32" s="259">
        <v>2647</v>
      </c>
      <c r="H32" s="258">
        <f t="shared" si="0"/>
        <v>1918.12</v>
      </c>
      <c r="I32" s="274">
        <f t="shared" si="1"/>
        <v>1918.12</v>
      </c>
      <c r="J32" s="323"/>
      <c r="K32" s="257">
        <f t="shared" si="2"/>
        <v>1</v>
      </c>
      <c r="L32" s="258">
        <f t="shared" si="3"/>
        <v>1918.12</v>
      </c>
      <c r="M32" s="258">
        <f t="shared" si="4"/>
        <v>1918.12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1918.12</v>
      </c>
      <c r="U32" s="264">
        <f t="shared" si="7"/>
        <v>1918.12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/>
      <c r="C33" s="181"/>
      <c r="D33" s="271"/>
      <c r="E33" s="287"/>
      <c r="F33" s="288"/>
      <c r="G33" s="281"/>
      <c r="H33" s="277">
        <f t="shared" si="0"/>
        <v>0</v>
      </c>
      <c r="I33" s="289">
        <f t="shared" si="1"/>
        <v>0</v>
      </c>
      <c r="J33" s="323"/>
      <c r="K33" s="276">
        <f t="shared" si="2"/>
        <v>0</v>
      </c>
      <c r="L33" s="277">
        <f t="shared" si="3"/>
        <v>0</v>
      </c>
      <c r="M33" s="277">
        <f t="shared" si="4"/>
        <v>0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0</v>
      </c>
      <c r="U33" s="283">
        <f t="shared" si="7"/>
        <v>0</v>
      </c>
      <c r="V33" s="284">
        <f t="shared" si="8"/>
        <v>0</v>
      </c>
      <c r="W33" s="284">
        <f t="shared" si="9"/>
        <v>0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/>
      <c r="C34" s="295" t="s">
        <v>222</v>
      </c>
      <c r="D34" s="271"/>
      <c r="E34" s="293"/>
      <c r="F34" s="273"/>
      <c r="G34" s="259"/>
      <c r="H34" s="258">
        <f t="shared" si="0"/>
        <v>0</v>
      </c>
      <c r="I34" s="274">
        <f t="shared" si="1"/>
        <v>0</v>
      </c>
      <c r="J34" s="323"/>
      <c r="K34" s="257">
        <f t="shared" si="2"/>
        <v>0</v>
      </c>
      <c r="L34" s="258">
        <f t="shared" si="3"/>
        <v>0</v>
      </c>
      <c r="M34" s="258">
        <f t="shared" si="4"/>
        <v>0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0</v>
      </c>
      <c r="U34" s="264">
        <f t="shared" si="7"/>
        <v>0</v>
      </c>
      <c r="V34" s="265">
        <f t="shared" si="8"/>
        <v>0</v>
      </c>
      <c r="W34" s="265">
        <f t="shared" si="9"/>
        <v>0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>
        <v>211971</v>
      </c>
      <c r="C35" s="181" t="s">
        <v>224</v>
      </c>
      <c r="D35" s="271" t="s">
        <v>15</v>
      </c>
      <c r="E35" s="287"/>
      <c r="F35" s="288">
        <v>1</v>
      </c>
      <c r="G35" s="281">
        <v>1850</v>
      </c>
      <c r="H35" s="277">
        <f t="shared" si="0"/>
        <v>1340.58</v>
      </c>
      <c r="I35" s="289">
        <f t="shared" si="1"/>
        <v>1340.58</v>
      </c>
      <c r="J35" s="323"/>
      <c r="K35" s="276">
        <f t="shared" si="2"/>
        <v>1</v>
      </c>
      <c r="L35" s="277">
        <f t="shared" si="3"/>
        <v>1340.58</v>
      </c>
      <c r="M35" s="277">
        <f t="shared" si="4"/>
        <v>1340.58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1340.58</v>
      </c>
      <c r="U35" s="283">
        <f t="shared" si="7"/>
        <v>1340.58</v>
      </c>
      <c r="V35" s="284">
        <f t="shared" si="8"/>
        <v>0</v>
      </c>
      <c r="W35" s="284">
        <f t="shared" si="9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>
        <v>213737</v>
      </c>
      <c r="C36" s="295" t="s">
        <v>254</v>
      </c>
      <c r="D36" s="271" t="s">
        <v>16</v>
      </c>
      <c r="E36" s="293"/>
      <c r="F36" s="273">
        <v>1</v>
      </c>
      <c r="G36" s="259">
        <v>4250</v>
      </c>
      <c r="H36" s="258">
        <f t="shared" si="0"/>
        <v>3079.71</v>
      </c>
      <c r="I36" s="274">
        <f t="shared" si="1"/>
        <v>3079.71</v>
      </c>
      <c r="J36" s="323"/>
      <c r="K36" s="257">
        <f t="shared" si="2"/>
        <v>1</v>
      </c>
      <c r="L36" s="258">
        <f t="shared" si="3"/>
        <v>3079.71</v>
      </c>
      <c r="M36" s="258">
        <f t="shared" si="4"/>
        <v>3079.71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3079.71</v>
      </c>
      <c r="U36" s="264">
        <f t="shared" si="7"/>
        <v>3079.71</v>
      </c>
      <c r="V36" s="265">
        <f t="shared" si="8"/>
        <v>0</v>
      </c>
      <c r="W36" s="265">
        <f t="shared" si="9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>
        <v>211591</v>
      </c>
      <c r="C37" s="181" t="s">
        <v>205</v>
      </c>
      <c r="D37" s="271" t="s">
        <v>17</v>
      </c>
      <c r="E37" s="287"/>
      <c r="F37" s="288">
        <v>1</v>
      </c>
      <c r="G37" s="281">
        <v>5500</v>
      </c>
      <c r="H37" s="277">
        <f t="shared" si="0"/>
        <v>3985.51</v>
      </c>
      <c r="I37" s="289">
        <f t="shared" si="1"/>
        <v>3985.51</v>
      </c>
      <c r="J37" s="323"/>
      <c r="K37" s="276">
        <f t="shared" si="2"/>
        <v>1</v>
      </c>
      <c r="L37" s="277">
        <f t="shared" si="3"/>
        <v>3985.51</v>
      </c>
      <c r="M37" s="277">
        <f t="shared" si="4"/>
        <v>3985.51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3985.51</v>
      </c>
      <c r="U37" s="283">
        <f t="shared" si="7"/>
        <v>3985.51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 t="s">
        <v>285</v>
      </c>
      <c r="C38" s="295" t="s">
        <v>226</v>
      </c>
      <c r="D38" s="271" t="s">
        <v>23</v>
      </c>
      <c r="E38" s="293">
        <v>6000</v>
      </c>
      <c r="F38" s="273">
        <v>1</v>
      </c>
      <c r="G38" s="259">
        <v>4650</v>
      </c>
      <c r="H38" s="258">
        <f t="shared" si="0"/>
        <v>3369.57</v>
      </c>
      <c r="I38" s="274">
        <f t="shared" si="1"/>
        <v>3369.57</v>
      </c>
      <c r="J38" s="323"/>
      <c r="K38" s="257">
        <f t="shared" si="2"/>
        <v>1</v>
      </c>
      <c r="L38" s="258">
        <f t="shared" si="3"/>
        <v>3369.57</v>
      </c>
      <c r="M38" s="258">
        <f t="shared" si="4"/>
        <v>3369.57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3369.57</v>
      </c>
      <c r="U38" s="264">
        <f t="shared" si="7"/>
        <v>3369.57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>
        <v>211953</v>
      </c>
      <c r="C39" s="181" t="s">
        <v>227</v>
      </c>
      <c r="D39" s="271" t="s">
        <v>19</v>
      </c>
      <c r="E39" s="287">
        <v>6000</v>
      </c>
      <c r="F39" s="288">
        <v>6</v>
      </c>
      <c r="G39" s="281">
        <v>1250</v>
      </c>
      <c r="H39" s="277">
        <f t="shared" si="0"/>
        <v>905.8</v>
      </c>
      <c r="I39" s="289">
        <f t="shared" si="1"/>
        <v>5434.8</v>
      </c>
      <c r="J39" s="323"/>
      <c r="K39" s="276">
        <f t="shared" si="2"/>
        <v>6</v>
      </c>
      <c r="L39" s="277">
        <f t="shared" si="3"/>
        <v>905.8</v>
      </c>
      <c r="M39" s="277">
        <f t="shared" si="4"/>
        <v>5434.8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905.8</v>
      </c>
      <c r="U39" s="283">
        <f t="shared" si="7"/>
        <v>5434.8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/>
      <c r="C40" s="295"/>
      <c r="D40" s="271"/>
      <c r="E40" s="293"/>
      <c r="F40" s="273"/>
      <c r="G40" s="259"/>
      <c r="H40" s="258">
        <f t="shared" si="0"/>
        <v>0</v>
      </c>
      <c r="I40" s="274">
        <f t="shared" si="1"/>
        <v>0</v>
      </c>
      <c r="J40" s="323"/>
      <c r="K40" s="257">
        <f t="shared" si="2"/>
        <v>0</v>
      </c>
      <c r="L40" s="258">
        <f t="shared" si="3"/>
        <v>0</v>
      </c>
      <c r="M40" s="258">
        <f t="shared" si="4"/>
        <v>0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0</v>
      </c>
      <c r="U40" s="264">
        <f t="shared" si="7"/>
        <v>0</v>
      </c>
      <c r="V40" s="265">
        <f t="shared" si="8"/>
        <v>0</v>
      </c>
      <c r="W40" s="265">
        <f t="shared" si="9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 t="s">
        <v>228</v>
      </c>
      <c r="D41" s="271"/>
      <c r="E41" s="287"/>
      <c r="F41" s="288"/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0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 t="s">
        <v>315</v>
      </c>
      <c r="C42" s="295" t="s">
        <v>316</v>
      </c>
      <c r="D42" s="271" t="s">
        <v>41</v>
      </c>
      <c r="E42" s="293"/>
      <c r="F42" s="273">
        <v>4</v>
      </c>
      <c r="G42" s="259">
        <v>4500</v>
      </c>
      <c r="H42" s="258">
        <f t="shared" si="0"/>
        <v>3260.87</v>
      </c>
      <c r="I42" s="274">
        <f t="shared" si="1"/>
        <v>13043.48</v>
      </c>
      <c r="J42" s="323"/>
      <c r="K42" s="257">
        <f t="shared" si="2"/>
        <v>4</v>
      </c>
      <c r="L42" s="258">
        <f t="shared" si="3"/>
        <v>3260.87</v>
      </c>
      <c r="M42" s="258">
        <f t="shared" si="4"/>
        <v>13043.48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3260.87</v>
      </c>
      <c r="U42" s="264">
        <f t="shared" si="7"/>
        <v>13043.48</v>
      </c>
      <c r="V42" s="265">
        <f t="shared" si="8"/>
        <v>0</v>
      </c>
      <c r="W42" s="265">
        <f t="shared" si="9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/>
      <c r="C44" s="295" t="s">
        <v>230</v>
      </c>
      <c r="D44" s="271"/>
      <c r="E44" s="293"/>
      <c r="F44" s="273"/>
      <c r="G44" s="259"/>
      <c r="H44" s="258">
        <f t="shared" si="0"/>
        <v>0</v>
      </c>
      <c r="I44" s="274">
        <f t="shared" si="1"/>
        <v>0</v>
      </c>
      <c r="J44" s="323"/>
      <c r="K44" s="257">
        <f t="shared" si="2"/>
        <v>0</v>
      </c>
      <c r="L44" s="258">
        <f t="shared" si="3"/>
        <v>0</v>
      </c>
      <c r="M44" s="258">
        <f t="shared" si="4"/>
        <v>0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0</v>
      </c>
      <c r="U44" s="264">
        <f t="shared" si="7"/>
        <v>0</v>
      </c>
      <c r="V44" s="265">
        <f t="shared" si="8"/>
        <v>0</v>
      </c>
      <c r="W44" s="265">
        <f t="shared" si="9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 t="s">
        <v>317</v>
      </c>
      <c r="C45" s="181" t="s">
        <v>318</v>
      </c>
      <c r="D45" s="271" t="s">
        <v>42</v>
      </c>
      <c r="E45" s="287" t="s">
        <v>176</v>
      </c>
      <c r="F45" s="288">
        <v>2</v>
      </c>
      <c r="G45" s="281">
        <v>3750.49</v>
      </c>
      <c r="H45" s="277">
        <f t="shared" si="0"/>
        <v>2717.75</v>
      </c>
      <c r="I45" s="289">
        <f t="shared" si="1"/>
        <v>5435.5</v>
      </c>
      <c r="J45" s="323"/>
      <c r="K45" s="276">
        <f t="shared" si="2"/>
        <v>2</v>
      </c>
      <c r="L45" s="277">
        <f t="shared" si="3"/>
        <v>2717.75</v>
      </c>
      <c r="M45" s="277">
        <f t="shared" si="4"/>
        <v>5435.5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2717.75</v>
      </c>
      <c r="U45" s="283">
        <f t="shared" si="7"/>
        <v>5435.5</v>
      </c>
      <c r="V45" s="284">
        <f t="shared" si="8"/>
        <v>0</v>
      </c>
      <c r="W45" s="284">
        <f t="shared" si="9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 t="s">
        <v>328</v>
      </c>
      <c r="C46" s="295" t="s">
        <v>329</v>
      </c>
      <c r="D46" s="271" t="s">
        <v>42</v>
      </c>
      <c r="E46" s="293" t="s">
        <v>176</v>
      </c>
      <c r="F46" s="273">
        <v>1</v>
      </c>
      <c r="G46" s="259">
        <v>1709.8</v>
      </c>
      <c r="H46" s="258">
        <f t="shared" si="0"/>
        <v>1238.99</v>
      </c>
      <c r="I46" s="274">
        <f t="shared" si="1"/>
        <v>1238.99</v>
      </c>
      <c r="J46" s="323"/>
      <c r="K46" s="257">
        <f t="shared" si="2"/>
        <v>1</v>
      </c>
      <c r="L46" s="258">
        <f t="shared" si="3"/>
        <v>1238.99</v>
      </c>
      <c r="M46" s="258">
        <f t="shared" si="4"/>
        <v>1238.99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1238.99</v>
      </c>
      <c r="U46" s="264">
        <f t="shared" si="7"/>
        <v>1238.99</v>
      </c>
      <c r="V46" s="265">
        <f t="shared" si="8"/>
        <v>0</v>
      </c>
      <c r="W46" s="265">
        <f t="shared" si="9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 t="s">
        <v>321</v>
      </c>
      <c r="C47" s="181" t="s">
        <v>322</v>
      </c>
      <c r="D47" s="271" t="s">
        <v>42</v>
      </c>
      <c r="E47" s="287" t="s">
        <v>176</v>
      </c>
      <c r="F47" s="288">
        <v>2</v>
      </c>
      <c r="G47" s="281">
        <v>563.25</v>
      </c>
      <c r="H47" s="277">
        <f t="shared" si="0"/>
        <v>408.15</v>
      </c>
      <c r="I47" s="289">
        <f t="shared" si="1"/>
        <v>816.3</v>
      </c>
      <c r="J47" s="323"/>
      <c r="K47" s="276">
        <f t="shared" si="2"/>
        <v>2</v>
      </c>
      <c r="L47" s="277">
        <f t="shared" si="3"/>
        <v>408.15</v>
      </c>
      <c r="M47" s="277">
        <f t="shared" si="4"/>
        <v>816.3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408.15</v>
      </c>
      <c r="U47" s="283">
        <f t="shared" si="7"/>
        <v>816.3</v>
      </c>
      <c r="V47" s="284">
        <f t="shared" si="8"/>
        <v>0</v>
      </c>
      <c r="W47" s="284">
        <f t="shared" si="9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 t="s">
        <v>323</v>
      </c>
      <c r="C48" s="295" t="s">
        <v>324</v>
      </c>
      <c r="D48" s="271" t="s">
        <v>42</v>
      </c>
      <c r="E48" s="293" t="s">
        <v>176</v>
      </c>
      <c r="F48" s="273">
        <v>4</v>
      </c>
      <c r="G48" s="259">
        <v>267.29000000000002</v>
      </c>
      <c r="H48" s="258">
        <f t="shared" si="0"/>
        <v>193.69</v>
      </c>
      <c r="I48" s="274">
        <f t="shared" si="1"/>
        <v>774.76</v>
      </c>
      <c r="J48" s="323"/>
      <c r="K48" s="257">
        <f t="shared" si="2"/>
        <v>4</v>
      </c>
      <c r="L48" s="258">
        <f t="shared" si="3"/>
        <v>193.69</v>
      </c>
      <c r="M48" s="258">
        <f t="shared" si="4"/>
        <v>774.76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193.69</v>
      </c>
      <c r="U48" s="264">
        <f t="shared" si="7"/>
        <v>774.76</v>
      </c>
      <c r="V48" s="265">
        <f t="shared" si="8"/>
        <v>0</v>
      </c>
      <c r="W48" s="265">
        <f t="shared" si="9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181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 t="s">
        <v>289</v>
      </c>
      <c r="C50" s="295" t="s">
        <v>197</v>
      </c>
      <c r="D50" s="271" t="s">
        <v>22</v>
      </c>
      <c r="E50" s="293" t="s">
        <v>176</v>
      </c>
      <c r="F50" s="273">
        <v>1</v>
      </c>
      <c r="G50" s="259">
        <v>1100</v>
      </c>
      <c r="H50" s="258">
        <f t="shared" ref="H50:H81" si="10">ROUND(IF($G$17="USD $", G50*$F$15,G50*$E$15),2)</f>
        <v>797.1</v>
      </c>
      <c r="I50" s="274">
        <f t="shared" ref="I50:I81" si="11">ROUND(IF($I$17=$H$17,F50*H50,F50*G50),2)</f>
        <v>797.1</v>
      </c>
      <c r="J50" s="323"/>
      <c r="K50" s="257">
        <f t="shared" ref="K50:K80" si="12">F50</f>
        <v>1</v>
      </c>
      <c r="L50" s="258">
        <f t="shared" ref="L50:L81" si="13">IFERROR(IF(N50="OEM DISC %",ROUND(IF($L$17=$G$17,G50*(1-O50),H50*(1-O50)),2),IF(N50="MARKUP %",ROUND(S50/K50*(1+O50),2))),0)</f>
        <v>797.1</v>
      </c>
      <c r="M50" s="258">
        <f t="shared" ref="M50:M81" si="14">ROUND((K50*L50),2)</f>
        <v>797.1</v>
      </c>
      <c r="N50" s="259" t="s">
        <v>156</v>
      </c>
      <c r="O50" s="290"/>
      <c r="P50" s="261"/>
      <c r="Q50" s="291"/>
      <c r="R50" s="263"/>
      <c r="S50" s="264">
        <f t="shared" ref="S50:S81" si="15">ROUND(IF($S$17=$R$17,R50,IF($S$17="USD $",R50*$E$15,R50*$F$15))*F50,2)</f>
        <v>0</v>
      </c>
      <c r="T50" s="264">
        <f t="shared" ref="T50:T81" si="16">IFERROR(ROUND(U50/F50,2),0)</f>
        <v>797.1</v>
      </c>
      <c r="U50" s="264">
        <f t="shared" ref="U50:U80" si="17">ROUND(M50-S50,2)</f>
        <v>797.1</v>
      </c>
      <c r="V50" s="265">
        <f t="shared" ref="V50:V80" si="18">IFERROR(((L50-(S50/K50))/(S50/K50)),0)</f>
        <v>0</v>
      </c>
      <c r="W50" s="265">
        <f t="shared" ref="W50:W80" si="19">IFERROR(((L50-(S50/K50))/L50),0)</f>
        <v>1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 t="s">
        <v>330</v>
      </c>
      <c r="C51" s="181" t="s">
        <v>198</v>
      </c>
      <c r="D51" s="271" t="s">
        <v>199</v>
      </c>
      <c r="E51" s="287" t="s">
        <v>176</v>
      </c>
      <c r="F51" s="288">
        <v>1</v>
      </c>
      <c r="G51" s="281">
        <v>2500</v>
      </c>
      <c r="H51" s="277">
        <f t="shared" si="10"/>
        <v>1811.59</v>
      </c>
      <c r="I51" s="289">
        <f t="shared" si="11"/>
        <v>1811.59</v>
      </c>
      <c r="J51" s="323"/>
      <c r="K51" s="276">
        <f t="shared" si="12"/>
        <v>1</v>
      </c>
      <c r="L51" s="277">
        <f t="shared" si="13"/>
        <v>1811.59</v>
      </c>
      <c r="M51" s="277">
        <f t="shared" si="14"/>
        <v>1811.59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1811.59</v>
      </c>
      <c r="U51" s="283">
        <f t="shared" si="17"/>
        <v>1811.59</v>
      </c>
      <c r="V51" s="284">
        <f t="shared" si="18"/>
        <v>0</v>
      </c>
      <c r="W51" s="284">
        <f t="shared" si="19"/>
        <v>1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>
        <v>213465</v>
      </c>
      <c r="C52" s="295" t="s">
        <v>200</v>
      </c>
      <c r="D52" s="271" t="s">
        <v>18</v>
      </c>
      <c r="E52" s="293" t="s">
        <v>176</v>
      </c>
      <c r="F52" s="273">
        <v>1</v>
      </c>
      <c r="G52" s="259">
        <v>675</v>
      </c>
      <c r="H52" s="258">
        <f t="shared" si="10"/>
        <v>489.13</v>
      </c>
      <c r="I52" s="274">
        <f t="shared" si="11"/>
        <v>489.13</v>
      </c>
      <c r="J52" s="323"/>
      <c r="K52" s="257">
        <f t="shared" si="12"/>
        <v>1</v>
      </c>
      <c r="L52" s="258">
        <f t="shared" si="13"/>
        <v>489.13</v>
      </c>
      <c r="M52" s="258">
        <f t="shared" si="14"/>
        <v>489.13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489.13</v>
      </c>
      <c r="U52" s="264">
        <f t="shared" si="17"/>
        <v>489.13</v>
      </c>
      <c r="V52" s="265">
        <f t="shared" si="18"/>
        <v>0</v>
      </c>
      <c r="W52" s="265">
        <f t="shared" si="19"/>
        <v>1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 t="s">
        <v>331</v>
      </c>
      <c r="C53" s="181" t="s">
        <v>201</v>
      </c>
      <c r="D53" s="271" t="s">
        <v>13</v>
      </c>
      <c r="E53" s="287" t="s">
        <v>176</v>
      </c>
      <c r="F53" s="288">
        <v>1</v>
      </c>
      <c r="G53" s="281">
        <v>980</v>
      </c>
      <c r="H53" s="277">
        <f t="shared" si="10"/>
        <v>710.14</v>
      </c>
      <c r="I53" s="289">
        <f t="shared" si="11"/>
        <v>710.14</v>
      </c>
      <c r="J53" s="323"/>
      <c r="K53" s="276">
        <f t="shared" si="12"/>
        <v>1</v>
      </c>
      <c r="L53" s="277">
        <f t="shared" si="13"/>
        <v>710.14</v>
      </c>
      <c r="M53" s="277">
        <f t="shared" si="14"/>
        <v>710.14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710.14</v>
      </c>
      <c r="U53" s="283">
        <f t="shared" si="17"/>
        <v>710.14</v>
      </c>
      <c r="V53" s="284">
        <f t="shared" si="18"/>
        <v>0</v>
      </c>
      <c r="W53" s="284">
        <f t="shared" si="19"/>
        <v>1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>
        <v>375</v>
      </c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38</v>
      </c>
      <c r="G81" s="318">
        <f>SUM(G18:G80)</f>
        <v>37245.33</v>
      </c>
      <c r="H81" s="308">
        <f>SUM(H18:H80)</f>
        <v>26989.37</v>
      </c>
      <c r="I81" s="309">
        <f>SUM(I18:I80)</f>
        <v>45243.459999999992</v>
      </c>
      <c r="J81" s="324"/>
      <c r="K81" s="307">
        <f>SUM(K18:K80)</f>
        <v>38</v>
      </c>
      <c r="L81" s="308">
        <f>SUM(L18:L80)</f>
        <v>26989.37</v>
      </c>
      <c r="M81" s="309">
        <f>SUM(M18:M80)</f>
        <v>45243.459999999992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26989.37</v>
      </c>
      <c r="U81" s="309">
        <f>SUM(U18:U80)</f>
        <v>45243.459999999992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75" priority="3" stopIfTrue="1">
      <formula>$V$9&gt;100%</formula>
    </cfRule>
    <cfRule type="expression" dxfId="74" priority="4">
      <formula>$V$9&lt;50%</formula>
    </cfRule>
  </conditionalFormatting>
  <conditionalFormatting sqref="W9:W10">
    <cfRule type="expression" dxfId="73" priority="1">
      <formula>$W$9&lt;50%</formula>
    </cfRule>
    <cfRule type="expression" dxfId="72" priority="2">
      <formula>$W$9&gt;50%</formula>
    </cfRule>
  </conditionalFormatting>
  <dataValidations count="6">
    <dataValidation type="list" allowBlank="1" showInputMessage="1" showErrorMessage="1" sqref="G2" xr:uid="{D6A715B4-A4A0-45EE-B9B9-9C141421A924}">
      <formula1>$Z$34:$Z$48</formula1>
    </dataValidation>
    <dataValidation type="list" allowBlank="1" showInputMessage="1" showErrorMessage="1" sqref="N18:N80" xr:uid="{0CAF3327-D704-40C4-A794-AF7521711F5F}">
      <formula1>$Z$31:$Z$32</formula1>
    </dataValidation>
    <dataValidation type="list" showInputMessage="1" showErrorMessage="1" sqref="E18 E22:E80" xr:uid="{D3755BDC-DC19-43AE-A3B3-5F674C0C7961}">
      <formula1>$AA$18:$AA$29</formula1>
    </dataValidation>
    <dataValidation type="list" allowBlank="1" showInputMessage="1" showErrorMessage="1" sqref="J13" xr:uid="{28EA6D21-5C27-4374-A78F-DCB4A930D9C8}">
      <formula1>$L$9:$L$9</formula1>
    </dataValidation>
    <dataValidation type="list" allowBlank="1" showInputMessage="1" showErrorMessage="1" sqref="I13" xr:uid="{C37EF2D9-03D4-4E32-AC08-EF07B15F0D98}">
      <formula1>$Z$13:$Z$14</formula1>
    </dataValidation>
    <dataValidation type="list" allowBlank="1" showInputMessage="1" showErrorMessage="1" sqref="G17 R14 R17 L17" xr:uid="{29797859-BE83-4AEA-973F-524FCFA6784A}">
      <formula1>$Z$11:$Z$12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3E7E6E-E869-445B-8AA3-18E710EDC6F7}">
          <x14:formula1>
            <xm:f>'Product Type'!$A$1:$A$55</xm:f>
          </x14:formula1>
          <xm:sqref>D18:D63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5B6C-0755-4FF8-BC5B-19C697DFC570}">
  <sheetPr>
    <pageSetUpPr fitToPage="1"/>
  </sheetPr>
  <dimension ref="A1:AC83"/>
  <sheetViews>
    <sheetView topLeftCell="A9" zoomScale="85" zoomScaleNormal="85" workbookViewId="0">
      <selection activeCell="G46" sqref="G46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4.140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63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45243.459999999992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259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45243.459999999992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332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397">
        <v>6304509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45243.459999999992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45243.459999999992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38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49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>
        <v>211556</v>
      </c>
      <c r="C19" s="181" t="s">
        <v>210</v>
      </c>
      <c r="D19" s="271" t="s">
        <v>29</v>
      </c>
      <c r="E19" s="181">
        <v>375</v>
      </c>
      <c r="F19" s="288">
        <v>1</v>
      </c>
      <c r="G19" s="281">
        <v>50</v>
      </c>
      <c r="H19" s="277">
        <f t="shared" si="0"/>
        <v>36.229999999999997</v>
      </c>
      <c r="I19" s="289">
        <f t="shared" si="1"/>
        <v>36.229999999999997</v>
      </c>
      <c r="J19" s="323"/>
      <c r="K19" s="276">
        <f t="shared" si="2"/>
        <v>1</v>
      </c>
      <c r="L19" s="277">
        <f t="shared" si="3"/>
        <v>36.229999999999997</v>
      </c>
      <c r="M19" s="277">
        <f t="shared" si="4"/>
        <v>36.229999999999997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36.229999999999997</v>
      </c>
      <c r="U19" s="283">
        <f t="shared" si="7"/>
        <v>36.229999999999997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283</v>
      </c>
      <c r="C20" s="295" t="s">
        <v>211</v>
      </c>
      <c r="D20" s="271" t="s">
        <v>28</v>
      </c>
      <c r="E20" s="295">
        <v>375</v>
      </c>
      <c r="F20" s="273">
        <v>1</v>
      </c>
      <c r="G20" s="259">
        <v>70</v>
      </c>
      <c r="H20" s="258">
        <f t="shared" si="0"/>
        <v>50.72</v>
      </c>
      <c r="I20" s="274">
        <f t="shared" si="1"/>
        <v>50.72</v>
      </c>
      <c r="J20" s="323"/>
      <c r="K20" s="257">
        <f t="shared" si="2"/>
        <v>1</v>
      </c>
      <c r="L20" s="258">
        <f t="shared" si="3"/>
        <v>50.72</v>
      </c>
      <c r="M20" s="258">
        <f t="shared" si="4"/>
        <v>50.72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50.72</v>
      </c>
      <c r="U20" s="264">
        <f t="shared" si="7"/>
        <v>50.72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>
        <v>213473</v>
      </c>
      <c r="C21" s="181" t="s">
        <v>212</v>
      </c>
      <c r="D21" s="271" t="s">
        <v>28</v>
      </c>
      <c r="E21" s="181">
        <v>375</v>
      </c>
      <c r="F21" s="288">
        <v>1</v>
      </c>
      <c r="G21" s="281">
        <v>80</v>
      </c>
      <c r="H21" s="277">
        <f t="shared" si="0"/>
        <v>57.97</v>
      </c>
      <c r="I21" s="289">
        <f t="shared" si="1"/>
        <v>57.97</v>
      </c>
      <c r="J21" s="323"/>
      <c r="K21" s="276">
        <f t="shared" si="2"/>
        <v>1</v>
      </c>
      <c r="L21" s="277">
        <f t="shared" si="3"/>
        <v>57.97</v>
      </c>
      <c r="M21" s="277">
        <f t="shared" si="4"/>
        <v>57.97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57.97</v>
      </c>
      <c r="U21" s="283">
        <f t="shared" si="7"/>
        <v>57.97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/>
      <c r="C22" s="295"/>
      <c r="D22" s="271"/>
      <c r="E22" s="293"/>
      <c r="F22" s="273"/>
      <c r="G22" s="259"/>
      <c r="H22" s="258">
        <f t="shared" si="0"/>
        <v>0</v>
      </c>
      <c r="I22" s="274">
        <f t="shared" si="1"/>
        <v>0</v>
      </c>
      <c r="J22" s="323"/>
      <c r="K22" s="257">
        <f t="shared" si="2"/>
        <v>0</v>
      </c>
      <c r="L22" s="258">
        <f t="shared" si="3"/>
        <v>0</v>
      </c>
      <c r="M22" s="258">
        <f t="shared" si="4"/>
        <v>0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0</v>
      </c>
      <c r="U22" s="264">
        <f t="shared" si="7"/>
        <v>0</v>
      </c>
      <c r="V22" s="265">
        <f t="shared" si="8"/>
        <v>0</v>
      </c>
      <c r="W22" s="265">
        <f t="shared" si="9"/>
        <v>0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263</v>
      </c>
      <c r="C23" s="181" t="s">
        <v>312</v>
      </c>
      <c r="D23" s="271" t="s">
        <v>27</v>
      </c>
      <c r="E23" s="287"/>
      <c r="F23" s="288">
        <v>1</v>
      </c>
      <c r="G23" s="400">
        <v>140</v>
      </c>
      <c r="H23" s="277">
        <f t="shared" si="0"/>
        <v>101.45</v>
      </c>
      <c r="I23" s="289">
        <f t="shared" si="1"/>
        <v>101.45</v>
      </c>
      <c r="J23" s="323"/>
      <c r="K23" s="276">
        <f t="shared" si="2"/>
        <v>1</v>
      </c>
      <c r="L23" s="277">
        <f t="shared" si="3"/>
        <v>101.45</v>
      </c>
      <c r="M23" s="277">
        <f t="shared" si="4"/>
        <v>101.45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101.45</v>
      </c>
      <c r="U23" s="283">
        <f t="shared" si="7"/>
        <v>101.45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261</v>
      </c>
      <c r="C24" s="295" t="s">
        <v>214</v>
      </c>
      <c r="D24" s="271" t="s">
        <v>27</v>
      </c>
      <c r="E24" s="293"/>
      <c r="F24" s="273">
        <v>1</v>
      </c>
      <c r="G24" s="259">
        <v>122.5</v>
      </c>
      <c r="H24" s="258">
        <f t="shared" si="0"/>
        <v>88.77</v>
      </c>
      <c r="I24" s="274">
        <f t="shared" si="1"/>
        <v>88.77</v>
      </c>
      <c r="J24" s="323"/>
      <c r="K24" s="257">
        <f t="shared" si="2"/>
        <v>1</v>
      </c>
      <c r="L24" s="258">
        <f t="shared" si="3"/>
        <v>88.77</v>
      </c>
      <c r="M24" s="258">
        <f t="shared" si="4"/>
        <v>88.77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88.77</v>
      </c>
      <c r="U24" s="264">
        <f t="shared" si="7"/>
        <v>88.77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>
        <v>219652</v>
      </c>
      <c r="C25" s="181" t="s">
        <v>215</v>
      </c>
      <c r="D25" s="271" t="s">
        <v>24</v>
      </c>
      <c r="E25" s="287"/>
      <c r="F25" s="288">
        <v>1</v>
      </c>
      <c r="G25" s="281">
        <v>50</v>
      </c>
      <c r="H25" s="277">
        <f t="shared" si="0"/>
        <v>36.229999999999997</v>
      </c>
      <c r="I25" s="289">
        <f t="shared" si="1"/>
        <v>36.229999999999997</v>
      </c>
      <c r="J25" s="323"/>
      <c r="K25" s="276">
        <f t="shared" si="2"/>
        <v>1</v>
      </c>
      <c r="L25" s="277">
        <f t="shared" si="3"/>
        <v>36.229999999999997</v>
      </c>
      <c r="M25" s="277">
        <f t="shared" si="4"/>
        <v>36.229999999999997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36.229999999999997</v>
      </c>
      <c r="U25" s="283">
        <f t="shared" si="7"/>
        <v>36.229999999999997</v>
      </c>
      <c r="V25" s="284">
        <f t="shared" si="8"/>
        <v>0</v>
      </c>
      <c r="W25" s="284">
        <f t="shared" si="9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/>
      <c r="C26" s="295"/>
      <c r="D26" s="271"/>
      <c r="E26" s="293"/>
      <c r="F26" s="273"/>
      <c r="G26" s="259"/>
      <c r="H26" s="258">
        <f t="shared" si="0"/>
        <v>0</v>
      </c>
      <c r="I26" s="274">
        <f t="shared" si="1"/>
        <v>0</v>
      </c>
      <c r="J26" s="323"/>
      <c r="K26" s="257">
        <f t="shared" si="2"/>
        <v>0</v>
      </c>
      <c r="L26" s="258">
        <f t="shared" si="3"/>
        <v>0</v>
      </c>
      <c r="M26" s="258">
        <f t="shared" si="4"/>
        <v>0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0</v>
      </c>
      <c r="U26" s="264">
        <f t="shared" si="7"/>
        <v>0</v>
      </c>
      <c r="V26" s="265">
        <f t="shared" si="8"/>
        <v>0</v>
      </c>
      <c r="W26" s="265">
        <f t="shared" si="9"/>
        <v>0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>
        <v>100859</v>
      </c>
      <c r="C27" s="181" t="s">
        <v>216</v>
      </c>
      <c r="D27" s="271" t="s">
        <v>25</v>
      </c>
      <c r="E27" s="287"/>
      <c r="F27" s="288">
        <v>1</v>
      </c>
      <c r="G27" s="281">
        <v>145</v>
      </c>
      <c r="H27" s="277">
        <f t="shared" si="0"/>
        <v>105.07</v>
      </c>
      <c r="I27" s="289">
        <f t="shared" si="1"/>
        <v>105.07</v>
      </c>
      <c r="J27" s="323"/>
      <c r="K27" s="276">
        <f t="shared" si="2"/>
        <v>1</v>
      </c>
      <c r="L27" s="277">
        <f t="shared" si="3"/>
        <v>105.07</v>
      </c>
      <c r="M27" s="277">
        <f t="shared" si="4"/>
        <v>105.07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105.07</v>
      </c>
      <c r="U27" s="283">
        <f t="shared" si="7"/>
        <v>105.07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>
        <v>100860</v>
      </c>
      <c r="C28" s="295" t="s">
        <v>217</v>
      </c>
      <c r="D28" s="271" t="s">
        <v>25</v>
      </c>
      <c r="E28" s="293"/>
      <c r="F28" s="273">
        <v>1</v>
      </c>
      <c r="G28" s="259">
        <v>70</v>
      </c>
      <c r="H28" s="258">
        <f t="shared" si="0"/>
        <v>50.72</v>
      </c>
      <c r="I28" s="274">
        <f t="shared" si="1"/>
        <v>50.72</v>
      </c>
      <c r="J28" s="323"/>
      <c r="K28" s="257">
        <f t="shared" si="2"/>
        <v>1</v>
      </c>
      <c r="L28" s="258">
        <f t="shared" si="3"/>
        <v>50.72</v>
      </c>
      <c r="M28" s="258">
        <f t="shared" si="4"/>
        <v>50.72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50.72</v>
      </c>
      <c r="U28" s="264">
        <f t="shared" si="7"/>
        <v>50.72</v>
      </c>
      <c r="V28" s="265">
        <f t="shared" si="8"/>
        <v>0</v>
      </c>
      <c r="W28" s="265">
        <f t="shared" si="9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/>
      <c r="C30" s="295" t="s">
        <v>313</v>
      </c>
      <c r="D30" s="271"/>
      <c r="E30" s="293"/>
      <c r="F30" s="273"/>
      <c r="G30" s="259"/>
      <c r="H30" s="258">
        <f t="shared" si="0"/>
        <v>0</v>
      </c>
      <c r="I30" s="274">
        <f t="shared" si="1"/>
        <v>0</v>
      </c>
      <c r="J30" s="323"/>
      <c r="K30" s="257">
        <f t="shared" si="2"/>
        <v>0</v>
      </c>
      <c r="L30" s="258">
        <f t="shared" si="3"/>
        <v>0</v>
      </c>
      <c r="M30" s="258">
        <f t="shared" si="4"/>
        <v>0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0</v>
      </c>
      <c r="U30" s="264">
        <f t="shared" si="7"/>
        <v>0</v>
      </c>
      <c r="V30" s="265">
        <f t="shared" si="8"/>
        <v>0</v>
      </c>
      <c r="W30" s="265">
        <f t="shared" si="9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 t="s">
        <v>265</v>
      </c>
      <c r="C31" s="181" t="s">
        <v>220</v>
      </c>
      <c r="D31" s="271" t="s">
        <v>0</v>
      </c>
      <c r="E31" s="287"/>
      <c r="F31" s="288">
        <v>2</v>
      </c>
      <c r="G31" s="281">
        <v>325</v>
      </c>
      <c r="H31" s="277">
        <f t="shared" si="0"/>
        <v>235.51</v>
      </c>
      <c r="I31" s="289">
        <f t="shared" si="1"/>
        <v>471.02</v>
      </c>
      <c r="J31" s="323"/>
      <c r="K31" s="276">
        <f t="shared" si="2"/>
        <v>2</v>
      </c>
      <c r="L31" s="277">
        <f t="shared" si="3"/>
        <v>235.51</v>
      </c>
      <c r="M31" s="277">
        <f t="shared" si="4"/>
        <v>471.02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235.51</v>
      </c>
      <c r="U31" s="283">
        <f t="shared" si="7"/>
        <v>471.02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314</v>
      </c>
      <c r="C32" s="295" t="s">
        <v>221</v>
      </c>
      <c r="D32" s="271" t="s">
        <v>39</v>
      </c>
      <c r="E32" s="293"/>
      <c r="F32" s="273">
        <v>1</v>
      </c>
      <c r="G32" s="259">
        <v>2647</v>
      </c>
      <c r="H32" s="258">
        <f t="shared" si="0"/>
        <v>1918.12</v>
      </c>
      <c r="I32" s="274">
        <f t="shared" si="1"/>
        <v>1918.12</v>
      </c>
      <c r="J32" s="323"/>
      <c r="K32" s="257">
        <f t="shared" si="2"/>
        <v>1</v>
      </c>
      <c r="L32" s="258">
        <f t="shared" si="3"/>
        <v>1918.12</v>
      </c>
      <c r="M32" s="258">
        <f t="shared" si="4"/>
        <v>1918.12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1918.12</v>
      </c>
      <c r="U32" s="264">
        <f t="shared" si="7"/>
        <v>1918.12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/>
      <c r="C33" s="181"/>
      <c r="D33" s="271"/>
      <c r="E33" s="287"/>
      <c r="F33" s="288"/>
      <c r="G33" s="281"/>
      <c r="H33" s="277">
        <f t="shared" si="0"/>
        <v>0</v>
      </c>
      <c r="I33" s="289">
        <f t="shared" si="1"/>
        <v>0</v>
      </c>
      <c r="J33" s="323"/>
      <c r="K33" s="276">
        <f t="shared" si="2"/>
        <v>0</v>
      </c>
      <c r="L33" s="277">
        <f t="shared" si="3"/>
        <v>0</v>
      </c>
      <c r="M33" s="277">
        <f t="shared" si="4"/>
        <v>0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0</v>
      </c>
      <c r="U33" s="283">
        <f t="shared" si="7"/>
        <v>0</v>
      </c>
      <c r="V33" s="284">
        <f t="shared" si="8"/>
        <v>0</v>
      </c>
      <c r="W33" s="284">
        <f t="shared" si="9"/>
        <v>0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/>
      <c r="C34" s="295" t="s">
        <v>222</v>
      </c>
      <c r="D34" s="271"/>
      <c r="E34" s="293"/>
      <c r="F34" s="273"/>
      <c r="G34" s="259"/>
      <c r="H34" s="258">
        <f t="shared" si="0"/>
        <v>0</v>
      </c>
      <c r="I34" s="274">
        <f t="shared" si="1"/>
        <v>0</v>
      </c>
      <c r="J34" s="323"/>
      <c r="K34" s="257">
        <f t="shared" si="2"/>
        <v>0</v>
      </c>
      <c r="L34" s="258">
        <f t="shared" si="3"/>
        <v>0</v>
      </c>
      <c r="M34" s="258">
        <f t="shared" si="4"/>
        <v>0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0</v>
      </c>
      <c r="U34" s="264">
        <f t="shared" si="7"/>
        <v>0</v>
      </c>
      <c r="V34" s="265">
        <f t="shared" si="8"/>
        <v>0</v>
      </c>
      <c r="W34" s="265">
        <f t="shared" si="9"/>
        <v>0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>
        <v>211971</v>
      </c>
      <c r="C35" s="181" t="s">
        <v>224</v>
      </c>
      <c r="D35" s="271" t="s">
        <v>15</v>
      </c>
      <c r="E35" s="287"/>
      <c r="F35" s="288">
        <v>1</v>
      </c>
      <c r="G35" s="281">
        <v>1850</v>
      </c>
      <c r="H35" s="277">
        <f t="shared" si="0"/>
        <v>1340.58</v>
      </c>
      <c r="I35" s="289">
        <f t="shared" si="1"/>
        <v>1340.58</v>
      </c>
      <c r="J35" s="323"/>
      <c r="K35" s="276">
        <f t="shared" si="2"/>
        <v>1</v>
      </c>
      <c r="L35" s="277">
        <f t="shared" si="3"/>
        <v>1340.58</v>
      </c>
      <c r="M35" s="277">
        <f t="shared" si="4"/>
        <v>1340.58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1340.58</v>
      </c>
      <c r="U35" s="283">
        <f t="shared" si="7"/>
        <v>1340.58</v>
      </c>
      <c r="V35" s="284">
        <f t="shared" si="8"/>
        <v>0</v>
      </c>
      <c r="W35" s="284">
        <f t="shared" si="9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>
        <v>213737</v>
      </c>
      <c r="C36" s="295" t="s">
        <v>254</v>
      </c>
      <c r="D36" s="271" t="s">
        <v>16</v>
      </c>
      <c r="E36" s="293"/>
      <c r="F36" s="273">
        <v>1</v>
      </c>
      <c r="G36" s="259">
        <v>4250</v>
      </c>
      <c r="H36" s="258">
        <f t="shared" si="0"/>
        <v>3079.71</v>
      </c>
      <c r="I36" s="274">
        <f t="shared" si="1"/>
        <v>3079.71</v>
      </c>
      <c r="J36" s="323"/>
      <c r="K36" s="257">
        <f t="shared" si="2"/>
        <v>1</v>
      </c>
      <c r="L36" s="258">
        <f t="shared" si="3"/>
        <v>3079.71</v>
      </c>
      <c r="M36" s="258">
        <f t="shared" si="4"/>
        <v>3079.71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3079.71</v>
      </c>
      <c r="U36" s="264">
        <f t="shared" si="7"/>
        <v>3079.71</v>
      </c>
      <c r="V36" s="265">
        <f t="shared" si="8"/>
        <v>0</v>
      </c>
      <c r="W36" s="265">
        <f t="shared" si="9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>
        <v>211591</v>
      </c>
      <c r="C37" s="181" t="s">
        <v>205</v>
      </c>
      <c r="D37" s="271" t="s">
        <v>17</v>
      </c>
      <c r="E37" s="287"/>
      <c r="F37" s="288">
        <v>1</v>
      </c>
      <c r="G37" s="281">
        <v>5500</v>
      </c>
      <c r="H37" s="277">
        <f t="shared" si="0"/>
        <v>3985.51</v>
      </c>
      <c r="I37" s="289">
        <f t="shared" si="1"/>
        <v>3985.51</v>
      </c>
      <c r="J37" s="323"/>
      <c r="K37" s="276">
        <f t="shared" si="2"/>
        <v>1</v>
      </c>
      <c r="L37" s="277">
        <f t="shared" si="3"/>
        <v>3985.51</v>
      </c>
      <c r="M37" s="277">
        <f t="shared" si="4"/>
        <v>3985.51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3985.51</v>
      </c>
      <c r="U37" s="283">
        <f t="shared" si="7"/>
        <v>3985.51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 t="s">
        <v>285</v>
      </c>
      <c r="C38" s="295" t="s">
        <v>226</v>
      </c>
      <c r="D38" s="271" t="s">
        <v>23</v>
      </c>
      <c r="E38" s="293">
        <v>6000</v>
      </c>
      <c r="F38" s="273">
        <v>1</v>
      </c>
      <c r="G38" s="259">
        <v>4650</v>
      </c>
      <c r="H38" s="258">
        <f t="shared" si="0"/>
        <v>3369.57</v>
      </c>
      <c r="I38" s="274">
        <f t="shared" si="1"/>
        <v>3369.57</v>
      </c>
      <c r="J38" s="323"/>
      <c r="K38" s="257">
        <f t="shared" si="2"/>
        <v>1</v>
      </c>
      <c r="L38" s="258">
        <f t="shared" si="3"/>
        <v>3369.57</v>
      </c>
      <c r="M38" s="258">
        <f t="shared" si="4"/>
        <v>3369.57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3369.57</v>
      </c>
      <c r="U38" s="264">
        <f t="shared" si="7"/>
        <v>3369.57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>
        <v>211953</v>
      </c>
      <c r="C39" s="181" t="s">
        <v>227</v>
      </c>
      <c r="D39" s="271" t="s">
        <v>19</v>
      </c>
      <c r="E39" s="287">
        <v>6000</v>
      </c>
      <c r="F39" s="288">
        <v>6</v>
      </c>
      <c r="G39" s="281">
        <v>1250</v>
      </c>
      <c r="H39" s="277">
        <f t="shared" si="0"/>
        <v>905.8</v>
      </c>
      <c r="I39" s="289">
        <f t="shared" si="1"/>
        <v>5434.8</v>
      </c>
      <c r="J39" s="323"/>
      <c r="K39" s="276">
        <f t="shared" si="2"/>
        <v>6</v>
      </c>
      <c r="L39" s="277">
        <f t="shared" si="3"/>
        <v>905.8</v>
      </c>
      <c r="M39" s="277">
        <f t="shared" si="4"/>
        <v>5434.8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905.8</v>
      </c>
      <c r="U39" s="283">
        <f t="shared" si="7"/>
        <v>5434.8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/>
      <c r="C40" s="295"/>
      <c r="D40" s="271"/>
      <c r="E40" s="293"/>
      <c r="F40" s="273"/>
      <c r="G40" s="259"/>
      <c r="H40" s="258">
        <f t="shared" si="0"/>
        <v>0</v>
      </c>
      <c r="I40" s="274">
        <f t="shared" si="1"/>
        <v>0</v>
      </c>
      <c r="J40" s="323"/>
      <c r="K40" s="257">
        <f t="shared" si="2"/>
        <v>0</v>
      </c>
      <c r="L40" s="258">
        <f t="shared" si="3"/>
        <v>0</v>
      </c>
      <c r="M40" s="258">
        <f t="shared" si="4"/>
        <v>0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0</v>
      </c>
      <c r="U40" s="264">
        <f t="shared" si="7"/>
        <v>0</v>
      </c>
      <c r="V40" s="265">
        <f t="shared" si="8"/>
        <v>0</v>
      </c>
      <c r="W40" s="265">
        <f t="shared" si="9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 t="s">
        <v>228</v>
      </c>
      <c r="D41" s="271"/>
      <c r="E41" s="287"/>
      <c r="F41" s="288"/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0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 t="s">
        <v>315</v>
      </c>
      <c r="C42" s="295" t="s">
        <v>316</v>
      </c>
      <c r="D42" s="271" t="s">
        <v>41</v>
      </c>
      <c r="E42" s="293"/>
      <c r="F42" s="273">
        <v>4</v>
      </c>
      <c r="G42" s="259">
        <v>4500</v>
      </c>
      <c r="H42" s="258">
        <f t="shared" si="0"/>
        <v>3260.87</v>
      </c>
      <c r="I42" s="274">
        <f t="shared" si="1"/>
        <v>13043.48</v>
      </c>
      <c r="J42" s="323"/>
      <c r="K42" s="257">
        <f t="shared" si="2"/>
        <v>4</v>
      </c>
      <c r="L42" s="258">
        <f t="shared" si="3"/>
        <v>3260.87</v>
      </c>
      <c r="M42" s="258">
        <f t="shared" si="4"/>
        <v>13043.48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3260.87</v>
      </c>
      <c r="U42" s="264">
        <f t="shared" si="7"/>
        <v>13043.48</v>
      </c>
      <c r="V42" s="265">
        <f t="shared" si="8"/>
        <v>0</v>
      </c>
      <c r="W42" s="265">
        <f t="shared" si="9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/>
      <c r="C44" s="295" t="s">
        <v>230</v>
      </c>
      <c r="D44" s="271"/>
      <c r="E44" s="293"/>
      <c r="F44" s="273"/>
      <c r="G44" s="259"/>
      <c r="H44" s="258">
        <f t="shared" si="0"/>
        <v>0</v>
      </c>
      <c r="I44" s="274">
        <f t="shared" si="1"/>
        <v>0</v>
      </c>
      <c r="J44" s="323"/>
      <c r="K44" s="257">
        <f t="shared" si="2"/>
        <v>0</v>
      </c>
      <c r="L44" s="258">
        <f t="shared" si="3"/>
        <v>0</v>
      </c>
      <c r="M44" s="258">
        <f t="shared" si="4"/>
        <v>0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0</v>
      </c>
      <c r="U44" s="264">
        <f t="shared" si="7"/>
        <v>0</v>
      </c>
      <c r="V44" s="265">
        <f t="shared" si="8"/>
        <v>0</v>
      </c>
      <c r="W44" s="265">
        <f t="shared" si="9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 t="s">
        <v>317</v>
      </c>
      <c r="C45" s="181" t="s">
        <v>318</v>
      </c>
      <c r="D45" s="271" t="s">
        <v>42</v>
      </c>
      <c r="E45" s="287" t="s">
        <v>176</v>
      </c>
      <c r="F45" s="288">
        <v>2</v>
      </c>
      <c r="G45" s="281">
        <v>3750.49</v>
      </c>
      <c r="H45" s="277">
        <f t="shared" si="0"/>
        <v>2717.75</v>
      </c>
      <c r="I45" s="289">
        <f t="shared" si="1"/>
        <v>5435.5</v>
      </c>
      <c r="J45" s="323"/>
      <c r="K45" s="276">
        <f t="shared" si="2"/>
        <v>2</v>
      </c>
      <c r="L45" s="277">
        <f t="shared" si="3"/>
        <v>2717.75</v>
      </c>
      <c r="M45" s="277">
        <f t="shared" si="4"/>
        <v>5435.5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2717.75</v>
      </c>
      <c r="U45" s="283">
        <f t="shared" si="7"/>
        <v>5435.5</v>
      </c>
      <c r="V45" s="284">
        <f t="shared" si="8"/>
        <v>0</v>
      </c>
      <c r="W45" s="284">
        <f t="shared" si="9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 t="s">
        <v>333</v>
      </c>
      <c r="C46" s="295" t="s">
        <v>329</v>
      </c>
      <c r="D46" s="271" t="s">
        <v>42</v>
      </c>
      <c r="E46" s="293" t="s">
        <v>176</v>
      </c>
      <c r="F46" s="273">
        <v>1</v>
      </c>
      <c r="G46" s="259">
        <v>1709.8</v>
      </c>
      <c r="H46" s="258">
        <f t="shared" si="0"/>
        <v>1238.99</v>
      </c>
      <c r="I46" s="274">
        <f t="shared" si="1"/>
        <v>1238.99</v>
      </c>
      <c r="J46" s="323"/>
      <c r="K46" s="257">
        <f t="shared" si="2"/>
        <v>1</v>
      </c>
      <c r="L46" s="258">
        <f t="shared" si="3"/>
        <v>1238.99</v>
      </c>
      <c r="M46" s="258">
        <f t="shared" si="4"/>
        <v>1238.99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1238.99</v>
      </c>
      <c r="U46" s="264">
        <f t="shared" si="7"/>
        <v>1238.99</v>
      </c>
      <c r="V46" s="265">
        <f t="shared" si="8"/>
        <v>0</v>
      </c>
      <c r="W46" s="265">
        <f t="shared" si="9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 t="s">
        <v>321</v>
      </c>
      <c r="C47" s="181" t="s">
        <v>322</v>
      </c>
      <c r="D47" s="271" t="s">
        <v>42</v>
      </c>
      <c r="E47" s="287" t="s">
        <v>176</v>
      </c>
      <c r="F47" s="288">
        <v>2</v>
      </c>
      <c r="G47" s="281">
        <v>563.25</v>
      </c>
      <c r="H47" s="277">
        <f t="shared" si="0"/>
        <v>408.15</v>
      </c>
      <c r="I47" s="289">
        <f t="shared" si="1"/>
        <v>816.3</v>
      </c>
      <c r="J47" s="323"/>
      <c r="K47" s="276">
        <f t="shared" si="2"/>
        <v>2</v>
      </c>
      <c r="L47" s="277">
        <f t="shared" si="3"/>
        <v>408.15</v>
      </c>
      <c r="M47" s="277">
        <f t="shared" si="4"/>
        <v>816.3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408.15</v>
      </c>
      <c r="U47" s="283">
        <f t="shared" si="7"/>
        <v>816.3</v>
      </c>
      <c r="V47" s="284">
        <f t="shared" si="8"/>
        <v>0</v>
      </c>
      <c r="W47" s="284">
        <f t="shared" si="9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 t="s">
        <v>323</v>
      </c>
      <c r="C48" s="295" t="s">
        <v>324</v>
      </c>
      <c r="D48" s="271" t="s">
        <v>42</v>
      </c>
      <c r="E48" s="293" t="s">
        <v>176</v>
      </c>
      <c r="F48" s="273">
        <v>4</v>
      </c>
      <c r="G48" s="259">
        <v>267.29000000000002</v>
      </c>
      <c r="H48" s="258">
        <f t="shared" si="0"/>
        <v>193.69</v>
      </c>
      <c r="I48" s="274">
        <f t="shared" si="1"/>
        <v>774.76</v>
      </c>
      <c r="J48" s="323"/>
      <c r="K48" s="257">
        <f t="shared" si="2"/>
        <v>4</v>
      </c>
      <c r="L48" s="258">
        <f t="shared" si="3"/>
        <v>193.69</v>
      </c>
      <c r="M48" s="258">
        <f t="shared" si="4"/>
        <v>774.76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193.69</v>
      </c>
      <c r="U48" s="264">
        <f t="shared" si="7"/>
        <v>774.76</v>
      </c>
      <c r="V48" s="265">
        <f t="shared" si="8"/>
        <v>0</v>
      </c>
      <c r="W48" s="265">
        <f t="shared" si="9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181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 t="s">
        <v>289</v>
      </c>
      <c r="C50" s="295" t="s">
        <v>197</v>
      </c>
      <c r="D50" s="271" t="s">
        <v>22</v>
      </c>
      <c r="E50" s="293" t="s">
        <v>176</v>
      </c>
      <c r="F50" s="273">
        <v>1</v>
      </c>
      <c r="G50" s="259">
        <v>1100</v>
      </c>
      <c r="H50" s="258">
        <f t="shared" ref="H50:H81" si="10">ROUND(IF($G$17="USD $", G50*$F$15,G50*$E$15),2)</f>
        <v>797.1</v>
      </c>
      <c r="I50" s="274">
        <f t="shared" ref="I50:I81" si="11">ROUND(IF($I$17=$H$17,F50*H50,F50*G50),2)</f>
        <v>797.1</v>
      </c>
      <c r="J50" s="323"/>
      <c r="K50" s="257">
        <f t="shared" ref="K50:K80" si="12">F50</f>
        <v>1</v>
      </c>
      <c r="L50" s="258">
        <f t="shared" ref="L50:L81" si="13">IFERROR(IF(N50="OEM DISC %",ROUND(IF($L$17=$G$17,G50*(1-O50),H50*(1-O50)),2),IF(N50="MARKUP %",ROUND(S50/K50*(1+O50),2))),0)</f>
        <v>797.1</v>
      </c>
      <c r="M50" s="258">
        <f t="shared" ref="M50:M81" si="14">ROUND((K50*L50),2)</f>
        <v>797.1</v>
      </c>
      <c r="N50" s="259" t="s">
        <v>156</v>
      </c>
      <c r="O50" s="290"/>
      <c r="P50" s="261"/>
      <c r="Q50" s="291"/>
      <c r="R50" s="263"/>
      <c r="S50" s="264">
        <f t="shared" ref="S50:S81" si="15">ROUND(IF($S$17=$R$17,R50,IF($S$17="USD $",R50*$E$15,R50*$F$15))*F50,2)</f>
        <v>0</v>
      </c>
      <c r="T50" s="264">
        <f t="shared" ref="T50:T81" si="16">IFERROR(ROUND(U50/F50,2),0)</f>
        <v>797.1</v>
      </c>
      <c r="U50" s="264">
        <f t="shared" ref="U50:U80" si="17">ROUND(M50-S50,2)</f>
        <v>797.1</v>
      </c>
      <c r="V50" s="265">
        <f t="shared" ref="V50:V80" si="18">IFERROR(((L50-(S50/K50))/(S50/K50)),0)</f>
        <v>0</v>
      </c>
      <c r="W50" s="265">
        <f t="shared" ref="W50:W80" si="19">IFERROR(((L50-(S50/K50))/L50),0)</f>
        <v>1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 t="s">
        <v>325</v>
      </c>
      <c r="C51" s="181" t="s">
        <v>198</v>
      </c>
      <c r="D51" s="271" t="s">
        <v>199</v>
      </c>
      <c r="E51" s="287" t="s">
        <v>176</v>
      </c>
      <c r="F51" s="288">
        <v>1</v>
      </c>
      <c r="G51" s="281">
        <v>2500</v>
      </c>
      <c r="H51" s="277">
        <f t="shared" si="10"/>
        <v>1811.59</v>
      </c>
      <c r="I51" s="289">
        <f t="shared" si="11"/>
        <v>1811.59</v>
      </c>
      <c r="J51" s="323"/>
      <c r="K51" s="276">
        <f t="shared" si="12"/>
        <v>1</v>
      </c>
      <c r="L51" s="277">
        <f t="shared" si="13"/>
        <v>1811.59</v>
      </c>
      <c r="M51" s="277">
        <f t="shared" si="14"/>
        <v>1811.59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1811.59</v>
      </c>
      <c r="U51" s="283">
        <f t="shared" si="17"/>
        <v>1811.59</v>
      </c>
      <c r="V51" s="284">
        <f t="shared" si="18"/>
        <v>0</v>
      </c>
      <c r="W51" s="284">
        <f t="shared" si="19"/>
        <v>1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>
        <v>213465</v>
      </c>
      <c r="C52" s="295" t="s">
        <v>200</v>
      </c>
      <c r="D52" s="271" t="s">
        <v>18</v>
      </c>
      <c r="E52" s="293" t="s">
        <v>176</v>
      </c>
      <c r="F52" s="273">
        <v>1</v>
      </c>
      <c r="G52" s="259">
        <v>675</v>
      </c>
      <c r="H52" s="258">
        <f t="shared" si="10"/>
        <v>489.13</v>
      </c>
      <c r="I52" s="274">
        <f t="shared" si="11"/>
        <v>489.13</v>
      </c>
      <c r="J52" s="323"/>
      <c r="K52" s="257">
        <f t="shared" si="12"/>
        <v>1</v>
      </c>
      <c r="L52" s="258">
        <f t="shared" si="13"/>
        <v>489.13</v>
      </c>
      <c r="M52" s="258">
        <f t="shared" si="14"/>
        <v>489.13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489.13</v>
      </c>
      <c r="U52" s="264">
        <f t="shared" si="17"/>
        <v>489.13</v>
      </c>
      <c r="V52" s="265">
        <f t="shared" si="18"/>
        <v>0</v>
      </c>
      <c r="W52" s="265">
        <f t="shared" si="19"/>
        <v>1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 t="s">
        <v>326</v>
      </c>
      <c r="C53" s="181" t="s">
        <v>201</v>
      </c>
      <c r="D53" s="271" t="s">
        <v>13</v>
      </c>
      <c r="E53" s="287" t="s">
        <v>176</v>
      </c>
      <c r="F53" s="288">
        <v>1</v>
      </c>
      <c r="G53" s="281">
        <v>980</v>
      </c>
      <c r="H53" s="277">
        <f t="shared" si="10"/>
        <v>710.14</v>
      </c>
      <c r="I53" s="289">
        <f t="shared" si="11"/>
        <v>710.14</v>
      </c>
      <c r="J53" s="323"/>
      <c r="K53" s="276">
        <f t="shared" si="12"/>
        <v>1</v>
      </c>
      <c r="L53" s="277">
        <f t="shared" si="13"/>
        <v>710.14</v>
      </c>
      <c r="M53" s="277">
        <f t="shared" si="14"/>
        <v>710.14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710.14</v>
      </c>
      <c r="U53" s="283">
        <f t="shared" si="17"/>
        <v>710.14</v>
      </c>
      <c r="V53" s="284">
        <f t="shared" si="18"/>
        <v>0</v>
      </c>
      <c r="W53" s="284">
        <f t="shared" si="19"/>
        <v>1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38</v>
      </c>
      <c r="G81" s="318">
        <f>SUM(G18:G80)</f>
        <v>37245.33</v>
      </c>
      <c r="H81" s="308">
        <f>SUM(H18:H80)</f>
        <v>26989.37</v>
      </c>
      <c r="I81" s="309">
        <f>SUM(I18:I80)</f>
        <v>45243.459999999992</v>
      </c>
      <c r="J81" s="324"/>
      <c r="K81" s="307">
        <f>SUM(K18:K80)</f>
        <v>38</v>
      </c>
      <c r="L81" s="308">
        <f>SUM(L18:L80)</f>
        <v>26989.37</v>
      </c>
      <c r="M81" s="309">
        <f>SUM(M18:M80)</f>
        <v>45243.459999999992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26989.37</v>
      </c>
      <c r="U81" s="309">
        <f>SUM(U18:U80)</f>
        <v>45243.459999999992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71" priority="3" stopIfTrue="1">
      <formula>$V$9&gt;100%</formula>
    </cfRule>
    <cfRule type="expression" dxfId="70" priority="4">
      <formula>$V$9&lt;50%</formula>
    </cfRule>
  </conditionalFormatting>
  <conditionalFormatting sqref="W9:W10">
    <cfRule type="expression" dxfId="69" priority="1">
      <formula>$W$9&lt;50%</formula>
    </cfRule>
    <cfRule type="expression" dxfId="68" priority="2">
      <formula>$W$9&gt;50%</formula>
    </cfRule>
  </conditionalFormatting>
  <dataValidations count="6">
    <dataValidation type="list" allowBlank="1" showInputMessage="1" showErrorMessage="1" sqref="G17 R14 R17 L17" xr:uid="{6DEFF223-0948-4C10-89BB-2A32D6846262}">
      <formula1>$Z$11:$Z$12</formula1>
    </dataValidation>
    <dataValidation type="list" allowBlank="1" showInputMessage="1" showErrorMessage="1" sqref="I13" xr:uid="{CC65DFB3-E91A-4C8C-B65E-AE34BC565328}">
      <formula1>$Z$13:$Z$14</formula1>
    </dataValidation>
    <dataValidation type="list" allowBlank="1" showInputMessage="1" showErrorMessage="1" sqref="J13" xr:uid="{99151BF8-7BCB-420D-9AD3-9B5818C0F408}">
      <formula1>$L$9:$L$9</formula1>
    </dataValidation>
    <dataValidation type="list" showInputMessage="1" showErrorMessage="1" sqref="E18 E22:E80" xr:uid="{E878EEA2-A4E1-402F-BBC6-7CC58E8DBBCC}">
      <formula1>$AA$18:$AA$29</formula1>
    </dataValidation>
    <dataValidation type="list" allowBlank="1" showInputMessage="1" showErrorMessage="1" sqref="N18:N80" xr:uid="{8B91BAE8-9232-452E-862B-56EDC4F9E82E}">
      <formula1>$Z$31:$Z$32</formula1>
    </dataValidation>
    <dataValidation type="list" allowBlank="1" showInputMessage="1" showErrorMessage="1" sqref="G2" xr:uid="{844821A2-904C-460C-98C3-5238BB10FBDF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B93535-D783-49DB-902F-C7E0D274E513}">
          <x14:formula1>
            <xm:f>'Product Type'!$A$1:$A$55</xm:f>
          </x14:formula1>
          <xm:sqref>D18:D63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7BF2-4AAD-422F-8DEB-56CC4EF20C94}">
  <sheetPr>
    <pageSetUpPr fitToPage="1"/>
  </sheetPr>
  <dimension ref="A1:AC83"/>
  <sheetViews>
    <sheetView topLeftCell="A14" zoomScaleNormal="100" workbookViewId="0">
      <selection activeCell="E37" sqref="E3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3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98449.05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 t="s">
        <v>82</v>
      </c>
      <c r="D3" s="4"/>
      <c r="E3" s="481" t="s">
        <v>67</v>
      </c>
      <c r="F3" s="482"/>
      <c r="G3" s="161" t="s">
        <v>334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98449.05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335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398" t="s">
        <v>336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98449.05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98449.05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1001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36" si="0">F19</f>
        <v>1</v>
      </c>
      <c r="L18" s="9">
        <f t="shared" ref="L18:L36" si="1">IFERROR(IF(N18="OEM DISC %",ROUND(IF($L$17=$G$18,G19*(1-O18),H19*(1-O18)),2),IF(N18="MARKUP %",ROUND(S18/K18*(1+O18),2))),0)</f>
        <v>46.69</v>
      </c>
      <c r="M18" s="9">
        <f>ROUND((K18*L18),2)</f>
        <v>46.69</v>
      </c>
      <c r="N18" s="8" t="s">
        <v>156</v>
      </c>
      <c r="O18" s="36"/>
      <c r="P18" s="51"/>
      <c r="Q18" s="2"/>
      <c r="R18" s="13"/>
      <c r="S18" s="14">
        <f t="shared" ref="S18:S36" si="2">ROUND(IF($S$17=$R$17,R18,IF($S$17="USD $",R18*$E$15,R18*$F$15))*F19,2)</f>
        <v>0</v>
      </c>
      <c r="T18" s="14">
        <f t="shared" ref="T18:T36" si="3">IFERROR(ROUND(U18/F19,2),0)</f>
        <v>46.69</v>
      </c>
      <c r="U18" s="14">
        <f>ROUND(M18-S18,2)</f>
        <v>46.69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" t="s">
        <v>337</v>
      </c>
      <c r="C19" s="163" t="s">
        <v>157</v>
      </c>
      <c r="D19" s="139" t="s">
        <v>29</v>
      </c>
      <c r="E19" s="332">
        <v>375</v>
      </c>
      <c r="F19" s="53">
        <v>1</v>
      </c>
      <c r="G19" s="8">
        <v>46.69</v>
      </c>
      <c r="H19" s="9">
        <f t="shared" ref="H19:H81" si="4">ROUND(IF($G$18="USD $", G19*$F$15,G19*$E$15),2)</f>
        <v>33.83</v>
      </c>
      <c r="I19" s="10">
        <f t="shared" ref="I19:I81" si="5">ROUND(IF($I$18=$H$18,F19*H19,F19*G19),2)</f>
        <v>46.69</v>
      </c>
      <c r="J19" s="151"/>
      <c r="K19" s="88">
        <f t="shared" si="0"/>
        <v>1</v>
      </c>
      <c r="L19" s="38">
        <f t="shared" si="1"/>
        <v>47.84</v>
      </c>
      <c r="M19" s="38">
        <f t="shared" ref="M19:M80" si="6">ROUND((K19*L19),2)</f>
        <v>47.84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47.84</v>
      </c>
      <c r="U19" s="52">
        <f t="shared" ref="U19:U80" si="7">ROUND(M19-S19,2)</f>
        <v>47.84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1" t="s">
        <v>338</v>
      </c>
      <c r="C20" s="144" t="s">
        <v>159</v>
      </c>
      <c r="D20" s="139" t="s">
        <v>28</v>
      </c>
      <c r="E20" s="125">
        <v>500</v>
      </c>
      <c r="F20" s="54">
        <v>1</v>
      </c>
      <c r="G20" s="15">
        <v>47.84</v>
      </c>
      <c r="H20" s="38">
        <f t="shared" si="4"/>
        <v>34.67</v>
      </c>
      <c r="I20" s="39">
        <f t="shared" si="5"/>
        <v>47.84</v>
      </c>
      <c r="J20" s="151"/>
      <c r="K20" s="89">
        <f t="shared" si="0"/>
        <v>1</v>
      </c>
      <c r="L20" s="9">
        <f t="shared" si="1"/>
        <v>48.22</v>
      </c>
      <c r="M20" s="9">
        <f t="shared" si="6"/>
        <v>48.22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48.22</v>
      </c>
      <c r="U20" s="14">
        <f t="shared" si="7"/>
        <v>48.22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" t="s">
        <v>339</v>
      </c>
      <c r="C21" s="145" t="s">
        <v>159</v>
      </c>
      <c r="D21" s="139" t="s">
        <v>28</v>
      </c>
      <c r="E21" s="126">
        <v>500</v>
      </c>
      <c r="F21" s="53">
        <v>1</v>
      </c>
      <c r="G21" s="8">
        <v>48.22</v>
      </c>
      <c r="H21" s="9">
        <f t="shared" si="4"/>
        <v>34.94</v>
      </c>
      <c r="I21" s="10">
        <f t="shared" si="5"/>
        <v>48.22</v>
      </c>
      <c r="J21" s="151"/>
      <c r="K21" s="88">
        <f t="shared" si="0"/>
        <v>1</v>
      </c>
      <c r="L21" s="38">
        <f t="shared" si="1"/>
        <v>308.25</v>
      </c>
      <c r="M21" s="38">
        <f t="shared" si="6"/>
        <v>308.25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308.25</v>
      </c>
      <c r="U21" s="52">
        <f t="shared" si="7"/>
        <v>308.25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340</v>
      </c>
      <c r="C22" s="144" t="s">
        <v>163</v>
      </c>
      <c r="D22" s="139" t="s">
        <v>27</v>
      </c>
      <c r="E22" s="125">
        <v>500</v>
      </c>
      <c r="F22" s="54">
        <v>1</v>
      </c>
      <c r="G22" s="15">
        <v>308.25</v>
      </c>
      <c r="H22" s="38">
        <f t="shared" si="4"/>
        <v>223.37</v>
      </c>
      <c r="I22" s="39">
        <f t="shared" si="5"/>
        <v>308.25</v>
      </c>
      <c r="J22" s="151"/>
      <c r="K22" s="89">
        <f t="shared" si="0"/>
        <v>1</v>
      </c>
      <c r="L22" s="9">
        <f t="shared" si="1"/>
        <v>82.96</v>
      </c>
      <c r="M22" s="9">
        <f t="shared" si="6"/>
        <v>82.96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82.96</v>
      </c>
      <c r="U22" s="14">
        <f t="shared" si="7"/>
        <v>82.96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391" t="s">
        <v>341</v>
      </c>
      <c r="C23" s="392" t="s">
        <v>166</v>
      </c>
      <c r="D23" s="139" t="s">
        <v>25</v>
      </c>
      <c r="E23" s="390">
        <v>500</v>
      </c>
      <c r="F23" s="53">
        <v>1</v>
      </c>
      <c r="G23" s="8">
        <v>82.96</v>
      </c>
      <c r="H23" s="9">
        <f t="shared" si="4"/>
        <v>60.12</v>
      </c>
      <c r="I23" s="10">
        <f t="shared" si="5"/>
        <v>82.96</v>
      </c>
      <c r="J23" s="151"/>
      <c r="K23" s="88">
        <f t="shared" si="0"/>
        <v>1</v>
      </c>
      <c r="L23" s="38">
        <f t="shared" si="1"/>
        <v>106.06</v>
      </c>
      <c r="M23" s="38">
        <f t="shared" si="6"/>
        <v>106.06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106.06</v>
      </c>
      <c r="U23" s="52">
        <f t="shared" si="7"/>
        <v>106.06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342</v>
      </c>
      <c r="C24" s="145" t="s">
        <v>168</v>
      </c>
      <c r="D24" s="139" t="s">
        <v>25</v>
      </c>
      <c r="E24" s="332">
        <v>375</v>
      </c>
      <c r="F24" s="54">
        <v>1</v>
      </c>
      <c r="G24" s="15">
        <v>106.06</v>
      </c>
      <c r="H24" s="38">
        <f t="shared" si="4"/>
        <v>76.86</v>
      </c>
      <c r="I24" s="39">
        <f t="shared" si="5"/>
        <v>106.06</v>
      </c>
      <c r="J24" s="151"/>
      <c r="K24" s="89">
        <f t="shared" si="0"/>
        <v>1</v>
      </c>
      <c r="L24" s="9">
        <f t="shared" si="1"/>
        <v>153.15</v>
      </c>
      <c r="M24" s="9">
        <f t="shared" si="6"/>
        <v>153.15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153.15</v>
      </c>
      <c r="U24" s="14">
        <f t="shared" si="7"/>
        <v>153.15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391" t="s">
        <v>343</v>
      </c>
      <c r="C25" s="392" t="s">
        <v>170</v>
      </c>
      <c r="D25" s="139" t="s">
        <v>24</v>
      </c>
      <c r="E25" s="332">
        <v>375</v>
      </c>
      <c r="F25" s="53">
        <v>1</v>
      </c>
      <c r="G25" s="8">
        <v>153.15</v>
      </c>
      <c r="H25" s="9">
        <f t="shared" si="4"/>
        <v>110.98</v>
      </c>
      <c r="I25" s="10">
        <f t="shared" si="5"/>
        <v>153.15</v>
      </c>
      <c r="J25" s="151"/>
      <c r="K25" s="88">
        <f t="shared" si="0"/>
        <v>0</v>
      </c>
      <c r="L25" s="38">
        <f t="shared" si="1"/>
        <v>0</v>
      </c>
      <c r="M25" s="38">
        <f t="shared" si="6"/>
        <v>0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0</v>
      </c>
      <c r="U25" s="52">
        <f t="shared" si="7"/>
        <v>0</v>
      </c>
      <c r="V25" s="41">
        <f t="shared" si="8"/>
        <v>0</v>
      </c>
      <c r="W25" s="41">
        <f t="shared" si="9"/>
        <v>0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/>
      <c r="C26" s="145"/>
      <c r="D26" s="139"/>
      <c r="E26" s="126"/>
      <c r="F26" s="54"/>
      <c r="G26" s="15"/>
      <c r="H26" s="38">
        <f t="shared" si="4"/>
        <v>0</v>
      </c>
      <c r="I26" s="39">
        <f t="shared" si="5"/>
        <v>0</v>
      </c>
      <c r="J26" s="151"/>
      <c r="K26" s="89">
        <f t="shared" si="0"/>
        <v>2</v>
      </c>
      <c r="L26" s="9">
        <f t="shared" si="1"/>
        <v>614.24</v>
      </c>
      <c r="M26" s="9">
        <f t="shared" si="6"/>
        <v>1228.48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614.24</v>
      </c>
      <c r="U26" s="14">
        <f t="shared" si="7"/>
        <v>1228.48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" t="s">
        <v>344</v>
      </c>
      <c r="C27" s="145" t="s">
        <v>172</v>
      </c>
      <c r="D27" s="139" t="s">
        <v>0</v>
      </c>
      <c r="E27" s="126" t="s">
        <v>176</v>
      </c>
      <c r="F27" s="53">
        <v>2</v>
      </c>
      <c r="G27" s="8">
        <v>614.24</v>
      </c>
      <c r="H27" s="9">
        <f t="shared" si="4"/>
        <v>445.1</v>
      </c>
      <c r="I27" s="10">
        <f t="shared" si="5"/>
        <v>1228.48</v>
      </c>
      <c r="J27" s="151"/>
      <c r="K27" s="88">
        <f t="shared" si="0"/>
        <v>1</v>
      </c>
      <c r="L27" s="38">
        <f t="shared" si="1"/>
        <v>2800</v>
      </c>
      <c r="M27" s="38">
        <f t="shared" si="6"/>
        <v>2800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2800</v>
      </c>
      <c r="U27" s="52">
        <f t="shared" si="7"/>
        <v>2800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1" t="s">
        <v>345</v>
      </c>
      <c r="C28" s="145" t="s">
        <v>174</v>
      </c>
      <c r="D28" s="139" t="s">
        <v>40</v>
      </c>
      <c r="E28" s="126" t="s">
        <v>176</v>
      </c>
      <c r="F28" s="54">
        <v>1</v>
      </c>
      <c r="G28" s="15">
        <v>2800</v>
      </c>
      <c r="H28" s="38">
        <f t="shared" si="4"/>
        <v>2028.99</v>
      </c>
      <c r="I28" s="39">
        <f t="shared" si="5"/>
        <v>2800</v>
      </c>
      <c r="J28" s="151"/>
      <c r="K28" s="89">
        <f t="shared" si="0"/>
        <v>0</v>
      </c>
      <c r="L28" s="9">
        <f t="shared" si="1"/>
        <v>0</v>
      </c>
      <c r="M28" s="9">
        <f t="shared" si="6"/>
        <v>0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0</v>
      </c>
      <c r="U28" s="14">
        <f t="shared" si="7"/>
        <v>0</v>
      </c>
      <c r="V28" s="29">
        <f t="shared" si="8"/>
        <v>0</v>
      </c>
      <c r="W28" s="29">
        <f t="shared" si="9"/>
        <v>0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"/>
      <c r="C29" s="392"/>
      <c r="D29" s="139"/>
      <c r="E29" s="126"/>
      <c r="F29" s="53"/>
      <c r="G29" s="8"/>
      <c r="H29" s="9">
        <f t="shared" si="4"/>
        <v>0</v>
      </c>
      <c r="I29" s="10">
        <f t="shared" si="5"/>
        <v>0</v>
      </c>
      <c r="J29" s="151"/>
      <c r="K29" s="88">
        <f t="shared" si="0"/>
        <v>0</v>
      </c>
      <c r="L29" s="38">
        <f t="shared" si="1"/>
        <v>0</v>
      </c>
      <c r="M29" s="38">
        <f>ROUND((K29*L29),2)</f>
        <v>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0</v>
      </c>
      <c r="U29" s="52">
        <f t="shared" si="7"/>
        <v>0</v>
      </c>
      <c r="V29" s="41">
        <f t="shared" si="8"/>
        <v>0</v>
      </c>
      <c r="W29" s="41">
        <f t="shared" si="9"/>
        <v>0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1"/>
      <c r="C30" s="144" t="s">
        <v>346</v>
      </c>
      <c r="D30" s="139"/>
      <c r="E30" s="125"/>
      <c r="F30" s="54"/>
      <c r="G30" s="15"/>
      <c r="H30" s="38">
        <f t="shared" si="4"/>
        <v>0</v>
      </c>
      <c r="I30" s="39">
        <f t="shared" si="5"/>
        <v>0</v>
      </c>
      <c r="J30" s="151"/>
      <c r="K30" s="89">
        <f t="shared" si="0"/>
        <v>1</v>
      </c>
      <c r="L30" s="9">
        <f t="shared" si="1"/>
        <v>5297.5</v>
      </c>
      <c r="M30" s="9">
        <f t="shared" si="6"/>
        <v>5297.5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5297.5</v>
      </c>
      <c r="U30" s="14">
        <f t="shared" si="7"/>
        <v>5297.5</v>
      </c>
      <c r="V30" s="29">
        <f t="shared" si="8"/>
        <v>0</v>
      </c>
      <c r="W30" s="29">
        <f t="shared" si="9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" t="s">
        <v>347</v>
      </c>
      <c r="C31" s="392" t="s">
        <v>224</v>
      </c>
      <c r="D31" s="393" t="s">
        <v>15</v>
      </c>
      <c r="E31" s="390" t="s">
        <v>176</v>
      </c>
      <c r="F31" s="53">
        <v>1</v>
      </c>
      <c r="G31" s="8">
        <v>5297.5</v>
      </c>
      <c r="H31" s="9">
        <f t="shared" si="4"/>
        <v>3838.77</v>
      </c>
      <c r="I31" s="10">
        <f t="shared" si="5"/>
        <v>5297.5</v>
      </c>
      <c r="J31" s="151"/>
      <c r="K31" s="88">
        <f t="shared" si="0"/>
        <v>1</v>
      </c>
      <c r="L31" s="38">
        <f t="shared" si="1"/>
        <v>5750</v>
      </c>
      <c r="M31" s="38">
        <f t="shared" si="6"/>
        <v>5750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5750</v>
      </c>
      <c r="U31" s="52">
        <f t="shared" si="7"/>
        <v>5750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1" t="s">
        <v>348</v>
      </c>
      <c r="C32" s="145" t="s">
        <v>254</v>
      </c>
      <c r="D32" s="139" t="s">
        <v>16</v>
      </c>
      <c r="E32" s="126" t="s">
        <v>176</v>
      </c>
      <c r="F32" s="54">
        <v>1</v>
      </c>
      <c r="G32" s="15">
        <v>5750</v>
      </c>
      <c r="H32" s="38">
        <f t="shared" si="4"/>
        <v>4166.67</v>
      </c>
      <c r="I32" s="39">
        <f t="shared" si="5"/>
        <v>5750</v>
      </c>
      <c r="J32" s="151"/>
      <c r="K32" s="89">
        <f t="shared" si="0"/>
        <v>1</v>
      </c>
      <c r="L32" s="9">
        <f t="shared" si="1"/>
        <v>17500</v>
      </c>
      <c r="M32" s="9">
        <f t="shared" si="6"/>
        <v>17500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17500</v>
      </c>
      <c r="U32" s="14">
        <f t="shared" si="7"/>
        <v>17500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" t="s">
        <v>349</v>
      </c>
      <c r="C33" s="392" t="s">
        <v>350</v>
      </c>
      <c r="D33" s="393" t="s">
        <v>17</v>
      </c>
      <c r="E33" s="390" t="s">
        <v>176</v>
      </c>
      <c r="F33" s="53">
        <v>1</v>
      </c>
      <c r="G33" s="8">
        <v>17500</v>
      </c>
      <c r="H33" s="9">
        <f t="shared" si="4"/>
        <v>12681.16</v>
      </c>
      <c r="I33" s="10">
        <f t="shared" si="5"/>
        <v>17500</v>
      </c>
      <c r="J33" s="151"/>
      <c r="K33" s="88">
        <f t="shared" si="0"/>
        <v>1</v>
      </c>
      <c r="L33" s="38">
        <f t="shared" si="1"/>
        <v>3720</v>
      </c>
      <c r="M33" s="38">
        <f t="shared" si="6"/>
        <v>3720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3720</v>
      </c>
      <c r="U33" s="52">
        <f t="shared" si="7"/>
        <v>3720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1" t="s">
        <v>351</v>
      </c>
      <c r="C34" s="145" t="s">
        <v>226</v>
      </c>
      <c r="D34" s="139" t="s">
        <v>23</v>
      </c>
      <c r="E34" s="126">
        <v>6000</v>
      </c>
      <c r="F34" s="54">
        <v>1</v>
      </c>
      <c r="G34" s="15">
        <v>3720</v>
      </c>
      <c r="H34" s="38">
        <f t="shared" si="4"/>
        <v>2695.65</v>
      </c>
      <c r="I34" s="39">
        <f t="shared" si="5"/>
        <v>3720</v>
      </c>
      <c r="J34" s="151"/>
      <c r="K34" s="89">
        <f t="shared" si="0"/>
        <v>6</v>
      </c>
      <c r="L34" s="9">
        <f t="shared" si="1"/>
        <v>1500</v>
      </c>
      <c r="M34" s="9">
        <f t="shared" si="6"/>
        <v>9000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1500</v>
      </c>
      <c r="U34" s="14">
        <f t="shared" si="7"/>
        <v>9000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" t="s">
        <v>352</v>
      </c>
      <c r="C35" s="392" t="s">
        <v>353</v>
      </c>
      <c r="D35" s="393" t="s">
        <v>19</v>
      </c>
      <c r="E35" s="390">
        <v>6000</v>
      </c>
      <c r="F35" s="53">
        <v>6</v>
      </c>
      <c r="G35" s="8">
        <v>1500</v>
      </c>
      <c r="H35" s="9">
        <f t="shared" si="4"/>
        <v>1086.96</v>
      </c>
      <c r="I35" s="10">
        <f t="shared" si="5"/>
        <v>9000</v>
      </c>
      <c r="J35" s="151"/>
      <c r="K35" s="88">
        <f t="shared" si="0"/>
        <v>0</v>
      </c>
      <c r="L35" s="38">
        <f t="shared" si="1"/>
        <v>0</v>
      </c>
      <c r="M35" s="38">
        <f t="shared" si="6"/>
        <v>0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0</v>
      </c>
      <c r="U35" s="52">
        <f t="shared" si="7"/>
        <v>0</v>
      </c>
      <c r="V35" s="41">
        <f t="shared" si="8"/>
        <v>0</v>
      </c>
      <c r="W35" s="41">
        <f t="shared" si="9"/>
        <v>0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1"/>
      <c r="C36" s="145"/>
      <c r="D36" s="139"/>
      <c r="E36" s="126"/>
      <c r="F36" s="54"/>
      <c r="G36" s="15"/>
      <c r="H36" s="38">
        <f t="shared" si="4"/>
        <v>0</v>
      </c>
      <c r="I36" s="39">
        <f t="shared" si="5"/>
        <v>0</v>
      </c>
      <c r="J36" s="151"/>
      <c r="K36" s="89">
        <f t="shared" si="0"/>
        <v>2</v>
      </c>
      <c r="L36" s="9">
        <f t="shared" si="1"/>
        <v>425</v>
      </c>
      <c r="M36" s="9">
        <f t="shared" si="6"/>
        <v>850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425</v>
      </c>
      <c r="U36" s="14">
        <f t="shared" si="7"/>
        <v>850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" t="s">
        <v>354</v>
      </c>
      <c r="C37" s="392" t="s">
        <v>181</v>
      </c>
      <c r="D37" s="139" t="s">
        <v>49</v>
      </c>
      <c r="E37" s="390">
        <v>5000</v>
      </c>
      <c r="F37" s="53">
        <v>2</v>
      </c>
      <c r="G37" s="8">
        <v>425</v>
      </c>
      <c r="H37" s="9">
        <f t="shared" si="4"/>
        <v>307.97000000000003</v>
      </c>
      <c r="I37" s="10">
        <f t="shared" si="5"/>
        <v>850</v>
      </c>
      <c r="J37" s="151"/>
      <c r="K37" s="88">
        <f t="shared" ref="K37:K80" si="10">F38</f>
        <v>22</v>
      </c>
      <c r="L37" s="38">
        <f t="shared" ref="L37:L80" si="11">IFERROR(IF(N37="OEM DISC %",ROUND(IF($L$17=$G$18,G38*(1-O37),H38*(1-O37)),2),IF(N37="MARKUP %",ROUND(S37/K37*(1+O37),2))),0)</f>
        <v>3.95</v>
      </c>
      <c r="M37" s="38">
        <f t="shared" si="6"/>
        <v>86.9</v>
      </c>
      <c r="N37" s="128" t="s">
        <v>156</v>
      </c>
      <c r="O37" s="16"/>
      <c r="P37" s="51"/>
      <c r="Q37" s="1"/>
      <c r="R37" s="15"/>
      <c r="S37" s="40">
        <f t="shared" ref="S37:S80" si="12">ROUND(IF($S$17=$R$17,R37,IF($S$17="USD $",R37*$E$15,R37*$F$15))*F38,2)</f>
        <v>0</v>
      </c>
      <c r="T37" s="52">
        <f t="shared" ref="T37:T80" si="13">IFERROR(ROUND(U37/F38,2),0)</f>
        <v>3.95</v>
      </c>
      <c r="U37" s="52">
        <f t="shared" si="7"/>
        <v>86.9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1" t="s">
        <v>345</v>
      </c>
      <c r="C38" s="145" t="s">
        <v>182</v>
      </c>
      <c r="D38" s="139" t="s">
        <v>50</v>
      </c>
      <c r="E38" s="332" t="s">
        <v>176</v>
      </c>
      <c r="F38" s="54">
        <v>22</v>
      </c>
      <c r="G38" s="15">
        <v>3.95</v>
      </c>
      <c r="H38" s="38">
        <f>ROUND(IF($G$18="USD $", G38*$F$15,G38*$E$15),2)</f>
        <v>2.86</v>
      </c>
      <c r="I38" s="39">
        <f>ROUND(IF($I$18=$H$18,F38*H38,F38*G38),2)</f>
        <v>86.9</v>
      </c>
      <c r="J38" s="151"/>
      <c r="K38" s="89">
        <f t="shared" si="10"/>
        <v>22</v>
      </c>
      <c r="L38" s="9">
        <f t="shared" si="11"/>
        <v>2.5</v>
      </c>
      <c r="M38" s="9">
        <f t="shared" si="6"/>
        <v>55</v>
      </c>
      <c r="N38" s="8" t="s">
        <v>156</v>
      </c>
      <c r="O38" s="12"/>
      <c r="P38" s="51"/>
      <c r="Q38" s="3"/>
      <c r="R38" s="13"/>
      <c r="S38" s="14">
        <f t="shared" si="12"/>
        <v>0</v>
      </c>
      <c r="T38" s="14">
        <f t="shared" si="13"/>
        <v>2.5</v>
      </c>
      <c r="U38" s="14">
        <f t="shared" si="7"/>
        <v>55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" t="s">
        <v>355</v>
      </c>
      <c r="C39" s="392" t="s">
        <v>183</v>
      </c>
      <c r="D39" s="139" t="s">
        <v>50</v>
      </c>
      <c r="E39" s="390" t="s">
        <v>176</v>
      </c>
      <c r="F39" s="53">
        <v>22</v>
      </c>
      <c r="G39" s="8">
        <v>2.5</v>
      </c>
      <c r="H39" s="9">
        <f t="shared" si="4"/>
        <v>1.81</v>
      </c>
      <c r="I39" s="10">
        <f t="shared" si="5"/>
        <v>55</v>
      </c>
      <c r="J39" s="151"/>
      <c r="K39" s="88">
        <f t="shared" si="10"/>
        <v>2</v>
      </c>
      <c r="L39" s="38">
        <f t="shared" si="11"/>
        <v>2100</v>
      </c>
      <c r="M39" s="38">
        <f t="shared" si="6"/>
        <v>4200</v>
      </c>
      <c r="N39" s="128" t="s">
        <v>156</v>
      </c>
      <c r="O39" s="16"/>
      <c r="P39" s="51"/>
      <c r="Q39" s="1"/>
      <c r="R39" s="15"/>
      <c r="S39" s="40">
        <f t="shared" si="12"/>
        <v>0</v>
      </c>
      <c r="T39" s="52">
        <f t="shared" si="13"/>
        <v>2100</v>
      </c>
      <c r="U39" s="52">
        <f t="shared" si="7"/>
        <v>4200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1" t="s">
        <v>356</v>
      </c>
      <c r="C40" s="145" t="s">
        <v>357</v>
      </c>
      <c r="D40" s="139" t="s">
        <v>47</v>
      </c>
      <c r="E40" s="125">
        <v>5000</v>
      </c>
      <c r="F40" s="54">
        <v>2</v>
      </c>
      <c r="G40" s="15">
        <v>2100</v>
      </c>
      <c r="H40" s="38">
        <f t="shared" si="4"/>
        <v>1521.74</v>
      </c>
      <c r="I40" s="39">
        <f t="shared" si="5"/>
        <v>4200</v>
      </c>
      <c r="J40" s="151"/>
      <c r="K40" s="89">
        <f t="shared" si="10"/>
        <v>8</v>
      </c>
      <c r="L40" s="9">
        <f t="shared" si="11"/>
        <v>18.5</v>
      </c>
      <c r="M40" s="9">
        <f t="shared" si="6"/>
        <v>148</v>
      </c>
      <c r="N40" s="8" t="s">
        <v>156</v>
      </c>
      <c r="O40" s="12"/>
      <c r="P40" s="51"/>
      <c r="Q40" s="3"/>
      <c r="R40" s="13"/>
      <c r="S40" s="14">
        <f t="shared" si="12"/>
        <v>0</v>
      </c>
      <c r="T40" s="14">
        <f t="shared" si="13"/>
        <v>18.5</v>
      </c>
      <c r="U40" s="14">
        <f t="shared" si="7"/>
        <v>148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" t="s">
        <v>358</v>
      </c>
      <c r="C41" s="392" t="s">
        <v>185</v>
      </c>
      <c r="D41" s="139" t="s">
        <v>48</v>
      </c>
      <c r="E41" s="332" t="s">
        <v>176</v>
      </c>
      <c r="F41" s="53">
        <v>8</v>
      </c>
      <c r="G41" s="8">
        <v>18.5</v>
      </c>
      <c r="H41" s="9">
        <f t="shared" si="4"/>
        <v>13.41</v>
      </c>
      <c r="I41" s="10">
        <f t="shared" si="5"/>
        <v>148</v>
      </c>
      <c r="J41" s="151"/>
      <c r="K41" s="88">
        <f t="shared" si="10"/>
        <v>2</v>
      </c>
      <c r="L41" s="38">
        <f t="shared" si="11"/>
        <v>675</v>
      </c>
      <c r="M41" s="38">
        <f t="shared" si="6"/>
        <v>1350</v>
      </c>
      <c r="N41" s="128" t="s">
        <v>156</v>
      </c>
      <c r="O41" s="16"/>
      <c r="P41" s="51"/>
      <c r="Q41" s="1"/>
      <c r="R41" s="15"/>
      <c r="S41" s="40">
        <f t="shared" si="12"/>
        <v>0</v>
      </c>
      <c r="T41" s="52">
        <f t="shared" si="13"/>
        <v>675</v>
      </c>
      <c r="U41" s="52">
        <f t="shared" si="7"/>
        <v>1350</v>
      </c>
      <c r="V41" s="41">
        <f t="shared" si="8"/>
        <v>0</v>
      </c>
      <c r="W41" s="41">
        <f t="shared" si="9"/>
        <v>1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1" t="s">
        <v>359</v>
      </c>
      <c r="C42" s="145" t="s">
        <v>360</v>
      </c>
      <c r="D42" s="139" t="s">
        <v>43</v>
      </c>
      <c r="E42" s="125">
        <v>5000</v>
      </c>
      <c r="F42" s="54">
        <v>2</v>
      </c>
      <c r="G42" s="15">
        <v>675</v>
      </c>
      <c r="H42" s="38">
        <f t="shared" si="4"/>
        <v>489.13</v>
      </c>
      <c r="I42" s="39">
        <f t="shared" si="5"/>
        <v>1350</v>
      </c>
      <c r="J42" s="151"/>
      <c r="K42" s="89">
        <f t="shared" si="10"/>
        <v>18</v>
      </c>
      <c r="L42" s="9">
        <f t="shared" si="11"/>
        <v>660</v>
      </c>
      <c r="M42" s="9">
        <f t="shared" si="6"/>
        <v>11880</v>
      </c>
      <c r="N42" s="8" t="s">
        <v>156</v>
      </c>
      <c r="O42" s="12"/>
      <c r="P42" s="51"/>
      <c r="Q42" s="3"/>
      <c r="R42" s="13"/>
      <c r="S42" s="14">
        <f t="shared" si="12"/>
        <v>0</v>
      </c>
      <c r="T42" s="14">
        <f t="shared" si="13"/>
        <v>660</v>
      </c>
      <c r="U42" s="14">
        <f t="shared" si="7"/>
        <v>11880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ht="15.75" customHeight="1" x14ac:dyDescent="0.25">
      <c r="A43" s="55"/>
      <c r="B43" s="2" t="s">
        <v>361</v>
      </c>
      <c r="C43" s="145" t="s">
        <v>362</v>
      </c>
      <c r="D43" s="139" t="s">
        <v>43</v>
      </c>
      <c r="E43" s="390">
        <v>5000</v>
      </c>
      <c r="F43" s="53">
        <v>18</v>
      </c>
      <c r="G43" s="8">
        <v>660</v>
      </c>
      <c r="H43" s="9">
        <f t="shared" si="4"/>
        <v>478.26</v>
      </c>
      <c r="I43" s="10">
        <f t="shared" si="5"/>
        <v>11880</v>
      </c>
      <c r="J43" s="151"/>
      <c r="K43" s="88">
        <f t="shared" si="10"/>
        <v>0</v>
      </c>
      <c r="L43" s="38">
        <f t="shared" si="11"/>
        <v>0</v>
      </c>
      <c r="M43" s="38">
        <f t="shared" si="6"/>
        <v>0</v>
      </c>
      <c r="N43" s="128" t="s">
        <v>156</v>
      </c>
      <c r="O43" s="16"/>
      <c r="P43" s="51"/>
      <c r="Q43" s="1"/>
      <c r="R43" s="15"/>
      <c r="S43" s="40">
        <f t="shared" si="12"/>
        <v>0</v>
      </c>
      <c r="T43" s="52">
        <f t="shared" si="13"/>
        <v>0</v>
      </c>
      <c r="U43" s="52">
        <f t="shared" si="7"/>
        <v>0</v>
      </c>
      <c r="V43" s="41">
        <f t="shared" si="8"/>
        <v>0</v>
      </c>
      <c r="W43" s="41">
        <f t="shared" si="9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1"/>
      <c r="C44" s="144"/>
      <c r="D44" s="139"/>
      <c r="E44" s="332"/>
      <c r="F44" s="54"/>
      <c r="G44" s="15"/>
      <c r="H44" s="38">
        <f t="shared" si="4"/>
        <v>0</v>
      </c>
      <c r="I44" s="39">
        <f t="shared" si="5"/>
        <v>0</v>
      </c>
      <c r="J44" s="151"/>
      <c r="K44" s="89">
        <f t="shared" si="10"/>
        <v>1</v>
      </c>
      <c r="L44" s="9">
        <f t="shared" si="11"/>
        <v>8000</v>
      </c>
      <c r="M44" s="9">
        <f t="shared" si="6"/>
        <v>8000</v>
      </c>
      <c r="N44" s="8" t="s">
        <v>156</v>
      </c>
      <c r="O44" s="12"/>
      <c r="P44" s="51"/>
      <c r="Q44" s="3"/>
      <c r="R44" s="13"/>
      <c r="S44" s="14">
        <f t="shared" si="12"/>
        <v>0</v>
      </c>
      <c r="T44" s="14">
        <f t="shared" si="13"/>
        <v>8000</v>
      </c>
      <c r="U44" s="14">
        <f t="shared" si="7"/>
        <v>8000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" t="s">
        <v>363</v>
      </c>
      <c r="C45" s="145" t="s">
        <v>190</v>
      </c>
      <c r="D45" s="139" t="s">
        <v>51</v>
      </c>
      <c r="E45" s="390">
        <v>5000</v>
      </c>
      <c r="F45" s="53">
        <v>1</v>
      </c>
      <c r="G45" s="8">
        <v>8000</v>
      </c>
      <c r="H45" s="9">
        <f t="shared" si="4"/>
        <v>5797.1</v>
      </c>
      <c r="I45" s="10">
        <f t="shared" si="5"/>
        <v>8000</v>
      </c>
      <c r="J45" s="151"/>
      <c r="K45" s="88">
        <f t="shared" si="10"/>
        <v>100</v>
      </c>
      <c r="L45" s="38">
        <f t="shared" si="11"/>
        <v>100</v>
      </c>
      <c r="M45" s="38">
        <f t="shared" si="6"/>
        <v>10000</v>
      </c>
      <c r="N45" s="128" t="s">
        <v>156</v>
      </c>
      <c r="O45" s="16"/>
      <c r="P45" s="51"/>
      <c r="Q45" s="1"/>
      <c r="R45" s="15"/>
      <c r="S45" s="40">
        <f t="shared" si="12"/>
        <v>0</v>
      </c>
      <c r="T45" s="52">
        <f t="shared" si="13"/>
        <v>100</v>
      </c>
      <c r="U45" s="52">
        <f t="shared" si="7"/>
        <v>10000</v>
      </c>
      <c r="V45" s="41">
        <f t="shared" si="8"/>
        <v>0</v>
      </c>
      <c r="W45" s="41">
        <f t="shared" si="9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1" t="s">
        <v>364</v>
      </c>
      <c r="C46" s="144" t="s">
        <v>192</v>
      </c>
      <c r="D46" s="139" t="s">
        <v>52</v>
      </c>
      <c r="E46" s="125" t="s">
        <v>176</v>
      </c>
      <c r="F46" s="54">
        <v>100</v>
      </c>
      <c r="G46" s="15">
        <v>100</v>
      </c>
      <c r="H46" s="38">
        <f t="shared" si="4"/>
        <v>72.459999999999994</v>
      </c>
      <c r="I46" s="39">
        <f t="shared" si="5"/>
        <v>10000</v>
      </c>
      <c r="J46" s="151"/>
      <c r="K46" s="89">
        <f t="shared" si="10"/>
        <v>400</v>
      </c>
      <c r="L46" s="9">
        <f t="shared" si="11"/>
        <v>18.5</v>
      </c>
      <c r="M46" s="9">
        <f t="shared" si="6"/>
        <v>7400</v>
      </c>
      <c r="N46" s="8" t="s">
        <v>156</v>
      </c>
      <c r="O46" s="12"/>
      <c r="P46" s="51"/>
      <c r="Q46" s="3"/>
      <c r="R46" s="13"/>
      <c r="S46" s="14">
        <f t="shared" si="12"/>
        <v>0</v>
      </c>
      <c r="T46" s="14">
        <f t="shared" si="13"/>
        <v>18.5</v>
      </c>
      <c r="U46" s="14">
        <f t="shared" si="7"/>
        <v>7400</v>
      </c>
      <c r="V46" s="29">
        <f t="shared" si="8"/>
        <v>0</v>
      </c>
      <c r="W46" s="29">
        <f t="shared" si="9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" t="s">
        <v>365</v>
      </c>
      <c r="C47" s="392" t="s">
        <v>194</v>
      </c>
      <c r="D47" s="139" t="s">
        <v>52</v>
      </c>
      <c r="E47" s="390" t="s">
        <v>176</v>
      </c>
      <c r="F47" s="53">
        <v>400</v>
      </c>
      <c r="G47" s="8">
        <v>18.5</v>
      </c>
      <c r="H47" s="9">
        <f t="shared" si="4"/>
        <v>13.41</v>
      </c>
      <c r="I47" s="10">
        <f t="shared" si="5"/>
        <v>7400</v>
      </c>
      <c r="J47" s="151"/>
      <c r="K47" s="88">
        <f t="shared" si="10"/>
        <v>400</v>
      </c>
      <c r="L47" s="38">
        <f t="shared" si="11"/>
        <v>8.9</v>
      </c>
      <c r="M47" s="38">
        <f t="shared" si="6"/>
        <v>3560</v>
      </c>
      <c r="N47" s="128" t="s">
        <v>156</v>
      </c>
      <c r="O47" s="16"/>
      <c r="P47" s="51"/>
      <c r="Q47" s="1"/>
      <c r="R47" s="15"/>
      <c r="S47" s="40">
        <f t="shared" si="12"/>
        <v>0</v>
      </c>
      <c r="T47" s="52">
        <f t="shared" si="13"/>
        <v>8.9</v>
      </c>
      <c r="U47" s="52">
        <f t="shared" si="7"/>
        <v>3560</v>
      </c>
      <c r="V47" s="41">
        <f t="shared" si="8"/>
        <v>0</v>
      </c>
      <c r="W47" s="41">
        <f t="shared" si="9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1" t="s">
        <v>366</v>
      </c>
      <c r="C48" s="145" t="s">
        <v>195</v>
      </c>
      <c r="D48" s="139" t="s">
        <v>52</v>
      </c>
      <c r="E48" s="126" t="s">
        <v>176</v>
      </c>
      <c r="F48" s="54">
        <v>400</v>
      </c>
      <c r="G48" s="15">
        <v>8.9</v>
      </c>
      <c r="H48" s="38">
        <f t="shared" si="4"/>
        <v>6.45</v>
      </c>
      <c r="I48" s="39">
        <f t="shared" si="5"/>
        <v>3560</v>
      </c>
      <c r="J48" s="151"/>
      <c r="K48" s="89">
        <f t="shared" si="10"/>
        <v>0</v>
      </c>
      <c r="L48" s="9">
        <f t="shared" si="11"/>
        <v>0</v>
      </c>
      <c r="M48" s="9">
        <f t="shared" si="6"/>
        <v>0</v>
      </c>
      <c r="N48" s="8" t="s">
        <v>156</v>
      </c>
      <c r="O48" s="12"/>
      <c r="P48" s="51"/>
      <c r="Q48" s="3"/>
      <c r="R48" s="13"/>
      <c r="S48" s="14">
        <f t="shared" si="12"/>
        <v>0</v>
      </c>
      <c r="T48" s="14">
        <f t="shared" si="13"/>
        <v>0</v>
      </c>
      <c r="U48" s="14">
        <f t="shared" si="7"/>
        <v>0</v>
      </c>
      <c r="V48" s="29">
        <f t="shared" si="8"/>
        <v>0</v>
      </c>
      <c r="W48" s="29">
        <f t="shared" si="9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"/>
      <c r="C49" s="392"/>
      <c r="D49" s="139"/>
      <c r="E49" s="332"/>
      <c r="F49" s="53"/>
      <c r="G49" s="8"/>
      <c r="H49" s="9">
        <f t="shared" si="4"/>
        <v>0</v>
      </c>
      <c r="I49" s="10">
        <f t="shared" si="5"/>
        <v>0</v>
      </c>
      <c r="J49" s="151"/>
      <c r="K49" s="88">
        <f t="shared" si="10"/>
        <v>1</v>
      </c>
      <c r="L49" s="38">
        <f t="shared" si="11"/>
        <v>1100</v>
      </c>
      <c r="M49" s="38">
        <f t="shared" si="6"/>
        <v>1100</v>
      </c>
      <c r="N49" s="128" t="s">
        <v>156</v>
      </c>
      <c r="O49" s="16"/>
      <c r="P49" s="51"/>
      <c r="Q49" s="1"/>
      <c r="R49" s="15"/>
      <c r="S49" s="40">
        <f t="shared" si="12"/>
        <v>0</v>
      </c>
      <c r="T49" s="52">
        <f t="shared" si="13"/>
        <v>1100</v>
      </c>
      <c r="U49" s="52">
        <f t="shared" si="7"/>
        <v>1100</v>
      </c>
      <c r="V49" s="41">
        <f t="shared" si="8"/>
        <v>0</v>
      </c>
      <c r="W49" s="41">
        <f t="shared" si="9"/>
        <v>1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1" t="s">
        <v>367</v>
      </c>
      <c r="C50" s="145" t="s">
        <v>197</v>
      </c>
      <c r="D50" s="139" t="s">
        <v>22</v>
      </c>
      <c r="E50" s="125" t="s">
        <v>176</v>
      </c>
      <c r="F50" s="54">
        <v>1</v>
      </c>
      <c r="G50" s="15">
        <v>1100</v>
      </c>
      <c r="H50" s="38">
        <f t="shared" si="4"/>
        <v>797.1</v>
      </c>
      <c r="I50" s="39">
        <f t="shared" si="5"/>
        <v>1100</v>
      </c>
      <c r="J50" s="151"/>
      <c r="K50" s="89">
        <f t="shared" si="10"/>
        <v>1</v>
      </c>
      <c r="L50" s="9">
        <f t="shared" si="11"/>
        <v>880</v>
      </c>
      <c r="M50" s="9">
        <f t="shared" si="6"/>
        <v>880</v>
      </c>
      <c r="N50" s="8" t="s">
        <v>156</v>
      </c>
      <c r="O50" s="12"/>
      <c r="P50" s="51"/>
      <c r="Q50" s="3"/>
      <c r="R50" s="13"/>
      <c r="S50" s="14">
        <f t="shared" si="12"/>
        <v>0</v>
      </c>
      <c r="T50" s="14">
        <f t="shared" si="13"/>
        <v>880</v>
      </c>
      <c r="U50" s="14">
        <f t="shared" si="7"/>
        <v>880</v>
      </c>
      <c r="V50" s="29">
        <f t="shared" si="8"/>
        <v>0</v>
      </c>
      <c r="W50" s="29">
        <f t="shared" si="9"/>
        <v>1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2" t="s">
        <v>368</v>
      </c>
      <c r="C51" s="392" t="s">
        <v>198</v>
      </c>
      <c r="D51" s="139" t="s">
        <v>199</v>
      </c>
      <c r="E51" s="390" t="s">
        <v>176</v>
      </c>
      <c r="F51" s="53">
        <v>1</v>
      </c>
      <c r="G51" s="8">
        <v>880</v>
      </c>
      <c r="H51" s="9">
        <f t="shared" si="4"/>
        <v>637.67999999999995</v>
      </c>
      <c r="I51" s="10">
        <f t="shared" si="5"/>
        <v>880</v>
      </c>
      <c r="J51" s="151"/>
      <c r="K51" s="88">
        <f t="shared" si="10"/>
        <v>1</v>
      </c>
      <c r="L51" s="38">
        <f t="shared" si="11"/>
        <v>2100</v>
      </c>
      <c r="M51" s="38">
        <f t="shared" si="6"/>
        <v>2100</v>
      </c>
      <c r="N51" s="128" t="s">
        <v>156</v>
      </c>
      <c r="O51" s="16"/>
      <c r="P51" s="51"/>
      <c r="Q51" s="1"/>
      <c r="R51" s="15"/>
      <c r="S51" s="40">
        <f t="shared" si="12"/>
        <v>0</v>
      </c>
      <c r="T51" s="52">
        <f t="shared" si="13"/>
        <v>2100</v>
      </c>
      <c r="U51" s="52">
        <f t="shared" si="7"/>
        <v>2100</v>
      </c>
      <c r="V51" s="41">
        <f t="shared" si="8"/>
        <v>0</v>
      </c>
      <c r="W51" s="41">
        <f t="shared" si="9"/>
        <v>1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1" t="s">
        <v>369</v>
      </c>
      <c r="C52" s="145" t="s">
        <v>200</v>
      </c>
      <c r="D52" s="139" t="s">
        <v>18</v>
      </c>
      <c r="E52" s="125" t="s">
        <v>176</v>
      </c>
      <c r="F52" s="54">
        <v>1</v>
      </c>
      <c r="G52" s="15">
        <v>2100</v>
      </c>
      <c r="H52" s="38">
        <f t="shared" si="4"/>
        <v>1521.74</v>
      </c>
      <c r="I52" s="39">
        <f t="shared" si="5"/>
        <v>2100</v>
      </c>
      <c r="J52" s="151"/>
      <c r="K52" s="89">
        <f t="shared" si="10"/>
        <v>1</v>
      </c>
      <c r="L52" s="9">
        <f t="shared" si="11"/>
        <v>750</v>
      </c>
      <c r="M52" s="9">
        <f t="shared" si="6"/>
        <v>750</v>
      </c>
      <c r="N52" s="8" t="s">
        <v>156</v>
      </c>
      <c r="O52" s="12"/>
      <c r="P52" s="51"/>
      <c r="Q52" s="3"/>
      <c r="R52" s="13"/>
      <c r="S52" s="14">
        <f t="shared" si="12"/>
        <v>0</v>
      </c>
      <c r="T52" s="14">
        <f t="shared" si="13"/>
        <v>750</v>
      </c>
      <c r="U52" s="14">
        <f t="shared" si="7"/>
        <v>750</v>
      </c>
      <c r="V52" s="29">
        <f t="shared" si="8"/>
        <v>0</v>
      </c>
      <c r="W52" s="29">
        <f t="shared" si="9"/>
        <v>1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2" t="s">
        <v>370</v>
      </c>
      <c r="C53" s="394" t="s">
        <v>201</v>
      </c>
      <c r="D53" s="139" t="s">
        <v>13</v>
      </c>
      <c r="E53" s="390" t="s">
        <v>176</v>
      </c>
      <c r="F53" s="53">
        <v>1</v>
      </c>
      <c r="G53" s="8">
        <v>750</v>
      </c>
      <c r="H53" s="9">
        <f t="shared" si="4"/>
        <v>543.48</v>
      </c>
      <c r="I53" s="10">
        <f t="shared" si="5"/>
        <v>750</v>
      </c>
      <c r="J53" s="151"/>
      <c r="K53" s="88">
        <f t="shared" si="10"/>
        <v>0</v>
      </c>
      <c r="L53" s="38">
        <f t="shared" si="1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12"/>
        <v>0</v>
      </c>
      <c r="T53" s="52">
        <f t="shared" si="1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1"/>
      <c r="C54" s="6"/>
      <c r="D54" s="139"/>
      <c r="E54" s="126"/>
      <c r="F54" s="54"/>
      <c r="G54" s="15"/>
      <c r="H54" s="38">
        <f t="shared" si="4"/>
        <v>0</v>
      </c>
      <c r="I54" s="39">
        <f t="shared" si="5"/>
        <v>0</v>
      </c>
      <c r="J54" s="151"/>
      <c r="K54" s="89">
        <f t="shared" si="10"/>
        <v>0</v>
      </c>
      <c r="L54" s="9">
        <f t="shared" si="1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12"/>
        <v>0</v>
      </c>
      <c r="T54" s="14">
        <f t="shared" si="1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2"/>
      <c r="C55" s="394"/>
      <c r="D55" s="139"/>
      <c r="E55" s="125"/>
      <c r="F55" s="53"/>
      <c r="G55" s="8"/>
      <c r="H55" s="9">
        <f t="shared" si="4"/>
        <v>0</v>
      </c>
      <c r="I55" s="10">
        <f t="shared" si="5"/>
        <v>0</v>
      </c>
      <c r="J55" s="151"/>
      <c r="K55" s="88">
        <f t="shared" si="10"/>
        <v>0</v>
      </c>
      <c r="L55" s="38">
        <f t="shared" si="1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12"/>
        <v>0</v>
      </c>
      <c r="T55" s="52">
        <f t="shared" si="1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1"/>
      <c r="C56" s="6"/>
      <c r="D56" s="139"/>
      <c r="E56" s="126"/>
      <c r="F56" s="54"/>
      <c r="G56" s="15"/>
      <c r="H56" s="38">
        <f t="shared" si="4"/>
        <v>0</v>
      </c>
      <c r="I56" s="39">
        <f t="shared" si="5"/>
        <v>0</v>
      </c>
      <c r="J56" s="151"/>
      <c r="K56" s="89">
        <f t="shared" si="10"/>
        <v>0</v>
      </c>
      <c r="L56" s="9">
        <f t="shared" si="1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12"/>
        <v>0</v>
      </c>
      <c r="T56" s="14">
        <f t="shared" si="1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2"/>
      <c r="C57" s="402"/>
      <c r="D57" s="139"/>
      <c r="E57" s="125"/>
      <c r="F57" s="53"/>
      <c r="G57" s="8"/>
      <c r="H57" s="9">
        <f t="shared" si="4"/>
        <v>0</v>
      </c>
      <c r="I57" s="10">
        <f t="shared" si="5"/>
        <v>0</v>
      </c>
      <c r="J57" s="151"/>
      <c r="K57" s="88">
        <f t="shared" si="10"/>
        <v>0</v>
      </c>
      <c r="L57" s="38">
        <f t="shared" si="1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12"/>
        <v>0</v>
      </c>
      <c r="T57" s="52">
        <f t="shared" si="1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1"/>
      <c r="C58" s="6"/>
      <c r="D58" s="139"/>
      <c r="E58" s="126"/>
      <c r="F58" s="54"/>
      <c r="G58" s="15"/>
      <c r="H58" s="38">
        <f t="shared" si="4"/>
        <v>0</v>
      </c>
      <c r="I58" s="39">
        <f t="shared" si="5"/>
        <v>0</v>
      </c>
      <c r="J58" s="151"/>
      <c r="K58" s="89">
        <f t="shared" si="10"/>
        <v>0</v>
      </c>
      <c r="L58" s="9">
        <f t="shared" si="1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12"/>
        <v>0</v>
      </c>
      <c r="T58" s="14">
        <f t="shared" si="1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2"/>
      <c r="C59" s="394"/>
      <c r="D59" s="139"/>
      <c r="E59" s="125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10"/>
        <v>0</v>
      </c>
      <c r="L59" s="38">
        <f t="shared" si="1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12"/>
        <v>0</v>
      </c>
      <c r="T59" s="52">
        <f t="shared" si="1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1"/>
      <c r="C60" s="6"/>
      <c r="D60" s="139"/>
      <c r="E60" s="126"/>
      <c r="F60" s="54"/>
      <c r="G60" s="15"/>
      <c r="H60" s="38">
        <f t="shared" si="4"/>
        <v>0</v>
      </c>
      <c r="I60" s="39">
        <f t="shared" si="5"/>
        <v>0</v>
      </c>
      <c r="J60" s="151"/>
      <c r="K60" s="89">
        <f t="shared" si="10"/>
        <v>0</v>
      </c>
      <c r="L60" s="9">
        <f t="shared" si="1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12"/>
        <v>0</v>
      </c>
      <c r="T60" s="14">
        <f t="shared" si="1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2"/>
      <c r="C61" s="394"/>
      <c r="D61" s="139"/>
      <c r="E61" s="125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10"/>
        <v>0</v>
      </c>
      <c r="L61" s="38">
        <f t="shared" si="1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12"/>
        <v>0</v>
      </c>
      <c r="T61" s="52">
        <f t="shared" si="1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1"/>
      <c r="C62" s="6"/>
      <c r="D62" s="139"/>
      <c r="E62" s="126"/>
      <c r="F62" s="54"/>
      <c r="G62" s="15"/>
      <c r="H62" s="38">
        <f t="shared" si="4"/>
        <v>0</v>
      </c>
      <c r="I62" s="39">
        <f t="shared" si="5"/>
        <v>0</v>
      </c>
      <c r="J62" s="151"/>
      <c r="K62" s="89">
        <f t="shared" si="10"/>
        <v>0</v>
      </c>
      <c r="L62" s="9">
        <f t="shared" si="1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12"/>
        <v>0</v>
      </c>
      <c r="T62" s="14">
        <f t="shared" si="1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2"/>
      <c r="C63" s="394"/>
      <c r="D63" s="139"/>
      <c r="E63" s="125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10"/>
        <v>0</v>
      </c>
      <c r="L63" s="38">
        <f t="shared" si="1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12"/>
        <v>0</v>
      </c>
      <c r="T63" s="52">
        <f t="shared" si="1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1"/>
      <c r="C64" s="4"/>
      <c r="D64" s="139"/>
      <c r="E64" s="125"/>
      <c r="F64" s="54"/>
      <c r="G64" s="15"/>
      <c r="H64" s="38">
        <f t="shared" si="4"/>
        <v>0</v>
      </c>
      <c r="I64" s="39">
        <f t="shared" si="5"/>
        <v>0</v>
      </c>
      <c r="J64" s="151"/>
      <c r="K64" s="89">
        <f t="shared" si="10"/>
        <v>0</v>
      </c>
      <c r="L64" s="9">
        <f t="shared" si="1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12"/>
        <v>0</v>
      </c>
      <c r="T64" s="14">
        <f t="shared" si="1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10"/>
        <v>0</v>
      </c>
      <c r="L65" s="38">
        <f t="shared" si="1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12"/>
        <v>0</v>
      </c>
      <c r="T65" s="52">
        <f t="shared" si="1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39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10"/>
        <v>0</v>
      </c>
      <c r="L66" s="9">
        <f t="shared" si="1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12"/>
        <v>0</v>
      </c>
      <c r="T66" s="14">
        <f t="shared" si="1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10"/>
        <v>0</v>
      </c>
      <c r="L67" s="38">
        <f t="shared" si="1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12"/>
        <v>0</v>
      </c>
      <c r="T67" s="52">
        <f t="shared" si="1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39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10"/>
        <v>0</v>
      </c>
      <c r="L68" s="9">
        <f t="shared" si="1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12"/>
        <v>0</v>
      </c>
      <c r="T68" s="14">
        <f t="shared" si="1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10"/>
        <v>0</v>
      </c>
      <c r="L69" s="38">
        <f t="shared" si="1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12"/>
        <v>0</v>
      </c>
      <c r="T69" s="52">
        <f t="shared" si="1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39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10"/>
        <v>0</v>
      </c>
      <c r="L70" s="9">
        <f t="shared" si="1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12"/>
        <v>0</v>
      </c>
      <c r="T70" s="14">
        <f t="shared" si="1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10"/>
        <v>0</v>
      </c>
      <c r="L71" s="38">
        <f t="shared" si="1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12"/>
        <v>0</v>
      </c>
      <c r="T71" s="52">
        <f t="shared" si="1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39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10"/>
        <v>0</v>
      </c>
      <c r="L72" s="9">
        <f t="shared" si="1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12"/>
        <v>0</v>
      </c>
      <c r="T72" s="14">
        <f t="shared" si="1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10"/>
        <v>0</v>
      </c>
      <c r="L73" s="38">
        <f t="shared" si="1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12"/>
        <v>0</v>
      </c>
      <c r="T73" s="52">
        <f t="shared" si="1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39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10"/>
        <v>0</v>
      </c>
      <c r="L74" s="9">
        <f t="shared" si="1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12"/>
        <v>0</v>
      </c>
      <c r="T74" s="14">
        <f t="shared" si="1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10"/>
        <v>0</v>
      </c>
      <c r="L75" s="38">
        <f t="shared" si="1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12"/>
        <v>0</v>
      </c>
      <c r="T75" s="52">
        <f t="shared" si="1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10"/>
        <v>0</v>
      </c>
      <c r="L76" s="9">
        <f t="shared" si="1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12"/>
        <v>0</v>
      </c>
      <c r="T76" s="14">
        <f t="shared" si="1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10"/>
        <v>0</v>
      </c>
      <c r="L77" s="38">
        <f t="shared" si="1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12"/>
        <v>0</v>
      </c>
      <c r="T77" s="52">
        <f t="shared" si="1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10"/>
        <v>0</v>
      </c>
      <c r="L78" s="9">
        <f t="shared" si="1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12"/>
        <v>0</v>
      </c>
      <c r="T78" s="14">
        <f t="shared" si="1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10"/>
        <v>0</v>
      </c>
      <c r="L79" s="38">
        <f t="shared" si="1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12"/>
        <v>0</v>
      </c>
      <c r="T79" s="52">
        <f t="shared" si="1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10"/>
        <v>0</v>
      </c>
      <c r="L80" s="9">
        <f t="shared" si="1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12"/>
        <v>0</v>
      </c>
      <c r="T80" s="14">
        <f t="shared" si="1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1001</v>
      </c>
      <c r="L81" s="79">
        <f>SUM(L18:L80)</f>
        <v>54817.26</v>
      </c>
      <c r="M81" s="80">
        <f>SUM(M18:M80)</f>
        <v>98449.05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54817.26</v>
      </c>
      <c r="U81" s="80">
        <f>SUM(U18:U80)</f>
        <v>98449.05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1001</v>
      </c>
      <c r="G82" s="78">
        <f>SUM(G19:G81)</f>
        <v>54817.26</v>
      </c>
      <c r="H82" s="79">
        <f>SUM(H19:H81)</f>
        <v>39722.670000000006</v>
      </c>
      <c r="I82" s="80">
        <f>SUM(I19:I81)</f>
        <v>98449.05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67" priority="3" stopIfTrue="1">
      <formula>$V$9&gt;100%</formula>
    </cfRule>
    <cfRule type="expression" dxfId="66" priority="4">
      <formula>$V$9&lt;50%</formula>
    </cfRule>
  </conditionalFormatting>
  <conditionalFormatting sqref="W9:W10">
    <cfRule type="expression" dxfId="65" priority="1">
      <formula>$W$9&lt;50%</formula>
    </cfRule>
    <cfRule type="expression" dxfId="64" priority="2">
      <formula>$W$9&gt;50%</formula>
    </cfRule>
  </conditionalFormatting>
  <dataValidations count="6">
    <dataValidation type="list" allowBlank="1" showInputMessage="1" showErrorMessage="1" sqref="G2" xr:uid="{AD7F3080-D38B-4AEF-A58F-74550ED48DDC}">
      <formula1>$Z$34:$Z$48</formula1>
    </dataValidation>
    <dataValidation type="list" allowBlank="1" showInputMessage="1" showErrorMessage="1" sqref="N18:N80" xr:uid="{CA51E690-57A4-4926-8B72-07CD5BA148F2}">
      <formula1>$Z$31:$Z$32</formula1>
    </dataValidation>
    <dataValidation type="list" showInputMessage="1" showErrorMessage="1" sqref="E50:E81 E26:E37 E20:E23 E42:E43 E39:E40 E45:E48" xr:uid="{0C85850F-6CB0-494C-986B-42E454E82319}">
      <formula1>$AA$18:$AA$29</formula1>
    </dataValidation>
    <dataValidation type="list" allowBlank="1" showInputMessage="1" showErrorMessage="1" sqref="J13" xr:uid="{5046C533-686A-4785-B71F-1D5B4E0D1344}">
      <formula1>$L$9:$L$9</formula1>
    </dataValidation>
    <dataValidation type="list" allowBlank="1" showInputMessage="1" showErrorMessage="1" sqref="I13" xr:uid="{619D0D21-3D55-4020-9D75-1E9FEB5E293B}">
      <formula1>$Z$13:$Z$14</formula1>
    </dataValidation>
    <dataValidation type="list" allowBlank="1" showInputMessage="1" showErrorMessage="1" sqref="G18 R14 R17 L17" xr:uid="{9808595D-3D36-4D06-9928-E8892455D65F}">
      <formula1>$Z$11:$Z$12</formula1>
    </dataValidation>
  </dataValidations>
  <printOptions verticalCentered="1"/>
  <pageMargins left="0.2" right="0.2" top="0.25" bottom="0.25" header="0.05" footer="0.05"/>
  <pageSetup scale="3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48465E-6C4A-41AD-ACCA-0BF027E041BC}">
          <x14:formula1>
            <xm:f>'Product Type'!$A$1:$A$55</xm:f>
          </x14:formula1>
          <xm:sqref>D19:D74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CB35-A304-42F9-9258-560BE5269138}">
  <sheetPr>
    <pageSetUpPr fitToPage="1"/>
  </sheetPr>
  <dimension ref="A1:AC83"/>
  <sheetViews>
    <sheetView zoomScale="85" zoomScaleNormal="85" workbookViewId="0">
      <selection activeCell="G3" sqref="G3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5.57031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196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3031.08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371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3031.08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372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thickBot="1" x14ac:dyDescent="0.3">
      <c r="A5" s="167"/>
      <c r="B5" s="185" t="s">
        <v>89</v>
      </c>
      <c r="C5" s="181"/>
      <c r="D5" s="181"/>
      <c r="E5" s="556" t="s">
        <v>90</v>
      </c>
      <c r="F5" s="557"/>
      <c r="G5" s="174"/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3031.08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397">
        <v>300106825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3031.08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thickBot="1" x14ac:dyDescent="0.3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11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49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>
        <v>70001403</v>
      </c>
      <c r="C19" s="181" t="s">
        <v>210</v>
      </c>
      <c r="D19" s="271" t="s">
        <v>29</v>
      </c>
      <c r="E19" s="287">
        <v>375</v>
      </c>
      <c r="F19" s="288">
        <v>1</v>
      </c>
      <c r="G19" s="181">
        <v>23.56</v>
      </c>
      <c r="H19" s="277">
        <f t="shared" si="0"/>
        <v>17.07</v>
      </c>
      <c r="I19" s="289">
        <f t="shared" si="1"/>
        <v>17.07</v>
      </c>
      <c r="J19" s="323"/>
      <c r="K19" s="276">
        <f t="shared" si="2"/>
        <v>1</v>
      </c>
      <c r="L19" s="277">
        <f t="shared" si="3"/>
        <v>17.07</v>
      </c>
      <c r="M19" s="277">
        <f t="shared" si="4"/>
        <v>17.07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17.07</v>
      </c>
      <c r="U19" s="283">
        <f t="shared" si="7"/>
        <v>17.07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>
        <v>70003791</v>
      </c>
      <c r="C20" s="295" t="s">
        <v>211</v>
      </c>
      <c r="D20" s="271" t="s">
        <v>28</v>
      </c>
      <c r="E20" s="293">
        <v>375</v>
      </c>
      <c r="F20" s="273">
        <v>1</v>
      </c>
      <c r="G20" s="295">
        <v>54.25</v>
      </c>
      <c r="H20" s="258">
        <f t="shared" si="0"/>
        <v>39.31</v>
      </c>
      <c r="I20" s="274">
        <f t="shared" si="1"/>
        <v>39.31</v>
      </c>
      <c r="J20" s="323"/>
      <c r="K20" s="257">
        <f t="shared" si="2"/>
        <v>1</v>
      </c>
      <c r="L20" s="258">
        <f t="shared" si="3"/>
        <v>39.31</v>
      </c>
      <c r="M20" s="258">
        <f t="shared" si="4"/>
        <v>39.31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39.31</v>
      </c>
      <c r="U20" s="264">
        <f t="shared" si="7"/>
        <v>39.31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>
        <v>70001960</v>
      </c>
      <c r="C21" s="181" t="s">
        <v>213</v>
      </c>
      <c r="D21" s="271" t="s">
        <v>30</v>
      </c>
      <c r="E21" s="287">
        <v>500</v>
      </c>
      <c r="F21" s="288">
        <v>1</v>
      </c>
      <c r="G21" s="181">
        <v>45.65</v>
      </c>
      <c r="H21" s="277">
        <f t="shared" si="0"/>
        <v>33.08</v>
      </c>
      <c r="I21" s="289">
        <f t="shared" si="1"/>
        <v>33.08</v>
      </c>
      <c r="J21" s="323"/>
      <c r="K21" s="276">
        <f t="shared" si="2"/>
        <v>1</v>
      </c>
      <c r="L21" s="277">
        <f t="shared" si="3"/>
        <v>33.08</v>
      </c>
      <c r="M21" s="277">
        <f t="shared" si="4"/>
        <v>33.08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33.08</v>
      </c>
      <c r="U21" s="283">
        <f t="shared" si="7"/>
        <v>33.08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>
        <v>2120210</v>
      </c>
      <c r="C22" s="295" t="s">
        <v>214</v>
      </c>
      <c r="D22" s="271" t="s">
        <v>27</v>
      </c>
      <c r="E22" s="293">
        <v>500</v>
      </c>
      <c r="F22" s="273">
        <v>1</v>
      </c>
      <c r="G22" s="295">
        <v>46.69</v>
      </c>
      <c r="H22" s="258">
        <f t="shared" si="0"/>
        <v>33.83</v>
      </c>
      <c r="I22" s="274">
        <f t="shared" si="1"/>
        <v>33.83</v>
      </c>
      <c r="J22" s="323"/>
      <c r="K22" s="257">
        <f t="shared" si="2"/>
        <v>1</v>
      </c>
      <c r="L22" s="258">
        <f t="shared" si="3"/>
        <v>33.83</v>
      </c>
      <c r="M22" s="258">
        <f t="shared" si="4"/>
        <v>33.83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33.83</v>
      </c>
      <c r="U22" s="264">
        <f t="shared" si="7"/>
        <v>33.83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>
        <v>7012664</v>
      </c>
      <c r="C23" s="181" t="s">
        <v>373</v>
      </c>
      <c r="D23" s="271" t="s">
        <v>25</v>
      </c>
      <c r="E23" s="287">
        <v>500</v>
      </c>
      <c r="F23" s="288">
        <v>1</v>
      </c>
      <c r="G23" s="181">
        <v>54.14</v>
      </c>
      <c r="H23" s="277">
        <f t="shared" si="0"/>
        <v>39.229999999999997</v>
      </c>
      <c r="I23" s="289">
        <f t="shared" si="1"/>
        <v>39.229999999999997</v>
      </c>
      <c r="J23" s="323"/>
      <c r="K23" s="276">
        <f t="shared" si="2"/>
        <v>1</v>
      </c>
      <c r="L23" s="277">
        <f t="shared" si="3"/>
        <v>39.229999999999997</v>
      </c>
      <c r="M23" s="277">
        <f t="shared" si="4"/>
        <v>39.229999999999997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39.229999999999997</v>
      </c>
      <c r="U23" s="283">
        <f t="shared" si="7"/>
        <v>39.229999999999997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396"/>
      <c r="C24" s="295"/>
      <c r="D24" s="271"/>
      <c r="E24" s="293"/>
      <c r="F24" s="273"/>
      <c r="G24" s="295"/>
      <c r="H24" s="258">
        <f t="shared" si="0"/>
        <v>0</v>
      </c>
      <c r="I24" s="274">
        <f t="shared" si="1"/>
        <v>0</v>
      </c>
      <c r="J24" s="323"/>
      <c r="K24" s="257">
        <f t="shared" si="2"/>
        <v>0</v>
      </c>
      <c r="L24" s="258">
        <f t="shared" si="3"/>
        <v>0</v>
      </c>
      <c r="M24" s="258">
        <f t="shared" si="4"/>
        <v>0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0</v>
      </c>
      <c r="U24" s="264">
        <f t="shared" si="7"/>
        <v>0</v>
      </c>
      <c r="V24" s="265">
        <f t="shared" si="8"/>
        <v>0</v>
      </c>
      <c r="W24" s="265">
        <f t="shared" si="9"/>
        <v>0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/>
      <c r="C25" s="181" t="s">
        <v>374</v>
      </c>
      <c r="D25" s="271"/>
      <c r="E25" s="287"/>
      <c r="F25" s="288"/>
      <c r="G25" s="181"/>
      <c r="H25" s="277">
        <f t="shared" si="0"/>
        <v>0</v>
      </c>
      <c r="I25" s="289">
        <f t="shared" si="1"/>
        <v>0</v>
      </c>
      <c r="J25" s="323"/>
      <c r="K25" s="276">
        <f t="shared" si="2"/>
        <v>0</v>
      </c>
      <c r="L25" s="277">
        <f t="shared" si="3"/>
        <v>0</v>
      </c>
      <c r="M25" s="277">
        <f t="shared" si="4"/>
        <v>0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0</v>
      </c>
      <c r="U25" s="283">
        <f t="shared" si="7"/>
        <v>0</v>
      </c>
      <c r="V25" s="284">
        <f t="shared" si="8"/>
        <v>0</v>
      </c>
      <c r="W25" s="284">
        <f t="shared" si="9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>
        <v>400075</v>
      </c>
      <c r="C26" s="295" t="s">
        <v>220</v>
      </c>
      <c r="D26" s="271" t="s">
        <v>0</v>
      </c>
      <c r="E26" s="293" t="s">
        <v>176</v>
      </c>
      <c r="F26" s="273">
        <v>1</v>
      </c>
      <c r="G26" s="295">
        <v>287.73</v>
      </c>
      <c r="H26" s="258">
        <f t="shared" si="0"/>
        <v>208.5</v>
      </c>
      <c r="I26" s="274">
        <f t="shared" si="1"/>
        <v>208.5</v>
      </c>
      <c r="J26" s="323"/>
      <c r="K26" s="257">
        <f t="shared" si="2"/>
        <v>1</v>
      </c>
      <c r="L26" s="258">
        <f t="shared" si="3"/>
        <v>208.5</v>
      </c>
      <c r="M26" s="258">
        <f t="shared" si="4"/>
        <v>208.5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208.5</v>
      </c>
      <c r="U26" s="264">
        <f t="shared" si="7"/>
        <v>208.5</v>
      </c>
      <c r="V26" s="265">
        <f t="shared" si="8"/>
        <v>0</v>
      </c>
      <c r="W26" s="265">
        <f t="shared" si="9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>
        <v>7026875</v>
      </c>
      <c r="C27" s="181" t="s">
        <v>227</v>
      </c>
      <c r="D27" s="271" t="s">
        <v>19</v>
      </c>
      <c r="E27" s="287">
        <v>6000</v>
      </c>
      <c r="F27" s="288">
        <v>4</v>
      </c>
      <c r="G27" s="181">
        <v>790.93</v>
      </c>
      <c r="H27" s="277">
        <f t="shared" si="0"/>
        <v>573.14</v>
      </c>
      <c r="I27" s="289">
        <f t="shared" si="1"/>
        <v>2292.56</v>
      </c>
      <c r="J27" s="323"/>
      <c r="K27" s="276">
        <f t="shared" si="2"/>
        <v>4</v>
      </c>
      <c r="L27" s="277">
        <f t="shared" si="3"/>
        <v>573.14</v>
      </c>
      <c r="M27" s="277">
        <f t="shared" si="4"/>
        <v>2292.56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573.14</v>
      </c>
      <c r="U27" s="283">
        <f t="shared" si="7"/>
        <v>2292.56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>
        <v>70004056</v>
      </c>
      <c r="C28" s="295" t="s">
        <v>201</v>
      </c>
      <c r="D28" s="271" t="s">
        <v>375</v>
      </c>
      <c r="E28" s="293" t="s">
        <v>176</v>
      </c>
      <c r="F28" s="273">
        <v>1</v>
      </c>
      <c r="G28" s="295">
        <v>507.15</v>
      </c>
      <c r="H28" s="258">
        <f t="shared" si="0"/>
        <v>367.5</v>
      </c>
      <c r="I28" s="274">
        <f t="shared" si="1"/>
        <v>367.5</v>
      </c>
      <c r="J28" s="323"/>
      <c r="K28" s="257">
        <f t="shared" si="2"/>
        <v>1</v>
      </c>
      <c r="L28" s="258">
        <f t="shared" si="3"/>
        <v>367.5</v>
      </c>
      <c r="M28" s="258">
        <f t="shared" si="4"/>
        <v>367.5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367.5</v>
      </c>
      <c r="U28" s="264">
        <f t="shared" si="7"/>
        <v>367.5</v>
      </c>
      <c r="V28" s="265">
        <f t="shared" si="8"/>
        <v>0</v>
      </c>
      <c r="W28" s="265">
        <f t="shared" si="9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/>
      <c r="C30" s="295"/>
      <c r="D30" s="271"/>
      <c r="E30" s="293"/>
      <c r="F30" s="273"/>
      <c r="G30" s="259"/>
      <c r="H30" s="258">
        <f t="shared" si="0"/>
        <v>0</v>
      </c>
      <c r="I30" s="274">
        <f t="shared" si="1"/>
        <v>0</v>
      </c>
      <c r="J30" s="323"/>
      <c r="K30" s="257">
        <f t="shared" si="2"/>
        <v>0</v>
      </c>
      <c r="L30" s="258">
        <f t="shared" si="3"/>
        <v>0</v>
      </c>
      <c r="M30" s="258">
        <f t="shared" si="4"/>
        <v>0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0</v>
      </c>
      <c r="U30" s="264">
        <f t="shared" si="7"/>
        <v>0</v>
      </c>
      <c r="V30" s="265">
        <f t="shared" si="8"/>
        <v>0</v>
      </c>
      <c r="W30" s="265">
        <f t="shared" si="9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/>
      <c r="C31" s="181"/>
      <c r="D31" s="271"/>
      <c r="E31" s="287"/>
      <c r="F31" s="288"/>
      <c r="G31" s="281"/>
      <c r="H31" s="277">
        <f t="shared" si="0"/>
        <v>0</v>
      </c>
      <c r="I31" s="289">
        <f t="shared" si="1"/>
        <v>0</v>
      </c>
      <c r="J31" s="323"/>
      <c r="K31" s="276">
        <f t="shared" si="2"/>
        <v>0</v>
      </c>
      <c r="L31" s="277">
        <f t="shared" si="3"/>
        <v>0</v>
      </c>
      <c r="M31" s="277">
        <f t="shared" si="4"/>
        <v>0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0</v>
      </c>
      <c r="U31" s="283">
        <f t="shared" si="7"/>
        <v>0</v>
      </c>
      <c r="V31" s="284">
        <f t="shared" si="8"/>
        <v>0</v>
      </c>
      <c r="W31" s="284">
        <f t="shared" si="9"/>
        <v>0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/>
      <c r="C32" s="295"/>
      <c r="D32" s="271"/>
      <c r="E32" s="293"/>
      <c r="F32" s="273"/>
      <c r="G32" s="259"/>
      <c r="H32" s="258">
        <f t="shared" si="0"/>
        <v>0</v>
      </c>
      <c r="I32" s="274">
        <f t="shared" si="1"/>
        <v>0</v>
      </c>
      <c r="J32" s="323"/>
      <c r="K32" s="257">
        <f t="shared" si="2"/>
        <v>0</v>
      </c>
      <c r="L32" s="258">
        <f t="shared" si="3"/>
        <v>0</v>
      </c>
      <c r="M32" s="258">
        <f t="shared" si="4"/>
        <v>0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0</v>
      </c>
      <c r="U32" s="264">
        <f t="shared" si="7"/>
        <v>0</v>
      </c>
      <c r="V32" s="265">
        <f t="shared" si="8"/>
        <v>0</v>
      </c>
      <c r="W32" s="265">
        <f t="shared" si="9"/>
        <v>0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/>
      <c r="C33" s="181"/>
      <c r="D33" s="271"/>
      <c r="E33" s="287"/>
      <c r="F33" s="288"/>
      <c r="G33" s="281"/>
      <c r="H33" s="277">
        <f t="shared" si="0"/>
        <v>0</v>
      </c>
      <c r="I33" s="289">
        <f t="shared" si="1"/>
        <v>0</v>
      </c>
      <c r="J33" s="323"/>
      <c r="K33" s="276">
        <f t="shared" si="2"/>
        <v>0</v>
      </c>
      <c r="L33" s="277">
        <f t="shared" si="3"/>
        <v>0</v>
      </c>
      <c r="M33" s="277">
        <f t="shared" si="4"/>
        <v>0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0</v>
      </c>
      <c r="U33" s="283">
        <f t="shared" si="7"/>
        <v>0</v>
      </c>
      <c r="V33" s="284">
        <f t="shared" si="8"/>
        <v>0</v>
      </c>
      <c r="W33" s="284">
        <f t="shared" si="9"/>
        <v>0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/>
      <c r="C34" s="295"/>
      <c r="D34" s="271"/>
      <c r="E34" s="293"/>
      <c r="F34" s="273"/>
      <c r="G34" s="259"/>
      <c r="H34" s="258">
        <f t="shared" si="0"/>
        <v>0</v>
      </c>
      <c r="I34" s="274">
        <f t="shared" si="1"/>
        <v>0</v>
      </c>
      <c r="J34" s="323"/>
      <c r="K34" s="257">
        <f t="shared" si="2"/>
        <v>0</v>
      </c>
      <c r="L34" s="258">
        <f t="shared" si="3"/>
        <v>0</v>
      </c>
      <c r="M34" s="258">
        <f t="shared" si="4"/>
        <v>0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0</v>
      </c>
      <c r="U34" s="264">
        <f t="shared" si="7"/>
        <v>0</v>
      </c>
      <c r="V34" s="265">
        <f t="shared" si="8"/>
        <v>0</v>
      </c>
      <c r="W34" s="265">
        <f t="shared" si="9"/>
        <v>0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/>
      <c r="C35" s="181"/>
      <c r="D35" s="271"/>
      <c r="E35" s="287"/>
      <c r="F35" s="288"/>
      <c r="G35" s="281"/>
      <c r="H35" s="277">
        <f t="shared" si="0"/>
        <v>0</v>
      </c>
      <c r="I35" s="289">
        <f t="shared" si="1"/>
        <v>0</v>
      </c>
      <c r="J35" s="323"/>
      <c r="K35" s="276">
        <f t="shared" si="2"/>
        <v>0</v>
      </c>
      <c r="L35" s="277">
        <f t="shared" si="3"/>
        <v>0</v>
      </c>
      <c r="M35" s="277">
        <f t="shared" si="4"/>
        <v>0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0</v>
      </c>
      <c r="U35" s="283">
        <f t="shared" si="7"/>
        <v>0</v>
      </c>
      <c r="V35" s="284">
        <f t="shared" si="8"/>
        <v>0</v>
      </c>
      <c r="W35" s="284">
        <f t="shared" si="9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/>
      <c r="C36" s="295"/>
      <c r="D36" s="271"/>
      <c r="E36" s="293"/>
      <c r="F36" s="273"/>
      <c r="G36" s="259"/>
      <c r="H36" s="258">
        <f t="shared" si="0"/>
        <v>0</v>
      </c>
      <c r="I36" s="274">
        <f t="shared" si="1"/>
        <v>0</v>
      </c>
      <c r="J36" s="323"/>
      <c r="K36" s="257">
        <f t="shared" si="2"/>
        <v>0</v>
      </c>
      <c r="L36" s="258">
        <f t="shared" si="3"/>
        <v>0</v>
      </c>
      <c r="M36" s="258">
        <f t="shared" si="4"/>
        <v>0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0</v>
      </c>
      <c r="U36" s="264">
        <f t="shared" si="7"/>
        <v>0</v>
      </c>
      <c r="V36" s="265">
        <f t="shared" si="8"/>
        <v>0</v>
      </c>
      <c r="W36" s="265">
        <f t="shared" si="9"/>
        <v>0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/>
      <c r="C37" s="181"/>
      <c r="D37" s="271"/>
      <c r="E37" s="287"/>
      <c r="F37" s="288"/>
      <c r="G37" s="281"/>
      <c r="H37" s="277">
        <f t="shared" si="0"/>
        <v>0</v>
      </c>
      <c r="I37" s="289">
        <f t="shared" si="1"/>
        <v>0</v>
      </c>
      <c r="J37" s="323"/>
      <c r="K37" s="276">
        <f t="shared" si="2"/>
        <v>0</v>
      </c>
      <c r="L37" s="277">
        <f t="shared" si="3"/>
        <v>0</v>
      </c>
      <c r="M37" s="277">
        <f t="shared" si="4"/>
        <v>0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0</v>
      </c>
      <c r="U37" s="283">
        <f t="shared" si="7"/>
        <v>0</v>
      </c>
      <c r="V37" s="284">
        <f t="shared" si="8"/>
        <v>0</v>
      </c>
      <c r="W37" s="284">
        <f t="shared" si="9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/>
      <c r="C38" s="295"/>
      <c r="D38" s="271"/>
      <c r="E38" s="293"/>
      <c r="F38" s="273"/>
      <c r="G38" s="259"/>
      <c r="H38" s="258">
        <f t="shared" si="0"/>
        <v>0</v>
      </c>
      <c r="I38" s="274">
        <f t="shared" si="1"/>
        <v>0</v>
      </c>
      <c r="J38" s="323"/>
      <c r="K38" s="257">
        <f t="shared" si="2"/>
        <v>0</v>
      </c>
      <c r="L38" s="258">
        <f t="shared" si="3"/>
        <v>0</v>
      </c>
      <c r="M38" s="258">
        <f t="shared" si="4"/>
        <v>0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0</v>
      </c>
      <c r="U38" s="264">
        <f t="shared" si="7"/>
        <v>0</v>
      </c>
      <c r="V38" s="265">
        <f t="shared" si="8"/>
        <v>0</v>
      </c>
      <c r="W38" s="265">
        <f t="shared" si="9"/>
        <v>0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/>
      <c r="C39" s="181"/>
      <c r="D39" s="271"/>
      <c r="E39" s="287"/>
      <c r="F39" s="288"/>
      <c r="G39" s="281"/>
      <c r="H39" s="277">
        <f t="shared" si="0"/>
        <v>0</v>
      </c>
      <c r="I39" s="289">
        <f t="shared" si="1"/>
        <v>0</v>
      </c>
      <c r="J39" s="323"/>
      <c r="K39" s="276">
        <f t="shared" si="2"/>
        <v>0</v>
      </c>
      <c r="L39" s="277">
        <f t="shared" si="3"/>
        <v>0</v>
      </c>
      <c r="M39" s="277">
        <f t="shared" si="4"/>
        <v>0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0</v>
      </c>
      <c r="U39" s="283">
        <f t="shared" si="7"/>
        <v>0</v>
      </c>
      <c r="V39" s="284">
        <f t="shared" si="8"/>
        <v>0</v>
      </c>
      <c r="W39" s="284">
        <f t="shared" si="9"/>
        <v>0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/>
      <c r="C40" s="295"/>
      <c r="D40" s="271"/>
      <c r="E40" s="293"/>
      <c r="F40" s="273"/>
      <c r="G40" s="259"/>
      <c r="H40" s="258">
        <f t="shared" si="0"/>
        <v>0</v>
      </c>
      <c r="I40" s="274">
        <f t="shared" si="1"/>
        <v>0</v>
      </c>
      <c r="J40" s="323"/>
      <c r="K40" s="257">
        <f t="shared" si="2"/>
        <v>0</v>
      </c>
      <c r="L40" s="258">
        <f t="shared" si="3"/>
        <v>0</v>
      </c>
      <c r="M40" s="258">
        <f t="shared" si="4"/>
        <v>0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0</v>
      </c>
      <c r="U40" s="264">
        <f t="shared" si="7"/>
        <v>0</v>
      </c>
      <c r="V40" s="265">
        <f t="shared" si="8"/>
        <v>0</v>
      </c>
      <c r="W40" s="265">
        <f t="shared" si="9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/>
      <c r="D41" s="271"/>
      <c r="E41" s="287"/>
      <c r="F41" s="288"/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0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/>
      <c r="C42" s="295"/>
      <c r="D42" s="271"/>
      <c r="E42" s="293"/>
      <c r="F42" s="273"/>
      <c r="G42" s="259"/>
      <c r="H42" s="258">
        <f t="shared" si="0"/>
        <v>0</v>
      </c>
      <c r="I42" s="274">
        <f t="shared" si="1"/>
        <v>0</v>
      </c>
      <c r="J42" s="323"/>
      <c r="K42" s="257">
        <f t="shared" si="2"/>
        <v>0</v>
      </c>
      <c r="L42" s="258">
        <f t="shared" si="3"/>
        <v>0</v>
      </c>
      <c r="M42" s="258">
        <f t="shared" si="4"/>
        <v>0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0</v>
      </c>
      <c r="U42" s="264">
        <f t="shared" si="7"/>
        <v>0</v>
      </c>
      <c r="V42" s="265">
        <f t="shared" si="8"/>
        <v>0</v>
      </c>
      <c r="W42" s="265">
        <f t="shared" si="9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/>
      <c r="C44" s="295"/>
      <c r="D44" s="271"/>
      <c r="E44" s="293"/>
      <c r="F44" s="273"/>
      <c r="G44" s="259"/>
      <c r="H44" s="258">
        <f t="shared" si="0"/>
        <v>0</v>
      </c>
      <c r="I44" s="274">
        <f t="shared" si="1"/>
        <v>0</v>
      </c>
      <c r="J44" s="323"/>
      <c r="K44" s="257">
        <f t="shared" si="2"/>
        <v>0</v>
      </c>
      <c r="L44" s="258">
        <f t="shared" si="3"/>
        <v>0</v>
      </c>
      <c r="M44" s="258">
        <f t="shared" si="4"/>
        <v>0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0</v>
      </c>
      <c r="U44" s="264">
        <f t="shared" si="7"/>
        <v>0</v>
      </c>
      <c r="V44" s="265">
        <f t="shared" si="8"/>
        <v>0</v>
      </c>
      <c r="W44" s="265">
        <f t="shared" si="9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/>
      <c r="C45" s="181"/>
      <c r="D45" s="271"/>
      <c r="E45" s="287"/>
      <c r="F45" s="288"/>
      <c r="G45" s="281"/>
      <c r="H45" s="277">
        <f t="shared" si="0"/>
        <v>0</v>
      </c>
      <c r="I45" s="289">
        <f t="shared" si="1"/>
        <v>0</v>
      </c>
      <c r="J45" s="323"/>
      <c r="K45" s="276">
        <f t="shared" si="2"/>
        <v>0</v>
      </c>
      <c r="L45" s="277">
        <f t="shared" si="3"/>
        <v>0</v>
      </c>
      <c r="M45" s="277">
        <f t="shared" si="4"/>
        <v>0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0</v>
      </c>
      <c r="U45" s="283">
        <f t="shared" si="7"/>
        <v>0</v>
      </c>
      <c r="V45" s="284">
        <f t="shared" si="8"/>
        <v>0</v>
      </c>
      <c r="W45" s="284">
        <f t="shared" si="9"/>
        <v>0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/>
      <c r="C46" s="295"/>
      <c r="D46" s="271"/>
      <c r="E46" s="293"/>
      <c r="F46" s="273"/>
      <c r="G46" s="259"/>
      <c r="H46" s="258">
        <f t="shared" si="0"/>
        <v>0</v>
      </c>
      <c r="I46" s="274">
        <f t="shared" si="1"/>
        <v>0</v>
      </c>
      <c r="J46" s="323"/>
      <c r="K46" s="257">
        <f t="shared" si="2"/>
        <v>0</v>
      </c>
      <c r="L46" s="258">
        <f t="shared" si="3"/>
        <v>0</v>
      </c>
      <c r="M46" s="258">
        <f t="shared" si="4"/>
        <v>0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0</v>
      </c>
      <c r="U46" s="264">
        <f t="shared" si="7"/>
        <v>0</v>
      </c>
      <c r="V46" s="265">
        <f t="shared" si="8"/>
        <v>0</v>
      </c>
      <c r="W46" s="265">
        <f t="shared" si="9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/>
      <c r="C47" s="181"/>
      <c r="D47" s="271"/>
      <c r="E47" s="287"/>
      <c r="F47" s="288"/>
      <c r="G47" s="281"/>
      <c r="H47" s="277">
        <f t="shared" si="0"/>
        <v>0</v>
      </c>
      <c r="I47" s="289">
        <f t="shared" si="1"/>
        <v>0</v>
      </c>
      <c r="J47" s="323"/>
      <c r="K47" s="276">
        <f t="shared" si="2"/>
        <v>0</v>
      </c>
      <c r="L47" s="277">
        <f t="shared" si="3"/>
        <v>0</v>
      </c>
      <c r="M47" s="277">
        <f t="shared" si="4"/>
        <v>0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0</v>
      </c>
      <c r="U47" s="283">
        <f t="shared" si="7"/>
        <v>0</v>
      </c>
      <c r="V47" s="284">
        <f t="shared" si="8"/>
        <v>0</v>
      </c>
      <c r="W47" s="284">
        <f t="shared" si="9"/>
        <v>0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/>
      <c r="C48" s="295"/>
      <c r="D48" s="271"/>
      <c r="E48" s="293"/>
      <c r="F48" s="273"/>
      <c r="G48" s="259"/>
      <c r="H48" s="258">
        <f t="shared" si="0"/>
        <v>0</v>
      </c>
      <c r="I48" s="274">
        <f t="shared" si="1"/>
        <v>0</v>
      </c>
      <c r="J48" s="323"/>
      <c r="K48" s="257">
        <f t="shared" si="2"/>
        <v>0</v>
      </c>
      <c r="L48" s="258">
        <f t="shared" si="3"/>
        <v>0</v>
      </c>
      <c r="M48" s="258">
        <f t="shared" si="4"/>
        <v>0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0</v>
      </c>
      <c r="U48" s="264">
        <f t="shared" si="7"/>
        <v>0</v>
      </c>
      <c r="V48" s="265">
        <f t="shared" si="8"/>
        <v>0</v>
      </c>
      <c r="W48" s="265">
        <f t="shared" si="9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181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ref="H50:H80" si="10">ROUND(IF($G$17="USD $", G50*$F$15,G50*$E$15),2)</f>
        <v>0</v>
      </c>
      <c r="I50" s="274">
        <f t="shared" ref="I50:I80" si="11">ROUND(IF($I$17=$H$17,F50*H50,F50*G50),2)</f>
        <v>0</v>
      </c>
      <c r="J50" s="323"/>
      <c r="K50" s="257">
        <f t="shared" ref="K50:K80" si="12">F50</f>
        <v>0</v>
      </c>
      <c r="L50" s="258">
        <f t="shared" ref="L50:L80" si="13">IFERROR(IF(N50="OEM DISC %",ROUND(IF($L$17=$G$17,G50*(1-O50),H50*(1-O50)),2),IF(N50="MARKUP %",ROUND(S50/K50*(1+O50),2))),0)</f>
        <v>0</v>
      </c>
      <c r="M50" s="258">
        <f t="shared" ref="M50:M80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0" si="15">ROUND(IF($S$17=$R$17,R50,IF($S$17="USD $",R50*$E$15,R50*$F$15))*F50,2)</f>
        <v>0</v>
      </c>
      <c r="T50" s="264">
        <f t="shared" ref="T50:T80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/>
      <c r="C51" s="181"/>
      <c r="D51" s="271"/>
      <c r="E51" s="287"/>
      <c r="F51" s="288"/>
      <c r="G51" s="281"/>
      <c r="H51" s="277">
        <f t="shared" si="10"/>
        <v>0</v>
      </c>
      <c r="I51" s="289">
        <f t="shared" si="11"/>
        <v>0</v>
      </c>
      <c r="J51" s="323"/>
      <c r="K51" s="276">
        <f t="shared" si="12"/>
        <v>0</v>
      </c>
      <c r="L51" s="277">
        <f t="shared" si="13"/>
        <v>0</v>
      </c>
      <c r="M51" s="277">
        <f t="shared" si="14"/>
        <v>0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0</v>
      </c>
      <c r="U51" s="283">
        <f t="shared" si="17"/>
        <v>0</v>
      </c>
      <c r="V51" s="284">
        <f t="shared" si="18"/>
        <v>0</v>
      </c>
      <c r="W51" s="284">
        <f t="shared" si="19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/>
      <c r="C52" s="295"/>
      <c r="D52" s="271"/>
      <c r="E52" s="293"/>
      <c r="F52" s="273"/>
      <c r="G52" s="259"/>
      <c r="H52" s="258">
        <f t="shared" si="10"/>
        <v>0</v>
      </c>
      <c r="I52" s="274">
        <f t="shared" si="11"/>
        <v>0</v>
      </c>
      <c r="J52" s="323"/>
      <c r="K52" s="257">
        <f t="shared" si="12"/>
        <v>0</v>
      </c>
      <c r="L52" s="258">
        <f t="shared" si="13"/>
        <v>0</v>
      </c>
      <c r="M52" s="258">
        <f t="shared" si="14"/>
        <v>0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0</v>
      </c>
      <c r="U52" s="264">
        <f t="shared" si="17"/>
        <v>0</v>
      </c>
      <c r="V52" s="265">
        <f t="shared" si="18"/>
        <v>0</v>
      </c>
      <c r="W52" s="265">
        <f t="shared" si="19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/>
      <c r="C53" s="181"/>
      <c r="D53" s="271"/>
      <c r="E53" s="287"/>
      <c r="F53" s="288"/>
      <c r="G53" s="281"/>
      <c r="H53" s="277">
        <f t="shared" si="10"/>
        <v>0</v>
      </c>
      <c r="I53" s="289">
        <f t="shared" si="11"/>
        <v>0</v>
      </c>
      <c r="J53" s="323"/>
      <c r="K53" s="276">
        <f t="shared" si="12"/>
        <v>0</v>
      </c>
      <c r="L53" s="277">
        <f t="shared" si="13"/>
        <v>0</v>
      </c>
      <c r="M53" s="277">
        <f t="shared" si="14"/>
        <v>0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0</v>
      </c>
      <c r="U53" s="283">
        <f t="shared" si="17"/>
        <v>0</v>
      </c>
      <c r="V53" s="284">
        <f t="shared" si="18"/>
        <v>0</v>
      </c>
      <c r="W53" s="284">
        <f t="shared" si="19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11</v>
      </c>
      <c r="G81" s="318">
        <f>SUM(G18:G80)</f>
        <v>1810.1</v>
      </c>
      <c r="H81" s="308">
        <f>SUM(H18:H80)</f>
        <v>1311.6599999999999</v>
      </c>
      <c r="I81" s="309">
        <f>SUM(I18:I80)</f>
        <v>3031.08</v>
      </c>
      <c r="J81" s="324"/>
      <c r="K81" s="307">
        <f>SUM(K18:K80)</f>
        <v>11</v>
      </c>
      <c r="L81" s="308">
        <f>SUM(L18:L80)</f>
        <v>1311.6599999999999</v>
      </c>
      <c r="M81" s="309">
        <f>SUM(M18:M80)</f>
        <v>3031.08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1311.6599999999999</v>
      </c>
      <c r="U81" s="309">
        <f>SUM(U18:U80)</f>
        <v>3031.08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63" priority="3" stopIfTrue="1">
      <formula>$V$9&gt;100%</formula>
    </cfRule>
    <cfRule type="expression" dxfId="62" priority="4">
      <formula>$V$9&lt;50%</formula>
    </cfRule>
  </conditionalFormatting>
  <conditionalFormatting sqref="W9:W10">
    <cfRule type="expression" dxfId="61" priority="1">
      <formula>$W$9&lt;50%</formula>
    </cfRule>
    <cfRule type="expression" dxfId="60" priority="2">
      <formula>$W$9&gt;50%</formula>
    </cfRule>
  </conditionalFormatting>
  <dataValidations count="6">
    <dataValidation type="list" allowBlank="1" showInputMessage="1" showErrorMessage="1" sqref="G2" xr:uid="{0EB1A223-740E-455E-AE31-C98D4DCA04C5}">
      <formula1>$Z$34:$Z$48</formula1>
    </dataValidation>
    <dataValidation type="list" allowBlank="1" showInputMessage="1" showErrorMessage="1" sqref="N18:N80" xr:uid="{0AB926C5-4C25-441A-B0C1-61CE5AEDCCB5}">
      <formula1>$Z$31:$Z$32</formula1>
    </dataValidation>
    <dataValidation type="list" showInputMessage="1" showErrorMessage="1" sqref="E18:E80" xr:uid="{75396232-FE4F-4AA6-A6E2-AB455A402CD9}">
      <formula1>$AA$18:$AA$29</formula1>
    </dataValidation>
    <dataValidation type="list" allowBlank="1" showInputMessage="1" showErrorMessage="1" sqref="J13" xr:uid="{D6BCA238-F21E-4DD2-96B9-B102996DD89A}">
      <formula1>$L$9:$L$9</formula1>
    </dataValidation>
    <dataValidation type="list" allowBlank="1" showInputMessage="1" showErrorMessage="1" sqref="I13" xr:uid="{CD5E7BF6-FE06-4844-8253-2B70A5A6358F}">
      <formula1>$Z$13:$Z$14</formula1>
    </dataValidation>
    <dataValidation type="list" allowBlank="1" showInputMessage="1" showErrorMessage="1" sqref="G17 R14 R17 L17" xr:uid="{E97945C1-977E-40D0-B345-7655D227B9BE}">
      <formula1>$Z$11:$Z$12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296BD7-AF31-47A2-A129-EE3A78DAECFB}">
          <x14:formula1>
            <xm:f>'Product Type'!$A$1:$A$55</xm:f>
          </x14:formula1>
          <xm:sqref>D18:D63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17CE-313A-4059-B2F7-AC5A441B90B4}">
  <sheetPr>
    <pageSetUpPr fitToPage="1"/>
  </sheetPr>
  <dimension ref="A1:AC83"/>
  <sheetViews>
    <sheetView zoomScale="85" zoomScaleNormal="85" workbookViewId="0">
      <selection activeCell="G7" sqref="G7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4.140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63</v>
      </c>
      <c r="H2" s="175">
        <v>1</v>
      </c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10551.06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376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10551.06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397">
        <v>440</v>
      </c>
      <c r="H4" s="175">
        <v>1</v>
      </c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thickBot="1" x14ac:dyDescent="0.3">
      <c r="A5" s="167"/>
      <c r="B5" s="185" t="s">
        <v>89</v>
      </c>
      <c r="C5" s="181"/>
      <c r="D5" s="181"/>
      <c r="E5" s="556" t="s">
        <v>90</v>
      </c>
      <c r="F5" s="557"/>
      <c r="G5" s="174" t="s">
        <v>377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10551.06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10551.06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thickBot="1" x14ac:dyDescent="0.3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23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49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>
        <v>2856715</v>
      </c>
      <c r="C19" s="181" t="s">
        <v>210</v>
      </c>
      <c r="D19" s="271" t="s">
        <v>29</v>
      </c>
      <c r="E19" s="287">
        <v>500</v>
      </c>
      <c r="F19" s="288">
        <v>1</v>
      </c>
      <c r="G19" s="281">
        <v>35.64</v>
      </c>
      <c r="H19" s="277">
        <f t="shared" si="0"/>
        <v>25.83</v>
      </c>
      <c r="I19" s="289">
        <f t="shared" si="1"/>
        <v>25.83</v>
      </c>
      <c r="J19" s="323"/>
      <c r="K19" s="276">
        <f t="shared" si="2"/>
        <v>1</v>
      </c>
      <c r="L19" s="277">
        <f t="shared" si="3"/>
        <v>25.83</v>
      </c>
      <c r="M19" s="277">
        <f t="shared" si="4"/>
        <v>25.83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25.83</v>
      </c>
      <c r="U19" s="283">
        <f t="shared" si="7"/>
        <v>25.83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>
        <v>87803194</v>
      </c>
      <c r="C20" s="295" t="s">
        <v>212</v>
      </c>
      <c r="D20" s="271" t="s">
        <v>28</v>
      </c>
      <c r="E20" s="293">
        <v>375</v>
      </c>
      <c r="F20" s="273">
        <v>1</v>
      </c>
      <c r="G20" s="259">
        <v>385.08</v>
      </c>
      <c r="H20" s="258">
        <f t="shared" si="0"/>
        <v>279.04000000000002</v>
      </c>
      <c r="I20" s="274">
        <f t="shared" si="1"/>
        <v>279.04000000000002</v>
      </c>
      <c r="J20" s="323"/>
      <c r="K20" s="257">
        <f t="shared" si="2"/>
        <v>1</v>
      </c>
      <c r="L20" s="258">
        <f t="shared" si="3"/>
        <v>279.04000000000002</v>
      </c>
      <c r="M20" s="258">
        <f t="shared" si="4"/>
        <v>279.04000000000002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279.04000000000002</v>
      </c>
      <c r="U20" s="264">
        <f t="shared" si="7"/>
        <v>279.04000000000002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>
        <v>87010593</v>
      </c>
      <c r="C21" s="181" t="s">
        <v>214</v>
      </c>
      <c r="D21" s="271" t="s">
        <v>27</v>
      </c>
      <c r="E21" s="287">
        <v>500</v>
      </c>
      <c r="F21" s="288">
        <v>1</v>
      </c>
      <c r="G21" s="281">
        <v>113.42</v>
      </c>
      <c r="H21" s="277">
        <f t="shared" si="0"/>
        <v>82.19</v>
      </c>
      <c r="I21" s="289">
        <f t="shared" si="1"/>
        <v>82.19</v>
      </c>
      <c r="J21" s="323"/>
      <c r="K21" s="276">
        <f t="shared" si="2"/>
        <v>1</v>
      </c>
      <c r="L21" s="277">
        <f t="shared" si="3"/>
        <v>82.19</v>
      </c>
      <c r="M21" s="277">
        <f t="shared" si="4"/>
        <v>82.19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82.19</v>
      </c>
      <c r="U21" s="283">
        <f t="shared" si="7"/>
        <v>82.19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>
        <v>87681240</v>
      </c>
      <c r="C22" s="295" t="s">
        <v>215</v>
      </c>
      <c r="D22" s="271" t="s">
        <v>24</v>
      </c>
      <c r="E22" s="293">
        <v>375</v>
      </c>
      <c r="F22" s="273">
        <v>1</v>
      </c>
      <c r="G22" s="259">
        <v>44.51</v>
      </c>
      <c r="H22" s="258">
        <f t="shared" si="0"/>
        <v>32.25</v>
      </c>
      <c r="I22" s="274">
        <f t="shared" si="1"/>
        <v>32.25</v>
      </c>
      <c r="J22" s="323"/>
      <c r="K22" s="257">
        <f t="shared" si="2"/>
        <v>1</v>
      </c>
      <c r="L22" s="258">
        <f t="shared" si="3"/>
        <v>32.25</v>
      </c>
      <c r="M22" s="258">
        <f t="shared" si="4"/>
        <v>32.25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32.25</v>
      </c>
      <c r="U22" s="264">
        <f t="shared" si="7"/>
        <v>32.25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378</v>
      </c>
      <c r="C23" s="181" t="s">
        <v>216</v>
      </c>
      <c r="D23" s="271" t="s">
        <v>25</v>
      </c>
      <c r="E23" s="287">
        <v>500</v>
      </c>
      <c r="F23" s="288">
        <v>1</v>
      </c>
      <c r="G23" s="281">
        <v>51.25</v>
      </c>
      <c r="H23" s="277">
        <f t="shared" si="0"/>
        <v>37.14</v>
      </c>
      <c r="I23" s="289">
        <f t="shared" si="1"/>
        <v>37.14</v>
      </c>
      <c r="J23" s="323"/>
      <c r="K23" s="276">
        <f t="shared" si="2"/>
        <v>1</v>
      </c>
      <c r="L23" s="277">
        <f t="shared" si="3"/>
        <v>37.14</v>
      </c>
      <c r="M23" s="277">
        <f t="shared" si="4"/>
        <v>37.14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37.14</v>
      </c>
      <c r="U23" s="283">
        <f t="shared" si="7"/>
        <v>37.14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379</v>
      </c>
      <c r="C24" s="295" t="s">
        <v>217</v>
      </c>
      <c r="D24" s="271" t="s">
        <v>25</v>
      </c>
      <c r="E24" s="293">
        <v>375</v>
      </c>
      <c r="F24" s="273">
        <v>1</v>
      </c>
      <c r="G24" s="259">
        <v>36.5</v>
      </c>
      <c r="H24" s="258">
        <f t="shared" si="0"/>
        <v>26.45</v>
      </c>
      <c r="I24" s="274">
        <f t="shared" si="1"/>
        <v>26.45</v>
      </c>
      <c r="J24" s="323"/>
      <c r="K24" s="257">
        <f t="shared" si="2"/>
        <v>1</v>
      </c>
      <c r="L24" s="258">
        <f t="shared" si="3"/>
        <v>26.45</v>
      </c>
      <c r="M24" s="258">
        <f t="shared" si="4"/>
        <v>26.45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26.45</v>
      </c>
      <c r="U24" s="264">
        <f t="shared" si="7"/>
        <v>26.45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/>
      <c r="C25" s="181"/>
      <c r="D25" s="271"/>
      <c r="E25" s="287"/>
      <c r="F25" s="288"/>
      <c r="G25" s="281"/>
      <c r="H25" s="277">
        <f t="shared" si="0"/>
        <v>0</v>
      </c>
      <c r="I25" s="289">
        <f t="shared" si="1"/>
        <v>0</v>
      </c>
      <c r="J25" s="323"/>
      <c r="K25" s="276">
        <f t="shared" si="2"/>
        <v>0</v>
      </c>
      <c r="L25" s="277">
        <f t="shared" si="3"/>
        <v>0</v>
      </c>
      <c r="M25" s="277">
        <f t="shared" si="4"/>
        <v>0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0</v>
      </c>
      <c r="U25" s="283">
        <f t="shared" si="7"/>
        <v>0</v>
      </c>
      <c r="V25" s="284">
        <f t="shared" si="8"/>
        <v>0</v>
      </c>
      <c r="W25" s="284">
        <f t="shared" si="9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/>
      <c r="C26" s="295" t="s">
        <v>380</v>
      </c>
      <c r="D26" s="271"/>
      <c r="E26" s="293"/>
      <c r="F26" s="273"/>
      <c r="G26" s="259"/>
      <c r="H26" s="258">
        <f t="shared" si="0"/>
        <v>0</v>
      </c>
      <c r="I26" s="274">
        <f t="shared" si="1"/>
        <v>0</v>
      </c>
      <c r="J26" s="323"/>
      <c r="K26" s="257">
        <f t="shared" si="2"/>
        <v>0</v>
      </c>
      <c r="L26" s="258">
        <f t="shared" si="3"/>
        <v>0</v>
      </c>
      <c r="M26" s="258">
        <f t="shared" si="4"/>
        <v>0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0</v>
      </c>
      <c r="U26" s="264">
        <f t="shared" si="7"/>
        <v>0</v>
      </c>
      <c r="V26" s="265">
        <f t="shared" si="8"/>
        <v>0</v>
      </c>
      <c r="W26" s="265">
        <f t="shared" si="9"/>
        <v>0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 t="s">
        <v>381</v>
      </c>
      <c r="C27" s="181" t="s">
        <v>220</v>
      </c>
      <c r="D27" s="271" t="s">
        <v>0</v>
      </c>
      <c r="E27" s="287" t="s">
        <v>176</v>
      </c>
      <c r="F27" s="288">
        <v>1</v>
      </c>
      <c r="G27" s="281">
        <v>266.58999999999997</v>
      </c>
      <c r="H27" s="277">
        <f t="shared" si="0"/>
        <v>193.18</v>
      </c>
      <c r="I27" s="289">
        <f t="shared" si="1"/>
        <v>193.18</v>
      </c>
      <c r="J27" s="323"/>
      <c r="K27" s="276">
        <f t="shared" si="2"/>
        <v>1</v>
      </c>
      <c r="L27" s="277">
        <f t="shared" si="3"/>
        <v>193.18</v>
      </c>
      <c r="M27" s="277">
        <f t="shared" si="4"/>
        <v>193.18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193.18</v>
      </c>
      <c r="U27" s="283">
        <f t="shared" si="7"/>
        <v>193.18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/>
      <c r="C28" s="295"/>
      <c r="D28" s="271"/>
      <c r="E28" s="293"/>
      <c r="F28" s="273"/>
      <c r="G28" s="259"/>
      <c r="H28" s="258">
        <f t="shared" si="0"/>
        <v>0</v>
      </c>
      <c r="I28" s="274">
        <f t="shared" si="1"/>
        <v>0</v>
      </c>
      <c r="J28" s="323"/>
      <c r="K28" s="257">
        <f t="shared" si="2"/>
        <v>0</v>
      </c>
      <c r="L28" s="258">
        <f t="shared" si="3"/>
        <v>0</v>
      </c>
      <c r="M28" s="258">
        <f t="shared" si="4"/>
        <v>0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0</v>
      </c>
      <c r="U28" s="264">
        <f t="shared" si="7"/>
        <v>0</v>
      </c>
      <c r="V28" s="265">
        <f t="shared" si="8"/>
        <v>0</v>
      </c>
      <c r="W28" s="265">
        <f t="shared" si="9"/>
        <v>0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 t="s">
        <v>222</v>
      </c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>
        <v>4899610</v>
      </c>
      <c r="C30" s="295" t="s">
        <v>224</v>
      </c>
      <c r="D30" s="271" t="s">
        <v>15</v>
      </c>
      <c r="E30" s="293">
        <v>5000</v>
      </c>
      <c r="F30" s="273">
        <v>1</v>
      </c>
      <c r="G30" s="259">
        <v>3691.02</v>
      </c>
      <c r="H30" s="258">
        <f t="shared" si="0"/>
        <v>2674.65</v>
      </c>
      <c r="I30" s="274">
        <f t="shared" si="1"/>
        <v>2674.65</v>
      </c>
      <c r="J30" s="323"/>
      <c r="K30" s="257">
        <f t="shared" si="2"/>
        <v>1</v>
      </c>
      <c r="L30" s="258">
        <f t="shared" si="3"/>
        <v>2674.65</v>
      </c>
      <c r="M30" s="258">
        <f t="shared" si="4"/>
        <v>2674.65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2674.65</v>
      </c>
      <c r="U30" s="264">
        <f t="shared" si="7"/>
        <v>2674.65</v>
      </c>
      <c r="V30" s="265">
        <f t="shared" si="8"/>
        <v>0</v>
      </c>
      <c r="W30" s="265">
        <f t="shared" si="9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>
        <v>2852009</v>
      </c>
      <c r="C31" s="181" t="s">
        <v>254</v>
      </c>
      <c r="D31" s="271" t="s">
        <v>16</v>
      </c>
      <c r="E31" s="287" t="s">
        <v>176</v>
      </c>
      <c r="F31" s="288">
        <v>1</v>
      </c>
      <c r="G31" s="281">
        <v>1141</v>
      </c>
      <c r="H31" s="277">
        <f t="shared" si="0"/>
        <v>826.81</v>
      </c>
      <c r="I31" s="289">
        <f t="shared" si="1"/>
        <v>826.81</v>
      </c>
      <c r="J31" s="323"/>
      <c r="K31" s="276">
        <f t="shared" si="2"/>
        <v>1</v>
      </c>
      <c r="L31" s="277">
        <f t="shared" si="3"/>
        <v>826.81</v>
      </c>
      <c r="M31" s="277">
        <f t="shared" si="4"/>
        <v>826.81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826.81</v>
      </c>
      <c r="U31" s="283">
        <f t="shared" si="7"/>
        <v>826.81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>
        <v>4895790</v>
      </c>
      <c r="C32" s="295" t="s">
        <v>205</v>
      </c>
      <c r="D32" s="271" t="s">
        <v>17</v>
      </c>
      <c r="E32" s="293" t="s">
        <v>176</v>
      </c>
      <c r="F32" s="273">
        <v>1</v>
      </c>
      <c r="G32" s="259">
        <v>3039.33</v>
      </c>
      <c r="H32" s="258">
        <f t="shared" si="0"/>
        <v>2202.41</v>
      </c>
      <c r="I32" s="274">
        <f t="shared" si="1"/>
        <v>2202.41</v>
      </c>
      <c r="J32" s="323"/>
      <c r="K32" s="257">
        <f t="shared" si="2"/>
        <v>1</v>
      </c>
      <c r="L32" s="258">
        <f t="shared" si="3"/>
        <v>2202.41</v>
      </c>
      <c r="M32" s="258">
        <f t="shared" si="4"/>
        <v>2202.41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2202.41</v>
      </c>
      <c r="U32" s="264">
        <f t="shared" si="7"/>
        <v>2202.41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>
        <v>2852507</v>
      </c>
      <c r="C33" s="181" t="s">
        <v>226</v>
      </c>
      <c r="D33" s="271" t="s">
        <v>23</v>
      </c>
      <c r="E33" s="287" t="s">
        <v>176</v>
      </c>
      <c r="F33" s="288">
        <v>1</v>
      </c>
      <c r="G33" s="281">
        <v>2105</v>
      </c>
      <c r="H33" s="277">
        <f t="shared" si="0"/>
        <v>1525.36</v>
      </c>
      <c r="I33" s="289">
        <f t="shared" si="1"/>
        <v>1525.36</v>
      </c>
      <c r="J33" s="323"/>
      <c r="K33" s="276">
        <f t="shared" si="2"/>
        <v>1</v>
      </c>
      <c r="L33" s="277">
        <f t="shared" si="3"/>
        <v>1525.36</v>
      </c>
      <c r="M33" s="277">
        <f t="shared" si="4"/>
        <v>1525.36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1525.36</v>
      </c>
      <c r="U33" s="283">
        <f t="shared" si="7"/>
        <v>1525.36</v>
      </c>
      <c r="V33" s="284">
        <f t="shared" si="8"/>
        <v>0</v>
      </c>
      <c r="W33" s="284">
        <f t="shared" si="9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>
        <v>2852056</v>
      </c>
      <c r="C34" s="295" t="s">
        <v>227</v>
      </c>
      <c r="D34" s="271" t="s">
        <v>19</v>
      </c>
      <c r="E34" s="293" t="s">
        <v>176</v>
      </c>
      <c r="F34" s="273">
        <v>4</v>
      </c>
      <c r="G34" s="259">
        <v>273.8</v>
      </c>
      <c r="H34" s="258">
        <f t="shared" si="0"/>
        <v>198.41</v>
      </c>
      <c r="I34" s="274">
        <f t="shared" si="1"/>
        <v>793.64</v>
      </c>
      <c r="J34" s="323"/>
      <c r="K34" s="257">
        <f t="shared" si="2"/>
        <v>4</v>
      </c>
      <c r="L34" s="258">
        <f t="shared" si="3"/>
        <v>198.41</v>
      </c>
      <c r="M34" s="258">
        <f t="shared" si="4"/>
        <v>793.64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198.41</v>
      </c>
      <c r="U34" s="264">
        <f t="shared" si="7"/>
        <v>793.64</v>
      </c>
      <c r="V34" s="265">
        <f t="shared" si="8"/>
        <v>0</v>
      </c>
      <c r="W34" s="265">
        <f t="shared" si="9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/>
      <c r="C35" s="181"/>
      <c r="D35" s="271"/>
      <c r="E35" s="287"/>
      <c r="F35" s="288"/>
      <c r="G35" s="281"/>
      <c r="H35" s="277">
        <f t="shared" si="0"/>
        <v>0</v>
      </c>
      <c r="I35" s="289">
        <f t="shared" si="1"/>
        <v>0</v>
      </c>
      <c r="J35" s="323"/>
      <c r="K35" s="276">
        <f t="shared" si="2"/>
        <v>0</v>
      </c>
      <c r="L35" s="277">
        <f t="shared" si="3"/>
        <v>0</v>
      </c>
      <c r="M35" s="277">
        <f t="shared" si="4"/>
        <v>0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0</v>
      </c>
      <c r="U35" s="283">
        <f t="shared" si="7"/>
        <v>0</v>
      </c>
      <c r="V35" s="284">
        <f t="shared" si="8"/>
        <v>0</v>
      </c>
      <c r="W35" s="284">
        <f t="shared" si="9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 t="s">
        <v>382</v>
      </c>
      <c r="C36" s="295" t="s">
        <v>229</v>
      </c>
      <c r="D36" s="271" t="s">
        <v>41</v>
      </c>
      <c r="E36" s="293" t="s">
        <v>176</v>
      </c>
      <c r="F36" s="273">
        <v>4</v>
      </c>
      <c r="G36" s="259">
        <v>183</v>
      </c>
      <c r="H36" s="258">
        <f t="shared" si="0"/>
        <v>132.61000000000001</v>
      </c>
      <c r="I36" s="274">
        <f t="shared" si="1"/>
        <v>530.44000000000005</v>
      </c>
      <c r="J36" s="323"/>
      <c r="K36" s="257">
        <f t="shared" si="2"/>
        <v>4</v>
      </c>
      <c r="L36" s="258">
        <f t="shared" si="3"/>
        <v>132.61000000000001</v>
      </c>
      <c r="M36" s="258">
        <f t="shared" si="4"/>
        <v>530.44000000000005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132.61000000000001</v>
      </c>
      <c r="U36" s="264">
        <f t="shared" si="7"/>
        <v>530.44000000000005</v>
      </c>
      <c r="V36" s="265">
        <f t="shared" si="8"/>
        <v>0</v>
      </c>
      <c r="W36" s="265">
        <f t="shared" si="9"/>
        <v>1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>
        <v>87040161</v>
      </c>
      <c r="C37" s="181" t="s">
        <v>197</v>
      </c>
      <c r="D37" s="271" t="s">
        <v>22</v>
      </c>
      <c r="E37" s="287" t="s">
        <v>176</v>
      </c>
      <c r="F37" s="288">
        <v>1</v>
      </c>
      <c r="G37" s="281">
        <v>752.56</v>
      </c>
      <c r="H37" s="277">
        <f t="shared" si="0"/>
        <v>545.33000000000004</v>
      </c>
      <c r="I37" s="289">
        <f t="shared" si="1"/>
        <v>545.33000000000004</v>
      </c>
      <c r="J37" s="323"/>
      <c r="K37" s="276">
        <f t="shared" si="2"/>
        <v>1</v>
      </c>
      <c r="L37" s="277">
        <f t="shared" si="3"/>
        <v>545.33000000000004</v>
      </c>
      <c r="M37" s="277">
        <f t="shared" si="4"/>
        <v>545.33000000000004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545.33000000000004</v>
      </c>
      <c r="U37" s="283">
        <f t="shared" si="7"/>
        <v>545.33000000000004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>
        <v>87026034</v>
      </c>
      <c r="C38" s="295" t="s">
        <v>198</v>
      </c>
      <c r="D38" s="271" t="s">
        <v>199</v>
      </c>
      <c r="E38" s="293" t="s">
        <v>176</v>
      </c>
      <c r="F38" s="273">
        <v>1</v>
      </c>
      <c r="G38" s="259">
        <v>583.6</v>
      </c>
      <c r="H38" s="258">
        <f t="shared" si="0"/>
        <v>422.9</v>
      </c>
      <c r="I38" s="274">
        <f t="shared" si="1"/>
        <v>422.9</v>
      </c>
      <c r="J38" s="323"/>
      <c r="K38" s="257">
        <f t="shared" si="2"/>
        <v>1</v>
      </c>
      <c r="L38" s="258">
        <f t="shared" si="3"/>
        <v>422.9</v>
      </c>
      <c r="M38" s="258">
        <f t="shared" si="4"/>
        <v>422.9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422.9</v>
      </c>
      <c r="U38" s="264">
        <f t="shared" si="7"/>
        <v>422.9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>
        <v>2830266</v>
      </c>
      <c r="C39" s="181" t="s">
        <v>200</v>
      </c>
      <c r="D39" s="271" t="s">
        <v>18</v>
      </c>
      <c r="E39" s="287" t="s">
        <v>176</v>
      </c>
      <c r="F39" s="288">
        <v>1</v>
      </c>
      <c r="G39" s="281">
        <v>128.27000000000001</v>
      </c>
      <c r="H39" s="277">
        <f t="shared" si="0"/>
        <v>92.95</v>
      </c>
      <c r="I39" s="289">
        <f t="shared" si="1"/>
        <v>92.95</v>
      </c>
      <c r="J39" s="323"/>
      <c r="K39" s="276">
        <f t="shared" si="2"/>
        <v>1</v>
      </c>
      <c r="L39" s="277">
        <f t="shared" si="3"/>
        <v>92.95</v>
      </c>
      <c r="M39" s="277">
        <f t="shared" si="4"/>
        <v>92.95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92.95</v>
      </c>
      <c r="U39" s="283">
        <f t="shared" si="7"/>
        <v>92.95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>
        <v>87038475</v>
      </c>
      <c r="C40" s="295" t="s">
        <v>201</v>
      </c>
      <c r="D40" s="271" t="s">
        <v>13</v>
      </c>
      <c r="E40" s="293" t="s">
        <v>176</v>
      </c>
      <c r="F40" s="273">
        <v>1</v>
      </c>
      <c r="G40" s="259">
        <v>359.47</v>
      </c>
      <c r="H40" s="258">
        <f t="shared" si="0"/>
        <v>260.49</v>
      </c>
      <c r="I40" s="274">
        <f t="shared" si="1"/>
        <v>260.49</v>
      </c>
      <c r="J40" s="323"/>
      <c r="K40" s="257">
        <f t="shared" si="2"/>
        <v>1</v>
      </c>
      <c r="L40" s="258">
        <f t="shared" si="3"/>
        <v>260.49</v>
      </c>
      <c r="M40" s="258">
        <f t="shared" si="4"/>
        <v>260.49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260.49</v>
      </c>
      <c r="U40" s="264">
        <f t="shared" si="7"/>
        <v>260.49</v>
      </c>
      <c r="V40" s="265">
        <f t="shared" si="8"/>
        <v>0</v>
      </c>
      <c r="W40" s="265">
        <f t="shared" si="9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/>
      <c r="D41" s="271"/>
      <c r="E41" s="287"/>
      <c r="F41" s="288"/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0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/>
      <c r="C42" s="295"/>
      <c r="D42" s="271"/>
      <c r="E42" s="293"/>
      <c r="F42" s="273"/>
      <c r="G42" s="259"/>
      <c r="H42" s="258">
        <f t="shared" si="0"/>
        <v>0</v>
      </c>
      <c r="I42" s="274">
        <f t="shared" si="1"/>
        <v>0</v>
      </c>
      <c r="J42" s="323"/>
      <c r="K42" s="257">
        <f t="shared" si="2"/>
        <v>0</v>
      </c>
      <c r="L42" s="258">
        <f t="shared" si="3"/>
        <v>0</v>
      </c>
      <c r="M42" s="258">
        <f t="shared" si="4"/>
        <v>0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0</v>
      </c>
      <c r="U42" s="264">
        <f t="shared" si="7"/>
        <v>0</v>
      </c>
      <c r="V42" s="265">
        <f t="shared" si="8"/>
        <v>0</v>
      </c>
      <c r="W42" s="265">
        <f t="shared" si="9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/>
      <c r="C44" s="295"/>
      <c r="D44" s="271"/>
      <c r="E44" s="293"/>
      <c r="F44" s="273"/>
      <c r="G44" s="259"/>
      <c r="H44" s="258">
        <f t="shared" si="0"/>
        <v>0</v>
      </c>
      <c r="I44" s="274">
        <f t="shared" si="1"/>
        <v>0</v>
      </c>
      <c r="J44" s="323"/>
      <c r="K44" s="257">
        <f t="shared" si="2"/>
        <v>0</v>
      </c>
      <c r="L44" s="258">
        <f t="shared" si="3"/>
        <v>0</v>
      </c>
      <c r="M44" s="258">
        <f t="shared" si="4"/>
        <v>0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0</v>
      </c>
      <c r="U44" s="264">
        <f t="shared" si="7"/>
        <v>0</v>
      </c>
      <c r="V44" s="265">
        <f t="shared" si="8"/>
        <v>0</v>
      </c>
      <c r="W44" s="265">
        <f t="shared" si="9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/>
      <c r="C45" s="181"/>
      <c r="D45" s="271"/>
      <c r="E45" s="287"/>
      <c r="F45" s="288"/>
      <c r="G45" s="281"/>
      <c r="H45" s="277">
        <f t="shared" si="0"/>
        <v>0</v>
      </c>
      <c r="I45" s="289">
        <f t="shared" si="1"/>
        <v>0</v>
      </c>
      <c r="J45" s="323"/>
      <c r="K45" s="276">
        <f t="shared" si="2"/>
        <v>0</v>
      </c>
      <c r="L45" s="277">
        <f t="shared" si="3"/>
        <v>0</v>
      </c>
      <c r="M45" s="277">
        <f t="shared" si="4"/>
        <v>0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0</v>
      </c>
      <c r="U45" s="283">
        <f t="shared" si="7"/>
        <v>0</v>
      </c>
      <c r="V45" s="284">
        <f t="shared" si="8"/>
        <v>0</v>
      </c>
      <c r="W45" s="284">
        <f t="shared" si="9"/>
        <v>0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/>
      <c r="C46" s="295"/>
      <c r="D46" s="271"/>
      <c r="E46" s="293"/>
      <c r="F46" s="273"/>
      <c r="G46" s="259"/>
      <c r="H46" s="258">
        <f t="shared" si="0"/>
        <v>0</v>
      </c>
      <c r="I46" s="274">
        <f t="shared" si="1"/>
        <v>0</v>
      </c>
      <c r="J46" s="323"/>
      <c r="K46" s="257">
        <f t="shared" si="2"/>
        <v>0</v>
      </c>
      <c r="L46" s="258">
        <f t="shared" si="3"/>
        <v>0</v>
      </c>
      <c r="M46" s="258">
        <f t="shared" si="4"/>
        <v>0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0</v>
      </c>
      <c r="U46" s="264">
        <f t="shared" si="7"/>
        <v>0</v>
      </c>
      <c r="V46" s="265">
        <f t="shared" si="8"/>
        <v>0</v>
      </c>
      <c r="W46" s="265">
        <f t="shared" si="9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/>
      <c r="C47" s="181"/>
      <c r="D47" s="271"/>
      <c r="E47" s="287"/>
      <c r="F47" s="288"/>
      <c r="G47" s="281"/>
      <c r="H47" s="277">
        <f t="shared" si="0"/>
        <v>0</v>
      </c>
      <c r="I47" s="289">
        <f t="shared" si="1"/>
        <v>0</v>
      </c>
      <c r="J47" s="323"/>
      <c r="K47" s="276">
        <f t="shared" si="2"/>
        <v>0</v>
      </c>
      <c r="L47" s="277">
        <f t="shared" si="3"/>
        <v>0</v>
      </c>
      <c r="M47" s="277">
        <f t="shared" si="4"/>
        <v>0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0</v>
      </c>
      <c r="U47" s="283">
        <f t="shared" si="7"/>
        <v>0</v>
      </c>
      <c r="V47" s="284">
        <f t="shared" si="8"/>
        <v>0</v>
      </c>
      <c r="W47" s="284">
        <f t="shared" si="9"/>
        <v>0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/>
      <c r="C48" s="295"/>
      <c r="D48" s="271"/>
      <c r="E48" s="293"/>
      <c r="F48" s="273"/>
      <c r="G48" s="259"/>
      <c r="H48" s="258">
        <f t="shared" si="0"/>
        <v>0</v>
      </c>
      <c r="I48" s="274">
        <f t="shared" si="1"/>
        <v>0</v>
      </c>
      <c r="J48" s="323"/>
      <c r="K48" s="257">
        <f t="shared" si="2"/>
        <v>0</v>
      </c>
      <c r="L48" s="258">
        <f t="shared" si="3"/>
        <v>0</v>
      </c>
      <c r="M48" s="258">
        <f t="shared" si="4"/>
        <v>0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0</v>
      </c>
      <c r="U48" s="264">
        <f t="shared" si="7"/>
        <v>0</v>
      </c>
      <c r="V48" s="265">
        <f t="shared" si="8"/>
        <v>0</v>
      </c>
      <c r="W48" s="265">
        <f t="shared" si="9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181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ref="H50:H80" si="10">ROUND(IF($G$17="USD $", G50*$F$15,G50*$E$15),2)</f>
        <v>0</v>
      </c>
      <c r="I50" s="274">
        <f t="shared" ref="I50:I80" si="11">ROUND(IF($I$17=$H$17,F50*H50,F50*G50),2)</f>
        <v>0</v>
      </c>
      <c r="J50" s="323"/>
      <c r="K50" s="257">
        <f t="shared" ref="K50:K80" si="12">F50</f>
        <v>0</v>
      </c>
      <c r="L50" s="258">
        <f t="shared" ref="L50:L80" si="13">IFERROR(IF(N50="OEM DISC %",ROUND(IF($L$17=$G$17,G50*(1-O50),H50*(1-O50)),2),IF(N50="MARKUP %",ROUND(S50/K50*(1+O50),2))),0)</f>
        <v>0</v>
      </c>
      <c r="M50" s="258">
        <f t="shared" ref="M50:M80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0" si="15">ROUND(IF($S$17=$R$17,R50,IF($S$17="USD $",R50*$E$15,R50*$F$15))*F50,2)</f>
        <v>0</v>
      </c>
      <c r="T50" s="264">
        <f t="shared" ref="T50:T80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/>
      <c r="C51" s="181"/>
      <c r="D51" s="271"/>
      <c r="E51" s="287"/>
      <c r="F51" s="288"/>
      <c r="G51" s="281"/>
      <c r="H51" s="277">
        <f t="shared" si="10"/>
        <v>0</v>
      </c>
      <c r="I51" s="289">
        <f t="shared" si="11"/>
        <v>0</v>
      </c>
      <c r="J51" s="323"/>
      <c r="K51" s="276">
        <f t="shared" si="12"/>
        <v>0</v>
      </c>
      <c r="L51" s="277">
        <f t="shared" si="13"/>
        <v>0</v>
      </c>
      <c r="M51" s="277">
        <f t="shared" si="14"/>
        <v>0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0</v>
      </c>
      <c r="U51" s="283">
        <f t="shared" si="17"/>
        <v>0</v>
      </c>
      <c r="V51" s="284">
        <f t="shared" si="18"/>
        <v>0</v>
      </c>
      <c r="W51" s="284">
        <f t="shared" si="19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/>
      <c r="C52" s="295"/>
      <c r="D52" s="271"/>
      <c r="E52" s="293"/>
      <c r="F52" s="273"/>
      <c r="G52" s="259"/>
      <c r="H52" s="258">
        <f t="shared" si="10"/>
        <v>0</v>
      </c>
      <c r="I52" s="274">
        <f t="shared" si="11"/>
        <v>0</v>
      </c>
      <c r="J52" s="323"/>
      <c r="K52" s="257">
        <f t="shared" si="12"/>
        <v>0</v>
      </c>
      <c r="L52" s="258">
        <f t="shared" si="13"/>
        <v>0</v>
      </c>
      <c r="M52" s="258">
        <f t="shared" si="14"/>
        <v>0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0</v>
      </c>
      <c r="U52" s="264">
        <f t="shared" si="17"/>
        <v>0</v>
      </c>
      <c r="V52" s="265">
        <f t="shared" si="18"/>
        <v>0</v>
      </c>
      <c r="W52" s="265">
        <f t="shared" si="19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/>
      <c r="C53" s="181"/>
      <c r="D53" s="271"/>
      <c r="E53" s="287"/>
      <c r="F53" s="288"/>
      <c r="G53" s="281"/>
      <c r="H53" s="277">
        <f t="shared" si="10"/>
        <v>0</v>
      </c>
      <c r="I53" s="289">
        <f t="shared" si="11"/>
        <v>0</v>
      </c>
      <c r="J53" s="323"/>
      <c r="K53" s="276">
        <f t="shared" si="12"/>
        <v>0</v>
      </c>
      <c r="L53" s="277">
        <f t="shared" si="13"/>
        <v>0</v>
      </c>
      <c r="M53" s="277">
        <f t="shared" si="14"/>
        <v>0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0</v>
      </c>
      <c r="U53" s="283">
        <f t="shared" si="17"/>
        <v>0</v>
      </c>
      <c r="V53" s="284">
        <f t="shared" si="18"/>
        <v>0</v>
      </c>
      <c r="W53" s="284">
        <f t="shared" si="19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96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96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96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96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96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23</v>
      </c>
      <c r="G81" s="318">
        <f>SUM(G18:G80)</f>
        <v>13190.039999999999</v>
      </c>
      <c r="H81" s="308">
        <f>SUM(H18:H80)</f>
        <v>9558</v>
      </c>
      <c r="I81" s="309">
        <f>SUM(I18:I80)</f>
        <v>10551.06</v>
      </c>
      <c r="J81" s="324"/>
      <c r="K81" s="307">
        <f>SUM(K18:K80)</f>
        <v>23</v>
      </c>
      <c r="L81" s="308">
        <f>SUM(L18:L80)</f>
        <v>9558</v>
      </c>
      <c r="M81" s="309">
        <f>SUM(M18:M80)</f>
        <v>10551.06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9558</v>
      </c>
      <c r="U81" s="309">
        <f>SUM(U18:U80)</f>
        <v>10551.06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T9:T10"/>
    <mergeCell ref="U9:U10"/>
    <mergeCell ref="V9:V10"/>
    <mergeCell ref="W9:W10"/>
    <mergeCell ref="X9:X10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T1:X1"/>
    <mergeCell ref="B1:C1"/>
    <mergeCell ref="E1:H1"/>
    <mergeCell ref="I1:L1"/>
    <mergeCell ref="M1:P1"/>
    <mergeCell ref="Q1:S1"/>
  </mergeCells>
  <conditionalFormatting sqref="V9:V10">
    <cfRule type="expression" dxfId="59" priority="3" stopIfTrue="1">
      <formula>$V$9&gt;100%</formula>
    </cfRule>
    <cfRule type="expression" dxfId="58" priority="4">
      <formula>$V$9&lt;50%</formula>
    </cfRule>
  </conditionalFormatting>
  <conditionalFormatting sqref="W9:W10">
    <cfRule type="expression" dxfId="57" priority="1">
      <formula>$W$9&lt;50%</formula>
    </cfRule>
    <cfRule type="expression" dxfId="56" priority="2">
      <formula>$W$9&gt;50%</formula>
    </cfRule>
  </conditionalFormatting>
  <dataValidations count="6">
    <dataValidation type="list" allowBlank="1" showInputMessage="1" showErrorMessage="1" sqref="G17 R14 R17 L17" xr:uid="{F32B7175-0E5C-4735-9998-F0DF15CFA1C5}">
      <formula1>$Z$11:$Z$12</formula1>
    </dataValidation>
    <dataValidation type="list" allowBlank="1" showInputMessage="1" showErrorMessage="1" sqref="I13" xr:uid="{334391F2-4147-4D67-A1DD-0298A60C478C}">
      <formula1>$Z$13:$Z$14</formula1>
    </dataValidation>
    <dataValidation type="list" allowBlank="1" showInputMessage="1" showErrorMessage="1" sqref="J13" xr:uid="{C06EECFD-5AB7-45D9-94CA-C9F8BB659EFE}">
      <formula1>$L$9:$L$9</formula1>
    </dataValidation>
    <dataValidation type="list" showInputMessage="1" showErrorMessage="1" sqref="E18:E80" xr:uid="{E324EBFD-E16A-474F-BCAC-0E742354D3E5}">
      <formula1>$AA$18:$AA$29</formula1>
    </dataValidation>
    <dataValidation type="list" allowBlank="1" showInputMessage="1" showErrorMessage="1" sqref="N18:N80" xr:uid="{B7D7A50E-7D58-4979-B1DB-DC9FAC212AE5}">
      <formula1>$Z$31:$Z$32</formula1>
    </dataValidation>
    <dataValidation type="list" allowBlank="1" showInputMessage="1" showErrorMessage="1" sqref="G2" xr:uid="{CBDE11BD-B613-4DDF-9AF5-9BEC9B8F0350}">
      <formula1>$Z$34:$Z$48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07A3C5-7B03-45B3-AA2D-5B5B98119D43}">
          <x14:formula1>
            <xm:f>'Product Type'!$A$1:$A$55</xm:f>
          </x14:formula1>
          <xm:sqref>D18:D53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8D2A-C27A-42B1-9AD2-BF7CED77FC82}">
  <sheetPr>
    <pageSetUpPr fitToPage="1"/>
  </sheetPr>
  <dimension ref="A1:AC83"/>
  <sheetViews>
    <sheetView zoomScale="85" zoomScaleNormal="85" workbookViewId="0">
      <selection activeCell="G3" sqref="G3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23.5703125" style="164" bestFit="1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196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1825.72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383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1825.72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384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174" t="s">
        <v>385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/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1825.72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/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1825.72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9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/>
      <c r="C18" s="325" t="s">
        <v>209</v>
      </c>
      <c r="D18" s="271"/>
      <c r="E18" s="272"/>
      <c r="F18" s="273"/>
      <c r="G18" s="259"/>
      <c r="H18" s="258">
        <f t="shared" ref="H18:H52" si="0">ROUND(IF($G$17="USD $", G18*$F$15,G18*$E$15),2)</f>
        <v>0</v>
      </c>
      <c r="I18" s="274">
        <f t="shared" ref="I18:I49" si="1">ROUND(IF($I$17=$H$17,F18*H18,F18*G18),2)</f>
        <v>0</v>
      </c>
      <c r="J18" s="322"/>
      <c r="K18" s="257">
        <f t="shared" ref="K18:K49" si="2">F18</f>
        <v>0</v>
      </c>
      <c r="L18" s="258">
        <f t="shared" ref="L18:L49" si="3">IFERROR(IF(N18="OEM DISC %",ROUND(IF($L$17=$G$17,G18*(1-O18),H18*(1-O18)),2),IF(N18="MARKUP %",ROUND(S18/K18*(1+O18),2))),0)</f>
        <v>0</v>
      </c>
      <c r="M18" s="258">
        <f t="shared" ref="M18:M49" si="4">ROUND((K18*L18),2)</f>
        <v>0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0</v>
      </c>
      <c r="U18" s="264">
        <f t="shared" ref="U18:U49" si="7">ROUND(M18-S18,2)</f>
        <v>0</v>
      </c>
      <c r="V18" s="265">
        <f t="shared" ref="V18:V49" si="8">IFERROR(((L18-(S18/K18))/(S18/K18)),0)</f>
        <v>0</v>
      </c>
      <c r="W18" s="265">
        <f t="shared" ref="W18:W49" si="9">IFERROR(((L18-(S18/K18))/L18),0)</f>
        <v>0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>
        <v>70024278</v>
      </c>
      <c r="C19" s="181" t="s">
        <v>210</v>
      </c>
      <c r="D19" s="271" t="s">
        <v>29</v>
      </c>
      <c r="E19" s="287"/>
      <c r="F19" s="288">
        <v>1</v>
      </c>
      <c r="G19" s="281">
        <v>34.5</v>
      </c>
      <c r="H19" s="277">
        <f t="shared" si="0"/>
        <v>25</v>
      </c>
      <c r="I19" s="289">
        <f t="shared" si="1"/>
        <v>25</v>
      </c>
      <c r="J19" s="323"/>
      <c r="K19" s="276">
        <f t="shared" si="2"/>
        <v>1</v>
      </c>
      <c r="L19" s="277">
        <f t="shared" si="3"/>
        <v>25</v>
      </c>
      <c r="M19" s="277">
        <f t="shared" si="4"/>
        <v>25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25</v>
      </c>
      <c r="U19" s="283">
        <f t="shared" si="7"/>
        <v>25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>
        <v>70023812</v>
      </c>
      <c r="C20" s="295" t="s">
        <v>386</v>
      </c>
      <c r="D20" s="271" t="s">
        <v>28</v>
      </c>
      <c r="E20" s="293"/>
      <c r="F20" s="273">
        <v>1</v>
      </c>
      <c r="G20" s="259">
        <v>117.25</v>
      </c>
      <c r="H20" s="258">
        <f t="shared" si="0"/>
        <v>84.96</v>
      </c>
      <c r="I20" s="274">
        <f t="shared" si="1"/>
        <v>84.96</v>
      </c>
      <c r="J20" s="323"/>
      <c r="K20" s="257">
        <f t="shared" si="2"/>
        <v>1</v>
      </c>
      <c r="L20" s="258">
        <f t="shared" si="3"/>
        <v>84.96</v>
      </c>
      <c r="M20" s="258">
        <f t="shared" si="4"/>
        <v>84.96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84.96</v>
      </c>
      <c r="U20" s="264">
        <f t="shared" si="7"/>
        <v>84.96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>
        <v>70022846</v>
      </c>
      <c r="C21" s="181" t="s">
        <v>243</v>
      </c>
      <c r="D21" s="271" t="s">
        <v>28</v>
      </c>
      <c r="E21" s="287"/>
      <c r="F21" s="288">
        <v>1</v>
      </c>
      <c r="G21" s="281">
        <v>98.75</v>
      </c>
      <c r="H21" s="277">
        <f t="shared" si="0"/>
        <v>71.56</v>
      </c>
      <c r="I21" s="289">
        <f t="shared" si="1"/>
        <v>71.56</v>
      </c>
      <c r="J21" s="323"/>
      <c r="K21" s="276">
        <f t="shared" si="2"/>
        <v>1</v>
      </c>
      <c r="L21" s="277">
        <f t="shared" si="3"/>
        <v>71.56</v>
      </c>
      <c r="M21" s="277">
        <f t="shared" si="4"/>
        <v>71.56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71.56</v>
      </c>
      <c r="U21" s="283">
        <f t="shared" si="7"/>
        <v>71.56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>
        <v>1319726</v>
      </c>
      <c r="C22" s="295" t="s">
        <v>213</v>
      </c>
      <c r="D22" s="271" t="s">
        <v>30</v>
      </c>
      <c r="E22" s="293"/>
      <c r="F22" s="273">
        <v>1</v>
      </c>
      <c r="G22" s="259">
        <v>67.5</v>
      </c>
      <c r="H22" s="258">
        <f t="shared" si="0"/>
        <v>48.91</v>
      </c>
      <c r="I22" s="274">
        <f t="shared" si="1"/>
        <v>48.91</v>
      </c>
      <c r="J22" s="323"/>
      <c r="K22" s="257">
        <f t="shared" si="2"/>
        <v>1</v>
      </c>
      <c r="L22" s="258">
        <f t="shared" si="3"/>
        <v>48.91</v>
      </c>
      <c r="M22" s="258">
        <f t="shared" si="4"/>
        <v>48.91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48.91</v>
      </c>
      <c r="U22" s="264">
        <f t="shared" si="7"/>
        <v>48.91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>
        <v>8320265</v>
      </c>
      <c r="C23" s="181" t="s">
        <v>214</v>
      </c>
      <c r="D23" s="271" t="s">
        <v>27</v>
      </c>
      <c r="E23" s="287"/>
      <c r="F23" s="288">
        <v>1</v>
      </c>
      <c r="G23" s="281">
        <v>87.5</v>
      </c>
      <c r="H23" s="277">
        <f t="shared" si="0"/>
        <v>63.41</v>
      </c>
      <c r="I23" s="289">
        <f t="shared" si="1"/>
        <v>63.41</v>
      </c>
      <c r="J23" s="323"/>
      <c r="K23" s="276">
        <f t="shared" si="2"/>
        <v>1</v>
      </c>
      <c r="L23" s="277">
        <f t="shared" si="3"/>
        <v>63.41</v>
      </c>
      <c r="M23" s="277">
        <f t="shared" si="4"/>
        <v>63.41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63.41</v>
      </c>
      <c r="U23" s="283">
        <f t="shared" si="7"/>
        <v>63.41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80">
        <v>70024177</v>
      </c>
      <c r="C24" s="181" t="s">
        <v>216</v>
      </c>
      <c r="D24" s="271" t="s">
        <v>25</v>
      </c>
      <c r="E24" s="293"/>
      <c r="F24" s="273">
        <v>1</v>
      </c>
      <c r="G24" s="259">
        <v>121.5</v>
      </c>
      <c r="H24" s="258">
        <f t="shared" si="0"/>
        <v>88.04</v>
      </c>
      <c r="I24" s="274">
        <f t="shared" si="1"/>
        <v>88.04</v>
      </c>
      <c r="J24" s="323"/>
      <c r="K24" s="257">
        <f t="shared" si="2"/>
        <v>1</v>
      </c>
      <c r="L24" s="258">
        <f t="shared" si="3"/>
        <v>88.04</v>
      </c>
      <c r="M24" s="258">
        <f t="shared" si="4"/>
        <v>88.04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88.04</v>
      </c>
      <c r="U24" s="264">
        <f t="shared" si="7"/>
        <v>88.04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62">
        <v>70024176</v>
      </c>
      <c r="C25" s="295" t="s">
        <v>217</v>
      </c>
      <c r="D25" s="271" t="s">
        <v>25</v>
      </c>
      <c r="E25" s="287"/>
      <c r="F25" s="288">
        <v>1</v>
      </c>
      <c r="G25" s="281">
        <v>80</v>
      </c>
      <c r="H25" s="277">
        <f t="shared" si="0"/>
        <v>57.97</v>
      </c>
      <c r="I25" s="289">
        <f t="shared" si="1"/>
        <v>57.97</v>
      </c>
      <c r="J25" s="323"/>
      <c r="K25" s="276">
        <f t="shared" si="2"/>
        <v>1</v>
      </c>
      <c r="L25" s="277">
        <f t="shared" si="3"/>
        <v>57.97</v>
      </c>
      <c r="M25" s="277">
        <f t="shared" si="4"/>
        <v>57.97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57.97</v>
      </c>
      <c r="U25" s="283">
        <f t="shared" si="7"/>
        <v>57.97</v>
      </c>
      <c r="V25" s="284">
        <f t="shared" si="8"/>
        <v>0</v>
      </c>
      <c r="W25" s="284">
        <f t="shared" si="9"/>
        <v>1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/>
      <c r="C26" s="295"/>
      <c r="D26" s="271"/>
      <c r="E26" s="293"/>
      <c r="F26" s="273"/>
      <c r="G26" s="259"/>
      <c r="H26" s="258">
        <f t="shared" si="0"/>
        <v>0</v>
      </c>
      <c r="I26" s="274">
        <f t="shared" si="1"/>
        <v>0</v>
      </c>
      <c r="J26" s="323"/>
      <c r="K26" s="257">
        <f t="shared" si="2"/>
        <v>0</v>
      </c>
      <c r="L26" s="258">
        <f t="shared" si="3"/>
        <v>0</v>
      </c>
      <c r="M26" s="258">
        <f t="shared" si="4"/>
        <v>0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0</v>
      </c>
      <c r="U26" s="264">
        <f t="shared" si="7"/>
        <v>0</v>
      </c>
      <c r="V26" s="265">
        <f t="shared" si="8"/>
        <v>0</v>
      </c>
      <c r="W26" s="265">
        <f t="shared" si="9"/>
        <v>0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/>
      <c r="C27" s="181" t="s">
        <v>313</v>
      </c>
      <c r="D27" s="271"/>
      <c r="E27" s="287"/>
      <c r="F27" s="288"/>
      <c r="G27" s="281"/>
      <c r="H27" s="277">
        <f t="shared" si="0"/>
        <v>0</v>
      </c>
      <c r="I27" s="289">
        <f t="shared" si="1"/>
        <v>0</v>
      </c>
      <c r="J27" s="323"/>
      <c r="K27" s="276">
        <f t="shared" si="2"/>
        <v>0</v>
      </c>
      <c r="L27" s="277">
        <f t="shared" si="3"/>
        <v>0</v>
      </c>
      <c r="M27" s="277">
        <f t="shared" si="4"/>
        <v>0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0</v>
      </c>
      <c r="U27" s="283">
        <f t="shared" si="7"/>
        <v>0</v>
      </c>
      <c r="V27" s="284">
        <f t="shared" si="8"/>
        <v>0</v>
      </c>
      <c r="W27" s="284">
        <f t="shared" si="9"/>
        <v>0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>
        <v>1001155219</v>
      </c>
      <c r="C28" s="295" t="s">
        <v>220</v>
      </c>
      <c r="D28" s="271" t="s">
        <v>0</v>
      </c>
      <c r="E28" s="293" t="s">
        <v>176</v>
      </c>
      <c r="F28" s="273">
        <v>1</v>
      </c>
      <c r="G28" s="259">
        <v>237.5</v>
      </c>
      <c r="H28" s="258">
        <f t="shared" si="0"/>
        <v>172.1</v>
      </c>
      <c r="I28" s="274">
        <f t="shared" si="1"/>
        <v>172.1</v>
      </c>
      <c r="J28" s="323"/>
      <c r="K28" s="257">
        <f t="shared" si="2"/>
        <v>1</v>
      </c>
      <c r="L28" s="258">
        <f t="shared" si="3"/>
        <v>172.1</v>
      </c>
      <c r="M28" s="258">
        <f t="shared" si="4"/>
        <v>172.1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172.1</v>
      </c>
      <c r="U28" s="264">
        <f t="shared" si="7"/>
        <v>172.1</v>
      </c>
      <c r="V28" s="265">
        <f t="shared" si="8"/>
        <v>0</v>
      </c>
      <c r="W28" s="265">
        <f t="shared" si="9"/>
        <v>1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>
        <v>1001275931</v>
      </c>
      <c r="C29" s="181" t="s">
        <v>387</v>
      </c>
      <c r="D29" s="271" t="s">
        <v>40</v>
      </c>
      <c r="E29" s="287" t="s">
        <v>176</v>
      </c>
      <c r="F29" s="288">
        <v>1</v>
      </c>
      <c r="G29" s="281">
        <v>1675</v>
      </c>
      <c r="H29" s="277">
        <f t="shared" si="0"/>
        <v>1213.77</v>
      </c>
      <c r="I29" s="289">
        <f t="shared" si="1"/>
        <v>1213.77</v>
      </c>
      <c r="J29" s="323"/>
      <c r="K29" s="276">
        <f t="shared" si="2"/>
        <v>1</v>
      </c>
      <c r="L29" s="277">
        <f t="shared" si="3"/>
        <v>1213.77</v>
      </c>
      <c r="M29" s="277">
        <f t="shared" si="4"/>
        <v>1213.77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1213.77</v>
      </c>
      <c r="U29" s="283">
        <f t="shared" si="7"/>
        <v>1213.77</v>
      </c>
      <c r="V29" s="284">
        <f t="shared" si="8"/>
        <v>0</v>
      </c>
      <c r="W29" s="284">
        <f t="shared" si="9"/>
        <v>1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/>
      <c r="C30" s="295"/>
      <c r="D30" s="271"/>
      <c r="E30" s="293"/>
      <c r="F30" s="273"/>
      <c r="G30" s="259"/>
      <c r="H30" s="258">
        <f t="shared" si="0"/>
        <v>0</v>
      </c>
      <c r="I30" s="274">
        <f t="shared" si="1"/>
        <v>0</v>
      </c>
      <c r="J30" s="323"/>
      <c r="K30" s="257">
        <f t="shared" si="2"/>
        <v>0</v>
      </c>
      <c r="L30" s="258">
        <f t="shared" si="3"/>
        <v>0</v>
      </c>
      <c r="M30" s="258">
        <f t="shared" si="4"/>
        <v>0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0</v>
      </c>
      <c r="U30" s="264">
        <f t="shared" si="7"/>
        <v>0</v>
      </c>
      <c r="V30" s="265">
        <f t="shared" si="8"/>
        <v>0</v>
      </c>
      <c r="W30" s="265">
        <f t="shared" si="9"/>
        <v>0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>
        <v>70024277</v>
      </c>
      <c r="C31" s="181" t="s">
        <v>197</v>
      </c>
      <c r="D31" s="271" t="s">
        <v>22</v>
      </c>
      <c r="E31" s="287" t="s">
        <v>176</v>
      </c>
      <c r="F31" s="288"/>
      <c r="G31" s="281">
        <v>875</v>
      </c>
      <c r="H31" s="277">
        <f t="shared" si="0"/>
        <v>634.05999999999995</v>
      </c>
      <c r="I31" s="289">
        <f t="shared" si="1"/>
        <v>0</v>
      </c>
      <c r="J31" s="323"/>
      <c r="K31" s="276">
        <f t="shared" si="2"/>
        <v>0</v>
      </c>
      <c r="L31" s="277">
        <f t="shared" si="3"/>
        <v>634.05999999999995</v>
      </c>
      <c r="M31" s="277">
        <f t="shared" si="4"/>
        <v>0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0</v>
      </c>
      <c r="U31" s="283">
        <f t="shared" si="7"/>
        <v>0</v>
      </c>
      <c r="V31" s="284">
        <f t="shared" si="8"/>
        <v>0</v>
      </c>
      <c r="W31" s="284">
        <f t="shared" si="9"/>
        <v>0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/>
      <c r="C32" s="295"/>
      <c r="D32" s="271"/>
      <c r="E32" s="293"/>
      <c r="F32" s="273"/>
      <c r="G32" s="259"/>
      <c r="H32" s="258">
        <f t="shared" si="0"/>
        <v>0</v>
      </c>
      <c r="I32" s="274">
        <f t="shared" si="1"/>
        <v>0</v>
      </c>
      <c r="J32" s="323"/>
      <c r="K32" s="257">
        <f t="shared" si="2"/>
        <v>0</v>
      </c>
      <c r="L32" s="258">
        <f t="shared" si="3"/>
        <v>0</v>
      </c>
      <c r="M32" s="258">
        <f t="shared" si="4"/>
        <v>0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0</v>
      </c>
      <c r="U32" s="264">
        <f t="shared" si="7"/>
        <v>0</v>
      </c>
      <c r="V32" s="265">
        <f t="shared" si="8"/>
        <v>0</v>
      </c>
      <c r="W32" s="265">
        <f t="shared" si="9"/>
        <v>0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/>
      <c r="C33" s="181"/>
      <c r="D33" s="271"/>
      <c r="E33" s="287"/>
      <c r="F33" s="288"/>
      <c r="G33" s="281"/>
      <c r="H33" s="277">
        <f t="shared" si="0"/>
        <v>0</v>
      </c>
      <c r="I33" s="289">
        <f t="shared" si="1"/>
        <v>0</v>
      </c>
      <c r="J33" s="323"/>
      <c r="K33" s="276">
        <f t="shared" si="2"/>
        <v>0</v>
      </c>
      <c r="L33" s="277">
        <f t="shared" si="3"/>
        <v>0</v>
      </c>
      <c r="M33" s="277">
        <f t="shared" si="4"/>
        <v>0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0</v>
      </c>
      <c r="U33" s="283">
        <f t="shared" si="7"/>
        <v>0</v>
      </c>
      <c r="V33" s="284">
        <f t="shared" si="8"/>
        <v>0</v>
      </c>
      <c r="W33" s="284">
        <f t="shared" si="9"/>
        <v>0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/>
      <c r="C34" s="295"/>
      <c r="D34" s="271"/>
      <c r="E34" s="293"/>
      <c r="F34" s="273"/>
      <c r="G34" s="259"/>
      <c r="H34" s="258">
        <f t="shared" si="0"/>
        <v>0</v>
      </c>
      <c r="I34" s="274">
        <f t="shared" si="1"/>
        <v>0</v>
      </c>
      <c r="J34" s="323"/>
      <c r="K34" s="257">
        <f t="shared" si="2"/>
        <v>0</v>
      </c>
      <c r="L34" s="258">
        <f t="shared" si="3"/>
        <v>0</v>
      </c>
      <c r="M34" s="258">
        <f t="shared" si="4"/>
        <v>0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0</v>
      </c>
      <c r="U34" s="264">
        <f t="shared" si="7"/>
        <v>0</v>
      </c>
      <c r="V34" s="265">
        <f t="shared" si="8"/>
        <v>0</v>
      </c>
      <c r="W34" s="265">
        <f t="shared" si="9"/>
        <v>0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/>
      <c r="C35" s="181"/>
      <c r="D35" s="271"/>
      <c r="E35" s="287"/>
      <c r="F35" s="288"/>
      <c r="G35" s="281"/>
      <c r="H35" s="277">
        <f t="shared" si="0"/>
        <v>0</v>
      </c>
      <c r="I35" s="289">
        <f t="shared" si="1"/>
        <v>0</v>
      </c>
      <c r="J35" s="323"/>
      <c r="K35" s="276">
        <f t="shared" si="2"/>
        <v>0</v>
      </c>
      <c r="L35" s="277">
        <f t="shared" si="3"/>
        <v>0</v>
      </c>
      <c r="M35" s="277">
        <f t="shared" si="4"/>
        <v>0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0</v>
      </c>
      <c r="U35" s="283">
        <f t="shared" si="7"/>
        <v>0</v>
      </c>
      <c r="V35" s="284">
        <f t="shared" si="8"/>
        <v>0</v>
      </c>
      <c r="W35" s="284">
        <f t="shared" si="9"/>
        <v>0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/>
      <c r="C36" s="295"/>
      <c r="D36" s="271"/>
      <c r="E36" s="293"/>
      <c r="F36" s="273"/>
      <c r="G36" s="259"/>
      <c r="H36" s="258">
        <f t="shared" si="0"/>
        <v>0</v>
      </c>
      <c r="I36" s="274">
        <f t="shared" si="1"/>
        <v>0</v>
      </c>
      <c r="J36" s="323"/>
      <c r="K36" s="257">
        <f t="shared" si="2"/>
        <v>0</v>
      </c>
      <c r="L36" s="258">
        <f t="shared" si="3"/>
        <v>0</v>
      </c>
      <c r="M36" s="258">
        <f t="shared" si="4"/>
        <v>0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0</v>
      </c>
      <c r="U36" s="264">
        <f t="shared" si="7"/>
        <v>0</v>
      </c>
      <c r="V36" s="265">
        <f t="shared" si="8"/>
        <v>0</v>
      </c>
      <c r="W36" s="265">
        <f t="shared" si="9"/>
        <v>0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/>
      <c r="C37" s="181"/>
      <c r="D37" s="271"/>
      <c r="E37" s="287"/>
      <c r="F37" s="288"/>
      <c r="G37" s="281"/>
      <c r="H37" s="277">
        <f t="shared" si="0"/>
        <v>0</v>
      </c>
      <c r="I37" s="289">
        <f t="shared" si="1"/>
        <v>0</v>
      </c>
      <c r="J37" s="323"/>
      <c r="K37" s="276">
        <f t="shared" si="2"/>
        <v>0</v>
      </c>
      <c r="L37" s="277">
        <f t="shared" si="3"/>
        <v>0</v>
      </c>
      <c r="M37" s="277">
        <f t="shared" si="4"/>
        <v>0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0</v>
      </c>
      <c r="U37" s="283">
        <f t="shared" si="7"/>
        <v>0</v>
      </c>
      <c r="V37" s="284">
        <f t="shared" si="8"/>
        <v>0</v>
      </c>
      <c r="W37" s="284">
        <f t="shared" si="9"/>
        <v>0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/>
      <c r="C38" s="295"/>
      <c r="D38" s="271"/>
      <c r="E38" s="293"/>
      <c r="F38" s="273"/>
      <c r="G38" s="259"/>
      <c r="H38" s="258">
        <f t="shared" si="0"/>
        <v>0</v>
      </c>
      <c r="I38" s="274">
        <f t="shared" si="1"/>
        <v>0</v>
      </c>
      <c r="J38" s="323"/>
      <c r="K38" s="257">
        <f t="shared" si="2"/>
        <v>0</v>
      </c>
      <c r="L38" s="258">
        <f t="shared" si="3"/>
        <v>0</v>
      </c>
      <c r="M38" s="258">
        <f t="shared" si="4"/>
        <v>0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0</v>
      </c>
      <c r="U38" s="264">
        <f t="shared" si="7"/>
        <v>0</v>
      </c>
      <c r="V38" s="265">
        <f t="shared" si="8"/>
        <v>0</v>
      </c>
      <c r="W38" s="265">
        <f t="shared" si="9"/>
        <v>0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/>
      <c r="C39" s="181"/>
      <c r="D39" s="271"/>
      <c r="E39" s="287"/>
      <c r="F39" s="288"/>
      <c r="G39" s="281"/>
      <c r="H39" s="277">
        <f t="shared" si="0"/>
        <v>0</v>
      </c>
      <c r="I39" s="289">
        <f t="shared" si="1"/>
        <v>0</v>
      </c>
      <c r="J39" s="323"/>
      <c r="K39" s="276">
        <f t="shared" si="2"/>
        <v>0</v>
      </c>
      <c r="L39" s="277">
        <f t="shared" si="3"/>
        <v>0</v>
      </c>
      <c r="M39" s="277">
        <f t="shared" si="4"/>
        <v>0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0</v>
      </c>
      <c r="U39" s="283">
        <f t="shared" si="7"/>
        <v>0</v>
      </c>
      <c r="V39" s="284">
        <f t="shared" si="8"/>
        <v>0</v>
      </c>
      <c r="W39" s="284">
        <f t="shared" si="9"/>
        <v>0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/>
      <c r="C40" s="295"/>
      <c r="D40" s="271"/>
      <c r="E40" s="293"/>
      <c r="F40" s="273"/>
      <c r="G40" s="259"/>
      <c r="H40" s="258">
        <f t="shared" si="0"/>
        <v>0</v>
      </c>
      <c r="I40" s="274">
        <f t="shared" si="1"/>
        <v>0</v>
      </c>
      <c r="J40" s="323"/>
      <c r="K40" s="257">
        <f t="shared" si="2"/>
        <v>0</v>
      </c>
      <c r="L40" s="258">
        <f t="shared" si="3"/>
        <v>0</v>
      </c>
      <c r="M40" s="258">
        <f t="shared" si="4"/>
        <v>0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0</v>
      </c>
      <c r="U40" s="264">
        <f t="shared" si="7"/>
        <v>0</v>
      </c>
      <c r="V40" s="265">
        <f t="shared" si="8"/>
        <v>0</v>
      </c>
      <c r="W40" s="265">
        <f t="shared" si="9"/>
        <v>0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/>
      <c r="C41" s="181"/>
      <c r="D41" s="271"/>
      <c r="E41" s="287"/>
      <c r="F41" s="288"/>
      <c r="G41" s="281"/>
      <c r="H41" s="277">
        <f t="shared" si="0"/>
        <v>0</v>
      </c>
      <c r="I41" s="289">
        <f t="shared" si="1"/>
        <v>0</v>
      </c>
      <c r="J41" s="323"/>
      <c r="K41" s="276">
        <f t="shared" si="2"/>
        <v>0</v>
      </c>
      <c r="L41" s="277">
        <f t="shared" si="3"/>
        <v>0</v>
      </c>
      <c r="M41" s="277">
        <f t="shared" si="4"/>
        <v>0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0</v>
      </c>
      <c r="U41" s="283">
        <f t="shared" si="7"/>
        <v>0</v>
      </c>
      <c r="V41" s="284">
        <f t="shared" si="8"/>
        <v>0</v>
      </c>
      <c r="W41" s="284">
        <f t="shared" si="9"/>
        <v>0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80"/>
      <c r="C42" s="181"/>
      <c r="D42" s="271"/>
      <c r="E42" s="287"/>
      <c r="F42" s="288"/>
      <c r="G42" s="281"/>
      <c r="H42" s="277">
        <f t="shared" si="0"/>
        <v>0</v>
      </c>
      <c r="I42" s="274">
        <f t="shared" si="1"/>
        <v>0</v>
      </c>
      <c r="J42" s="323"/>
      <c r="K42" s="257">
        <f t="shared" si="2"/>
        <v>0</v>
      </c>
      <c r="L42" s="258">
        <f t="shared" si="3"/>
        <v>0</v>
      </c>
      <c r="M42" s="258">
        <f t="shared" si="4"/>
        <v>0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0</v>
      </c>
      <c r="U42" s="264">
        <f t="shared" si="7"/>
        <v>0</v>
      </c>
      <c r="V42" s="265">
        <f t="shared" si="8"/>
        <v>0</v>
      </c>
      <c r="W42" s="265">
        <f t="shared" si="9"/>
        <v>0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62"/>
      <c r="C43" s="295"/>
      <c r="D43" s="271"/>
      <c r="E43" s="293"/>
      <c r="F43" s="273"/>
      <c r="G43" s="259"/>
      <c r="H43" s="258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80"/>
      <c r="C44" s="181"/>
      <c r="D44" s="271"/>
      <c r="E44" s="287"/>
      <c r="F44" s="288"/>
      <c r="G44" s="281"/>
      <c r="H44" s="277">
        <f t="shared" si="0"/>
        <v>0</v>
      </c>
      <c r="I44" s="274">
        <f t="shared" si="1"/>
        <v>0</v>
      </c>
      <c r="J44" s="323"/>
      <c r="K44" s="257">
        <f t="shared" si="2"/>
        <v>0</v>
      </c>
      <c r="L44" s="258">
        <f t="shared" si="3"/>
        <v>0</v>
      </c>
      <c r="M44" s="258">
        <f t="shared" si="4"/>
        <v>0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0</v>
      </c>
      <c r="U44" s="264">
        <f t="shared" si="7"/>
        <v>0</v>
      </c>
      <c r="V44" s="265">
        <f t="shared" si="8"/>
        <v>0</v>
      </c>
      <c r="W44" s="265">
        <f t="shared" si="9"/>
        <v>0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62"/>
      <c r="C45" s="295"/>
      <c r="D45" s="271"/>
      <c r="E45" s="293"/>
      <c r="F45" s="273"/>
      <c r="G45" s="259"/>
      <c r="H45" s="258">
        <f t="shared" si="0"/>
        <v>0</v>
      </c>
      <c r="I45" s="289">
        <f t="shared" si="1"/>
        <v>0</v>
      </c>
      <c r="J45" s="323"/>
      <c r="K45" s="276">
        <f t="shared" si="2"/>
        <v>0</v>
      </c>
      <c r="L45" s="277">
        <f t="shared" si="3"/>
        <v>0</v>
      </c>
      <c r="M45" s="277">
        <f t="shared" si="4"/>
        <v>0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0</v>
      </c>
      <c r="U45" s="283">
        <f t="shared" si="7"/>
        <v>0</v>
      </c>
      <c r="V45" s="284">
        <f t="shared" si="8"/>
        <v>0</v>
      </c>
      <c r="W45" s="284">
        <f t="shared" si="9"/>
        <v>0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/>
      <c r="C46" s="295"/>
      <c r="D46" s="271"/>
      <c r="E46" s="293"/>
      <c r="F46" s="273"/>
      <c r="G46" s="259"/>
      <c r="H46" s="258">
        <f t="shared" si="0"/>
        <v>0</v>
      </c>
      <c r="I46" s="274">
        <f t="shared" si="1"/>
        <v>0</v>
      </c>
      <c r="J46" s="323"/>
      <c r="K46" s="257">
        <f t="shared" si="2"/>
        <v>0</v>
      </c>
      <c r="L46" s="258">
        <f t="shared" si="3"/>
        <v>0</v>
      </c>
      <c r="M46" s="258">
        <f t="shared" si="4"/>
        <v>0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0</v>
      </c>
      <c r="U46" s="264">
        <f t="shared" si="7"/>
        <v>0</v>
      </c>
      <c r="V46" s="265">
        <f t="shared" si="8"/>
        <v>0</v>
      </c>
      <c r="W46" s="265">
        <f t="shared" si="9"/>
        <v>0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/>
      <c r="C47" s="181"/>
      <c r="D47" s="271"/>
      <c r="E47" s="287"/>
      <c r="F47" s="288"/>
      <c r="G47" s="281"/>
      <c r="H47" s="277">
        <f t="shared" si="0"/>
        <v>0</v>
      </c>
      <c r="I47" s="289">
        <f t="shared" si="1"/>
        <v>0</v>
      </c>
      <c r="J47" s="323"/>
      <c r="K47" s="276">
        <f t="shared" si="2"/>
        <v>0</v>
      </c>
      <c r="L47" s="277">
        <f t="shared" si="3"/>
        <v>0</v>
      </c>
      <c r="M47" s="277">
        <f t="shared" si="4"/>
        <v>0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0</v>
      </c>
      <c r="U47" s="283">
        <f t="shared" si="7"/>
        <v>0</v>
      </c>
      <c r="V47" s="284">
        <f t="shared" si="8"/>
        <v>0</v>
      </c>
      <c r="W47" s="284">
        <f t="shared" si="9"/>
        <v>0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/>
      <c r="C48" s="295"/>
      <c r="D48" s="271"/>
      <c r="E48" s="293"/>
      <c r="F48" s="273"/>
      <c r="G48" s="259"/>
      <c r="H48" s="258">
        <f t="shared" si="0"/>
        <v>0</v>
      </c>
      <c r="I48" s="274">
        <f t="shared" si="1"/>
        <v>0</v>
      </c>
      <c r="J48" s="323"/>
      <c r="K48" s="257">
        <f t="shared" si="2"/>
        <v>0</v>
      </c>
      <c r="L48" s="258">
        <f t="shared" si="3"/>
        <v>0</v>
      </c>
      <c r="M48" s="258">
        <f t="shared" si="4"/>
        <v>0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0</v>
      </c>
      <c r="U48" s="264">
        <f t="shared" si="7"/>
        <v>0</v>
      </c>
      <c r="V48" s="265">
        <f t="shared" si="8"/>
        <v>0</v>
      </c>
      <c r="W48" s="265">
        <f t="shared" si="9"/>
        <v>0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/>
      <c r="C49" s="181"/>
      <c r="D49" s="271"/>
      <c r="E49" s="287"/>
      <c r="F49" s="288"/>
      <c r="G49" s="281"/>
      <c r="H49" s="277">
        <f t="shared" si="0"/>
        <v>0</v>
      </c>
      <c r="I49" s="289">
        <f t="shared" si="1"/>
        <v>0</v>
      </c>
      <c r="J49" s="323"/>
      <c r="K49" s="276">
        <f t="shared" si="2"/>
        <v>0</v>
      </c>
      <c r="L49" s="277">
        <f t="shared" si="3"/>
        <v>0</v>
      </c>
      <c r="M49" s="277">
        <f t="shared" si="4"/>
        <v>0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0</v>
      </c>
      <c r="U49" s="283">
        <f t="shared" si="7"/>
        <v>0</v>
      </c>
      <c r="V49" s="284">
        <f t="shared" si="8"/>
        <v>0</v>
      </c>
      <c r="W49" s="284">
        <f t="shared" si="9"/>
        <v>0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si="0"/>
        <v>0</v>
      </c>
      <c r="I50" s="274">
        <f t="shared" ref="I50:I81" si="10">ROUND(IF($I$17=$H$17,F50*H50,F50*G50),2)</f>
        <v>0</v>
      </c>
      <c r="J50" s="323"/>
      <c r="K50" s="257">
        <f t="shared" ref="K50:K80" si="11">F50</f>
        <v>0</v>
      </c>
      <c r="L50" s="258">
        <f t="shared" ref="L50:L81" si="12">IFERROR(IF(N50="OEM DISC %",ROUND(IF($L$17=$G$17,G50*(1-O50),H50*(1-O50)),2),IF(N50="MARKUP %",ROUND(S50/K50*(1+O50),2))),0)</f>
        <v>0</v>
      </c>
      <c r="M50" s="258">
        <f t="shared" ref="M50:M81" si="13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1" si="14">ROUND(IF($S$17=$R$17,R50,IF($S$17="USD $",R50*$E$15,R50*$F$15))*F50,2)</f>
        <v>0</v>
      </c>
      <c r="T50" s="264">
        <f t="shared" ref="T50:T81" si="15">IFERROR(ROUND(U50/F50,2),0)</f>
        <v>0</v>
      </c>
      <c r="U50" s="264">
        <f t="shared" ref="U50:U80" si="16">ROUND(M50-S50,2)</f>
        <v>0</v>
      </c>
      <c r="V50" s="265">
        <f t="shared" ref="V50:V80" si="17">IFERROR(((L50-(S50/K50))/(S50/K50)),0)</f>
        <v>0</v>
      </c>
      <c r="W50" s="265">
        <f t="shared" ref="W50:W80" si="18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/>
      <c r="C51" s="181"/>
      <c r="D51" s="271"/>
      <c r="E51" s="287"/>
      <c r="F51" s="288"/>
      <c r="G51" s="281"/>
      <c r="H51" s="277">
        <f t="shared" si="0"/>
        <v>0</v>
      </c>
      <c r="I51" s="289">
        <f t="shared" si="10"/>
        <v>0</v>
      </c>
      <c r="J51" s="323"/>
      <c r="K51" s="276">
        <f t="shared" si="11"/>
        <v>0</v>
      </c>
      <c r="L51" s="277">
        <f t="shared" si="12"/>
        <v>0</v>
      </c>
      <c r="M51" s="277">
        <f t="shared" si="13"/>
        <v>0</v>
      </c>
      <c r="N51" s="278" t="s">
        <v>156</v>
      </c>
      <c r="O51" s="279"/>
      <c r="P51" s="261"/>
      <c r="Q51" s="280"/>
      <c r="R51" s="281"/>
      <c r="S51" s="282">
        <f t="shared" si="14"/>
        <v>0</v>
      </c>
      <c r="T51" s="283">
        <f t="shared" si="15"/>
        <v>0</v>
      </c>
      <c r="U51" s="283">
        <f t="shared" si="16"/>
        <v>0</v>
      </c>
      <c r="V51" s="284">
        <f t="shared" si="17"/>
        <v>0</v>
      </c>
      <c r="W51" s="284">
        <f t="shared" si="18"/>
        <v>0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/>
      <c r="C52" s="295"/>
      <c r="D52" s="271"/>
      <c r="E52" s="293"/>
      <c r="F52" s="273"/>
      <c r="G52" s="259"/>
      <c r="H52" s="258">
        <f t="shared" si="0"/>
        <v>0</v>
      </c>
      <c r="I52" s="274">
        <f t="shared" si="10"/>
        <v>0</v>
      </c>
      <c r="J52" s="323"/>
      <c r="K52" s="257">
        <f t="shared" si="11"/>
        <v>0</v>
      </c>
      <c r="L52" s="258">
        <f t="shared" si="12"/>
        <v>0</v>
      </c>
      <c r="M52" s="258">
        <f t="shared" si="13"/>
        <v>0</v>
      </c>
      <c r="N52" s="259" t="s">
        <v>156</v>
      </c>
      <c r="O52" s="290"/>
      <c r="P52" s="261"/>
      <c r="Q52" s="291"/>
      <c r="R52" s="263"/>
      <c r="S52" s="264">
        <f t="shared" si="14"/>
        <v>0</v>
      </c>
      <c r="T52" s="264">
        <f t="shared" si="15"/>
        <v>0</v>
      </c>
      <c r="U52" s="264">
        <f t="shared" si="16"/>
        <v>0</v>
      </c>
      <c r="V52" s="265">
        <f t="shared" si="17"/>
        <v>0</v>
      </c>
      <c r="W52" s="265">
        <f t="shared" si="18"/>
        <v>0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/>
      <c r="C53" s="181"/>
      <c r="D53" s="271"/>
      <c r="E53" s="287"/>
      <c r="F53" s="288"/>
      <c r="G53" s="281"/>
      <c r="H53" s="277"/>
      <c r="I53" s="289">
        <f t="shared" si="10"/>
        <v>0</v>
      </c>
      <c r="J53" s="323"/>
      <c r="K53" s="276">
        <f t="shared" si="11"/>
        <v>0</v>
      </c>
      <c r="L53" s="277">
        <f t="shared" si="12"/>
        <v>0</v>
      </c>
      <c r="M53" s="277">
        <f t="shared" si="13"/>
        <v>0</v>
      </c>
      <c r="N53" s="278" t="s">
        <v>156</v>
      </c>
      <c r="O53" s="279"/>
      <c r="P53" s="261"/>
      <c r="Q53" s="280"/>
      <c r="R53" s="281"/>
      <c r="S53" s="282">
        <f t="shared" si="14"/>
        <v>0</v>
      </c>
      <c r="T53" s="283">
        <f t="shared" si="15"/>
        <v>0</v>
      </c>
      <c r="U53" s="283">
        <f t="shared" si="16"/>
        <v>0</v>
      </c>
      <c r="V53" s="284">
        <f t="shared" si="17"/>
        <v>0</v>
      </c>
      <c r="W53" s="284">
        <f t="shared" si="18"/>
        <v>0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/>
      <c r="I54" s="274">
        <f t="shared" si="10"/>
        <v>0</v>
      </c>
      <c r="J54" s="323"/>
      <c r="K54" s="257">
        <f t="shared" si="11"/>
        <v>0</v>
      </c>
      <c r="L54" s="258">
        <f t="shared" si="12"/>
        <v>0</v>
      </c>
      <c r="M54" s="258">
        <f t="shared" si="13"/>
        <v>0</v>
      </c>
      <c r="N54" s="259" t="s">
        <v>156</v>
      </c>
      <c r="O54" s="290"/>
      <c r="P54" s="261"/>
      <c r="Q54" s="291"/>
      <c r="R54" s="263"/>
      <c r="S54" s="264">
        <f t="shared" si="14"/>
        <v>0</v>
      </c>
      <c r="T54" s="264">
        <f t="shared" si="15"/>
        <v>0</v>
      </c>
      <c r="U54" s="264">
        <f t="shared" si="16"/>
        <v>0</v>
      </c>
      <c r="V54" s="265">
        <f t="shared" si="17"/>
        <v>0</v>
      </c>
      <c r="W54" s="265">
        <f t="shared" si="18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/>
      <c r="I55" s="289">
        <f t="shared" si="10"/>
        <v>0</v>
      </c>
      <c r="J55" s="323"/>
      <c r="K55" s="276">
        <f t="shared" si="11"/>
        <v>0</v>
      </c>
      <c r="L55" s="277">
        <f t="shared" si="12"/>
        <v>0</v>
      </c>
      <c r="M55" s="277">
        <f t="shared" si="13"/>
        <v>0</v>
      </c>
      <c r="N55" s="278" t="s">
        <v>156</v>
      </c>
      <c r="O55" s="279"/>
      <c r="P55" s="261"/>
      <c r="Q55" s="280"/>
      <c r="R55" s="281"/>
      <c r="S55" s="282">
        <f t="shared" si="14"/>
        <v>0</v>
      </c>
      <c r="T55" s="283">
        <f t="shared" si="15"/>
        <v>0</v>
      </c>
      <c r="U55" s="283">
        <f t="shared" si="16"/>
        <v>0</v>
      </c>
      <c r="V55" s="284">
        <f t="shared" si="17"/>
        <v>0</v>
      </c>
      <c r="W55" s="284">
        <f t="shared" si="18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/>
      <c r="I56" s="274">
        <f t="shared" si="10"/>
        <v>0</v>
      </c>
      <c r="J56" s="323"/>
      <c r="K56" s="257">
        <f t="shared" si="11"/>
        <v>0</v>
      </c>
      <c r="L56" s="258">
        <f t="shared" si="12"/>
        <v>0</v>
      </c>
      <c r="M56" s="258">
        <f t="shared" si="13"/>
        <v>0</v>
      </c>
      <c r="N56" s="259" t="s">
        <v>156</v>
      </c>
      <c r="O56" s="290"/>
      <c r="P56" s="261"/>
      <c r="Q56" s="291"/>
      <c r="R56" s="263"/>
      <c r="S56" s="264">
        <f t="shared" si="14"/>
        <v>0</v>
      </c>
      <c r="T56" s="264">
        <f t="shared" si="15"/>
        <v>0</v>
      </c>
      <c r="U56" s="264">
        <f t="shared" si="16"/>
        <v>0</v>
      </c>
      <c r="V56" s="265">
        <f t="shared" si="17"/>
        <v>0</v>
      </c>
      <c r="W56" s="265">
        <f t="shared" si="18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/>
      <c r="I57" s="289">
        <f t="shared" si="10"/>
        <v>0</v>
      </c>
      <c r="J57" s="323"/>
      <c r="K57" s="276">
        <f t="shared" si="11"/>
        <v>0</v>
      </c>
      <c r="L57" s="277">
        <f t="shared" si="12"/>
        <v>0</v>
      </c>
      <c r="M57" s="277">
        <f t="shared" si="13"/>
        <v>0</v>
      </c>
      <c r="N57" s="278" t="s">
        <v>156</v>
      </c>
      <c r="O57" s="279"/>
      <c r="P57" s="261"/>
      <c r="Q57" s="280"/>
      <c r="R57" s="281"/>
      <c r="S57" s="282">
        <f t="shared" si="14"/>
        <v>0</v>
      </c>
      <c r="T57" s="283">
        <f t="shared" si="15"/>
        <v>0</v>
      </c>
      <c r="U57" s="283">
        <f t="shared" si="16"/>
        <v>0</v>
      </c>
      <c r="V57" s="284">
        <f t="shared" si="17"/>
        <v>0</v>
      </c>
      <c r="W57" s="284">
        <f t="shared" si="18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ref="H58:H80" si="19">ROUND(IF($G$17="USD $", G58*$F$15,G58*$E$15),2)</f>
        <v>0</v>
      </c>
      <c r="I58" s="274">
        <f t="shared" si="10"/>
        <v>0</v>
      </c>
      <c r="J58" s="323"/>
      <c r="K58" s="257">
        <f t="shared" si="11"/>
        <v>0</v>
      </c>
      <c r="L58" s="258">
        <f t="shared" si="12"/>
        <v>0</v>
      </c>
      <c r="M58" s="258">
        <f t="shared" si="13"/>
        <v>0</v>
      </c>
      <c r="N58" s="259" t="s">
        <v>156</v>
      </c>
      <c r="O58" s="290"/>
      <c r="P58" s="261"/>
      <c r="Q58" s="291"/>
      <c r="R58" s="263"/>
      <c r="S58" s="264">
        <f t="shared" si="14"/>
        <v>0</v>
      </c>
      <c r="T58" s="264">
        <f t="shared" si="15"/>
        <v>0</v>
      </c>
      <c r="U58" s="264">
        <f t="shared" si="16"/>
        <v>0</v>
      </c>
      <c r="V58" s="265">
        <f t="shared" si="17"/>
        <v>0</v>
      </c>
      <c r="W58" s="265">
        <f t="shared" si="18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96"/>
      <c r="E59" s="287"/>
      <c r="F59" s="288"/>
      <c r="G59" s="281"/>
      <c r="H59" s="277">
        <f t="shared" si="19"/>
        <v>0</v>
      </c>
      <c r="I59" s="289">
        <f t="shared" si="10"/>
        <v>0</v>
      </c>
      <c r="J59" s="323"/>
      <c r="K59" s="276">
        <f t="shared" si="11"/>
        <v>0</v>
      </c>
      <c r="L59" s="277">
        <f t="shared" si="12"/>
        <v>0</v>
      </c>
      <c r="M59" s="277">
        <f t="shared" si="13"/>
        <v>0</v>
      </c>
      <c r="N59" s="278" t="s">
        <v>156</v>
      </c>
      <c r="O59" s="279"/>
      <c r="P59" s="261"/>
      <c r="Q59" s="280"/>
      <c r="R59" s="281"/>
      <c r="S59" s="282">
        <f t="shared" si="14"/>
        <v>0</v>
      </c>
      <c r="T59" s="283">
        <f t="shared" si="15"/>
        <v>0</v>
      </c>
      <c r="U59" s="283">
        <f t="shared" si="16"/>
        <v>0</v>
      </c>
      <c r="V59" s="284">
        <f t="shared" si="17"/>
        <v>0</v>
      </c>
      <c r="W59" s="284">
        <f t="shared" si="18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9"/>
        <v>0</v>
      </c>
      <c r="I60" s="274">
        <f t="shared" si="10"/>
        <v>0</v>
      </c>
      <c r="J60" s="323"/>
      <c r="K60" s="257">
        <f t="shared" si="11"/>
        <v>0</v>
      </c>
      <c r="L60" s="258">
        <f t="shared" si="12"/>
        <v>0</v>
      </c>
      <c r="M60" s="258">
        <f t="shared" si="13"/>
        <v>0</v>
      </c>
      <c r="N60" s="259" t="s">
        <v>156</v>
      </c>
      <c r="O60" s="290"/>
      <c r="P60" s="261"/>
      <c r="Q60" s="291"/>
      <c r="R60" s="263"/>
      <c r="S60" s="264">
        <f t="shared" si="14"/>
        <v>0</v>
      </c>
      <c r="T60" s="264">
        <f t="shared" si="15"/>
        <v>0</v>
      </c>
      <c r="U60" s="264">
        <f t="shared" si="16"/>
        <v>0</v>
      </c>
      <c r="V60" s="265">
        <f t="shared" si="17"/>
        <v>0</v>
      </c>
      <c r="W60" s="265">
        <f t="shared" si="18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96"/>
      <c r="E61" s="287"/>
      <c r="F61" s="288"/>
      <c r="G61" s="281"/>
      <c r="H61" s="277">
        <f t="shared" si="19"/>
        <v>0</v>
      </c>
      <c r="I61" s="289">
        <f t="shared" si="10"/>
        <v>0</v>
      </c>
      <c r="J61" s="323"/>
      <c r="K61" s="276">
        <f t="shared" si="11"/>
        <v>0</v>
      </c>
      <c r="L61" s="277">
        <f t="shared" si="12"/>
        <v>0</v>
      </c>
      <c r="M61" s="277">
        <f t="shared" si="13"/>
        <v>0</v>
      </c>
      <c r="N61" s="278" t="s">
        <v>156</v>
      </c>
      <c r="O61" s="279"/>
      <c r="P61" s="261"/>
      <c r="Q61" s="280"/>
      <c r="R61" s="281"/>
      <c r="S61" s="282">
        <f t="shared" si="14"/>
        <v>0</v>
      </c>
      <c r="T61" s="283">
        <f t="shared" si="15"/>
        <v>0</v>
      </c>
      <c r="U61" s="283">
        <f t="shared" si="16"/>
        <v>0</v>
      </c>
      <c r="V61" s="284">
        <f t="shared" si="17"/>
        <v>0</v>
      </c>
      <c r="W61" s="284">
        <f t="shared" si="18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9"/>
        <v>0</v>
      </c>
      <c r="I62" s="274">
        <f t="shared" si="10"/>
        <v>0</v>
      </c>
      <c r="J62" s="323"/>
      <c r="K62" s="257">
        <f t="shared" si="11"/>
        <v>0</v>
      </c>
      <c r="L62" s="258">
        <f t="shared" si="12"/>
        <v>0</v>
      </c>
      <c r="M62" s="258">
        <f t="shared" si="13"/>
        <v>0</v>
      </c>
      <c r="N62" s="259" t="s">
        <v>156</v>
      </c>
      <c r="O62" s="290"/>
      <c r="P62" s="261"/>
      <c r="Q62" s="291"/>
      <c r="R62" s="263"/>
      <c r="S62" s="264">
        <f t="shared" si="14"/>
        <v>0</v>
      </c>
      <c r="T62" s="264">
        <f t="shared" si="15"/>
        <v>0</v>
      </c>
      <c r="U62" s="264">
        <f t="shared" si="16"/>
        <v>0</v>
      </c>
      <c r="V62" s="265">
        <f t="shared" si="17"/>
        <v>0</v>
      </c>
      <c r="W62" s="265">
        <f t="shared" si="18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96"/>
      <c r="E63" s="287"/>
      <c r="F63" s="288"/>
      <c r="G63" s="281"/>
      <c r="H63" s="277">
        <f t="shared" si="19"/>
        <v>0</v>
      </c>
      <c r="I63" s="289">
        <f t="shared" si="10"/>
        <v>0</v>
      </c>
      <c r="J63" s="323"/>
      <c r="K63" s="276">
        <f t="shared" si="11"/>
        <v>0</v>
      </c>
      <c r="L63" s="277">
        <f t="shared" si="12"/>
        <v>0</v>
      </c>
      <c r="M63" s="277">
        <f t="shared" si="13"/>
        <v>0</v>
      </c>
      <c r="N63" s="278" t="s">
        <v>156</v>
      </c>
      <c r="O63" s="279"/>
      <c r="P63" s="261"/>
      <c r="Q63" s="280"/>
      <c r="R63" s="281"/>
      <c r="S63" s="282">
        <f t="shared" si="14"/>
        <v>0</v>
      </c>
      <c r="T63" s="283">
        <f t="shared" si="15"/>
        <v>0</v>
      </c>
      <c r="U63" s="283">
        <f t="shared" si="16"/>
        <v>0</v>
      </c>
      <c r="V63" s="284">
        <f t="shared" si="17"/>
        <v>0</v>
      </c>
      <c r="W63" s="284">
        <f t="shared" si="18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9"/>
        <v>0</v>
      </c>
      <c r="I64" s="274">
        <f t="shared" si="10"/>
        <v>0</v>
      </c>
      <c r="J64" s="323"/>
      <c r="K64" s="257">
        <f t="shared" si="11"/>
        <v>0</v>
      </c>
      <c r="L64" s="258">
        <f t="shared" si="12"/>
        <v>0</v>
      </c>
      <c r="M64" s="258">
        <f t="shared" si="13"/>
        <v>0</v>
      </c>
      <c r="N64" s="259" t="s">
        <v>156</v>
      </c>
      <c r="O64" s="290"/>
      <c r="P64" s="261"/>
      <c r="Q64" s="291"/>
      <c r="R64" s="263"/>
      <c r="S64" s="264">
        <f t="shared" si="14"/>
        <v>0</v>
      </c>
      <c r="T64" s="264">
        <f t="shared" si="15"/>
        <v>0</v>
      </c>
      <c r="U64" s="264">
        <f t="shared" si="16"/>
        <v>0</v>
      </c>
      <c r="V64" s="265">
        <f t="shared" si="17"/>
        <v>0</v>
      </c>
      <c r="W64" s="265">
        <f t="shared" si="18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9"/>
        <v>0</v>
      </c>
      <c r="I65" s="289">
        <f t="shared" si="10"/>
        <v>0</v>
      </c>
      <c r="J65" s="323"/>
      <c r="K65" s="276">
        <f t="shared" si="11"/>
        <v>0</v>
      </c>
      <c r="L65" s="277">
        <f t="shared" si="12"/>
        <v>0</v>
      </c>
      <c r="M65" s="277">
        <f t="shared" si="13"/>
        <v>0</v>
      </c>
      <c r="N65" s="278" t="s">
        <v>156</v>
      </c>
      <c r="O65" s="279"/>
      <c r="P65" s="261"/>
      <c r="Q65" s="280"/>
      <c r="R65" s="281"/>
      <c r="S65" s="282">
        <f t="shared" si="14"/>
        <v>0</v>
      </c>
      <c r="T65" s="283">
        <f t="shared" si="15"/>
        <v>0</v>
      </c>
      <c r="U65" s="283">
        <f t="shared" si="16"/>
        <v>0</v>
      </c>
      <c r="V65" s="284">
        <f t="shared" si="17"/>
        <v>0</v>
      </c>
      <c r="W65" s="284">
        <f t="shared" si="18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9"/>
        <v>0</v>
      </c>
      <c r="I66" s="274">
        <f t="shared" si="10"/>
        <v>0</v>
      </c>
      <c r="J66" s="323"/>
      <c r="K66" s="257">
        <f t="shared" si="11"/>
        <v>0</v>
      </c>
      <c r="L66" s="258">
        <f t="shared" si="12"/>
        <v>0</v>
      </c>
      <c r="M66" s="258">
        <f t="shared" si="13"/>
        <v>0</v>
      </c>
      <c r="N66" s="259" t="s">
        <v>156</v>
      </c>
      <c r="O66" s="290"/>
      <c r="P66" s="261"/>
      <c r="Q66" s="291"/>
      <c r="R66" s="263"/>
      <c r="S66" s="264">
        <f t="shared" si="14"/>
        <v>0</v>
      </c>
      <c r="T66" s="264">
        <f t="shared" si="15"/>
        <v>0</v>
      </c>
      <c r="U66" s="264">
        <f t="shared" si="16"/>
        <v>0</v>
      </c>
      <c r="V66" s="265">
        <f t="shared" si="17"/>
        <v>0</v>
      </c>
      <c r="W66" s="265">
        <f t="shared" si="18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9"/>
        <v>0</v>
      </c>
      <c r="I67" s="289">
        <f t="shared" si="10"/>
        <v>0</v>
      </c>
      <c r="J67" s="323"/>
      <c r="K67" s="276">
        <f t="shared" si="11"/>
        <v>0</v>
      </c>
      <c r="L67" s="277">
        <f t="shared" si="12"/>
        <v>0</v>
      </c>
      <c r="M67" s="277">
        <f t="shared" si="13"/>
        <v>0</v>
      </c>
      <c r="N67" s="278" t="s">
        <v>156</v>
      </c>
      <c r="O67" s="279"/>
      <c r="P67" s="261"/>
      <c r="Q67" s="280"/>
      <c r="R67" s="281"/>
      <c r="S67" s="282">
        <f t="shared" si="14"/>
        <v>0</v>
      </c>
      <c r="T67" s="283">
        <f t="shared" si="15"/>
        <v>0</v>
      </c>
      <c r="U67" s="283">
        <f t="shared" si="16"/>
        <v>0</v>
      </c>
      <c r="V67" s="284">
        <f t="shared" si="17"/>
        <v>0</v>
      </c>
      <c r="W67" s="284">
        <f t="shared" si="18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9"/>
        <v>0</v>
      </c>
      <c r="I68" s="274">
        <f t="shared" si="10"/>
        <v>0</v>
      </c>
      <c r="J68" s="323"/>
      <c r="K68" s="257">
        <f t="shared" si="11"/>
        <v>0</v>
      </c>
      <c r="L68" s="258">
        <f t="shared" si="12"/>
        <v>0</v>
      </c>
      <c r="M68" s="258">
        <f t="shared" si="13"/>
        <v>0</v>
      </c>
      <c r="N68" s="259" t="s">
        <v>156</v>
      </c>
      <c r="O68" s="290"/>
      <c r="P68" s="261"/>
      <c r="Q68" s="291"/>
      <c r="R68" s="263"/>
      <c r="S68" s="264">
        <f t="shared" si="14"/>
        <v>0</v>
      </c>
      <c r="T68" s="264">
        <f t="shared" si="15"/>
        <v>0</v>
      </c>
      <c r="U68" s="264">
        <f t="shared" si="16"/>
        <v>0</v>
      </c>
      <c r="V68" s="265">
        <f t="shared" si="17"/>
        <v>0</v>
      </c>
      <c r="W68" s="265">
        <f t="shared" si="18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9"/>
        <v>0</v>
      </c>
      <c r="I69" s="289">
        <f t="shared" si="10"/>
        <v>0</v>
      </c>
      <c r="J69" s="323"/>
      <c r="K69" s="276">
        <f t="shared" si="11"/>
        <v>0</v>
      </c>
      <c r="L69" s="277">
        <f t="shared" si="12"/>
        <v>0</v>
      </c>
      <c r="M69" s="277">
        <f t="shared" si="13"/>
        <v>0</v>
      </c>
      <c r="N69" s="278" t="s">
        <v>156</v>
      </c>
      <c r="O69" s="279"/>
      <c r="P69" s="261"/>
      <c r="Q69" s="280"/>
      <c r="R69" s="281"/>
      <c r="S69" s="282">
        <f t="shared" si="14"/>
        <v>0</v>
      </c>
      <c r="T69" s="283">
        <f t="shared" si="15"/>
        <v>0</v>
      </c>
      <c r="U69" s="283">
        <f t="shared" si="16"/>
        <v>0</v>
      </c>
      <c r="V69" s="284">
        <f t="shared" si="17"/>
        <v>0</v>
      </c>
      <c r="W69" s="284">
        <f t="shared" si="18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9"/>
        <v>0</v>
      </c>
      <c r="I70" s="274">
        <f t="shared" si="10"/>
        <v>0</v>
      </c>
      <c r="J70" s="323"/>
      <c r="K70" s="257">
        <f t="shared" si="11"/>
        <v>0</v>
      </c>
      <c r="L70" s="258">
        <f t="shared" si="12"/>
        <v>0</v>
      </c>
      <c r="M70" s="258">
        <f t="shared" si="13"/>
        <v>0</v>
      </c>
      <c r="N70" s="259" t="s">
        <v>156</v>
      </c>
      <c r="O70" s="290"/>
      <c r="P70" s="261"/>
      <c r="Q70" s="291"/>
      <c r="R70" s="263"/>
      <c r="S70" s="264">
        <f t="shared" si="14"/>
        <v>0</v>
      </c>
      <c r="T70" s="264">
        <f t="shared" si="15"/>
        <v>0</v>
      </c>
      <c r="U70" s="264">
        <f t="shared" si="16"/>
        <v>0</v>
      </c>
      <c r="V70" s="265">
        <f t="shared" si="17"/>
        <v>0</v>
      </c>
      <c r="W70" s="265">
        <f t="shared" si="18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9"/>
        <v>0</v>
      </c>
      <c r="I71" s="289">
        <f t="shared" si="10"/>
        <v>0</v>
      </c>
      <c r="J71" s="323"/>
      <c r="K71" s="276">
        <f t="shared" si="11"/>
        <v>0</v>
      </c>
      <c r="L71" s="277">
        <f t="shared" si="12"/>
        <v>0</v>
      </c>
      <c r="M71" s="277">
        <f t="shared" si="13"/>
        <v>0</v>
      </c>
      <c r="N71" s="278" t="s">
        <v>156</v>
      </c>
      <c r="O71" s="279"/>
      <c r="P71" s="261"/>
      <c r="Q71" s="280"/>
      <c r="R71" s="281"/>
      <c r="S71" s="282">
        <f t="shared" si="14"/>
        <v>0</v>
      </c>
      <c r="T71" s="283">
        <f t="shared" si="15"/>
        <v>0</v>
      </c>
      <c r="U71" s="283">
        <f t="shared" si="16"/>
        <v>0</v>
      </c>
      <c r="V71" s="284">
        <f t="shared" si="17"/>
        <v>0</v>
      </c>
      <c r="W71" s="284">
        <f t="shared" si="18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9"/>
        <v>0</v>
      </c>
      <c r="I72" s="274">
        <f t="shared" si="10"/>
        <v>0</v>
      </c>
      <c r="J72" s="323"/>
      <c r="K72" s="257">
        <f t="shared" si="11"/>
        <v>0</v>
      </c>
      <c r="L72" s="258">
        <f t="shared" si="12"/>
        <v>0</v>
      </c>
      <c r="M72" s="258">
        <f t="shared" si="13"/>
        <v>0</v>
      </c>
      <c r="N72" s="259" t="s">
        <v>156</v>
      </c>
      <c r="O72" s="290"/>
      <c r="P72" s="261"/>
      <c r="Q72" s="291"/>
      <c r="R72" s="263"/>
      <c r="S72" s="264">
        <f t="shared" si="14"/>
        <v>0</v>
      </c>
      <c r="T72" s="264">
        <f t="shared" si="15"/>
        <v>0</v>
      </c>
      <c r="U72" s="264">
        <f t="shared" si="16"/>
        <v>0</v>
      </c>
      <c r="V72" s="265">
        <f t="shared" si="17"/>
        <v>0</v>
      </c>
      <c r="W72" s="265">
        <f t="shared" si="18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9"/>
        <v>0</v>
      </c>
      <c r="I73" s="289">
        <f t="shared" si="10"/>
        <v>0</v>
      </c>
      <c r="J73" s="323"/>
      <c r="K73" s="276">
        <f t="shared" si="11"/>
        <v>0</v>
      </c>
      <c r="L73" s="277">
        <f t="shared" si="12"/>
        <v>0</v>
      </c>
      <c r="M73" s="277">
        <f t="shared" si="13"/>
        <v>0</v>
      </c>
      <c r="N73" s="278" t="s">
        <v>156</v>
      </c>
      <c r="O73" s="279"/>
      <c r="P73" s="261"/>
      <c r="Q73" s="280"/>
      <c r="R73" s="281"/>
      <c r="S73" s="282">
        <f t="shared" si="14"/>
        <v>0</v>
      </c>
      <c r="T73" s="283">
        <f t="shared" si="15"/>
        <v>0</v>
      </c>
      <c r="U73" s="283">
        <f t="shared" si="16"/>
        <v>0</v>
      </c>
      <c r="V73" s="284">
        <f t="shared" si="17"/>
        <v>0</v>
      </c>
      <c r="W73" s="284">
        <f t="shared" si="18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9"/>
        <v>0</v>
      </c>
      <c r="I74" s="274">
        <f t="shared" si="10"/>
        <v>0</v>
      </c>
      <c r="J74" s="323"/>
      <c r="K74" s="257">
        <f t="shared" si="11"/>
        <v>0</v>
      </c>
      <c r="L74" s="258">
        <f t="shared" si="12"/>
        <v>0</v>
      </c>
      <c r="M74" s="258">
        <f t="shared" si="13"/>
        <v>0</v>
      </c>
      <c r="N74" s="259" t="s">
        <v>156</v>
      </c>
      <c r="O74" s="290"/>
      <c r="P74" s="261"/>
      <c r="Q74" s="291"/>
      <c r="R74" s="263"/>
      <c r="S74" s="264">
        <f t="shared" si="14"/>
        <v>0</v>
      </c>
      <c r="T74" s="264">
        <f t="shared" si="15"/>
        <v>0</v>
      </c>
      <c r="U74" s="264">
        <f t="shared" si="16"/>
        <v>0</v>
      </c>
      <c r="V74" s="265">
        <f t="shared" si="17"/>
        <v>0</v>
      </c>
      <c r="W74" s="265">
        <f t="shared" si="18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9"/>
        <v>0</v>
      </c>
      <c r="I75" s="289">
        <f t="shared" si="10"/>
        <v>0</v>
      </c>
      <c r="J75" s="323"/>
      <c r="K75" s="276">
        <f t="shared" si="11"/>
        <v>0</v>
      </c>
      <c r="L75" s="277">
        <f t="shared" si="12"/>
        <v>0</v>
      </c>
      <c r="M75" s="277">
        <f t="shared" si="13"/>
        <v>0</v>
      </c>
      <c r="N75" s="278" t="s">
        <v>156</v>
      </c>
      <c r="O75" s="279"/>
      <c r="P75" s="261"/>
      <c r="Q75" s="280"/>
      <c r="R75" s="281"/>
      <c r="S75" s="282">
        <f t="shared" si="14"/>
        <v>0</v>
      </c>
      <c r="T75" s="283">
        <f t="shared" si="15"/>
        <v>0</v>
      </c>
      <c r="U75" s="283">
        <f t="shared" si="16"/>
        <v>0</v>
      </c>
      <c r="V75" s="284">
        <f t="shared" si="17"/>
        <v>0</v>
      </c>
      <c r="W75" s="284">
        <f t="shared" si="18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9"/>
        <v>0</v>
      </c>
      <c r="I76" s="274">
        <f t="shared" si="10"/>
        <v>0</v>
      </c>
      <c r="J76" s="323"/>
      <c r="K76" s="257">
        <f t="shared" si="11"/>
        <v>0</v>
      </c>
      <c r="L76" s="258">
        <f t="shared" si="12"/>
        <v>0</v>
      </c>
      <c r="M76" s="258">
        <f t="shared" si="13"/>
        <v>0</v>
      </c>
      <c r="N76" s="259" t="s">
        <v>156</v>
      </c>
      <c r="O76" s="290"/>
      <c r="P76" s="261"/>
      <c r="Q76" s="291"/>
      <c r="R76" s="263"/>
      <c r="S76" s="264">
        <f t="shared" si="14"/>
        <v>0</v>
      </c>
      <c r="T76" s="264">
        <f t="shared" si="15"/>
        <v>0</v>
      </c>
      <c r="U76" s="264">
        <f t="shared" si="16"/>
        <v>0</v>
      </c>
      <c r="V76" s="265">
        <f t="shared" si="17"/>
        <v>0</v>
      </c>
      <c r="W76" s="265">
        <f t="shared" si="18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9"/>
        <v>0</v>
      </c>
      <c r="I77" s="289">
        <f t="shared" si="10"/>
        <v>0</v>
      </c>
      <c r="J77" s="323"/>
      <c r="K77" s="276">
        <f t="shared" si="11"/>
        <v>0</v>
      </c>
      <c r="L77" s="277">
        <f t="shared" si="12"/>
        <v>0</v>
      </c>
      <c r="M77" s="277">
        <f t="shared" si="13"/>
        <v>0</v>
      </c>
      <c r="N77" s="278" t="s">
        <v>156</v>
      </c>
      <c r="O77" s="279"/>
      <c r="P77" s="261"/>
      <c r="Q77" s="280"/>
      <c r="R77" s="281"/>
      <c r="S77" s="282">
        <f t="shared" si="14"/>
        <v>0</v>
      </c>
      <c r="T77" s="283">
        <f t="shared" si="15"/>
        <v>0</v>
      </c>
      <c r="U77" s="283">
        <f t="shared" si="16"/>
        <v>0</v>
      </c>
      <c r="V77" s="284">
        <f t="shared" si="17"/>
        <v>0</v>
      </c>
      <c r="W77" s="284">
        <f t="shared" si="18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9"/>
        <v>0</v>
      </c>
      <c r="I78" s="274">
        <f t="shared" si="10"/>
        <v>0</v>
      </c>
      <c r="J78" s="323"/>
      <c r="K78" s="257">
        <f t="shared" si="11"/>
        <v>0</v>
      </c>
      <c r="L78" s="258">
        <f t="shared" si="12"/>
        <v>0</v>
      </c>
      <c r="M78" s="258">
        <f t="shared" si="13"/>
        <v>0</v>
      </c>
      <c r="N78" s="259" t="s">
        <v>156</v>
      </c>
      <c r="O78" s="290"/>
      <c r="P78" s="261"/>
      <c r="Q78" s="291"/>
      <c r="R78" s="263"/>
      <c r="S78" s="264">
        <f t="shared" si="14"/>
        <v>0</v>
      </c>
      <c r="T78" s="264">
        <f t="shared" si="15"/>
        <v>0</v>
      </c>
      <c r="U78" s="264">
        <f t="shared" si="16"/>
        <v>0</v>
      </c>
      <c r="V78" s="265">
        <f t="shared" si="17"/>
        <v>0</v>
      </c>
      <c r="W78" s="265">
        <f t="shared" si="18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9"/>
        <v>0</v>
      </c>
      <c r="I79" s="289">
        <f t="shared" si="10"/>
        <v>0</v>
      </c>
      <c r="J79" s="323"/>
      <c r="K79" s="276">
        <f t="shared" si="11"/>
        <v>0</v>
      </c>
      <c r="L79" s="277">
        <f t="shared" si="12"/>
        <v>0</v>
      </c>
      <c r="M79" s="277">
        <f t="shared" si="13"/>
        <v>0</v>
      </c>
      <c r="N79" s="278" t="s">
        <v>156</v>
      </c>
      <c r="O79" s="279"/>
      <c r="P79" s="261"/>
      <c r="Q79" s="280"/>
      <c r="R79" s="281"/>
      <c r="S79" s="282">
        <f t="shared" si="14"/>
        <v>0</v>
      </c>
      <c r="T79" s="283">
        <f t="shared" si="15"/>
        <v>0</v>
      </c>
      <c r="U79" s="283">
        <f t="shared" si="16"/>
        <v>0</v>
      </c>
      <c r="V79" s="284">
        <f t="shared" si="17"/>
        <v>0</v>
      </c>
      <c r="W79" s="284">
        <f t="shared" si="18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9"/>
        <v>0</v>
      </c>
      <c r="I80" s="274">
        <f t="shared" si="10"/>
        <v>0</v>
      </c>
      <c r="J80" s="323"/>
      <c r="K80" s="257">
        <f t="shared" si="11"/>
        <v>0</v>
      </c>
      <c r="L80" s="258">
        <f t="shared" si="12"/>
        <v>0</v>
      </c>
      <c r="M80" s="258">
        <f t="shared" si="13"/>
        <v>0</v>
      </c>
      <c r="N80" s="259" t="s">
        <v>156</v>
      </c>
      <c r="O80" s="290"/>
      <c r="P80" s="261"/>
      <c r="Q80" s="291"/>
      <c r="R80" s="263"/>
      <c r="S80" s="264">
        <f t="shared" si="14"/>
        <v>0</v>
      </c>
      <c r="T80" s="264">
        <f t="shared" si="15"/>
        <v>0</v>
      </c>
      <c r="U80" s="264">
        <f t="shared" si="16"/>
        <v>0</v>
      </c>
      <c r="V80" s="265">
        <f t="shared" si="17"/>
        <v>0</v>
      </c>
      <c r="W80" s="265">
        <f t="shared" si="18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9</v>
      </c>
      <c r="G81" s="318">
        <f>SUM(G18:G80)</f>
        <v>3394.5</v>
      </c>
      <c r="H81" s="308">
        <f>SUM(H18:H80)</f>
        <v>2459.7799999999997</v>
      </c>
      <c r="I81" s="309">
        <f>SUM(I18:I80)</f>
        <v>1825.72</v>
      </c>
      <c r="J81" s="324"/>
      <c r="K81" s="307">
        <f>SUM(K18:K80)</f>
        <v>9</v>
      </c>
      <c r="L81" s="308">
        <f>SUM(L18:L80)</f>
        <v>2459.7799999999997</v>
      </c>
      <c r="M81" s="309">
        <f>SUM(M18:M80)</f>
        <v>1825.72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1825.72</v>
      </c>
      <c r="U81" s="309">
        <f>SUM(U18:U80)</f>
        <v>1825.72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55" priority="3" stopIfTrue="1">
      <formula>$V$9&gt;100%</formula>
    </cfRule>
    <cfRule type="expression" dxfId="54" priority="4">
      <formula>$V$9&lt;50%</formula>
    </cfRule>
  </conditionalFormatting>
  <conditionalFormatting sqref="W9:W10">
    <cfRule type="expression" dxfId="53" priority="1">
      <formula>$W$9&lt;50%</formula>
    </cfRule>
    <cfRule type="expression" dxfId="52" priority="2">
      <formula>$W$9&gt;50%</formula>
    </cfRule>
  </conditionalFormatting>
  <dataValidations count="6">
    <dataValidation type="list" allowBlank="1" showInputMessage="1" showErrorMessage="1" sqref="G17 R14 R17 L17" xr:uid="{B7A60875-CD70-4865-B9E0-85F74F522EE8}">
      <formula1>$Z$11:$Z$12</formula1>
    </dataValidation>
    <dataValidation type="list" allowBlank="1" showInputMessage="1" showErrorMessage="1" sqref="I13" xr:uid="{29FC31FE-0957-4CBB-BCEE-30522677B8B6}">
      <formula1>$Z$13:$Z$14</formula1>
    </dataValidation>
    <dataValidation type="list" allowBlank="1" showInputMessage="1" showErrorMessage="1" sqref="J13" xr:uid="{C7EA81CF-41A1-4386-97F0-181F69118550}">
      <formula1>$L$9:$L$9</formula1>
    </dataValidation>
    <dataValidation type="list" showInputMessage="1" showErrorMessage="1" sqref="E18:E80" xr:uid="{F0571900-0366-4C4D-9735-71D994A8FBC1}">
      <formula1>$AA$18:$AA$29</formula1>
    </dataValidation>
    <dataValidation type="list" allowBlank="1" showInputMessage="1" showErrorMessage="1" sqref="N18:N80" xr:uid="{B0161C24-BFCE-40DD-8A81-AB90593D06F0}">
      <formula1>$Z$31:$Z$32</formula1>
    </dataValidation>
    <dataValidation type="list" allowBlank="1" showInputMessage="1" showErrorMessage="1" sqref="G2" xr:uid="{8B0DD2D3-518A-45AE-9D25-6952CE23239A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0F354B-3A29-4CAE-8B15-A3EA468C1E90}">
          <x14:formula1>
            <xm:f>'Product Type'!$A$1:$A$55</xm:f>
          </x14:formula1>
          <xm:sqref>D18:D57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416E-CFCC-46D6-8E19-982DA9DB2362}">
  <sheetPr>
    <pageSetUpPr fitToPage="1"/>
  </sheetPr>
  <dimension ref="A1:AC83"/>
  <sheetViews>
    <sheetView topLeftCell="A10" zoomScaleNormal="100" workbookViewId="0">
      <selection activeCell="D59" sqref="D5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3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186143.35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186143.35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388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389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186143.35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186143.35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1191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81.739999999999995</v>
      </c>
      <c r="M18" s="9">
        <f>ROUND((K18*L18),2)</f>
        <v>81.739999999999995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81.739999999999995</v>
      </c>
      <c r="U18" s="14">
        <f>ROUND(M18-S18,2)</f>
        <v>81.739999999999995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" t="s">
        <v>390</v>
      </c>
      <c r="C19" s="163" t="s">
        <v>157</v>
      </c>
      <c r="D19" s="139" t="s">
        <v>29</v>
      </c>
      <c r="E19" s="124">
        <v>500</v>
      </c>
      <c r="F19" s="53">
        <v>1</v>
      </c>
      <c r="G19" s="8">
        <v>81.739999999999995</v>
      </c>
      <c r="H19" s="9">
        <f t="shared" ref="H19:H81" si="4">ROUND(IF($G$18="USD $", G19*$F$15,G19*$E$15),2)</f>
        <v>59.23</v>
      </c>
      <c r="I19" s="10">
        <f t="shared" ref="I19:I81" si="5">ROUND(IF($I$18=$H$18,F19*H19,F19*G19),2)</f>
        <v>81.739999999999995</v>
      </c>
      <c r="J19" s="151"/>
      <c r="K19" s="88">
        <f t="shared" si="0"/>
        <v>1</v>
      </c>
      <c r="L19" s="38">
        <f t="shared" si="1"/>
        <v>51.29</v>
      </c>
      <c r="M19" s="38">
        <f t="shared" ref="M19:M80" si="6">ROUND((K19*L19),2)</f>
        <v>51.29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51.29</v>
      </c>
      <c r="U19" s="52">
        <f t="shared" ref="U19:U80" si="7">ROUND(M19-S19,2)</f>
        <v>51.29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1" t="s">
        <v>391</v>
      </c>
      <c r="C20" s="144" t="s">
        <v>159</v>
      </c>
      <c r="D20" s="139" t="s">
        <v>28</v>
      </c>
      <c r="E20" s="332">
        <v>375</v>
      </c>
      <c r="F20" s="54">
        <v>1</v>
      </c>
      <c r="G20" s="15">
        <v>51.29</v>
      </c>
      <c r="H20" s="38">
        <f t="shared" si="4"/>
        <v>37.17</v>
      </c>
      <c r="I20" s="39">
        <f t="shared" si="5"/>
        <v>51.29</v>
      </c>
      <c r="J20" s="151"/>
      <c r="K20" s="89">
        <f t="shared" si="0"/>
        <v>1</v>
      </c>
      <c r="L20" s="9">
        <f t="shared" si="1"/>
        <v>104.44</v>
      </c>
      <c r="M20" s="9">
        <f t="shared" si="6"/>
        <v>104.44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104.44</v>
      </c>
      <c r="U20" s="14">
        <f t="shared" si="7"/>
        <v>104.44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" t="s">
        <v>392</v>
      </c>
      <c r="C21" s="145" t="s">
        <v>161</v>
      </c>
      <c r="D21" s="139" t="s">
        <v>28</v>
      </c>
      <c r="E21" s="332">
        <v>375</v>
      </c>
      <c r="F21" s="53">
        <v>1</v>
      </c>
      <c r="G21" s="8">
        <v>104.44</v>
      </c>
      <c r="H21" s="9">
        <f t="shared" si="4"/>
        <v>75.680000000000007</v>
      </c>
      <c r="I21" s="10">
        <f t="shared" si="5"/>
        <v>104.44</v>
      </c>
      <c r="J21" s="151"/>
      <c r="K21" s="88">
        <f t="shared" si="0"/>
        <v>1</v>
      </c>
      <c r="L21" s="38">
        <f t="shared" si="1"/>
        <v>101.65</v>
      </c>
      <c r="M21" s="38">
        <f t="shared" si="6"/>
        <v>101.65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101.65</v>
      </c>
      <c r="U21" s="52">
        <f t="shared" si="7"/>
        <v>101.65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393</v>
      </c>
      <c r="C22" s="144" t="s">
        <v>163</v>
      </c>
      <c r="D22" s="139" t="s">
        <v>27</v>
      </c>
      <c r="E22" s="125">
        <v>500</v>
      </c>
      <c r="F22" s="54">
        <v>1</v>
      </c>
      <c r="G22" s="15">
        <v>101.65</v>
      </c>
      <c r="H22" s="38">
        <f t="shared" si="4"/>
        <v>73.66</v>
      </c>
      <c r="I22" s="39">
        <f t="shared" si="5"/>
        <v>101.65</v>
      </c>
      <c r="J22" s="151"/>
      <c r="K22" s="89">
        <f t="shared" si="0"/>
        <v>1</v>
      </c>
      <c r="L22" s="9">
        <f t="shared" si="1"/>
        <v>1822.51</v>
      </c>
      <c r="M22" s="9">
        <f t="shared" si="6"/>
        <v>1822.51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1822.51</v>
      </c>
      <c r="U22" s="14">
        <f t="shared" si="7"/>
        <v>1822.51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" t="s">
        <v>394</v>
      </c>
      <c r="C23" s="145" t="s">
        <v>163</v>
      </c>
      <c r="D23" s="139" t="s">
        <v>27</v>
      </c>
      <c r="E23" s="126">
        <v>500</v>
      </c>
      <c r="F23" s="54">
        <v>1</v>
      </c>
      <c r="G23" s="8">
        <v>1822.51</v>
      </c>
      <c r="H23" s="9">
        <f t="shared" si="4"/>
        <v>1320.66</v>
      </c>
      <c r="I23" s="10">
        <f t="shared" si="5"/>
        <v>1822.51</v>
      </c>
      <c r="J23" s="151"/>
      <c r="K23" s="88">
        <f t="shared" si="0"/>
        <v>1</v>
      </c>
      <c r="L23" s="38">
        <f t="shared" si="1"/>
        <v>205.25</v>
      </c>
      <c r="M23" s="38">
        <f t="shared" si="6"/>
        <v>205.25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205.25</v>
      </c>
      <c r="U23" s="52">
        <f t="shared" si="7"/>
        <v>205.25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1" t="s">
        <v>395</v>
      </c>
      <c r="C24" s="144" t="s">
        <v>166</v>
      </c>
      <c r="D24" s="139" t="s">
        <v>25</v>
      </c>
      <c r="E24" s="125">
        <v>500</v>
      </c>
      <c r="F24" s="54">
        <v>1</v>
      </c>
      <c r="G24" s="15">
        <v>205.25</v>
      </c>
      <c r="H24" s="38">
        <f t="shared" si="4"/>
        <v>148.72999999999999</v>
      </c>
      <c r="I24" s="39">
        <f t="shared" si="5"/>
        <v>205.25</v>
      </c>
      <c r="J24" s="151"/>
      <c r="K24" s="89">
        <f t="shared" si="0"/>
        <v>1</v>
      </c>
      <c r="L24" s="9">
        <f t="shared" si="1"/>
        <v>104.83</v>
      </c>
      <c r="M24" s="9">
        <f t="shared" si="6"/>
        <v>104.83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104.83</v>
      </c>
      <c r="U24" s="14">
        <f t="shared" si="7"/>
        <v>104.83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" t="s">
        <v>396</v>
      </c>
      <c r="C25" s="145" t="s">
        <v>168</v>
      </c>
      <c r="D25" s="139" t="s">
        <v>25</v>
      </c>
      <c r="E25" s="332">
        <v>375</v>
      </c>
      <c r="F25" s="54">
        <v>1</v>
      </c>
      <c r="G25" s="8">
        <v>104.83</v>
      </c>
      <c r="H25" s="9">
        <f t="shared" si="4"/>
        <v>75.959999999999994</v>
      </c>
      <c r="I25" s="10">
        <f t="shared" si="5"/>
        <v>104.83</v>
      </c>
      <c r="J25" s="151"/>
      <c r="K25" s="88">
        <f t="shared" si="0"/>
        <v>1</v>
      </c>
      <c r="L25" s="38">
        <f t="shared" si="1"/>
        <v>43.18</v>
      </c>
      <c r="M25" s="38">
        <f t="shared" si="6"/>
        <v>43.18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43.18</v>
      </c>
      <c r="U25" s="52">
        <f t="shared" si="7"/>
        <v>43.18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1" t="s">
        <v>397</v>
      </c>
      <c r="C26" s="144" t="s">
        <v>170</v>
      </c>
      <c r="D26" s="139" t="s">
        <v>24</v>
      </c>
      <c r="E26" s="332">
        <v>375</v>
      </c>
      <c r="F26" s="54">
        <v>1</v>
      </c>
      <c r="G26" s="15">
        <v>43.18</v>
      </c>
      <c r="H26" s="38">
        <f t="shared" si="4"/>
        <v>31.29</v>
      </c>
      <c r="I26" s="39">
        <f t="shared" si="5"/>
        <v>43.18</v>
      </c>
      <c r="J26" s="151"/>
      <c r="K26" s="89">
        <f t="shared" si="0"/>
        <v>0</v>
      </c>
      <c r="L26" s="9">
        <f t="shared" si="1"/>
        <v>0</v>
      </c>
      <c r="M26" s="9">
        <f t="shared" si="6"/>
        <v>0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0</v>
      </c>
      <c r="U26" s="14">
        <f t="shared" si="7"/>
        <v>0</v>
      </c>
      <c r="V26" s="29">
        <f t="shared" si="8"/>
        <v>0</v>
      </c>
      <c r="W26" s="29">
        <f t="shared" si="9"/>
        <v>0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"/>
      <c r="C27" s="145"/>
      <c r="D27" s="139"/>
      <c r="E27" s="126"/>
      <c r="F27" s="53"/>
      <c r="G27" s="8"/>
      <c r="H27" s="9">
        <f t="shared" si="4"/>
        <v>0</v>
      </c>
      <c r="I27" s="10">
        <f t="shared" si="5"/>
        <v>0</v>
      </c>
      <c r="J27" s="151"/>
      <c r="K27" s="88">
        <f t="shared" si="0"/>
        <v>4</v>
      </c>
      <c r="L27" s="38">
        <f t="shared" si="1"/>
        <v>234</v>
      </c>
      <c r="M27" s="38">
        <f t="shared" si="6"/>
        <v>936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234</v>
      </c>
      <c r="U27" s="52">
        <f t="shared" si="7"/>
        <v>936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1" t="s">
        <v>398</v>
      </c>
      <c r="C28" s="145" t="s">
        <v>172</v>
      </c>
      <c r="D28" s="139" t="s">
        <v>0</v>
      </c>
      <c r="E28" s="125" t="s">
        <v>176</v>
      </c>
      <c r="F28" s="54">
        <v>4</v>
      </c>
      <c r="G28" s="389">
        <v>234</v>
      </c>
      <c r="H28" s="38">
        <f t="shared" si="4"/>
        <v>169.57</v>
      </c>
      <c r="I28" s="39">
        <f t="shared" si="5"/>
        <v>936</v>
      </c>
      <c r="J28" s="151"/>
      <c r="K28" s="89">
        <f t="shared" si="0"/>
        <v>1</v>
      </c>
      <c r="L28" s="9">
        <f t="shared" si="1"/>
        <v>4384.6000000000004</v>
      </c>
      <c r="M28" s="9">
        <f t="shared" si="6"/>
        <v>4384.6000000000004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4384.6000000000004</v>
      </c>
      <c r="U28" s="14">
        <f t="shared" si="7"/>
        <v>4384.6000000000004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" t="s">
        <v>399</v>
      </c>
      <c r="C29" s="144" t="s">
        <v>174</v>
      </c>
      <c r="D29" s="139" t="s">
        <v>40</v>
      </c>
      <c r="E29" s="126" t="s">
        <v>176</v>
      </c>
      <c r="F29" s="53">
        <v>1</v>
      </c>
      <c r="G29" s="8">
        <v>4384.6000000000004</v>
      </c>
      <c r="H29" s="9">
        <f t="shared" si="4"/>
        <v>3177.25</v>
      </c>
      <c r="I29" s="10">
        <f t="shared" si="5"/>
        <v>4384.6000000000004</v>
      </c>
      <c r="J29" s="151"/>
      <c r="K29" s="88">
        <f t="shared" si="0"/>
        <v>0</v>
      </c>
      <c r="L29" s="38">
        <f t="shared" si="1"/>
        <v>0</v>
      </c>
      <c r="M29" s="38">
        <f>ROUND((K29*L29),2)</f>
        <v>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0</v>
      </c>
      <c r="U29" s="52">
        <f t="shared" si="7"/>
        <v>0</v>
      </c>
      <c r="V29" s="41">
        <f t="shared" si="8"/>
        <v>0</v>
      </c>
      <c r="W29" s="41">
        <f t="shared" si="9"/>
        <v>0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1"/>
      <c r="C30" s="144"/>
      <c r="D30" s="139"/>
      <c r="E30" s="125"/>
      <c r="F30" s="54"/>
      <c r="G30" s="15"/>
      <c r="H30" s="38">
        <f t="shared" si="4"/>
        <v>0</v>
      </c>
      <c r="I30" s="39">
        <f t="shared" si="5"/>
        <v>0</v>
      </c>
      <c r="J30" s="151"/>
      <c r="K30" s="89">
        <f t="shared" si="0"/>
        <v>2</v>
      </c>
      <c r="L30" s="9">
        <f t="shared" si="1"/>
        <v>3605.47</v>
      </c>
      <c r="M30" s="9">
        <f t="shared" si="6"/>
        <v>7210.94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3605.47</v>
      </c>
      <c r="U30" s="14">
        <f t="shared" si="7"/>
        <v>7210.94</v>
      </c>
      <c r="V30" s="29">
        <f t="shared" si="8"/>
        <v>0</v>
      </c>
      <c r="W30" s="29">
        <f t="shared" si="9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1" t="s">
        <v>400</v>
      </c>
      <c r="C31" s="144" t="s">
        <v>401</v>
      </c>
      <c r="D31" s="139" t="s">
        <v>47</v>
      </c>
      <c r="E31" s="332">
        <v>5000</v>
      </c>
      <c r="F31" s="54">
        <v>2</v>
      </c>
      <c r="G31" s="8">
        <v>3605.47</v>
      </c>
      <c r="H31" s="9">
        <f t="shared" si="4"/>
        <v>2612.66</v>
      </c>
      <c r="I31" s="10">
        <f t="shared" si="5"/>
        <v>7210.94</v>
      </c>
      <c r="J31" s="151"/>
      <c r="K31" s="88">
        <f t="shared" si="0"/>
        <v>8</v>
      </c>
      <c r="L31" s="38">
        <f t="shared" si="1"/>
        <v>14.2</v>
      </c>
      <c r="M31" s="38">
        <f t="shared" si="6"/>
        <v>113.6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14.2</v>
      </c>
      <c r="U31" s="52">
        <f t="shared" si="7"/>
        <v>113.6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" t="s">
        <v>402</v>
      </c>
      <c r="C32" s="145" t="s">
        <v>185</v>
      </c>
      <c r="D32" s="139" t="s">
        <v>48</v>
      </c>
      <c r="E32" s="125" t="s">
        <v>176</v>
      </c>
      <c r="F32" s="53">
        <v>8</v>
      </c>
      <c r="G32" s="15">
        <v>14.2</v>
      </c>
      <c r="H32" s="38">
        <f t="shared" si="4"/>
        <v>10.29</v>
      </c>
      <c r="I32" s="39">
        <f t="shared" si="5"/>
        <v>113.6</v>
      </c>
      <c r="J32" s="151"/>
      <c r="K32" s="89">
        <f t="shared" si="0"/>
        <v>4</v>
      </c>
      <c r="L32" s="9">
        <f t="shared" si="1"/>
        <v>983.7</v>
      </c>
      <c r="M32" s="9">
        <f t="shared" si="6"/>
        <v>3934.8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983.7</v>
      </c>
      <c r="U32" s="14">
        <f t="shared" si="7"/>
        <v>3934.8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1" t="s">
        <v>403</v>
      </c>
      <c r="C33" s="144" t="s">
        <v>404</v>
      </c>
      <c r="D33" s="139" t="s">
        <v>43</v>
      </c>
      <c r="E33" s="332">
        <v>5000</v>
      </c>
      <c r="F33" s="54">
        <v>4</v>
      </c>
      <c r="G33" s="8">
        <v>983.7</v>
      </c>
      <c r="H33" s="9">
        <f t="shared" si="4"/>
        <v>712.83</v>
      </c>
      <c r="I33" s="10">
        <f t="shared" si="5"/>
        <v>3934.8</v>
      </c>
      <c r="J33" s="151"/>
      <c r="K33" s="88">
        <f t="shared" si="0"/>
        <v>16</v>
      </c>
      <c r="L33" s="38">
        <f t="shared" si="1"/>
        <v>37.950000000000003</v>
      </c>
      <c r="M33" s="38">
        <f t="shared" si="6"/>
        <v>607.20000000000005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37.950000000000003</v>
      </c>
      <c r="U33" s="52">
        <f t="shared" si="7"/>
        <v>607.20000000000005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" t="s">
        <v>405</v>
      </c>
      <c r="C34" s="145" t="s">
        <v>406</v>
      </c>
      <c r="D34" s="139" t="s">
        <v>44</v>
      </c>
      <c r="E34" s="125" t="s">
        <v>176</v>
      </c>
      <c r="F34" s="53">
        <v>16</v>
      </c>
      <c r="G34" s="15">
        <v>37.950000000000003</v>
      </c>
      <c r="H34" s="38">
        <f t="shared" si="4"/>
        <v>27.5</v>
      </c>
      <c r="I34" s="39">
        <f t="shared" si="5"/>
        <v>607.20000000000005</v>
      </c>
      <c r="J34" s="151"/>
      <c r="K34" s="89">
        <f t="shared" si="0"/>
        <v>20</v>
      </c>
      <c r="L34" s="9">
        <f t="shared" si="1"/>
        <v>1053.73</v>
      </c>
      <c r="M34" s="9">
        <f t="shared" si="6"/>
        <v>21074.6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1053.73</v>
      </c>
      <c r="U34" s="14">
        <f t="shared" si="7"/>
        <v>21074.6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1" t="s">
        <v>407</v>
      </c>
      <c r="C35" s="144" t="s">
        <v>187</v>
      </c>
      <c r="D35" s="139" t="s">
        <v>43</v>
      </c>
      <c r="E35" s="332">
        <v>5000</v>
      </c>
      <c r="F35" s="54">
        <v>20</v>
      </c>
      <c r="G35" s="8">
        <v>1053.73</v>
      </c>
      <c r="H35" s="9">
        <f t="shared" si="4"/>
        <v>763.57</v>
      </c>
      <c r="I35" s="10">
        <f t="shared" si="5"/>
        <v>21074.6</v>
      </c>
      <c r="J35" s="151"/>
      <c r="K35" s="88">
        <f t="shared" si="0"/>
        <v>80</v>
      </c>
      <c r="L35" s="38">
        <f t="shared" si="1"/>
        <v>41.3</v>
      </c>
      <c r="M35" s="38">
        <f t="shared" si="6"/>
        <v>3304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41.3</v>
      </c>
      <c r="U35" s="52">
        <f t="shared" si="7"/>
        <v>3304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" t="s">
        <v>408</v>
      </c>
      <c r="C36" s="145" t="s">
        <v>406</v>
      </c>
      <c r="D36" s="139" t="s">
        <v>44</v>
      </c>
      <c r="E36" s="125" t="s">
        <v>176</v>
      </c>
      <c r="F36" s="53">
        <v>80</v>
      </c>
      <c r="G36" s="15">
        <v>41.3</v>
      </c>
      <c r="H36" s="38">
        <f t="shared" si="4"/>
        <v>29.93</v>
      </c>
      <c r="I36" s="39">
        <f t="shared" si="5"/>
        <v>3304</v>
      </c>
      <c r="J36" s="151"/>
      <c r="K36" s="89">
        <f t="shared" si="0"/>
        <v>96</v>
      </c>
      <c r="L36" s="9">
        <f t="shared" si="1"/>
        <v>5.83</v>
      </c>
      <c r="M36" s="9">
        <f t="shared" si="6"/>
        <v>559.67999999999995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5.83</v>
      </c>
      <c r="U36" s="14">
        <f t="shared" si="7"/>
        <v>559.67999999999995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" t="s">
        <v>409</v>
      </c>
      <c r="C37" s="144" t="s">
        <v>231</v>
      </c>
      <c r="D37" s="139" t="s">
        <v>44</v>
      </c>
      <c r="E37" s="125" t="s">
        <v>176</v>
      </c>
      <c r="F37" s="54">
        <v>96</v>
      </c>
      <c r="G37" s="8">
        <v>5.83</v>
      </c>
      <c r="H37" s="9">
        <f t="shared" si="4"/>
        <v>4.22</v>
      </c>
      <c r="I37" s="10">
        <f t="shared" si="5"/>
        <v>559.67999999999995</v>
      </c>
      <c r="J37" s="151"/>
      <c r="K37" s="88">
        <f t="shared" si="0"/>
        <v>0</v>
      </c>
      <c r="L37" s="38">
        <f t="shared" si="1"/>
        <v>0</v>
      </c>
      <c r="M37" s="38">
        <f t="shared" si="6"/>
        <v>0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0</v>
      </c>
      <c r="U37" s="52">
        <f t="shared" si="7"/>
        <v>0</v>
      </c>
      <c r="V37" s="41">
        <f t="shared" si="8"/>
        <v>0</v>
      </c>
      <c r="W37" s="41">
        <f t="shared" si="9"/>
        <v>0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"/>
      <c r="C38" s="145"/>
      <c r="D38" s="139"/>
      <c r="E38" s="126"/>
      <c r="F38" s="53"/>
      <c r="G38" s="15"/>
      <c r="H38" s="38"/>
      <c r="I38" s="39">
        <f t="shared" si="5"/>
        <v>0</v>
      </c>
      <c r="J38" s="151"/>
      <c r="K38" s="89">
        <f t="shared" si="0"/>
        <v>2</v>
      </c>
      <c r="L38" s="9">
        <f t="shared" si="1"/>
        <v>19770.45</v>
      </c>
      <c r="M38" s="9">
        <f t="shared" si="6"/>
        <v>39540.9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19770.45</v>
      </c>
      <c r="U38" s="14">
        <f t="shared" si="7"/>
        <v>39540.9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1" t="s">
        <v>410</v>
      </c>
      <c r="C39" s="144" t="s">
        <v>190</v>
      </c>
      <c r="D39" s="139" t="s">
        <v>51</v>
      </c>
      <c r="E39" s="332">
        <v>5000</v>
      </c>
      <c r="F39" s="54">
        <v>2</v>
      </c>
      <c r="G39" s="8">
        <v>19770.45</v>
      </c>
      <c r="H39" s="9">
        <f t="shared" si="4"/>
        <v>14326.41</v>
      </c>
      <c r="I39" s="10">
        <f t="shared" si="5"/>
        <v>39540.9</v>
      </c>
      <c r="J39" s="151"/>
      <c r="K39" s="88">
        <f t="shared" si="0"/>
        <v>104</v>
      </c>
      <c r="L39" s="38">
        <f t="shared" si="1"/>
        <v>265.79000000000002</v>
      </c>
      <c r="M39" s="38">
        <f t="shared" si="6"/>
        <v>27642.16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265.79000000000002</v>
      </c>
      <c r="U39" s="52">
        <f t="shared" si="7"/>
        <v>27642.16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" t="s">
        <v>411</v>
      </c>
      <c r="C40" s="145" t="s">
        <v>192</v>
      </c>
      <c r="D40" s="139" t="s">
        <v>52</v>
      </c>
      <c r="E40" s="125" t="s">
        <v>176</v>
      </c>
      <c r="F40" s="53">
        <v>104</v>
      </c>
      <c r="G40" s="15">
        <v>265.79000000000002</v>
      </c>
      <c r="H40" s="38">
        <f t="shared" si="4"/>
        <v>192.6</v>
      </c>
      <c r="I40" s="39">
        <f t="shared" si="5"/>
        <v>27642.16</v>
      </c>
      <c r="J40" s="151"/>
      <c r="K40" s="89">
        <f t="shared" si="0"/>
        <v>416</v>
      </c>
      <c r="L40" s="9">
        <f t="shared" si="1"/>
        <v>10.62</v>
      </c>
      <c r="M40" s="9">
        <f t="shared" si="6"/>
        <v>4417.92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10.62</v>
      </c>
      <c r="U40" s="14">
        <f t="shared" si="7"/>
        <v>4417.92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1" t="s">
        <v>412</v>
      </c>
      <c r="C41" s="144" t="s">
        <v>194</v>
      </c>
      <c r="D41" s="139" t="s">
        <v>52</v>
      </c>
      <c r="E41" s="125" t="s">
        <v>176</v>
      </c>
      <c r="F41" s="54">
        <v>416</v>
      </c>
      <c r="G41" s="8">
        <v>10.62</v>
      </c>
      <c r="H41" s="9">
        <f t="shared" si="4"/>
        <v>7.7</v>
      </c>
      <c r="I41" s="10">
        <f t="shared" si="5"/>
        <v>4417.92</v>
      </c>
      <c r="J41" s="151"/>
      <c r="K41" s="88">
        <f t="shared" si="0"/>
        <v>416</v>
      </c>
      <c r="L41" s="38">
        <f t="shared" si="1"/>
        <v>4.62</v>
      </c>
      <c r="M41" s="38">
        <f t="shared" si="6"/>
        <v>1921.92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4.62</v>
      </c>
      <c r="U41" s="52">
        <f t="shared" si="7"/>
        <v>1921.92</v>
      </c>
      <c r="V41" s="41">
        <f t="shared" si="8"/>
        <v>0</v>
      </c>
      <c r="W41" s="41">
        <f t="shared" si="9"/>
        <v>1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" t="s">
        <v>413</v>
      </c>
      <c r="C42" s="145" t="s">
        <v>195</v>
      </c>
      <c r="D42" s="139" t="s">
        <v>52</v>
      </c>
      <c r="E42" s="125" t="s">
        <v>176</v>
      </c>
      <c r="F42" s="53">
        <v>416</v>
      </c>
      <c r="G42" s="15">
        <v>4.62</v>
      </c>
      <c r="H42" s="38">
        <f t="shared" si="4"/>
        <v>3.35</v>
      </c>
      <c r="I42" s="39">
        <f t="shared" si="5"/>
        <v>1921.92</v>
      </c>
      <c r="J42" s="151"/>
      <c r="K42" s="89">
        <f t="shared" si="0"/>
        <v>0</v>
      </c>
      <c r="L42" s="9">
        <f t="shared" si="1"/>
        <v>0</v>
      </c>
      <c r="M42" s="9">
        <f t="shared" si="6"/>
        <v>0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0</v>
      </c>
      <c r="U42" s="14">
        <f t="shared" si="7"/>
        <v>0</v>
      </c>
      <c r="V42" s="29">
        <f t="shared" si="8"/>
        <v>0</v>
      </c>
      <c r="W42" s="29">
        <f t="shared" si="9"/>
        <v>0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1"/>
      <c r="C43" s="4"/>
      <c r="D43" s="139"/>
      <c r="E43" s="125"/>
      <c r="F43" s="54"/>
      <c r="G43" s="8"/>
      <c r="H43" s="9">
        <f t="shared" si="4"/>
        <v>0</v>
      </c>
      <c r="I43" s="10">
        <f t="shared" si="5"/>
        <v>0</v>
      </c>
      <c r="J43" s="151"/>
      <c r="K43" s="88">
        <f t="shared" si="0"/>
        <v>1</v>
      </c>
      <c r="L43" s="38">
        <f t="shared" si="1"/>
        <v>3190.17</v>
      </c>
      <c r="M43" s="38">
        <f t="shared" si="6"/>
        <v>3190.17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3190.17</v>
      </c>
      <c r="U43" s="52">
        <f t="shared" si="7"/>
        <v>3190.17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" t="s">
        <v>414</v>
      </c>
      <c r="C44" s="6" t="s">
        <v>197</v>
      </c>
      <c r="D44" s="139" t="s">
        <v>22</v>
      </c>
      <c r="E44" s="126" t="s">
        <v>176</v>
      </c>
      <c r="F44" s="53">
        <v>1</v>
      </c>
      <c r="G44" s="15">
        <v>3190.17</v>
      </c>
      <c r="H44" s="38">
        <f t="shared" si="4"/>
        <v>2311.7199999999998</v>
      </c>
      <c r="I44" s="39">
        <f t="shared" si="5"/>
        <v>3190.17</v>
      </c>
      <c r="J44" s="151"/>
      <c r="K44" s="89">
        <f t="shared" si="0"/>
        <v>1</v>
      </c>
      <c r="L44" s="9">
        <f t="shared" si="1"/>
        <v>2023.53</v>
      </c>
      <c r="M44" s="9">
        <f t="shared" si="6"/>
        <v>2023.53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2023.53</v>
      </c>
      <c r="U44" s="14">
        <f t="shared" si="7"/>
        <v>2023.53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1" t="s">
        <v>415</v>
      </c>
      <c r="C45" s="4" t="s">
        <v>416</v>
      </c>
      <c r="D45" s="139" t="s">
        <v>199</v>
      </c>
      <c r="E45" s="125" t="s">
        <v>176</v>
      </c>
      <c r="F45" s="54">
        <v>1</v>
      </c>
      <c r="G45" s="8">
        <v>2023.53</v>
      </c>
      <c r="H45" s="9">
        <f t="shared" si="4"/>
        <v>1466.33</v>
      </c>
      <c r="I45" s="10">
        <f t="shared" si="5"/>
        <v>2023.53</v>
      </c>
      <c r="J45" s="151"/>
      <c r="K45" s="88">
        <f t="shared" si="0"/>
        <v>1</v>
      </c>
      <c r="L45" s="38">
        <f t="shared" si="1"/>
        <v>6797.75</v>
      </c>
      <c r="M45" s="38">
        <f t="shared" si="6"/>
        <v>6797.75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6797.75</v>
      </c>
      <c r="U45" s="52">
        <f t="shared" si="7"/>
        <v>6797.75</v>
      </c>
      <c r="V45" s="41">
        <f t="shared" si="8"/>
        <v>0</v>
      </c>
      <c r="W45" s="41">
        <f t="shared" si="9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" t="s">
        <v>417</v>
      </c>
      <c r="C46" s="6" t="s">
        <v>418</v>
      </c>
      <c r="D46" s="139" t="s">
        <v>18</v>
      </c>
      <c r="E46" s="126" t="s">
        <v>176</v>
      </c>
      <c r="F46" s="53">
        <v>1</v>
      </c>
      <c r="G46" s="15">
        <v>6797.75</v>
      </c>
      <c r="H46" s="38">
        <f t="shared" si="4"/>
        <v>4925.91</v>
      </c>
      <c r="I46" s="39">
        <f t="shared" si="5"/>
        <v>6797.75</v>
      </c>
      <c r="J46" s="151"/>
      <c r="K46" s="89">
        <f t="shared" si="0"/>
        <v>0</v>
      </c>
      <c r="L46" s="9">
        <f t="shared" si="1"/>
        <v>0</v>
      </c>
      <c r="M46" s="9">
        <f t="shared" si="6"/>
        <v>0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0</v>
      </c>
      <c r="U46" s="14">
        <f t="shared" si="7"/>
        <v>0</v>
      </c>
      <c r="V46" s="29">
        <f t="shared" si="8"/>
        <v>0</v>
      </c>
      <c r="W46" s="29">
        <f t="shared" si="9"/>
        <v>0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1"/>
      <c r="C47" s="4"/>
      <c r="D47" s="139"/>
      <c r="E47" s="125"/>
      <c r="F47" s="54"/>
      <c r="G47" s="8"/>
      <c r="H47" s="9">
        <f t="shared" si="4"/>
        <v>0</v>
      </c>
      <c r="I47" s="10">
        <f t="shared" si="5"/>
        <v>0</v>
      </c>
      <c r="J47" s="151"/>
      <c r="K47" s="88">
        <f t="shared" si="0"/>
        <v>0</v>
      </c>
      <c r="L47" s="38">
        <f t="shared" si="1"/>
        <v>0</v>
      </c>
      <c r="M47" s="38">
        <f t="shared" si="6"/>
        <v>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0</v>
      </c>
      <c r="U47" s="52">
        <f t="shared" si="7"/>
        <v>0</v>
      </c>
      <c r="V47" s="41">
        <f t="shared" si="8"/>
        <v>0</v>
      </c>
      <c r="W47" s="41">
        <f t="shared" si="9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"/>
      <c r="C48" s="6"/>
      <c r="D48" s="139"/>
      <c r="E48" s="126"/>
      <c r="F48" s="53"/>
      <c r="G48" s="15"/>
      <c r="H48" s="38">
        <f t="shared" si="4"/>
        <v>0</v>
      </c>
      <c r="I48" s="39">
        <f t="shared" si="5"/>
        <v>0</v>
      </c>
      <c r="J48" s="151"/>
      <c r="K48" s="89">
        <f t="shared" si="0"/>
        <v>1</v>
      </c>
      <c r="L48" s="9">
        <f t="shared" si="1"/>
        <v>5362</v>
      </c>
      <c r="M48" s="9">
        <f t="shared" si="6"/>
        <v>5362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5362</v>
      </c>
      <c r="U48" s="14">
        <f t="shared" si="7"/>
        <v>5362</v>
      </c>
      <c r="V48" s="29">
        <f t="shared" si="8"/>
        <v>0</v>
      </c>
      <c r="W48" s="29">
        <f t="shared" si="9"/>
        <v>1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1" t="s">
        <v>419</v>
      </c>
      <c r="C49" s="4" t="s">
        <v>203</v>
      </c>
      <c r="D49" s="139" t="s">
        <v>15</v>
      </c>
      <c r="E49" s="126" t="s">
        <v>176</v>
      </c>
      <c r="F49" s="54">
        <v>1</v>
      </c>
      <c r="G49" s="8">
        <v>5362</v>
      </c>
      <c r="H49" s="9">
        <f t="shared" si="4"/>
        <v>3885.51</v>
      </c>
      <c r="I49" s="10">
        <f t="shared" si="5"/>
        <v>5362</v>
      </c>
      <c r="J49" s="151"/>
      <c r="K49" s="88">
        <f t="shared" si="0"/>
        <v>1</v>
      </c>
      <c r="L49" s="38">
        <f t="shared" si="1"/>
        <v>16166.3</v>
      </c>
      <c r="M49" s="38">
        <f t="shared" si="6"/>
        <v>16166.3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16166.3</v>
      </c>
      <c r="U49" s="52">
        <f t="shared" si="7"/>
        <v>16166.3</v>
      </c>
      <c r="V49" s="41">
        <f t="shared" si="8"/>
        <v>0</v>
      </c>
      <c r="W49" s="41">
        <f t="shared" si="9"/>
        <v>1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" t="s">
        <v>420</v>
      </c>
      <c r="C50" s="6" t="s">
        <v>204</v>
      </c>
      <c r="D50" s="139" t="s">
        <v>16</v>
      </c>
      <c r="E50" s="126" t="s">
        <v>176</v>
      </c>
      <c r="F50" s="54">
        <v>1</v>
      </c>
      <c r="G50" s="15">
        <v>16166.3</v>
      </c>
      <c r="H50" s="38">
        <f t="shared" si="4"/>
        <v>11714.71</v>
      </c>
      <c r="I50" s="39">
        <f t="shared" si="5"/>
        <v>16166.3</v>
      </c>
      <c r="J50" s="151"/>
      <c r="K50" s="89">
        <f t="shared" si="0"/>
        <v>1</v>
      </c>
      <c r="L50" s="9">
        <f t="shared" si="1"/>
        <v>13284.88</v>
      </c>
      <c r="M50" s="9">
        <f t="shared" si="6"/>
        <v>13284.88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13284.88</v>
      </c>
      <c r="U50" s="14">
        <f t="shared" si="7"/>
        <v>13284.88</v>
      </c>
      <c r="V50" s="29">
        <f t="shared" si="8"/>
        <v>0</v>
      </c>
      <c r="W50" s="29">
        <f t="shared" si="9"/>
        <v>1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 t="s">
        <v>421</v>
      </c>
      <c r="C51" s="4" t="s">
        <v>422</v>
      </c>
      <c r="D51" s="139" t="s">
        <v>17</v>
      </c>
      <c r="E51" s="126" t="s">
        <v>176</v>
      </c>
      <c r="F51" s="54">
        <v>1</v>
      </c>
      <c r="G51" s="8">
        <v>13284.88</v>
      </c>
      <c r="H51" s="9">
        <f t="shared" si="4"/>
        <v>9626.7199999999993</v>
      </c>
      <c r="I51" s="10">
        <f t="shared" si="5"/>
        <v>13284.88</v>
      </c>
      <c r="J51" s="151"/>
      <c r="K51" s="88">
        <f t="shared" si="0"/>
        <v>6</v>
      </c>
      <c r="L51" s="38">
        <f t="shared" si="1"/>
        <v>1667.58</v>
      </c>
      <c r="M51" s="38">
        <f t="shared" si="6"/>
        <v>10005.48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1667.58</v>
      </c>
      <c r="U51" s="52">
        <f t="shared" si="7"/>
        <v>10005.48</v>
      </c>
      <c r="V51" s="41">
        <f t="shared" si="8"/>
        <v>0</v>
      </c>
      <c r="W51" s="41">
        <f t="shared" si="9"/>
        <v>1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 t="s">
        <v>423</v>
      </c>
      <c r="C52" s="6" t="s">
        <v>424</v>
      </c>
      <c r="D52" s="139" t="s">
        <v>19</v>
      </c>
      <c r="E52" s="126">
        <v>6000</v>
      </c>
      <c r="F52" s="54">
        <v>6</v>
      </c>
      <c r="G52" s="15">
        <v>1667.58</v>
      </c>
      <c r="H52" s="38">
        <f t="shared" si="4"/>
        <v>1208.3900000000001</v>
      </c>
      <c r="I52" s="39">
        <f t="shared" si="5"/>
        <v>10005.48</v>
      </c>
      <c r="J52" s="151"/>
      <c r="K52" s="89">
        <f t="shared" si="0"/>
        <v>1</v>
      </c>
      <c r="L52" s="9">
        <f t="shared" si="1"/>
        <v>8458.5</v>
      </c>
      <c r="M52" s="9">
        <f t="shared" si="6"/>
        <v>8458.5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8458.5</v>
      </c>
      <c r="U52" s="14">
        <f t="shared" si="7"/>
        <v>8458.5</v>
      </c>
      <c r="V52" s="29">
        <f t="shared" si="8"/>
        <v>0</v>
      </c>
      <c r="W52" s="29">
        <f t="shared" si="9"/>
        <v>1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 t="s">
        <v>425</v>
      </c>
      <c r="C53" s="4" t="s">
        <v>426</v>
      </c>
      <c r="D53" s="139" t="s">
        <v>23</v>
      </c>
      <c r="E53" s="125">
        <v>6000</v>
      </c>
      <c r="F53" s="54">
        <v>1</v>
      </c>
      <c r="G53" s="8">
        <v>8458.5</v>
      </c>
      <c r="H53" s="9">
        <f t="shared" si="4"/>
        <v>6129.35</v>
      </c>
      <c r="I53" s="10">
        <f t="shared" si="5"/>
        <v>8458.5</v>
      </c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15"/>
      <c r="H54" s="38">
        <f t="shared" si="4"/>
        <v>0</v>
      </c>
      <c r="I54" s="39">
        <f t="shared" si="5"/>
        <v>0</v>
      </c>
      <c r="J54" s="151"/>
      <c r="K54" s="89">
        <f t="shared" si="0"/>
        <v>1</v>
      </c>
      <c r="L54" s="9">
        <f t="shared" si="1"/>
        <v>2691.53</v>
      </c>
      <c r="M54" s="9">
        <f t="shared" si="6"/>
        <v>2691.53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2691.53</v>
      </c>
      <c r="U54" s="14">
        <f t="shared" si="7"/>
        <v>2691.53</v>
      </c>
      <c r="V54" s="29">
        <f t="shared" si="8"/>
        <v>0</v>
      </c>
      <c r="W54" s="29">
        <f t="shared" si="9"/>
        <v>1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 t="s">
        <v>427</v>
      </c>
      <c r="C55" s="4" t="s">
        <v>428</v>
      </c>
      <c r="D55" s="139" t="s">
        <v>13</v>
      </c>
      <c r="E55" s="125" t="s">
        <v>176</v>
      </c>
      <c r="F55" s="54">
        <v>1</v>
      </c>
      <c r="G55" s="8">
        <v>2691.53</v>
      </c>
      <c r="H55" s="9">
        <f t="shared" si="4"/>
        <v>1950.38</v>
      </c>
      <c r="I55" s="10">
        <f t="shared" si="5"/>
        <v>2691.53</v>
      </c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15"/>
      <c r="H56" s="38">
        <f t="shared" si="4"/>
        <v>0</v>
      </c>
      <c r="I56" s="39">
        <f t="shared" si="5"/>
        <v>0</v>
      </c>
      <c r="J56" s="151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29">
        <f t="shared" si="8"/>
        <v>0</v>
      </c>
      <c r="W56" s="29">
        <f t="shared" si="9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8"/>
      <c r="H57" s="9">
        <f t="shared" si="4"/>
        <v>0</v>
      </c>
      <c r="I57" s="10">
        <f t="shared" si="5"/>
        <v>0</v>
      </c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15"/>
      <c r="H58" s="38">
        <f t="shared" si="4"/>
        <v>0</v>
      </c>
      <c r="I58" s="39">
        <f t="shared" si="5"/>
        <v>0</v>
      </c>
      <c r="J58" s="151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12"/>
      <c r="P58" s="51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29">
        <f t="shared" si="8"/>
        <v>0</v>
      </c>
      <c r="W58" s="29">
        <f t="shared" si="9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15"/>
      <c r="H60" s="38">
        <f t="shared" si="4"/>
        <v>0</v>
      </c>
      <c r="I60" s="39">
        <f t="shared" si="5"/>
        <v>0</v>
      </c>
      <c r="J60" s="151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40"/>
      <c r="E61" s="125"/>
      <c r="F61" s="54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15"/>
      <c r="H62" s="38">
        <f t="shared" si="4"/>
        <v>0</v>
      </c>
      <c r="I62" s="39">
        <f t="shared" si="5"/>
        <v>0</v>
      </c>
      <c r="J62" s="151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40"/>
      <c r="E63" s="125"/>
      <c r="F63" s="54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15"/>
      <c r="H64" s="38">
        <f t="shared" si="4"/>
        <v>0</v>
      </c>
      <c r="I64" s="39">
        <f t="shared" si="5"/>
        <v>0</v>
      </c>
      <c r="J64" s="151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15"/>
      <c r="H66" s="38">
        <f t="shared" si="4"/>
        <v>0</v>
      </c>
      <c r="I66" s="39">
        <f t="shared" si="5"/>
        <v>0</v>
      </c>
      <c r="J66" s="151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15"/>
      <c r="H68" s="38">
        <f t="shared" si="4"/>
        <v>0</v>
      </c>
      <c r="I68" s="39">
        <f t="shared" si="5"/>
        <v>0</v>
      </c>
      <c r="J68" s="151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1191</v>
      </c>
      <c r="L81" s="79">
        <f>SUM(L18:L80)</f>
        <v>92569.390000000014</v>
      </c>
      <c r="M81" s="80">
        <f>SUM(M18:M80)</f>
        <v>186143.35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92569.390000000014</v>
      </c>
      <c r="U81" s="80">
        <f>SUM(U18:U80)</f>
        <v>186143.35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1191</v>
      </c>
      <c r="G82" s="78">
        <f>SUM(G19:G81)</f>
        <v>92569.390000000014</v>
      </c>
      <c r="H82" s="79">
        <f>SUM(H19:H81)</f>
        <v>67079.28</v>
      </c>
      <c r="I82" s="80">
        <f>SUM(I19:I81)</f>
        <v>186143.35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51" priority="3" stopIfTrue="1">
      <formula>$V$9&gt;100%</formula>
    </cfRule>
    <cfRule type="expression" dxfId="50" priority="4">
      <formula>$V$9&lt;50%</formula>
    </cfRule>
  </conditionalFormatting>
  <conditionalFormatting sqref="W9:W10">
    <cfRule type="expression" dxfId="49" priority="1">
      <formula>$W$9&lt;50%</formula>
    </cfRule>
    <cfRule type="expression" dxfId="48" priority="2">
      <formula>$W$9&gt;50%</formula>
    </cfRule>
  </conditionalFormatting>
  <dataValidations count="6">
    <dataValidation type="list" allowBlank="1" showInputMessage="1" showErrorMessage="1" sqref="G2" xr:uid="{B8E64828-CECC-4C8E-B545-36D3B7C38076}">
      <formula1>$Z$34:$Z$48</formula1>
    </dataValidation>
    <dataValidation type="list" allowBlank="1" showInputMessage="1" showErrorMessage="1" sqref="N18:N80" xr:uid="{F9814041-F047-4339-9649-5CCE1AC0CC1D}">
      <formula1>$Z$31:$Z$32</formula1>
    </dataValidation>
    <dataValidation type="list" showInputMessage="1" showErrorMessage="1" sqref="E19 E22:E24 E27:E30 E34 E32 E36:E38 E40:E81" xr:uid="{48BC4029-9049-4DDD-9495-6F95E840E17D}">
      <formula1>$AA$18:$AA$29</formula1>
    </dataValidation>
    <dataValidation type="list" allowBlank="1" showInputMessage="1" showErrorMessage="1" sqref="J13" xr:uid="{059A6B7E-FDAF-4508-ACA7-2A4EF319DFF0}">
      <formula1>$L$9:$L$9</formula1>
    </dataValidation>
    <dataValidation type="list" allowBlank="1" showInputMessage="1" showErrorMessage="1" sqref="I13" xr:uid="{7246A7CC-54A6-4D10-8821-5EDAB28E9CDE}">
      <formula1>$Z$13:$Z$14</formula1>
    </dataValidation>
    <dataValidation type="list" allowBlank="1" showInputMessage="1" showErrorMessage="1" sqref="G18 R14 R17 L17" xr:uid="{9B80D9DD-0BA7-4D73-BD88-CF845996B3F6}">
      <formula1>$Z$11:$Z$12</formula1>
    </dataValidation>
  </dataValidations>
  <printOptions verticalCentered="1"/>
  <pageMargins left="0.2" right="0.2" top="0.25" bottom="0.25" header="0.05" footer="0.05"/>
  <pageSetup scale="3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09273-D4DF-47A0-9256-0DCB7B779524}">
          <x14:formula1>
            <xm:f>'Product Type'!$A$1:$A$55</xm:f>
          </x14:formula1>
          <xm:sqref>D19:D59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A944-AA8F-4357-B76A-48C586C5FB53}">
  <sheetPr>
    <pageSetUpPr fitToPage="1"/>
  </sheetPr>
  <dimension ref="A1:AC83"/>
  <sheetViews>
    <sheetView topLeftCell="B7" zoomScaleNormal="100" workbookViewId="0">
      <selection activeCell="G37" sqref="G3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2.28515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189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115649.08000000002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115649.08000000002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429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430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3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115649.08000000002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115649.08000000002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43"/>
      <c r="M10" s="483" t="s">
        <v>112</v>
      </c>
      <c r="N10" s="484"/>
      <c r="O10" s="485"/>
      <c r="P10" s="119"/>
      <c r="Q10" s="487">
        <f>F81</f>
        <v>30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/>
      <c r="C18" s="5" t="s">
        <v>209</v>
      </c>
      <c r="D18" s="139"/>
      <c r="E18" s="124"/>
      <c r="F18" s="53"/>
      <c r="G18" s="8"/>
      <c r="H18" s="9">
        <f>ROUND(IF($G$17="USD $", G18*$F$15,G18*$E$15),2)</f>
        <v>0</v>
      </c>
      <c r="I18" s="10">
        <f>ROUND(IF($I$17=$H$17,F18*H18,F18*G18),2)</f>
        <v>0</v>
      </c>
      <c r="J18" s="11"/>
      <c r="K18" s="89">
        <f t="shared" ref="K18:K80" si="0">F18</f>
        <v>0</v>
      </c>
      <c r="L18" s="9">
        <f>IFERROR(IF(N18="OEM DISC %",ROUND(IF($L$17=$G$17,G18*(1-O18),H18*(1-O18)),2),IF(N18="MARKUP %",ROUND(S18/K18*(1+O18),2))),0)</f>
        <v>0</v>
      </c>
      <c r="M18" s="9">
        <f>ROUND((K18*L18),2)</f>
        <v>0</v>
      </c>
      <c r="N18" s="8" t="s">
        <v>156</v>
      </c>
      <c r="O18" s="36"/>
      <c r="P18" s="51"/>
      <c r="Q18" s="2"/>
      <c r="R18" s="13"/>
      <c r="S18" s="14">
        <f>ROUND(IF($S$17=$R$17,R18,IF($S$17="USD $",R18*$E$15,R18*$F$15))*F18,2)</f>
        <v>0</v>
      </c>
      <c r="T18" s="14">
        <f>IFERROR(ROUND(U18/F18,2),0)</f>
        <v>0</v>
      </c>
      <c r="U18" s="14">
        <f>ROUND(M18-S18,2)</f>
        <v>0</v>
      </c>
      <c r="V18" s="29">
        <f>IFERROR(((L18-(S18/K18))/(S18/K18)),0)</f>
        <v>0</v>
      </c>
      <c r="W18" s="29">
        <f>IFERROR(((L18-(S18/K18))/L18),0)</f>
        <v>0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1" t="s">
        <v>431</v>
      </c>
      <c r="C19" s="4" t="s">
        <v>210</v>
      </c>
      <c r="D19" s="139" t="s">
        <v>29</v>
      </c>
      <c r="E19" s="125"/>
      <c r="F19" s="54">
        <v>1</v>
      </c>
      <c r="G19" s="181">
        <v>34.44</v>
      </c>
      <c r="H19" s="38">
        <f t="shared" ref="H19:H80" si="1">ROUND(IF($G$17="USD $", G19*$F$15,G19*$E$15),2)</f>
        <v>24.96</v>
      </c>
      <c r="I19" s="39">
        <f t="shared" ref="I19:I80" si="2">ROUND(IF($I$17=$H$17,F19*H19,F19*G19),2)</f>
        <v>24.96</v>
      </c>
      <c r="J19" s="42"/>
      <c r="K19" s="88">
        <f t="shared" si="0"/>
        <v>1</v>
      </c>
      <c r="L19" s="38">
        <f t="shared" ref="L19:L80" si="3">IFERROR(IF(N19="OEM DISC %",ROUND(IF($L$17=$G$17,G19*(1-O19),H19*(1-O19)),2),IF(N19="MARKUP %",ROUND(S19/K19*(1+O19),2))),0)</f>
        <v>24.96</v>
      </c>
      <c r="M19" s="38">
        <f t="shared" ref="M19:M80" si="4">ROUND((K19*L19),2)</f>
        <v>24.96</v>
      </c>
      <c r="N19" s="128" t="s">
        <v>156</v>
      </c>
      <c r="O19" s="16"/>
      <c r="P19" s="51"/>
      <c r="Q19" s="1"/>
      <c r="R19" s="15"/>
      <c r="S19" s="40">
        <f>ROUND(IF($S$17=$R$17,R19,IF($S$17="USD $",R19*$E$15,R19*$F$15))*F19,2)</f>
        <v>0</v>
      </c>
      <c r="T19" s="52">
        <f t="shared" ref="T19:T80" si="5">IFERROR(ROUND(U19/F19,2),0)</f>
        <v>24.96</v>
      </c>
      <c r="U19" s="52">
        <f t="shared" ref="U19:U80" si="6">ROUND(M19-S19,2)</f>
        <v>24.96</v>
      </c>
      <c r="V19" s="41">
        <f t="shared" ref="V19:V80" si="7">IFERROR(((L19-(S19/K19))/(S19/K19)),0)</f>
        <v>0</v>
      </c>
      <c r="W19" s="41">
        <f t="shared" ref="W19:W80" si="8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432</v>
      </c>
      <c r="C20" s="6" t="s">
        <v>211</v>
      </c>
      <c r="D20" s="139" t="s">
        <v>28</v>
      </c>
      <c r="E20" s="126"/>
      <c r="F20" s="54">
        <v>1</v>
      </c>
      <c r="G20" s="295">
        <v>33.340000000000003</v>
      </c>
      <c r="H20" s="9">
        <f t="shared" si="1"/>
        <v>24.16</v>
      </c>
      <c r="I20" s="10">
        <f t="shared" si="2"/>
        <v>24.16</v>
      </c>
      <c r="J20" s="42"/>
      <c r="K20" s="89">
        <f t="shared" si="0"/>
        <v>1</v>
      </c>
      <c r="L20" s="9">
        <f t="shared" si="3"/>
        <v>24.16</v>
      </c>
      <c r="M20" s="9">
        <f t="shared" si="4"/>
        <v>24.16</v>
      </c>
      <c r="N20" s="8" t="s">
        <v>156</v>
      </c>
      <c r="O20" s="12"/>
      <c r="P20" s="51"/>
      <c r="Q20" s="3"/>
      <c r="R20" s="13"/>
      <c r="S20" s="14">
        <f t="shared" ref="S20:S80" si="9">ROUND(IF($S$17=$R$17,R20,IF($S$17="USD $",R20*$E$15,R20*$F$15))*F20,2)</f>
        <v>0</v>
      </c>
      <c r="T20" s="14">
        <f t="shared" si="5"/>
        <v>24.16</v>
      </c>
      <c r="U20" s="14">
        <f t="shared" si="6"/>
        <v>24.16</v>
      </c>
      <c r="V20" s="29">
        <f t="shared" si="7"/>
        <v>0</v>
      </c>
      <c r="W20" s="29">
        <f t="shared" si="8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433</v>
      </c>
      <c r="C21" s="4" t="s">
        <v>214</v>
      </c>
      <c r="D21" s="139" t="s">
        <v>27</v>
      </c>
      <c r="E21" s="126"/>
      <c r="F21" s="54">
        <v>1</v>
      </c>
      <c r="G21" s="181">
        <v>339.49</v>
      </c>
      <c r="H21" s="38">
        <f t="shared" si="1"/>
        <v>246.01</v>
      </c>
      <c r="I21" s="39">
        <f t="shared" si="2"/>
        <v>246.01</v>
      </c>
      <c r="J21" s="42"/>
      <c r="K21" s="88">
        <f t="shared" si="0"/>
        <v>1</v>
      </c>
      <c r="L21" s="38">
        <f t="shared" si="3"/>
        <v>246.01</v>
      </c>
      <c r="M21" s="38">
        <f t="shared" si="4"/>
        <v>246.01</v>
      </c>
      <c r="N21" s="128" t="s">
        <v>156</v>
      </c>
      <c r="O21" s="16"/>
      <c r="P21" s="51"/>
      <c r="Q21" s="1"/>
      <c r="R21" s="15"/>
      <c r="S21" s="40">
        <f t="shared" si="9"/>
        <v>0</v>
      </c>
      <c r="T21" s="52">
        <f t="shared" si="5"/>
        <v>246.01</v>
      </c>
      <c r="U21" s="52">
        <f t="shared" si="6"/>
        <v>246.01</v>
      </c>
      <c r="V21" s="41">
        <f t="shared" si="7"/>
        <v>0</v>
      </c>
      <c r="W21" s="41">
        <f t="shared" si="8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434</v>
      </c>
      <c r="C22" s="4" t="s">
        <v>215</v>
      </c>
      <c r="D22" s="139" t="s">
        <v>24</v>
      </c>
      <c r="E22" s="125"/>
      <c r="F22" s="54">
        <v>1</v>
      </c>
      <c r="G22" s="295">
        <v>55.53</v>
      </c>
      <c r="H22" s="9">
        <f t="shared" si="1"/>
        <v>40.24</v>
      </c>
      <c r="I22" s="10">
        <f t="shared" si="2"/>
        <v>40.24</v>
      </c>
      <c r="J22" s="42"/>
      <c r="K22" s="89">
        <f t="shared" si="0"/>
        <v>1</v>
      </c>
      <c r="L22" s="9">
        <f t="shared" si="3"/>
        <v>40.24</v>
      </c>
      <c r="M22" s="9">
        <f t="shared" si="4"/>
        <v>40.24</v>
      </c>
      <c r="N22" s="8" t="s">
        <v>156</v>
      </c>
      <c r="O22" s="12"/>
      <c r="P22" s="51"/>
      <c r="Q22" s="3"/>
      <c r="R22" s="13"/>
      <c r="S22" s="14">
        <f t="shared" si="9"/>
        <v>0</v>
      </c>
      <c r="T22" s="14">
        <f t="shared" si="5"/>
        <v>40.24</v>
      </c>
      <c r="U22" s="14">
        <f t="shared" si="6"/>
        <v>40.24</v>
      </c>
      <c r="V22" s="29">
        <f t="shared" si="7"/>
        <v>0</v>
      </c>
      <c r="W22" s="29">
        <f t="shared" si="8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435</v>
      </c>
      <c r="C23" s="4" t="s">
        <v>216</v>
      </c>
      <c r="D23" s="139" t="s">
        <v>25</v>
      </c>
      <c r="E23" s="126"/>
      <c r="F23" s="54">
        <v>1</v>
      </c>
      <c r="G23" s="181">
        <v>154.81</v>
      </c>
      <c r="H23" s="38">
        <f t="shared" si="1"/>
        <v>112.18</v>
      </c>
      <c r="I23" s="39">
        <f t="shared" si="2"/>
        <v>112.18</v>
      </c>
      <c r="J23" s="42"/>
      <c r="K23" s="88">
        <f t="shared" si="0"/>
        <v>1</v>
      </c>
      <c r="L23" s="38">
        <f t="shared" si="3"/>
        <v>112.18</v>
      </c>
      <c r="M23" s="38">
        <f t="shared" si="4"/>
        <v>112.18</v>
      </c>
      <c r="N23" s="128" t="s">
        <v>156</v>
      </c>
      <c r="O23" s="16"/>
      <c r="P23" s="51"/>
      <c r="Q23" s="1"/>
      <c r="R23" s="15"/>
      <c r="S23" s="40">
        <f t="shared" si="9"/>
        <v>0</v>
      </c>
      <c r="T23" s="52">
        <f t="shared" si="5"/>
        <v>112.18</v>
      </c>
      <c r="U23" s="52">
        <f t="shared" si="6"/>
        <v>112.18</v>
      </c>
      <c r="V23" s="41">
        <f t="shared" si="7"/>
        <v>0</v>
      </c>
      <c r="W23" s="41">
        <f t="shared" si="8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436</v>
      </c>
      <c r="C24" s="6" t="s">
        <v>217</v>
      </c>
      <c r="D24" s="139" t="s">
        <v>25</v>
      </c>
      <c r="E24" s="125"/>
      <c r="F24" s="54">
        <v>1</v>
      </c>
      <c r="G24" s="295">
        <v>177.79</v>
      </c>
      <c r="H24" s="9">
        <f t="shared" si="1"/>
        <v>128.83000000000001</v>
      </c>
      <c r="I24" s="10">
        <f t="shared" si="2"/>
        <v>128.83000000000001</v>
      </c>
      <c r="J24" s="42"/>
      <c r="K24" s="89">
        <f t="shared" si="0"/>
        <v>1</v>
      </c>
      <c r="L24" s="9">
        <f t="shared" si="3"/>
        <v>128.83000000000001</v>
      </c>
      <c r="M24" s="9">
        <f t="shared" si="4"/>
        <v>128.83000000000001</v>
      </c>
      <c r="N24" s="8" t="s">
        <v>156</v>
      </c>
      <c r="O24" s="12"/>
      <c r="P24" s="51"/>
      <c r="Q24" s="3"/>
      <c r="R24" s="13"/>
      <c r="S24" s="14">
        <f t="shared" si="9"/>
        <v>0</v>
      </c>
      <c r="T24" s="14">
        <f t="shared" si="5"/>
        <v>128.83000000000001</v>
      </c>
      <c r="U24" s="14">
        <f t="shared" si="6"/>
        <v>128.83000000000001</v>
      </c>
      <c r="V24" s="29">
        <f t="shared" si="7"/>
        <v>0</v>
      </c>
      <c r="W24" s="29">
        <f t="shared" si="8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"/>
      <c r="C25" s="6"/>
      <c r="D25" s="139"/>
      <c r="E25" s="125"/>
      <c r="F25" s="54"/>
      <c r="G25" s="181"/>
      <c r="H25" s="38">
        <f t="shared" si="1"/>
        <v>0</v>
      </c>
      <c r="I25" s="39">
        <f t="shared" si="2"/>
        <v>0</v>
      </c>
      <c r="J25" s="42"/>
      <c r="K25" s="88">
        <f t="shared" si="0"/>
        <v>0</v>
      </c>
      <c r="L25" s="38">
        <f t="shared" si="3"/>
        <v>0</v>
      </c>
      <c r="M25" s="38">
        <f t="shared" si="4"/>
        <v>0</v>
      </c>
      <c r="N25" s="128" t="s">
        <v>156</v>
      </c>
      <c r="O25" s="16"/>
      <c r="P25" s="51"/>
      <c r="Q25" s="1"/>
      <c r="R25" s="15"/>
      <c r="S25" s="40">
        <f t="shared" si="9"/>
        <v>0</v>
      </c>
      <c r="T25" s="52">
        <f t="shared" si="5"/>
        <v>0</v>
      </c>
      <c r="U25" s="52">
        <f t="shared" si="6"/>
        <v>0</v>
      </c>
      <c r="V25" s="41">
        <f t="shared" si="7"/>
        <v>0</v>
      </c>
      <c r="W25" s="41">
        <f t="shared" si="8"/>
        <v>0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1"/>
      <c r="C26" s="4"/>
      <c r="D26" s="139"/>
      <c r="E26" s="126"/>
      <c r="F26" s="53"/>
      <c r="G26" s="295"/>
      <c r="H26" s="9">
        <f t="shared" si="1"/>
        <v>0</v>
      </c>
      <c r="I26" s="10">
        <f t="shared" si="2"/>
        <v>0</v>
      </c>
      <c r="J26" s="42"/>
      <c r="K26" s="89">
        <f t="shared" si="0"/>
        <v>0</v>
      </c>
      <c r="L26" s="9">
        <f t="shared" si="3"/>
        <v>0</v>
      </c>
      <c r="M26" s="9">
        <f t="shared" si="4"/>
        <v>0</v>
      </c>
      <c r="N26" s="8" t="s">
        <v>156</v>
      </c>
      <c r="O26" s="12"/>
      <c r="P26" s="51"/>
      <c r="Q26" s="3"/>
      <c r="R26" s="13"/>
      <c r="S26" s="14">
        <f t="shared" si="9"/>
        <v>0</v>
      </c>
      <c r="T26" s="14">
        <f t="shared" si="5"/>
        <v>0</v>
      </c>
      <c r="U26" s="14">
        <f t="shared" si="6"/>
        <v>0</v>
      </c>
      <c r="V26" s="29">
        <f t="shared" si="7"/>
        <v>0</v>
      </c>
      <c r="W26" s="29">
        <f t="shared" si="8"/>
        <v>0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"/>
      <c r="C27" s="4" t="s">
        <v>219</v>
      </c>
      <c r="D27" s="139"/>
      <c r="E27" s="125"/>
      <c r="F27" s="54"/>
      <c r="G27" s="181"/>
      <c r="H27" s="38">
        <f t="shared" si="1"/>
        <v>0</v>
      </c>
      <c r="I27" s="39">
        <f t="shared" si="2"/>
        <v>0</v>
      </c>
      <c r="J27" s="42"/>
      <c r="K27" s="88">
        <f t="shared" si="0"/>
        <v>0</v>
      </c>
      <c r="L27" s="38">
        <f t="shared" si="3"/>
        <v>0</v>
      </c>
      <c r="M27" s="38">
        <f t="shared" si="4"/>
        <v>0</v>
      </c>
      <c r="N27" s="128" t="s">
        <v>156</v>
      </c>
      <c r="O27" s="16"/>
      <c r="P27" s="51"/>
      <c r="Q27" s="1"/>
      <c r="R27" s="15"/>
      <c r="S27" s="40">
        <f t="shared" si="9"/>
        <v>0</v>
      </c>
      <c r="T27" s="52">
        <f t="shared" si="5"/>
        <v>0</v>
      </c>
      <c r="U27" s="52">
        <f t="shared" si="6"/>
        <v>0</v>
      </c>
      <c r="V27" s="41">
        <f t="shared" si="7"/>
        <v>0</v>
      </c>
      <c r="W27" s="41">
        <f t="shared" si="8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1" t="s">
        <v>437</v>
      </c>
      <c r="C28" s="6" t="s">
        <v>220</v>
      </c>
      <c r="D28" s="139" t="s">
        <v>0</v>
      </c>
      <c r="E28" s="126"/>
      <c r="F28" s="53">
        <v>2</v>
      </c>
      <c r="G28" s="295">
        <v>728.94</v>
      </c>
      <c r="H28" s="9">
        <f t="shared" si="1"/>
        <v>528.22</v>
      </c>
      <c r="I28" s="10">
        <f t="shared" si="2"/>
        <v>1056.44</v>
      </c>
      <c r="J28" s="42"/>
      <c r="K28" s="89">
        <f t="shared" si="0"/>
        <v>2</v>
      </c>
      <c r="L28" s="9">
        <f t="shared" si="3"/>
        <v>528.22</v>
      </c>
      <c r="M28" s="9">
        <f t="shared" si="4"/>
        <v>1056.44</v>
      </c>
      <c r="N28" s="8" t="s">
        <v>156</v>
      </c>
      <c r="O28" s="12"/>
      <c r="P28" s="51"/>
      <c r="Q28" s="3"/>
      <c r="R28" s="13"/>
      <c r="S28" s="14">
        <f t="shared" si="9"/>
        <v>0</v>
      </c>
      <c r="T28" s="14">
        <f t="shared" si="5"/>
        <v>528.22</v>
      </c>
      <c r="U28" s="14">
        <f t="shared" si="6"/>
        <v>1056.44</v>
      </c>
      <c r="V28" s="29">
        <f t="shared" si="7"/>
        <v>0</v>
      </c>
      <c r="W28" s="29">
        <f t="shared" si="8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 t="s">
        <v>438</v>
      </c>
      <c r="C29" s="4" t="s">
        <v>439</v>
      </c>
      <c r="D29" s="139" t="s">
        <v>39</v>
      </c>
      <c r="E29" s="125"/>
      <c r="F29" s="54">
        <v>1</v>
      </c>
      <c r="G29" s="181">
        <v>6863.21</v>
      </c>
      <c r="H29" s="38">
        <f>ROUND(IF($G$17="USD $", G29*$F$15,G29*$E$15),2)</f>
        <v>4973.34</v>
      </c>
      <c r="I29" s="39">
        <f>ROUND(IF($I$17=$H$17,F29*H29,F29*G29),2)</f>
        <v>4973.34</v>
      </c>
      <c r="J29" s="42"/>
      <c r="K29" s="88">
        <f t="shared" si="0"/>
        <v>1</v>
      </c>
      <c r="L29" s="38">
        <f t="shared" si="3"/>
        <v>4973.34</v>
      </c>
      <c r="M29" s="38">
        <f>ROUND((K29*L29),2)</f>
        <v>4973.34</v>
      </c>
      <c r="N29" s="128" t="s">
        <v>156</v>
      </c>
      <c r="O29" s="16"/>
      <c r="P29" s="51"/>
      <c r="Q29" s="1"/>
      <c r="R29" s="15"/>
      <c r="S29" s="40">
        <f t="shared" si="9"/>
        <v>0</v>
      </c>
      <c r="T29" s="52">
        <f t="shared" si="5"/>
        <v>4973.34</v>
      </c>
      <c r="U29" s="52">
        <f t="shared" si="6"/>
        <v>4973.34</v>
      </c>
      <c r="V29" s="41">
        <f t="shared" si="7"/>
        <v>0</v>
      </c>
      <c r="W29" s="41">
        <f t="shared" si="8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"/>
      <c r="C30" s="6"/>
      <c r="D30" s="139"/>
      <c r="E30" s="126"/>
      <c r="F30" s="53"/>
      <c r="G30" s="295"/>
      <c r="H30" s="9">
        <f t="shared" si="1"/>
        <v>0</v>
      </c>
      <c r="I30" s="10">
        <f t="shared" si="2"/>
        <v>0</v>
      </c>
      <c r="J30" s="42"/>
      <c r="K30" s="89">
        <f t="shared" si="0"/>
        <v>0</v>
      </c>
      <c r="L30" s="9">
        <f t="shared" si="3"/>
        <v>0</v>
      </c>
      <c r="M30" s="9">
        <f t="shared" si="4"/>
        <v>0</v>
      </c>
      <c r="N30" s="8" t="s">
        <v>156</v>
      </c>
      <c r="O30" s="12"/>
      <c r="P30" s="51"/>
      <c r="Q30" s="3"/>
      <c r="R30" s="13"/>
      <c r="S30" s="14">
        <f t="shared" si="9"/>
        <v>0</v>
      </c>
      <c r="T30" s="14">
        <f t="shared" si="5"/>
        <v>0</v>
      </c>
      <c r="U30" s="14">
        <f t="shared" si="6"/>
        <v>0</v>
      </c>
      <c r="V30" s="29">
        <f t="shared" si="7"/>
        <v>0</v>
      </c>
      <c r="W30" s="29">
        <f t="shared" si="8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1"/>
      <c r="C31" s="4" t="s">
        <v>222</v>
      </c>
      <c r="D31" s="139"/>
      <c r="E31" s="125"/>
      <c r="F31" s="54"/>
      <c r="G31" s="181"/>
      <c r="H31" s="38">
        <f t="shared" si="1"/>
        <v>0</v>
      </c>
      <c r="I31" s="39">
        <f t="shared" si="2"/>
        <v>0</v>
      </c>
      <c r="J31" s="42"/>
      <c r="K31" s="88">
        <f t="shared" si="0"/>
        <v>0</v>
      </c>
      <c r="L31" s="38">
        <f t="shared" si="3"/>
        <v>0</v>
      </c>
      <c r="M31" s="38">
        <f t="shared" si="4"/>
        <v>0</v>
      </c>
      <c r="N31" s="128" t="s">
        <v>156</v>
      </c>
      <c r="O31" s="16"/>
      <c r="P31" s="51"/>
      <c r="Q31" s="1"/>
      <c r="R31" s="15"/>
      <c r="S31" s="40">
        <f>ROUND(IF($S$17=$R$17,R31,IF($S$17="USD $",R31*$E$15,R31*$F$15))*F31,2)</f>
        <v>0</v>
      </c>
      <c r="T31" s="52">
        <f t="shared" si="5"/>
        <v>0</v>
      </c>
      <c r="U31" s="52">
        <f t="shared" si="6"/>
        <v>0</v>
      </c>
      <c r="V31" s="41">
        <f t="shared" si="7"/>
        <v>0</v>
      </c>
      <c r="W31" s="41">
        <f t="shared" si="8"/>
        <v>0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" t="s">
        <v>440</v>
      </c>
      <c r="C32" s="6" t="s">
        <v>441</v>
      </c>
      <c r="D32" s="139" t="s">
        <v>21</v>
      </c>
      <c r="E32" s="126"/>
      <c r="F32" s="53">
        <v>1</v>
      </c>
      <c r="G32" s="295">
        <v>14452.33</v>
      </c>
      <c r="H32" s="9">
        <f t="shared" si="1"/>
        <v>10472.700000000001</v>
      </c>
      <c r="I32" s="10">
        <f t="shared" si="2"/>
        <v>10472.700000000001</v>
      </c>
      <c r="J32" s="42"/>
      <c r="K32" s="89">
        <f t="shared" si="0"/>
        <v>1</v>
      </c>
      <c r="L32" s="9">
        <f t="shared" si="3"/>
        <v>10472.700000000001</v>
      </c>
      <c r="M32" s="9">
        <f t="shared" si="4"/>
        <v>10472.700000000001</v>
      </c>
      <c r="N32" s="8" t="s">
        <v>156</v>
      </c>
      <c r="O32" s="12"/>
      <c r="P32" s="51"/>
      <c r="Q32" s="3"/>
      <c r="R32" s="13"/>
      <c r="S32" s="14">
        <f t="shared" si="9"/>
        <v>0</v>
      </c>
      <c r="T32" s="14">
        <f t="shared" si="5"/>
        <v>10472.700000000001</v>
      </c>
      <c r="U32" s="14">
        <f t="shared" si="6"/>
        <v>10472.700000000001</v>
      </c>
      <c r="V32" s="29">
        <f t="shared" si="7"/>
        <v>0</v>
      </c>
      <c r="W32" s="29">
        <f t="shared" si="8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1" t="s">
        <v>442</v>
      </c>
      <c r="C33" s="4" t="s">
        <v>443</v>
      </c>
      <c r="D33" s="139" t="s">
        <v>15</v>
      </c>
      <c r="E33" s="125"/>
      <c r="F33" s="53">
        <v>1</v>
      </c>
      <c r="G33" s="181">
        <v>5336.07</v>
      </c>
      <c r="H33" s="38">
        <f t="shared" si="1"/>
        <v>3866.72</v>
      </c>
      <c r="I33" s="39">
        <f t="shared" si="2"/>
        <v>3866.72</v>
      </c>
      <c r="J33" s="42"/>
      <c r="K33" s="88">
        <f t="shared" si="0"/>
        <v>1</v>
      </c>
      <c r="L33" s="38">
        <f t="shared" si="3"/>
        <v>3866.72</v>
      </c>
      <c r="M33" s="38">
        <f t="shared" si="4"/>
        <v>3866.72</v>
      </c>
      <c r="N33" s="128" t="s">
        <v>156</v>
      </c>
      <c r="O33" s="16"/>
      <c r="P33" s="51"/>
      <c r="Q33" s="1"/>
      <c r="R33" s="15"/>
      <c r="S33" s="40">
        <f t="shared" si="9"/>
        <v>0</v>
      </c>
      <c r="T33" s="52">
        <f t="shared" si="5"/>
        <v>3866.72</v>
      </c>
      <c r="U33" s="52">
        <f t="shared" si="6"/>
        <v>3866.72</v>
      </c>
      <c r="V33" s="41">
        <f t="shared" si="7"/>
        <v>0</v>
      </c>
      <c r="W33" s="41">
        <f t="shared" si="8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" t="s">
        <v>444</v>
      </c>
      <c r="C34" s="6" t="s">
        <v>445</v>
      </c>
      <c r="D34" s="139" t="s">
        <v>16</v>
      </c>
      <c r="E34" s="126"/>
      <c r="F34" s="53">
        <v>1</v>
      </c>
      <c r="G34" s="295">
        <v>18234.509999999998</v>
      </c>
      <c r="H34" s="9">
        <f t="shared" si="1"/>
        <v>13213.41</v>
      </c>
      <c r="I34" s="10">
        <f t="shared" si="2"/>
        <v>13213.41</v>
      </c>
      <c r="J34" s="42"/>
      <c r="K34" s="89">
        <f t="shared" si="0"/>
        <v>1</v>
      </c>
      <c r="L34" s="9">
        <f t="shared" si="3"/>
        <v>13213.41</v>
      </c>
      <c r="M34" s="9">
        <f t="shared" si="4"/>
        <v>13213.41</v>
      </c>
      <c r="N34" s="8" t="s">
        <v>156</v>
      </c>
      <c r="O34" s="12"/>
      <c r="P34" s="51"/>
      <c r="Q34" s="3"/>
      <c r="R34" s="13"/>
      <c r="S34" s="14">
        <f t="shared" si="9"/>
        <v>0</v>
      </c>
      <c r="T34" s="14">
        <f t="shared" si="5"/>
        <v>13213.41</v>
      </c>
      <c r="U34" s="14">
        <f t="shared" si="6"/>
        <v>13213.41</v>
      </c>
      <c r="V34" s="29">
        <f t="shared" si="7"/>
        <v>0</v>
      </c>
      <c r="W34" s="29">
        <f t="shared" si="8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1" t="s">
        <v>446</v>
      </c>
      <c r="C35" s="4" t="s">
        <v>350</v>
      </c>
      <c r="D35" s="139" t="s">
        <v>17</v>
      </c>
      <c r="E35" s="125"/>
      <c r="F35" s="53">
        <v>1</v>
      </c>
      <c r="G35" s="181">
        <v>8687.51</v>
      </c>
      <c r="H35" s="38">
        <f t="shared" si="1"/>
        <v>6295.3</v>
      </c>
      <c r="I35" s="39">
        <f t="shared" si="2"/>
        <v>6295.3</v>
      </c>
      <c r="J35" s="42"/>
      <c r="K35" s="88">
        <f t="shared" si="0"/>
        <v>1</v>
      </c>
      <c r="L35" s="38">
        <f t="shared" si="3"/>
        <v>6295.3</v>
      </c>
      <c r="M35" s="38">
        <f t="shared" si="4"/>
        <v>6295.3</v>
      </c>
      <c r="N35" s="128" t="s">
        <v>156</v>
      </c>
      <c r="O35" s="16"/>
      <c r="P35" s="51"/>
      <c r="Q35" s="1"/>
      <c r="R35" s="15"/>
      <c r="S35" s="40">
        <f t="shared" si="9"/>
        <v>0</v>
      </c>
      <c r="T35" s="52">
        <f t="shared" si="5"/>
        <v>6295.3</v>
      </c>
      <c r="U35" s="52">
        <f t="shared" si="6"/>
        <v>6295.3</v>
      </c>
      <c r="V35" s="41">
        <f t="shared" si="7"/>
        <v>0</v>
      </c>
      <c r="W35" s="41">
        <f t="shared" si="8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" t="s">
        <v>447</v>
      </c>
      <c r="C36" s="6" t="s">
        <v>426</v>
      </c>
      <c r="D36" s="139" t="s">
        <v>23</v>
      </c>
      <c r="E36" s="126"/>
      <c r="F36" s="53">
        <v>1</v>
      </c>
      <c r="G36" s="295">
        <v>8103.44</v>
      </c>
      <c r="H36" s="9">
        <f t="shared" si="1"/>
        <v>5872.06</v>
      </c>
      <c r="I36" s="10">
        <f t="shared" si="2"/>
        <v>5872.06</v>
      </c>
      <c r="J36" s="42"/>
      <c r="K36" s="89">
        <f t="shared" si="0"/>
        <v>1</v>
      </c>
      <c r="L36" s="9">
        <f t="shared" si="3"/>
        <v>5872.06</v>
      </c>
      <c r="M36" s="9">
        <f t="shared" si="4"/>
        <v>5872.06</v>
      </c>
      <c r="N36" s="8" t="s">
        <v>156</v>
      </c>
      <c r="O36" s="12"/>
      <c r="P36" s="51"/>
      <c r="Q36" s="3"/>
      <c r="R36" s="13"/>
      <c r="S36" s="14">
        <f t="shared" si="9"/>
        <v>0</v>
      </c>
      <c r="T36" s="14">
        <f t="shared" si="5"/>
        <v>5872.06</v>
      </c>
      <c r="U36" s="14">
        <f t="shared" si="6"/>
        <v>5872.06</v>
      </c>
      <c r="V36" s="29">
        <f t="shared" si="7"/>
        <v>0</v>
      </c>
      <c r="W36" s="29">
        <f t="shared" si="8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1" t="s">
        <v>448</v>
      </c>
      <c r="C37" s="4" t="s">
        <v>449</v>
      </c>
      <c r="D37" s="139" t="s">
        <v>19</v>
      </c>
      <c r="E37" s="125"/>
      <c r="F37" s="53">
        <v>6</v>
      </c>
      <c r="G37" s="181">
        <v>4105.37</v>
      </c>
      <c r="H37" s="38">
        <f t="shared" si="1"/>
        <v>2974.91</v>
      </c>
      <c r="I37" s="39">
        <f t="shared" si="2"/>
        <v>17849.46</v>
      </c>
      <c r="J37" s="42"/>
      <c r="K37" s="88">
        <f t="shared" si="0"/>
        <v>6</v>
      </c>
      <c r="L37" s="38">
        <f t="shared" si="3"/>
        <v>2974.91</v>
      </c>
      <c r="M37" s="38">
        <f t="shared" si="4"/>
        <v>17849.46</v>
      </c>
      <c r="N37" s="128" t="s">
        <v>156</v>
      </c>
      <c r="O37" s="16"/>
      <c r="P37" s="51"/>
      <c r="Q37" s="1"/>
      <c r="R37" s="15"/>
      <c r="S37" s="40">
        <f t="shared" si="9"/>
        <v>0</v>
      </c>
      <c r="T37" s="52">
        <f t="shared" si="5"/>
        <v>2974.91</v>
      </c>
      <c r="U37" s="52">
        <f t="shared" si="6"/>
        <v>17849.46</v>
      </c>
      <c r="V37" s="41">
        <f t="shared" si="7"/>
        <v>0</v>
      </c>
      <c r="W37" s="41">
        <f t="shared" si="8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"/>
      <c r="C38" s="6"/>
      <c r="D38" s="139"/>
      <c r="E38" s="126"/>
      <c r="F38" s="53"/>
      <c r="G38" s="295"/>
      <c r="H38" s="9">
        <f t="shared" si="1"/>
        <v>0</v>
      </c>
      <c r="I38" s="10">
        <f t="shared" si="2"/>
        <v>0</v>
      </c>
      <c r="J38" s="42"/>
      <c r="K38" s="89">
        <f t="shared" si="0"/>
        <v>0</v>
      </c>
      <c r="L38" s="9">
        <f t="shared" si="3"/>
        <v>0</v>
      </c>
      <c r="M38" s="9">
        <f t="shared" si="4"/>
        <v>0</v>
      </c>
      <c r="N38" s="8" t="s">
        <v>156</v>
      </c>
      <c r="O38" s="12"/>
      <c r="P38" s="51"/>
      <c r="Q38" s="3"/>
      <c r="R38" s="13"/>
      <c r="S38" s="14">
        <f t="shared" si="9"/>
        <v>0</v>
      </c>
      <c r="T38" s="14">
        <f t="shared" si="5"/>
        <v>0</v>
      </c>
      <c r="U38" s="14">
        <f t="shared" si="6"/>
        <v>0</v>
      </c>
      <c r="V38" s="29">
        <f t="shared" si="7"/>
        <v>0</v>
      </c>
      <c r="W38" s="29">
        <f t="shared" si="8"/>
        <v>0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1"/>
      <c r="C39" s="6" t="s">
        <v>228</v>
      </c>
      <c r="D39" s="139"/>
      <c r="E39" s="125"/>
      <c r="F39" s="54"/>
      <c r="G39" s="181"/>
      <c r="H39" s="38">
        <f t="shared" si="1"/>
        <v>0</v>
      </c>
      <c r="I39" s="39">
        <f t="shared" si="2"/>
        <v>0</v>
      </c>
      <c r="J39" s="42"/>
      <c r="K39" s="88">
        <f t="shared" si="0"/>
        <v>0</v>
      </c>
      <c r="L39" s="38">
        <f t="shared" si="3"/>
        <v>0</v>
      </c>
      <c r="M39" s="38">
        <f t="shared" si="4"/>
        <v>0</v>
      </c>
      <c r="N39" s="128" t="s">
        <v>156</v>
      </c>
      <c r="O39" s="16"/>
      <c r="P39" s="51"/>
      <c r="Q39" s="1"/>
      <c r="R39" s="15"/>
      <c r="S39" s="40">
        <f t="shared" si="9"/>
        <v>0</v>
      </c>
      <c r="T39" s="52">
        <f t="shared" si="5"/>
        <v>0</v>
      </c>
      <c r="U39" s="52">
        <f t="shared" si="6"/>
        <v>0</v>
      </c>
      <c r="V39" s="41">
        <f t="shared" si="7"/>
        <v>0</v>
      </c>
      <c r="W39" s="41">
        <f t="shared" si="8"/>
        <v>0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" t="s">
        <v>450</v>
      </c>
      <c r="C40" s="4" t="s">
        <v>229</v>
      </c>
      <c r="D40" s="139" t="s">
        <v>41</v>
      </c>
      <c r="E40" s="126">
        <v>4000</v>
      </c>
      <c r="F40" s="53">
        <v>6</v>
      </c>
      <c r="G40" s="295">
        <v>10898.49</v>
      </c>
      <c r="H40" s="9">
        <f t="shared" si="1"/>
        <v>7897.46</v>
      </c>
      <c r="I40" s="10">
        <f t="shared" si="2"/>
        <v>47384.76</v>
      </c>
      <c r="J40" s="42"/>
      <c r="K40" s="89">
        <f t="shared" si="0"/>
        <v>6</v>
      </c>
      <c r="L40" s="9">
        <f t="shared" si="3"/>
        <v>7897.46</v>
      </c>
      <c r="M40" s="9">
        <f t="shared" si="4"/>
        <v>47384.76</v>
      </c>
      <c r="N40" s="8" t="s">
        <v>156</v>
      </c>
      <c r="O40" s="12"/>
      <c r="P40" s="51"/>
      <c r="Q40" s="3"/>
      <c r="R40" s="13"/>
      <c r="S40" s="14">
        <f t="shared" si="9"/>
        <v>0</v>
      </c>
      <c r="T40" s="14">
        <f t="shared" si="5"/>
        <v>7897.46</v>
      </c>
      <c r="U40" s="14">
        <f t="shared" si="6"/>
        <v>47384.76</v>
      </c>
      <c r="V40" s="29">
        <f t="shared" si="7"/>
        <v>0</v>
      </c>
      <c r="W40" s="29">
        <f t="shared" si="8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1"/>
      <c r="C41" s="4"/>
      <c r="D41" s="139"/>
      <c r="E41" s="125"/>
      <c r="F41" s="54"/>
      <c r="G41" s="181"/>
      <c r="H41" s="38">
        <f t="shared" si="1"/>
        <v>0</v>
      </c>
      <c r="I41" s="39">
        <f t="shared" si="2"/>
        <v>0</v>
      </c>
      <c r="J41" s="42"/>
      <c r="K41" s="88">
        <f t="shared" si="0"/>
        <v>0</v>
      </c>
      <c r="L41" s="38">
        <f t="shared" si="3"/>
        <v>0</v>
      </c>
      <c r="M41" s="38">
        <f t="shared" si="4"/>
        <v>0</v>
      </c>
      <c r="N41" s="128" t="s">
        <v>156</v>
      </c>
      <c r="O41" s="16"/>
      <c r="P41" s="51"/>
      <c r="Q41" s="1"/>
      <c r="R41" s="15"/>
      <c r="S41" s="40">
        <f t="shared" si="9"/>
        <v>0</v>
      </c>
      <c r="T41" s="52">
        <f t="shared" si="5"/>
        <v>0</v>
      </c>
      <c r="U41" s="52">
        <f t="shared" si="6"/>
        <v>0</v>
      </c>
      <c r="V41" s="41">
        <f t="shared" si="7"/>
        <v>0</v>
      </c>
      <c r="W41" s="41">
        <f t="shared" si="8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1" t="s">
        <v>451</v>
      </c>
      <c r="C42" s="4" t="s">
        <v>452</v>
      </c>
      <c r="D42" s="140" t="s">
        <v>22</v>
      </c>
      <c r="E42" s="125" t="s">
        <v>176</v>
      </c>
      <c r="F42" s="53">
        <v>1</v>
      </c>
      <c r="G42" s="295">
        <v>161.6</v>
      </c>
      <c r="H42" s="9">
        <f t="shared" si="1"/>
        <v>117.1</v>
      </c>
      <c r="I42" s="10">
        <f t="shared" si="2"/>
        <v>117.1</v>
      </c>
      <c r="J42" s="42"/>
      <c r="K42" s="89">
        <f t="shared" si="0"/>
        <v>1</v>
      </c>
      <c r="L42" s="9">
        <f t="shared" si="3"/>
        <v>117.1</v>
      </c>
      <c r="M42" s="9">
        <f t="shared" si="4"/>
        <v>117.1</v>
      </c>
      <c r="N42" s="8" t="s">
        <v>156</v>
      </c>
      <c r="O42" s="12"/>
      <c r="P42" s="51"/>
      <c r="Q42" s="3"/>
      <c r="R42" s="13"/>
      <c r="S42" s="14">
        <f t="shared" si="9"/>
        <v>0</v>
      </c>
      <c r="T42" s="14">
        <f t="shared" si="5"/>
        <v>117.1</v>
      </c>
      <c r="U42" s="14">
        <f t="shared" si="6"/>
        <v>117.1</v>
      </c>
      <c r="V42" s="29">
        <f t="shared" si="7"/>
        <v>0</v>
      </c>
      <c r="W42" s="29">
        <f t="shared" si="8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" t="s">
        <v>453</v>
      </c>
      <c r="C43" s="6" t="s">
        <v>198</v>
      </c>
      <c r="D43" s="139" t="s">
        <v>199</v>
      </c>
      <c r="E43" s="126" t="s">
        <v>176</v>
      </c>
      <c r="F43" s="53">
        <v>1</v>
      </c>
      <c r="G43" s="181">
        <v>2124.38</v>
      </c>
      <c r="H43" s="38">
        <f t="shared" si="1"/>
        <v>1539.41</v>
      </c>
      <c r="I43" s="39">
        <f t="shared" si="2"/>
        <v>1539.41</v>
      </c>
      <c r="J43" s="42"/>
      <c r="K43" s="88">
        <f t="shared" si="0"/>
        <v>1</v>
      </c>
      <c r="L43" s="38">
        <f t="shared" si="3"/>
        <v>1539.41</v>
      </c>
      <c r="M43" s="38">
        <f t="shared" si="4"/>
        <v>1539.41</v>
      </c>
      <c r="N43" s="128" t="s">
        <v>156</v>
      </c>
      <c r="O43" s="16"/>
      <c r="P43" s="51"/>
      <c r="Q43" s="1"/>
      <c r="R43" s="15"/>
      <c r="S43" s="40">
        <f t="shared" si="9"/>
        <v>0</v>
      </c>
      <c r="T43" s="52">
        <f t="shared" si="5"/>
        <v>1539.41</v>
      </c>
      <c r="U43" s="52">
        <f t="shared" si="6"/>
        <v>1539.41</v>
      </c>
      <c r="V43" s="41">
        <f t="shared" si="7"/>
        <v>0</v>
      </c>
      <c r="W43" s="41">
        <f t="shared" si="8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1" t="s">
        <v>454</v>
      </c>
      <c r="C44" s="4" t="s">
        <v>200</v>
      </c>
      <c r="D44" s="140" t="s">
        <v>18</v>
      </c>
      <c r="E44" s="125" t="s">
        <v>176</v>
      </c>
      <c r="F44" s="54">
        <v>1</v>
      </c>
      <c r="G44" s="295">
        <v>902.45</v>
      </c>
      <c r="H44" s="9">
        <f t="shared" si="1"/>
        <v>653.95000000000005</v>
      </c>
      <c r="I44" s="10">
        <f t="shared" si="2"/>
        <v>653.95000000000005</v>
      </c>
      <c r="J44" s="42"/>
      <c r="K44" s="89">
        <f t="shared" si="0"/>
        <v>1</v>
      </c>
      <c r="L44" s="9">
        <f t="shared" si="3"/>
        <v>653.95000000000005</v>
      </c>
      <c r="M44" s="9">
        <f t="shared" si="4"/>
        <v>653.95000000000005</v>
      </c>
      <c r="N44" s="8" t="s">
        <v>156</v>
      </c>
      <c r="O44" s="12"/>
      <c r="P44" s="51"/>
      <c r="Q44" s="3"/>
      <c r="R44" s="13"/>
      <c r="S44" s="14">
        <f t="shared" si="9"/>
        <v>0</v>
      </c>
      <c r="T44" s="14">
        <f t="shared" si="5"/>
        <v>653.95000000000005</v>
      </c>
      <c r="U44" s="14">
        <f t="shared" si="6"/>
        <v>653.95000000000005</v>
      </c>
      <c r="V44" s="29">
        <f t="shared" si="7"/>
        <v>0</v>
      </c>
      <c r="W44" s="29">
        <f t="shared" si="8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1" t="s">
        <v>455</v>
      </c>
      <c r="C45" s="4" t="s">
        <v>428</v>
      </c>
      <c r="D45" s="139" t="s">
        <v>13</v>
      </c>
      <c r="E45" s="125" t="s">
        <v>176</v>
      </c>
      <c r="F45" s="54">
        <v>1</v>
      </c>
      <c r="G45" s="15">
        <v>2453.71</v>
      </c>
      <c r="H45" s="38">
        <f t="shared" si="1"/>
        <v>1778.05</v>
      </c>
      <c r="I45" s="39">
        <f t="shared" si="2"/>
        <v>1778.05</v>
      </c>
      <c r="J45" s="42"/>
      <c r="K45" s="88">
        <f t="shared" si="0"/>
        <v>1</v>
      </c>
      <c r="L45" s="38">
        <f t="shared" si="3"/>
        <v>1778.05</v>
      </c>
      <c r="M45" s="38">
        <f t="shared" si="4"/>
        <v>1778.05</v>
      </c>
      <c r="N45" s="128" t="s">
        <v>156</v>
      </c>
      <c r="O45" s="16"/>
      <c r="P45" s="51"/>
      <c r="Q45" s="1"/>
      <c r="R45" s="15"/>
      <c r="S45" s="40">
        <f t="shared" si="9"/>
        <v>0</v>
      </c>
      <c r="T45" s="52">
        <f t="shared" si="5"/>
        <v>1778.05</v>
      </c>
      <c r="U45" s="52">
        <f t="shared" si="6"/>
        <v>1778.05</v>
      </c>
      <c r="V45" s="41">
        <f t="shared" si="7"/>
        <v>0</v>
      </c>
      <c r="W45" s="41">
        <f t="shared" si="8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"/>
      <c r="C46" s="6"/>
      <c r="D46" s="139"/>
      <c r="E46" s="126"/>
      <c r="F46" s="53"/>
      <c r="G46" s="8"/>
      <c r="H46" s="9">
        <f t="shared" si="1"/>
        <v>0</v>
      </c>
      <c r="I46" s="10">
        <f t="shared" si="2"/>
        <v>0</v>
      </c>
      <c r="J46" s="42"/>
      <c r="K46" s="89">
        <f t="shared" si="0"/>
        <v>0</v>
      </c>
      <c r="L46" s="9">
        <f t="shared" si="3"/>
        <v>0</v>
      </c>
      <c r="M46" s="9">
        <f t="shared" si="4"/>
        <v>0</v>
      </c>
      <c r="N46" s="8" t="s">
        <v>156</v>
      </c>
      <c r="O46" s="12"/>
      <c r="P46" s="51"/>
      <c r="Q46" s="3"/>
      <c r="R46" s="13"/>
      <c r="S46" s="14">
        <f t="shared" si="9"/>
        <v>0</v>
      </c>
      <c r="T46" s="14">
        <f t="shared" si="5"/>
        <v>0</v>
      </c>
      <c r="U46" s="14">
        <f t="shared" si="6"/>
        <v>0</v>
      </c>
      <c r="V46" s="29">
        <f t="shared" si="7"/>
        <v>0</v>
      </c>
      <c r="W46" s="29">
        <f t="shared" si="8"/>
        <v>0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1"/>
      <c r="C47" s="4"/>
      <c r="D47" s="139"/>
      <c r="E47" s="125"/>
      <c r="F47" s="54"/>
      <c r="G47" s="15"/>
      <c r="H47" s="38">
        <f t="shared" si="1"/>
        <v>0</v>
      </c>
      <c r="I47" s="39">
        <f t="shared" si="2"/>
        <v>0</v>
      </c>
      <c r="J47" s="42"/>
      <c r="K47" s="88">
        <f t="shared" si="0"/>
        <v>0</v>
      </c>
      <c r="L47" s="38">
        <f t="shared" si="3"/>
        <v>0</v>
      </c>
      <c r="M47" s="38">
        <f t="shared" si="4"/>
        <v>0</v>
      </c>
      <c r="N47" s="128" t="s">
        <v>156</v>
      </c>
      <c r="O47" s="16"/>
      <c r="P47" s="51"/>
      <c r="Q47" s="1"/>
      <c r="R47" s="15"/>
      <c r="S47" s="40">
        <f t="shared" si="9"/>
        <v>0</v>
      </c>
      <c r="T47" s="52">
        <f t="shared" si="5"/>
        <v>0</v>
      </c>
      <c r="U47" s="52">
        <f t="shared" si="6"/>
        <v>0</v>
      </c>
      <c r="V47" s="41">
        <f t="shared" si="7"/>
        <v>0</v>
      </c>
      <c r="W47" s="41">
        <f t="shared" si="8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"/>
      <c r="C48" s="6"/>
      <c r="D48" s="139"/>
      <c r="E48" s="126"/>
      <c r="F48" s="53"/>
      <c r="G48" s="8"/>
      <c r="H48" s="9">
        <f t="shared" si="1"/>
        <v>0</v>
      </c>
      <c r="I48" s="10">
        <f t="shared" si="2"/>
        <v>0</v>
      </c>
      <c r="J48" s="42"/>
      <c r="K48" s="89">
        <f t="shared" si="0"/>
        <v>0</v>
      </c>
      <c r="L48" s="9">
        <f t="shared" si="3"/>
        <v>0</v>
      </c>
      <c r="M48" s="9">
        <f t="shared" si="4"/>
        <v>0</v>
      </c>
      <c r="N48" s="8" t="s">
        <v>156</v>
      </c>
      <c r="O48" s="12"/>
      <c r="P48" s="51"/>
      <c r="Q48" s="3"/>
      <c r="R48" s="13"/>
      <c r="S48" s="14">
        <f t="shared" si="9"/>
        <v>0</v>
      </c>
      <c r="T48" s="14">
        <f t="shared" si="5"/>
        <v>0</v>
      </c>
      <c r="U48" s="14">
        <f t="shared" si="6"/>
        <v>0</v>
      </c>
      <c r="V48" s="29">
        <f t="shared" si="7"/>
        <v>0</v>
      </c>
      <c r="W48" s="29">
        <f t="shared" si="8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1"/>
      <c r="C49" s="4"/>
      <c r="D49" s="139"/>
      <c r="E49" s="125"/>
      <c r="F49" s="54"/>
      <c r="G49" s="15"/>
      <c r="H49" s="38">
        <f t="shared" si="1"/>
        <v>0</v>
      </c>
      <c r="I49" s="39">
        <f t="shared" si="2"/>
        <v>0</v>
      </c>
      <c r="J49" s="42"/>
      <c r="K49" s="88">
        <f t="shared" si="0"/>
        <v>0</v>
      </c>
      <c r="L49" s="38">
        <f t="shared" si="3"/>
        <v>0</v>
      </c>
      <c r="M49" s="38">
        <f t="shared" si="4"/>
        <v>0</v>
      </c>
      <c r="N49" s="128" t="s">
        <v>156</v>
      </c>
      <c r="O49" s="16"/>
      <c r="P49" s="51"/>
      <c r="Q49" s="1"/>
      <c r="R49" s="15"/>
      <c r="S49" s="40">
        <f t="shared" si="9"/>
        <v>0</v>
      </c>
      <c r="T49" s="52">
        <f t="shared" si="5"/>
        <v>0</v>
      </c>
      <c r="U49" s="52">
        <f t="shared" si="6"/>
        <v>0</v>
      </c>
      <c r="V49" s="41">
        <f t="shared" si="7"/>
        <v>0</v>
      </c>
      <c r="W49" s="41">
        <f t="shared" si="8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"/>
      <c r="C50" s="6"/>
      <c r="D50" s="139"/>
      <c r="E50" s="126"/>
      <c r="F50" s="53"/>
      <c r="G50" s="8"/>
      <c r="H50" s="9">
        <f t="shared" si="1"/>
        <v>0</v>
      </c>
      <c r="I50" s="10">
        <f t="shared" si="2"/>
        <v>0</v>
      </c>
      <c r="J50" s="42"/>
      <c r="K50" s="89">
        <f t="shared" si="0"/>
        <v>0</v>
      </c>
      <c r="L50" s="9">
        <f t="shared" si="3"/>
        <v>0</v>
      </c>
      <c r="M50" s="9">
        <f t="shared" si="4"/>
        <v>0</v>
      </c>
      <c r="N50" s="8" t="s">
        <v>156</v>
      </c>
      <c r="O50" s="12"/>
      <c r="P50" s="51"/>
      <c r="Q50" s="3"/>
      <c r="R50" s="13"/>
      <c r="S50" s="14">
        <f t="shared" si="9"/>
        <v>0</v>
      </c>
      <c r="T50" s="14">
        <f t="shared" si="5"/>
        <v>0</v>
      </c>
      <c r="U50" s="14">
        <f t="shared" si="6"/>
        <v>0</v>
      </c>
      <c r="V50" s="29">
        <f t="shared" si="7"/>
        <v>0</v>
      </c>
      <c r="W50" s="29">
        <f t="shared" si="8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/>
      <c r="C51" s="4"/>
      <c r="D51" s="139"/>
      <c r="E51" s="125"/>
      <c r="F51" s="54"/>
      <c r="G51" s="15"/>
      <c r="H51" s="38">
        <f t="shared" si="1"/>
        <v>0</v>
      </c>
      <c r="I51" s="39">
        <f t="shared" si="2"/>
        <v>0</v>
      </c>
      <c r="J51" s="42"/>
      <c r="K51" s="88">
        <f t="shared" si="0"/>
        <v>0</v>
      </c>
      <c r="L51" s="38">
        <f t="shared" si="3"/>
        <v>0</v>
      </c>
      <c r="M51" s="38">
        <f t="shared" si="4"/>
        <v>0</v>
      </c>
      <c r="N51" s="128" t="s">
        <v>156</v>
      </c>
      <c r="O51" s="16"/>
      <c r="P51" s="51"/>
      <c r="Q51" s="1"/>
      <c r="R51" s="15"/>
      <c r="S51" s="40">
        <f t="shared" si="9"/>
        <v>0</v>
      </c>
      <c r="T51" s="52">
        <f t="shared" si="5"/>
        <v>0</v>
      </c>
      <c r="U51" s="52">
        <f t="shared" si="6"/>
        <v>0</v>
      </c>
      <c r="V51" s="41">
        <f t="shared" si="7"/>
        <v>0</v>
      </c>
      <c r="W51" s="41">
        <f t="shared" si="8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/>
      <c r="C52" s="6"/>
      <c r="D52" s="139"/>
      <c r="E52" s="126"/>
      <c r="F52" s="53"/>
      <c r="G52" s="8"/>
      <c r="H52" s="9">
        <f t="shared" si="1"/>
        <v>0</v>
      </c>
      <c r="I52" s="10">
        <f t="shared" si="2"/>
        <v>0</v>
      </c>
      <c r="J52" s="42"/>
      <c r="K52" s="89">
        <f t="shared" si="0"/>
        <v>0</v>
      </c>
      <c r="L52" s="9">
        <f t="shared" si="3"/>
        <v>0</v>
      </c>
      <c r="M52" s="9">
        <f t="shared" si="4"/>
        <v>0</v>
      </c>
      <c r="N52" s="8" t="s">
        <v>156</v>
      </c>
      <c r="O52" s="12"/>
      <c r="P52" s="51"/>
      <c r="Q52" s="3"/>
      <c r="R52" s="13"/>
      <c r="S52" s="14">
        <f t="shared" si="9"/>
        <v>0</v>
      </c>
      <c r="T52" s="14">
        <f t="shared" si="5"/>
        <v>0</v>
      </c>
      <c r="U52" s="14">
        <f t="shared" si="6"/>
        <v>0</v>
      </c>
      <c r="V52" s="29">
        <f t="shared" si="7"/>
        <v>0</v>
      </c>
      <c r="W52" s="29">
        <f t="shared" si="8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/>
      <c r="C53" s="4"/>
      <c r="D53" s="139"/>
      <c r="E53" s="125"/>
      <c r="F53" s="54"/>
      <c r="G53" s="15"/>
      <c r="H53" s="38">
        <f t="shared" si="1"/>
        <v>0</v>
      </c>
      <c r="I53" s="39">
        <f t="shared" si="2"/>
        <v>0</v>
      </c>
      <c r="J53" s="42"/>
      <c r="K53" s="88">
        <f t="shared" si="0"/>
        <v>0</v>
      </c>
      <c r="L53" s="38">
        <f t="shared" si="3"/>
        <v>0</v>
      </c>
      <c r="M53" s="38">
        <f t="shared" si="4"/>
        <v>0</v>
      </c>
      <c r="N53" s="128" t="s">
        <v>156</v>
      </c>
      <c r="O53" s="16"/>
      <c r="P53" s="51"/>
      <c r="Q53" s="1"/>
      <c r="R53" s="15"/>
      <c r="S53" s="40">
        <f t="shared" si="9"/>
        <v>0</v>
      </c>
      <c r="T53" s="52">
        <f t="shared" si="5"/>
        <v>0</v>
      </c>
      <c r="U53" s="52">
        <f t="shared" si="6"/>
        <v>0</v>
      </c>
      <c r="V53" s="41">
        <f t="shared" si="7"/>
        <v>0</v>
      </c>
      <c r="W53" s="41">
        <f t="shared" si="8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8"/>
      <c r="H54" s="9">
        <f t="shared" si="1"/>
        <v>0</v>
      </c>
      <c r="I54" s="10">
        <f t="shared" si="2"/>
        <v>0</v>
      </c>
      <c r="J54" s="42"/>
      <c r="K54" s="89">
        <f t="shared" si="0"/>
        <v>0</v>
      </c>
      <c r="L54" s="9">
        <f t="shared" si="3"/>
        <v>0</v>
      </c>
      <c r="M54" s="9">
        <f t="shared" si="4"/>
        <v>0</v>
      </c>
      <c r="N54" s="8" t="s">
        <v>156</v>
      </c>
      <c r="O54" s="12"/>
      <c r="P54" s="51"/>
      <c r="Q54" s="3"/>
      <c r="R54" s="13"/>
      <c r="S54" s="14">
        <f t="shared" si="9"/>
        <v>0</v>
      </c>
      <c r="T54" s="14">
        <f t="shared" si="5"/>
        <v>0</v>
      </c>
      <c r="U54" s="14">
        <f t="shared" si="6"/>
        <v>0</v>
      </c>
      <c r="V54" s="29">
        <f t="shared" si="7"/>
        <v>0</v>
      </c>
      <c r="W54" s="29">
        <f t="shared" si="8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8">
        <f t="shared" si="1"/>
        <v>0</v>
      </c>
      <c r="I55" s="39">
        <f t="shared" si="2"/>
        <v>0</v>
      </c>
      <c r="J55" s="42"/>
      <c r="K55" s="88">
        <f t="shared" si="0"/>
        <v>0</v>
      </c>
      <c r="L55" s="38">
        <f t="shared" si="3"/>
        <v>0</v>
      </c>
      <c r="M55" s="38">
        <f t="shared" si="4"/>
        <v>0</v>
      </c>
      <c r="N55" s="128" t="s">
        <v>156</v>
      </c>
      <c r="O55" s="16"/>
      <c r="P55" s="51"/>
      <c r="Q55" s="1"/>
      <c r="R55" s="15"/>
      <c r="S55" s="40">
        <f t="shared" si="9"/>
        <v>0</v>
      </c>
      <c r="T55" s="52">
        <f t="shared" si="5"/>
        <v>0</v>
      </c>
      <c r="U55" s="52">
        <f t="shared" si="6"/>
        <v>0</v>
      </c>
      <c r="V55" s="41">
        <f t="shared" si="7"/>
        <v>0</v>
      </c>
      <c r="W55" s="41">
        <f t="shared" si="8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8"/>
      <c r="H56" s="9">
        <f t="shared" si="1"/>
        <v>0</v>
      </c>
      <c r="I56" s="10">
        <f t="shared" si="2"/>
        <v>0</v>
      </c>
      <c r="J56" s="42"/>
      <c r="K56" s="89">
        <f t="shared" si="0"/>
        <v>0</v>
      </c>
      <c r="L56" s="9">
        <f t="shared" si="3"/>
        <v>0</v>
      </c>
      <c r="M56" s="9">
        <f t="shared" si="4"/>
        <v>0</v>
      </c>
      <c r="N56" s="8" t="s">
        <v>156</v>
      </c>
      <c r="O56" s="12"/>
      <c r="P56" s="51"/>
      <c r="Q56" s="3"/>
      <c r="R56" s="13"/>
      <c r="S56" s="14">
        <f t="shared" si="9"/>
        <v>0</v>
      </c>
      <c r="T56" s="14">
        <f t="shared" si="5"/>
        <v>0</v>
      </c>
      <c r="U56" s="14">
        <f t="shared" si="6"/>
        <v>0</v>
      </c>
      <c r="V56" s="29">
        <f t="shared" si="7"/>
        <v>0</v>
      </c>
      <c r="W56" s="29">
        <f t="shared" si="8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8">
        <f t="shared" si="1"/>
        <v>0</v>
      </c>
      <c r="I57" s="39">
        <f t="shared" si="2"/>
        <v>0</v>
      </c>
      <c r="J57" s="42"/>
      <c r="K57" s="88">
        <f t="shared" si="0"/>
        <v>0</v>
      </c>
      <c r="L57" s="38">
        <f t="shared" si="3"/>
        <v>0</v>
      </c>
      <c r="M57" s="38">
        <f t="shared" si="4"/>
        <v>0</v>
      </c>
      <c r="N57" s="128" t="s">
        <v>156</v>
      </c>
      <c r="O57" s="16"/>
      <c r="P57" s="51"/>
      <c r="Q57" s="1"/>
      <c r="R57" s="15"/>
      <c r="S57" s="40">
        <f t="shared" si="9"/>
        <v>0</v>
      </c>
      <c r="T57" s="52">
        <f t="shared" si="5"/>
        <v>0</v>
      </c>
      <c r="U57" s="52">
        <f t="shared" si="6"/>
        <v>0</v>
      </c>
      <c r="V57" s="41">
        <f t="shared" si="7"/>
        <v>0</v>
      </c>
      <c r="W57" s="41">
        <f t="shared" si="8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8"/>
      <c r="H58" s="9">
        <f t="shared" si="1"/>
        <v>0</v>
      </c>
      <c r="I58" s="10">
        <f t="shared" si="2"/>
        <v>0</v>
      </c>
      <c r="J58" s="42"/>
      <c r="K58" s="89">
        <f t="shared" si="0"/>
        <v>0</v>
      </c>
      <c r="L58" s="9">
        <f t="shared" si="3"/>
        <v>0</v>
      </c>
      <c r="M58" s="9">
        <f t="shared" si="4"/>
        <v>0</v>
      </c>
      <c r="N58" s="8" t="s">
        <v>156</v>
      </c>
      <c r="O58" s="12"/>
      <c r="P58" s="51"/>
      <c r="Q58" s="3"/>
      <c r="R58" s="13"/>
      <c r="S58" s="14">
        <f t="shared" si="9"/>
        <v>0</v>
      </c>
      <c r="T58" s="14">
        <f t="shared" si="5"/>
        <v>0</v>
      </c>
      <c r="U58" s="14">
        <f t="shared" si="6"/>
        <v>0</v>
      </c>
      <c r="V58" s="29">
        <f t="shared" si="7"/>
        <v>0</v>
      </c>
      <c r="W58" s="29">
        <f t="shared" si="8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8">
        <f t="shared" si="1"/>
        <v>0</v>
      </c>
      <c r="I59" s="39">
        <f t="shared" si="2"/>
        <v>0</v>
      </c>
      <c r="J59" s="42"/>
      <c r="K59" s="88">
        <f t="shared" si="0"/>
        <v>0</v>
      </c>
      <c r="L59" s="38">
        <f t="shared" si="3"/>
        <v>0</v>
      </c>
      <c r="M59" s="38">
        <f t="shared" si="4"/>
        <v>0</v>
      </c>
      <c r="N59" s="128" t="s">
        <v>156</v>
      </c>
      <c r="O59" s="16"/>
      <c r="P59" s="51"/>
      <c r="Q59" s="1"/>
      <c r="R59" s="15"/>
      <c r="S59" s="40">
        <f t="shared" si="9"/>
        <v>0</v>
      </c>
      <c r="T59" s="52">
        <f t="shared" si="5"/>
        <v>0</v>
      </c>
      <c r="U59" s="52">
        <f t="shared" si="6"/>
        <v>0</v>
      </c>
      <c r="V59" s="41">
        <f t="shared" si="7"/>
        <v>0</v>
      </c>
      <c r="W59" s="41">
        <f t="shared" si="8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8"/>
      <c r="H60" s="9">
        <f t="shared" si="1"/>
        <v>0</v>
      </c>
      <c r="I60" s="10">
        <f t="shared" si="2"/>
        <v>0</v>
      </c>
      <c r="J60" s="42"/>
      <c r="K60" s="89">
        <f t="shared" si="0"/>
        <v>0</v>
      </c>
      <c r="L60" s="9">
        <f t="shared" si="3"/>
        <v>0</v>
      </c>
      <c r="M60" s="9">
        <f t="shared" si="4"/>
        <v>0</v>
      </c>
      <c r="N60" s="8" t="s">
        <v>156</v>
      </c>
      <c r="O60" s="12"/>
      <c r="P60" s="51"/>
      <c r="Q60" s="3"/>
      <c r="R60" s="13"/>
      <c r="S60" s="14">
        <f t="shared" si="9"/>
        <v>0</v>
      </c>
      <c r="T60" s="14">
        <f t="shared" si="5"/>
        <v>0</v>
      </c>
      <c r="U60" s="14">
        <f t="shared" si="6"/>
        <v>0</v>
      </c>
      <c r="V60" s="29">
        <f t="shared" si="7"/>
        <v>0</v>
      </c>
      <c r="W60" s="29">
        <f t="shared" si="8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8">
        <f t="shared" si="1"/>
        <v>0</v>
      </c>
      <c r="I61" s="39">
        <f t="shared" si="2"/>
        <v>0</v>
      </c>
      <c r="J61" s="42"/>
      <c r="K61" s="88">
        <f t="shared" si="0"/>
        <v>0</v>
      </c>
      <c r="L61" s="38">
        <f t="shared" si="3"/>
        <v>0</v>
      </c>
      <c r="M61" s="38">
        <f t="shared" si="4"/>
        <v>0</v>
      </c>
      <c r="N61" s="128" t="s">
        <v>156</v>
      </c>
      <c r="O61" s="16"/>
      <c r="P61" s="51"/>
      <c r="Q61" s="1"/>
      <c r="R61" s="15"/>
      <c r="S61" s="40">
        <f t="shared" si="9"/>
        <v>0</v>
      </c>
      <c r="T61" s="52">
        <f t="shared" si="5"/>
        <v>0</v>
      </c>
      <c r="U61" s="52">
        <f t="shared" si="6"/>
        <v>0</v>
      </c>
      <c r="V61" s="41">
        <f t="shared" si="7"/>
        <v>0</v>
      </c>
      <c r="W61" s="41">
        <f t="shared" si="8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8"/>
      <c r="H62" s="9">
        <f t="shared" si="1"/>
        <v>0</v>
      </c>
      <c r="I62" s="10">
        <f t="shared" si="2"/>
        <v>0</v>
      </c>
      <c r="J62" s="42"/>
      <c r="K62" s="89">
        <f t="shared" si="0"/>
        <v>0</v>
      </c>
      <c r="L62" s="9">
        <f t="shared" si="3"/>
        <v>0</v>
      </c>
      <c r="M62" s="9">
        <f t="shared" si="4"/>
        <v>0</v>
      </c>
      <c r="N62" s="8" t="s">
        <v>156</v>
      </c>
      <c r="O62" s="12"/>
      <c r="P62" s="51"/>
      <c r="Q62" s="3"/>
      <c r="R62" s="13"/>
      <c r="S62" s="14">
        <f t="shared" si="9"/>
        <v>0</v>
      </c>
      <c r="T62" s="14">
        <f t="shared" si="5"/>
        <v>0</v>
      </c>
      <c r="U62" s="14">
        <f t="shared" si="6"/>
        <v>0</v>
      </c>
      <c r="V62" s="29">
        <f t="shared" si="7"/>
        <v>0</v>
      </c>
      <c r="W62" s="29">
        <f t="shared" si="8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8">
        <f t="shared" si="1"/>
        <v>0</v>
      </c>
      <c r="I63" s="39">
        <f t="shared" si="2"/>
        <v>0</v>
      </c>
      <c r="J63" s="42"/>
      <c r="K63" s="88">
        <f t="shared" si="0"/>
        <v>0</v>
      </c>
      <c r="L63" s="38">
        <f t="shared" si="3"/>
        <v>0</v>
      </c>
      <c r="M63" s="38">
        <f t="shared" si="4"/>
        <v>0</v>
      </c>
      <c r="N63" s="128" t="s">
        <v>156</v>
      </c>
      <c r="O63" s="16"/>
      <c r="P63" s="51"/>
      <c r="Q63" s="1"/>
      <c r="R63" s="15"/>
      <c r="S63" s="40">
        <f t="shared" si="9"/>
        <v>0</v>
      </c>
      <c r="T63" s="52">
        <f t="shared" si="5"/>
        <v>0</v>
      </c>
      <c r="U63" s="52">
        <f t="shared" si="6"/>
        <v>0</v>
      </c>
      <c r="V63" s="41">
        <f t="shared" si="7"/>
        <v>0</v>
      </c>
      <c r="W63" s="41">
        <f t="shared" si="8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8"/>
      <c r="H64" s="9">
        <f t="shared" si="1"/>
        <v>0</v>
      </c>
      <c r="I64" s="10">
        <f t="shared" si="2"/>
        <v>0</v>
      </c>
      <c r="J64" s="42"/>
      <c r="K64" s="89">
        <f t="shared" si="0"/>
        <v>0</v>
      </c>
      <c r="L64" s="9">
        <f t="shared" si="3"/>
        <v>0</v>
      </c>
      <c r="M64" s="9">
        <f t="shared" si="4"/>
        <v>0</v>
      </c>
      <c r="N64" s="8" t="s">
        <v>156</v>
      </c>
      <c r="O64" s="12"/>
      <c r="P64" s="51"/>
      <c r="Q64" s="3"/>
      <c r="R64" s="13"/>
      <c r="S64" s="14">
        <f t="shared" si="9"/>
        <v>0</v>
      </c>
      <c r="T64" s="14">
        <f t="shared" si="5"/>
        <v>0</v>
      </c>
      <c r="U64" s="14">
        <f t="shared" si="6"/>
        <v>0</v>
      </c>
      <c r="V64" s="29">
        <f t="shared" si="7"/>
        <v>0</v>
      </c>
      <c r="W64" s="29">
        <f t="shared" si="8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8">
        <f t="shared" si="1"/>
        <v>0</v>
      </c>
      <c r="I65" s="39">
        <f t="shared" si="2"/>
        <v>0</v>
      </c>
      <c r="J65" s="42"/>
      <c r="K65" s="88">
        <f t="shared" si="0"/>
        <v>0</v>
      </c>
      <c r="L65" s="38">
        <f t="shared" si="3"/>
        <v>0</v>
      </c>
      <c r="M65" s="38">
        <f t="shared" si="4"/>
        <v>0</v>
      </c>
      <c r="N65" s="128" t="s">
        <v>156</v>
      </c>
      <c r="O65" s="16"/>
      <c r="P65" s="51"/>
      <c r="Q65" s="1"/>
      <c r="R65" s="15"/>
      <c r="S65" s="40">
        <f t="shared" si="9"/>
        <v>0</v>
      </c>
      <c r="T65" s="52">
        <f t="shared" si="5"/>
        <v>0</v>
      </c>
      <c r="U65" s="52">
        <f t="shared" si="6"/>
        <v>0</v>
      </c>
      <c r="V65" s="41">
        <f t="shared" si="7"/>
        <v>0</v>
      </c>
      <c r="W65" s="41">
        <f t="shared" si="8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8"/>
      <c r="H66" s="9">
        <f t="shared" si="1"/>
        <v>0</v>
      </c>
      <c r="I66" s="10">
        <f t="shared" si="2"/>
        <v>0</v>
      </c>
      <c r="J66" s="42"/>
      <c r="K66" s="89">
        <f t="shared" si="0"/>
        <v>0</v>
      </c>
      <c r="L66" s="9">
        <f t="shared" si="3"/>
        <v>0</v>
      </c>
      <c r="M66" s="9">
        <f t="shared" si="4"/>
        <v>0</v>
      </c>
      <c r="N66" s="8" t="s">
        <v>156</v>
      </c>
      <c r="O66" s="12"/>
      <c r="P66" s="51"/>
      <c r="Q66" s="3"/>
      <c r="R66" s="13"/>
      <c r="S66" s="14">
        <f t="shared" si="9"/>
        <v>0</v>
      </c>
      <c r="T66" s="14">
        <f t="shared" si="5"/>
        <v>0</v>
      </c>
      <c r="U66" s="14">
        <f t="shared" si="6"/>
        <v>0</v>
      </c>
      <c r="V66" s="29">
        <f t="shared" si="7"/>
        <v>0</v>
      </c>
      <c r="W66" s="29">
        <f t="shared" si="8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8">
        <f t="shared" si="1"/>
        <v>0</v>
      </c>
      <c r="I67" s="39">
        <f t="shared" si="2"/>
        <v>0</v>
      </c>
      <c r="J67" s="42"/>
      <c r="K67" s="88">
        <f t="shared" si="0"/>
        <v>0</v>
      </c>
      <c r="L67" s="38">
        <f t="shared" si="3"/>
        <v>0</v>
      </c>
      <c r="M67" s="38">
        <f t="shared" si="4"/>
        <v>0</v>
      </c>
      <c r="N67" s="128" t="s">
        <v>156</v>
      </c>
      <c r="O67" s="16"/>
      <c r="P67" s="51"/>
      <c r="Q67" s="1"/>
      <c r="R67" s="15"/>
      <c r="S67" s="40">
        <f t="shared" si="9"/>
        <v>0</v>
      </c>
      <c r="T67" s="52">
        <f t="shared" si="5"/>
        <v>0</v>
      </c>
      <c r="U67" s="52">
        <f t="shared" si="6"/>
        <v>0</v>
      </c>
      <c r="V67" s="41">
        <f t="shared" si="7"/>
        <v>0</v>
      </c>
      <c r="W67" s="41">
        <f t="shared" si="8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8"/>
      <c r="H68" s="9">
        <f t="shared" si="1"/>
        <v>0</v>
      </c>
      <c r="I68" s="10">
        <f t="shared" si="2"/>
        <v>0</v>
      </c>
      <c r="J68" s="42"/>
      <c r="K68" s="89">
        <f t="shared" si="0"/>
        <v>0</v>
      </c>
      <c r="L68" s="9">
        <f t="shared" si="3"/>
        <v>0</v>
      </c>
      <c r="M68" s="9">
        <f t="shared" si="4"/>
        <v>0</v>
      </c>
      <c r="N68" s="8" t="s">
        <v>156</v>
      </c>
      <c r="O68" s="12"/>
      <c r="P68" s="51"/>
      <c r="Q68" s="3"/>
      <c r="R68" s="13"/>
      <c r="S68" s="14">
        <f t="shared" si="9"/>
        <v>0</v>
      </c>
      <c r="T68" s="14">
        <f t="shared" si="5"/>
        <v>0</v>
      </c>
      <c r="U68" s="14">
        <f t="shared" si="6"/>
        <v>0</v>
      </c>
      <c r="V68" s="29">
        <f t="shared" si="7"/>
        <v>0</v>
      </c>
      <c r="W68" s="29">
        <f t="shared" si="8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8">
        <f t="shared" si="1"/>
        <v>0</v>
      </c>
      <c r="I69" s="39">
        <f t="shared" si="2"/>
        <v>0</v>
      </c>
      <c r="J69" s="42"/>
      <c r="K69" s="88">
        <f t="shared" si="0"/>
        <v>0</v>
      </c>
      <c r="L69" s="38">
        <f t="shared" si="3"/>
        <v>0</v>
      </c>
      <c r="M69" s="38">
        <f t="shared" si="4"/>
        <v>0</v>
      </c>
      <c r="N69" s="128" t="s">
        <v>156</v>
      </c>
      <c r="O69" s="16"/>
      <c r="P69" s="51"/>
      <c r="Q69" s="1"/>
      <c r="R69" s="15"/>
      <c r="S69" s="40">
        <f t="shared" si="9"/>
        <v>0</v>
      </c>
      <c r="T69" s="52">
        <f t="shared" si="5"/>
        <v>0</v>
      </c>
      <c r="U69" s="52">
        <f t="shared" si="6"/>
        <v>0</v>
      </c>
      <c r="V69" s="41">
        <f t="shared" si="7"/>
        <v>0</v>
      </c>
      <c r="W69" s="41">
        <f t="shared" si="8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8"/>
      <c r="H70" s="9">
        <f t="shared" si="1"/>
        <v>0</v>
      </c>
      <c r="I70" s="10">
        <f t="shared" si="2"/>
        <v>0</v>
      </c>
      <c r="J70" s="42"/>
      <c r="K70" s="89">
        <f t="shared" si="0"/>
        <v>0</v>
      </c>
      <c r="L70" s="9">
        <f t="shared" si="3"/>
        <v>0</v>
      </c>
      <c r="M70" s="9">
        <f t="shared" si="4"/>
        <v>0</v>
      </c>
      <c r="N70" s="8" t="s">
        <v>156</v>
      </c>
      <c r="O70" s="12"/>
      <c r="P70" s="51"/>
      <c r="Q70" s="3"/>
      <c r="R70" s="13"/>
      <c r="S70" s="14">
        <f t="shared" si="9"/>
        <v>0</v>
      </c>
      <c r="T70" s="14">
        <f t="shared" si="5"/>
        <v>0</v>
      </c>
      <c r="U70" s="14">
        <f t="shared" si="6"/>
        <v>0</v>
      </c>
      <c r="V70" s="29">
        <f t="shared" si="7"/>
        <v>0</v>
      </c>
      <c r="W70" s="29">
        <f t="shared" si="8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8">
        <f t="shared" si="1"/>
        <v>0</v>
      </c>
      <c r="I71" s="39">
        <f t="shared" si="2"/>
        <v>0</v>
      </c>
      <c r="J71" s="42"/>
      <c r="K71" s="88">
        <f t="shared" si="0"/>
        <v>0</v>
      </c>
      <c r="L71" s="38">
        <f t="shared" si="3"/>
        <v>0</v>
      </c>
      <c r="M71" s="38">
        <f t="shared" si="4"/>
        <v>0</v>
      </c>
      <c r="N71" s="128" t="s">
        <v>156</v>
      </c>
      <c r="O71" s="16"/>
      <c r="P71" s="51"/>
      <c r="Q71" s="1"/>
      <c r="R71" s="15"/>
      <c r="S71" s="40">
        <f t="shared" si="9"/>
        <v>0</v>
      </c>
      <c r="T71" s="52">
        <f t="shared" si="5"/>
        <v>0</v>
      </c>
      <c r="U71" s="52">
        <f t="shared" si="6"/>
        <v>0</v>
      </c>
      <c r="V71" s="41">
        <f t="shared" si="7"/>
        <v>0</v>
      </c>
      <c r="W71" s="41">
        <f t="shared" si="8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8"/>
      <c r="H72" s="9">
        <f t="shared" si="1"/>
        <v>0</v>
      </c>
      <c r="I72" s="10">
        <f t="shared" si="2"/>
        <v>0</v>
      </c>
      <c r="J72" s="42"/>
      <c r="K72" s="89">
        <f t="shared" si="0"/>
        <v>0</v>
      </c>
      <c r="L72" s="9">
        <f t="shared" si="3"/>
        <v>0</v>
      </c>
      <c r="M72" s="9">
        <f t="shared" si="4"/>
        <v>0</v>
      </c>
      <c r="N72" s="8" t="s">
        <v>156</v>
      </c>
      <c r="O72" s="12"/>
      <c r="P72" s="51"/>
      <c r="Q72" s="3"/>
      <c r="R72" s="13"/>
      <c r="S72" s="14">
        <f t="shared" si="9"/>
        <v>0</v>
      </c>
      <c r="T72" s="14">
        <f t="shared" si="5"/>
        <v>0</v>
      </c>
      <c r="U72" s="14">
        <f t="shared" si="6"/>
        <v>0</v>
      </c>
      <c r="V72" s="29">
        <f t="shared" si="7"/>
        <v>0</v>
      </c>
      <c r="W72" s="29">
        <f t="shared" si="8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8">
        <f t="shared" si="1"/>
        <v>0</v>
      </c>
      <c r="I73" s="39">
        <f t="shared" si="2"/>
        <v>0</v>
      </c>
      <c r="J73" s="42"/>
      <c r="K73" s="88">
        <f t="shared" si="0"/>
        <v>0</v>
      </c>
      <c r="L73" s="38">
        <f t="shared" si="3"/>
        <v>0</v>
      </c>
      <c r="M73" s="38">
        <f t="shared" si="4"/>
        <v>0</v>
      </c>
      <c r="N73" s="128" t="s">
        <v>156</v>
      </c>
      <c r="O73" s="16"/>
      <c r="P73" s="51"/>
      <c r="Q73" s="1"/>
      <c r="R73" s="15"/>
      <c r="S73" s="40">
        <f t="shared" si="9"/>
        <v>0</v>
      </c>
      <c r="T73" s="52">
        <f t="shared" si="5"/>
        <v>0</v>
      </c>
      <c r="U73" s="52">
        <f t="shared" si="6"/>
        <v>0</v>
      </c>
      <c r="V73" s="41">
        <f t="shared" si="7"/>
        <v>0</v>
      </c>
      <c r="W73" s="41">
        <f t="shared" si="8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8"/>
      <c r="H74" s="9">
        <f t="shared" si="1"/>
        <v>0</v>
      </c>
      <c r="I74" s="10">
        <f t="shared" si="2"/>
        <v>0</v>
      </c>
      <c r="J74" s="42"/>
      <c r="K74" s="89">
        <f t="shared" si="0"/>
        <v>0</v>
      </c>
      <c r="L74" s="9">
        <f t="shared" si="3"/>
        <v>0</v>
      </c>
      <c r="M74" s="9">
        <f t="shared" si="4"/>
        <v>0</v>
      </c>
      <c r="N74" s="8" t="s">
        <v>156</v>
      </c>
      <c r="O74" s="12"/>
      <c r="P74" s="51"/>
      <c r="Q74" s="3"/>
      <c r="R74" s="13"/>
      <c r="S74" s="14">
        <f t="shared" si="9"/>
        <v>0</v>
      </c>
      <c r="T74" s="14">
        <f t="shared" si="5"/>
        <v>0</v>
      </c>
      <c r="U74" s="14">
        <f t="shared" si="6"/>
        <v>0</v>
      </c>
      <c r="V74" s="29">
        <f t="shared" si="7"/>
        <v>0</v>
      </c>
      <c r="W74" s="29">
        <f t="shared" si="8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8">
        <f t="shared" si="1"/>
        <v>0</v>
      </c>
      <c r="I75" s="39">
        <f t="shared" si="2"/>
        <v>0</v>
      </c>
      <c r="J75" s="42"/>
      <c r="K75" s="88">
        <f t="shared" si="0"/>
        <v>0</v>
      </c>
      <c r="L75" s="38">
        <f t="shared" si="3"/>
        <v>0</v>
      </c>
      <c r="M75" s="38">
        <f t="shared" si="4"/>
        <v>0</v>
      </c>
      <c r="N75" s="128" t="s">
        <v>156</v>
      </c>
      <c r="O75" s="16"/>
      <c r="P75" s="51"/>
      <c r="Q75" s="1"/>
      <c r="R75" s="15"/>
      <c r="S75" s="40">
        <f t="shared" si="9"/>
        <v>0</v>
      </c>
      <c r="T75" s="52">
        <f t="shared" si="5"/>
        <v>0</v>
      </c>
      <c r="U75" s="52">
        <f t="shared" si="6"/>
        <v>0</v>
      </c>
      <c r="V75" s="41">
        <f t="shared" si="7"/>
        <v>0</v>
      </c>
      <c r="W75" s="41">
        <f t="shared" si="8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8"/>
      <c r="H76" s="9">
        <f t="shared" si="1"/>
        <v>0</v>
      </c>
      <c r="I76" s="10">
        <f t="shared" si="2"/>
        <v>0</v>
      </c>
      <c r="J76" s="42"/>
      <c r="K76" s="89">
        <f t="shared" si="0"/>
        <v>0</v>
      </c>
      <c r="L76" s="9">
        <f t="shared" si="3"/>
        <v>0</v>
      </c>
      <c r="M76" s="9">
        <f t="shared" si="4"/>
        <v>0</v>
      </c>
      <c r="N76" s="8" t="s">
        <v>156</v>
      </c>
      <c r="O76" s="12"/>
      <c r="P76" s="51"/>
      <c r="Q76" s="3"/>
      <c r="R76" s="13"/>
      <c r="S76" s="14">
        <f t="shared" si="9"/>
        <v>0</v>
      </c>
      <c r="T76" s="14">
        <f t="shared" si="5"/>
        <v>0</v>
      </c>
      <c r="U76" s="14">
        <f t="shared" si="6"/>
        <v>0</v>
      </c>
      <c r="V76" s="29">
        <f t="shared" si="7"/>
        <v>0</v>
      </c>
      <c r="W76" s="29">
        <f t="shared" si="8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8">
        <f t="shared" si="1"/>
        <v>0</v>
      </c>
      <c r="I77" s="39">
        <f t="shared" si="2"/>
        <v>0</v>
      </c>
      <c r="J77" s="42"/>
      <c r="K77" s="88">
        <f t="shared" si="0"/>
        <v>0</v>
      </c>
      <c r="L77" s="38">
        <f t="shared" si="3"/>
        <v>0</v>
      </c>
      <c r="M77" s="38">
        <f t="shared" si="4"/>
        <v>0</v>
      </c>
      <c r="N77" s="128" t="s">
        <v>156</v>
      </c>
      <c r="O77" s="16"/>
      <c r="P77" s="51"/>
      <c r="Q77" s="1"/>
      <c r="R77" s="15"/>
      <c r="S77" s="40">
        <f t="shared" si="9"/>
        <v>0</v>
      </c>
      <c r="T77" s="52">
        <f t="shared" si="5"/>
        <v>0</v>
      </c>
      <c r="U77" s="52">
        <f t="shared" si="6"/>
        <v>0</v>
      </c>
      <c r="V77" s="41">
        <f t="shared" si="7"/>
        <v>0</v>
      </c>
      <c r="W77" s="41">
        <f t="shared" si="8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8"/>
      <c r="H78" s="9">
        <f t="shared" si="1"/>
        <v>0</v>
      </c>
      <c r="I78" s="10">
        <f t="shared" si="2"/>
        <v>0</v>
      </c>
      <c r="J78" s="42"/>
      <c r="K78" s="89">
        <f t="shared" si="0"/>
        <v>0</v>
      </c>
      <c r="L78" s="9">
        <f t="shared" si="3"/>
        <v>0</v>
      </c>
      <c r="M78" s="9">
        <f t="shared" si="4"/>
        <v>0</v>
      </c>
      <c r="N78" s="8" t="s">
        <v>156</v>
      </c>
      <c r="O78" s="12"/>
      <c r="P78" s="51"/>
      <c r="Q78" s="3"/>
      <c r="R78" s="13"/>
      <c r="S78" s="14">
        <f t="shared" si="9"/>
        <v>0</v>
      </c>
      <c r="T78" s="14">
        <f t="shared" si="5"/>
        <v>0</v>
      </c>
      <c r="U78" s="14">
        <f t="shared" si="6"/>
        <v>0</v>
      </c>
      <c r="V78" s="29">
        <f t="shared" si="7"/>
        <v>0</v>
      </c>
      <c r="W78" s="29">
        <f t="shared" si="8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8">
        <f t="shared" si="1"/>
        <v>0</v>
      </c>
      <c r="I79" s="39">
        <f t="shared" si="2"/>
        <v>0</v>
      </c>
      <c r="J79" s="42"/>
      <c r="K79" s="88">
        <f t="shared" si="0"/>
        <v>0</v>
      </c>
      <c r="L79" s="38">
        <f t="shared" si="3"/>
        <v>0</v>
      </c>
      <c r="M79" s="38">
        <f t="shared" si="4"/>
        <v>0</v>
      </c>
      <c r="N79" s="128" t="s">
        <v>156</v>
      </c>
      <c r="O79" s="16"/>
      <c r="P79" s="51"/>
      <c r="Q79" s="1"/>
      <c r="R79" s="15"/>
      <c r="S79" s="40">
        <f t="shared" si="9"/>
        <v>0</v>
      </c>
      <c r="T79" s="52">
        <f t="shared" si="5"/>
        <v>0</v>
      </c>
      <c r="U79" s="52">
        <f t="shared" si="6"/>
        <v>0</v>
      </c>
      <c r="V79" s="41">
        <f t="shared" si="7"/>
        <v>0</v>
      </c>
      <c r="W79" s="41">
        <f t="shared" si="8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8"/>
      <c r="H80" s="9">
        <f t="shared" si="1"/>
        <v>0</v>
      </c>
      <c r="I80" s="10">
        <f t="shared" si="2"/>
        <v>0</v>
      </c>
      <c r="J80" s="42"/>
      <c r="K80" s="89">
        <f t="shared" si="0"/>
        <v>0</v>
      </c>
      <c r="L80" s="9">
        <f t="shared" si="3"/>
        <v>0</v>
      </c>
      <c r="M80" s="9">
        <f t="shared" si="4"/>
        <v>0</v>
      </c>
      <c r="N80" s="8" t="s">
        <v>156</v>
      </c>
      <c r="O80" s="12"/>
      <c r="P80" s="51"/>
      <c r="Q80" s="3"/>
      <c r="R80" s="13"/>
      <c r="S80" s="14">
        <f t="shared" si="9"/>
        <v>0</v>
      </c>
      <c r="T80" s="14">
        <f t="shared" si="5"/>
        <v>0</v>
      </c>
      <c r="U80" s="14">
        <f t="shared" si="6"/>
        <v>0</v>
      </c>
      <c r="V80" s="29">
        <f t="shared" si="7"/>
        <v>0</v>
      </c>
      <c r="W80" s="29">
        <f t="shared" si="8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30</v>
      </c>
      <c r="G81" s="78">
        <f>SUM(G18:G80)</f>
        <v>83847.410000000018</v>
      </c>
      <c r="H81" s="79">
        <f>SUM(H18:H80)</f>
        <v>60759.010000000009</v>
      </c>
      <c r="I81" s="80">
        <f>SUM(I18:I80)</f>
        <v>115649.08000000002</v>
      </c>
      <c r="J81" s="81"/>
      <c r="K81" s="82">
        <f>SUM(K18:K80)</f>
        <v>30</v>
      </c>
      <c r="L81" s="79">
        <f>SUM(L18:L80)</f>
        <v>60759.010000000009</v>
      </c>
      <c r="M81" s="80">
        <f>SUM(M18:M80)</f>
        <v>115649.08000000002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60759.010000000009</v>
      </c>
      <c r="U81" s="80">
        <f>SUM(U18:U80)</f>
        <v>115649.08000000002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47" priority="3" stopIfTrue="1">
      <formula>$V$9&gt;100%</formula>
    </cfRule>
    <cfRule type="expression" dxfId="46" priority="4">
      <formula>$V$9&lt;50%</formula>
    </cfRule>
  </conditionalFormatting>
  <conditionalFormatting sqref="W9:W10">
    <cfRule type="expression" dxfId="45" priority="1">
      <formula>$W$9&lt;50%</formula>
    </cfRule>
    <cfRule type="expression" dxfId="44" priority="2">
      <formula>$W$9&gt;50%</formula>
    </cfRule>
  </conditionalFormatting>
  <dataValidations count="6">
    <dataValidation type="list" allowBlank="1" showInputMessage="1" showErrorMessage="1" sqref="G2:H2" xr:uid="{482AC9D1-F242-4D02-9C80-872AD8A2F6CE}">
      <formula1>$Z$34:$Z$48</formula1>
    </dataValidation>
    <dataValidation type="list" allowBlank="1" showInputMessage="1" showErrorMessage="1" sqref="N18:N80" xr:uid="{03DD8A9E-05CB-40F6-9108-B23992B6C3FD}">
      <formula1>$Z$31:$Z$32</formula1>
    </dataValidation>
    <dataValidation type="list" showInputMessage="1" showErrorMessage="1" sqref="E18:E80" xr:uid="{8BEF585F-FE8D-4340-87BC-19BBCA19EBF9}">
      <formula1>$AA$18:$AA$29</formula1>
    </dataValidation>
    <dataValidation type="list" allowBlank="1" showInputMessage="1" showErrorMessage="1" sqref="J13" xr:uid="{B39F71E6-C25D-44FB-9A48-4A4068F7A7BE}">
      <formula1>$L$9:$L$9</formula1>
    </dataValidation>
    <dataValidation type="list" allowBlank="1" showInputMessage="1" showErrorMessage="1" sqref="I13" xr:uid="{C77E2FDB-AF75-4510-A569-15C64526FC73}">
      <formula1>$Z$13:$Z$14</formula1>
    </dataValidation>
    <dataValidation type="list" allowBlank="1" showInputMessage="1" showErrorMessage="1" sqref="G17 R14 R17 L17" xr:uid="{F83BD09D-2D03-42A6-80F6-5C025AA9ADA3}">
      <formula1>$Z$11:$Z$12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3D3C58-3668-4352-98B2-335AF89F2C13}">
          <x14:formula1>
            <xm:f>'Product Type'!$A$1:$A$55</xm:f>
          </x14:formula1>
          <xm:sqref>D45:D63 D18:D41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AAE4-3D78-4672-9313-B5416F59F886}">
  <sheetPr>
    <pageSetUpPr fitToPage="1"/>
  </sheetPr>
  <dimension ref="A1:AC83"/>
  <sheetViews>
    <sheetView topLeftCell="C12" zoomScaleNormal="100" workbookViewId="0">
      <selection activeCell="D53" sqref="D5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2.28515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189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115927.29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115927.29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456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457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3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115927.29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115927.29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43"/>
      <c r="M10" s="483" t="s">
        <v>112</v>
      </c>
      <c r="N10" s="484"/>
      <c r="O10" s="485"/>
      <c r="P10" s="119"/>
      <c r="Q10" s="487">
        <f>F81</f>
        <v>31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/>
      <c r="C18" s="5" t="s">
        <v>209</v>
      </c>
      <c r="D18" s="139"/>
      <c r="E18" s="124"/>
      <c r="F18" s="53"/>
      <c r="G18" s="8"/>
      <c r="H18" s="9">
        <f>ROUND(IF($G$17="USD $", G18*$F$15,G18*$E$15),2)</f>
        <v>0</v>
      </c>
      <c r="I18" s="10">
        <f>ROUND(IF($I$17=$H$17,F18*H18,F18*G18),2)</f>
        <v>0</v>
      </c>
      <c r="J18" s="11"/>
      <c r="K18" s="89">
        <f t="shared" ref="K18:K80" si="0">F18</f>
        <v>0</v>
      </c>
      <c r="L18" s="9">
        <f>IFERROR(IF(N18="OEM DISC %",ROUND(IF($L$17=$G$17,G18*(1-O18),H18*(1-O18)),2),IF(N18="MARKUP %",ROUND(S18/K18*(1+O18),2))),0)</f>
        <v>0</v>
      </c>
      <c r="M18" s="9">
        <f>ROUND((K18*L18),2)</f>
        <v>0</v>
      </c>
      <c r="N18" s="8" t="s">
        <v>156</v>
      </c>
      <c r="O18" s="36"/>
      <c r="P18" s="51"/>
      <c r="Q18" s="2"/>
      <c r="R18" s="13"/>
      <c r="S18" s="14">
        <f>ROUND(IF($S$17=$R$17,R18,IF($S$17="USD $",R18*$E$15,R18*$F$15))*F18,2)</f>
        <v>0</v>
      </c>
      <c r="T18" s="14">
        <f>IFERROR(ROUND(U18/F18,2),0)</f>
        <v>0</v>
      </c>
      <c r="U18" s="14">
        <f>ROUND(M18-S18,2)</f>
        <v>0</v>
      </c>
      <c r="V18" s="29">
        <f>IFERROR(((L18-(S18/K18))/(S18/K18)),0)</f>
        <v>0</v>
      </c>
      <c r="W18" s="29">
        <f>IFERROR(((L18-(S18/K18))/L18),0)</f>
        <v>0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1" t="s">
        <v>431</v>
      </c>
      <c r="C19" s="4" t="s">
        <v>210</v>
      </c>
      <c r="D19" s="139" t="s">
        <v>29</v>
      </c>
      <c r="E19" s="125">
        <v>500</v>
      </c>
      <c r="F19" s="54">
        <v>1</v>
      </c>
      <c r="G19" s="281">
        <v>43.91</v>
      </c>
      <c r="H19" s="38">
        <f t="shared" ref="H19:H80" si="1">ROUND(IF($G$17="USD $", G19*$F$15,G19*$E$15),2)</f>
        <v>31.82</v>
      </c>
      <c r="I19" s="39">
        <f t="shared" ref="I19:I80" si="2">ROUND(IF($I$17=$H$17,F19*H19,F19*G19),2)</f>
        <v>31.82</v>
      </c>
      <c r="J19" s="42"/>
      <c r="K19" s="88">
        <f t="shared" si="0"/>
        <v>1</v>
      </c>
      <c r="L19" s="38">
        <f t="shared" ref="L19:L80" si="3">IFERROR(IF(N19="OEM DISC %",ROUND(IF($L$17=$G$17,G19*(1-O19),H19*(1-O19)),2),IF(N19="MARKUP %",ROUND(S19/K19*(1+O19),2))),0)</f>
        <v>31.82</v>
      </c>
      <c r="M19" s="38">
        <f t="shared" ref="M19:M80" si="4">ROUND((K19*L19),2)</f>
        <v>31.82</v>
      </c>
      <c r="N19" s="128" t="s">
        <v>156</v>
      </c>
      <c r="O19" s="16"/>
      <c r="P19" s="51"/>
      <c r="Q19" s="1"/>
      <c r="R19" s="15"/>
      <c r="S19" s="40">
        <f>ROUND(IF($S$17=$R$17,R19,IF($S$17="USD $",R19*$E$15,R19*$F$15))*F19,2)</f>
        <v>0</v>
      </c>
      <c r="T19" s="52">
        <f t="shared" ref="T19:T80" si="5">IFERROR(ROUND(U19/F19,2),0)</f>
        <v>31.82</v>
      </c>
      <c r="U19" s="52">
        <f t="shared" ref="U19:U80" si="6">ROUND(M19-S19,2)</f>
        <v>31.82</v>
      </c>
      <c r="V19" s="41">
        <f t="shared" ref="V19:V80" si="7">IFERROR(((L19-(S19/K19))/(S19/K19)),0)</f>
        <v>0</v>
      </c>
      <c r="W19" s="41">
        <f t="shared" ref="W19:W80" si="8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458</v>
      </c>
      <c r="C20" s="6" t="s">
        <v>211</v>
      </c>
      <c r="D20" s="139" t="s">
        <v>28</v>
      </c>
      <c r="E20" s="332">
        <v>375</v>
      </c>
      <c r="F20" s="54">
        <v>1</v>
      </c>
      <c r="G20" s="259">
        <v>21.56</v>
      </c>
      <c r="H20" s="9">
        <f t="shared" si="1"/>
        <v>15.62</v>
      </c>
      <c r="I20" s="10">
        <f t="shared" si="2"/>
        <v>15.62</v>
      </c>
      <c r="J20" s="42"/>
      <c r="K20" s="89">
        <f t="shared" si="0"/>
        <v>1</v>
      </c>
      <c r="L20" s="9">
        <f t="shared" si="3"/>
        <v>15.62</v>
      </c>
      <c r="M20" s="9">
        <f t="shared" si="4"/>
        <v>15.62</v>
      </c>
      <c r="N20" s="8" t="s">
        <v>156</v>
      </c>
      <c r="O20" s="12"/>
      <c r="P20" s="51"/>
      <c r="Q20" s="3"/>
      <c r="R20" s="13"/>
      <c r="S20" s="14">
        <f t="shared" ref="S20:S80" si="9">ROUND(IF($S$17=$R$17,R20,IF($S$17="USD $",R20*$E$15,R20*$F$15))*F20,2)</f>
        <v>0</v>
      </c>
      <c r="T20" s="14">
        <f t="shared" si="5"/>
        <v>15.62</v>
      </c>
      <c r="U20" s="14">
        <f t="shared" si="6"/>
        <v>15.62</v>
      </c>
      <c r="V20" s="29">
        <f t="shared" si="7"/>
        <v>0</v>
      </c>
      <c r="W20" s="29">
        <f t="shared" si="8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" t="s">
        <v>459</v>
      </c>
      <c r="C21" s="6" t="s">
        <v>213</v>
      </c>
      <c r="D21" s="139" t="s">
        <v>30</v>
      </c>
      <c r="E21" s="125">
        <v>500</v>
      </c>
      <c r="F21" s="54">
        <v>1</v>
      </c>
      <c r="G21" s="281">
        <v>149.63</v>
      </c>
      <c r="H21" s="38">
        <f t="shared" si="1"/>
        <v>108.43</v>
      </c>
      <c r="I21" s="39">
        <f t="shared" si="2"/>
        <v>108.43</v>
      </c>
      <c r="J21" s="42"/>
      <c r="K21" s="88">
        <f t="shared" si="0"/>
        <v>1</v>
      </c>
      <c r="L21" s="38">
        <f t="shared" si="3"/>
        <v>108.43</v>
      </c>
      <c r="M21" s="38">
        <f t="shared" si="4"/>
        <v>108.43</v>
      </c>
      <c r="N21" s="128" t="s">
        <v>156</v>
      </c>
      <c r="O21" s="16"/>
      <c r="P21" s="51"/>
      <c r="Q21" s="1"/>
      <c r="R21" s="15"/>
      <c r="S21" s="40">
        <f t="shared" si="9"/>
        <v>0</v>
      </c>
      <c r="T21" s="52">
        <f t="shared" si="5"/>
        <v>108.43</v>
      </c>
      <c r="U21" s="52">
        <f t="shared" si="6"/>
        <v>108.43</v>
      </c>
      <c r="V21" s="41">
        <f t="shared" si="7"/>
        <v>0</v>
      </c>
      <c r="W21" s="41">
        <f t="shared" si="8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460</v>
      </c>
      <c r="C22" s="4" t="s">
        <v>216</v>
      </c>
      <c r="D22" s="139" t="s">
        <v>25</v>
      </c>
      <c r="E22" s="125">
        <v>500</v>
      </c>
      <c r="F22" s="54">
        <v>1</v>
      </c>
      <c r="G22" s="259">
        <v>131.07</v>
      </c>
      <c r="H22" s="9">
        <f t="shared" si="1"/>
        <v>94.98</v>
      </c>
      <c r="I22" s="10">
        <f t="shared" si="2"/>
        <v>94.98</v>
      </c>
      <c r="J22" s="42"/>
      <c r="K22" s="89">
        <f t="shared" si="0"/>
        <v>1</v>
      </c>
      <c r="L22" s="9">
        <f t="shared" si="3"/>
        <v>94.98</v>
      </c>
      <c r="M22" s="9">
        <f t="shared" si="4"/>
        <v>94.98</v>
      </c>
      <c r="N22" s="8" t="s">
        <v>156</v>
      </c>
      <c r="O22" s="12"/>
      <c r="P22" s="51"/>
      <c r="Q22" s="3"/>
      <c r="R22" s="13"/>
      <c r="S22" s="14">
        <f t="shared" si="9"/>
        <v>0</v>
      </c>
      <c r="T22" s="14">
        <f t="shared" si="5"/>
        <v>94.98</v>
      </c>
      <c r="U22" s="14">
        <f t="shared" si="6"/>
        <v>94.98</v>
      </c>
      <c r="V22" s="29">
        <f t="shared" si="7"/>
        <v>0</v>
      </c>
      <c r="W22" s="29">
        <f t="shared" si="8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" t="s">
        <v>436</v>
      </c>
      <c r="C23" s="6" t="s">
        <v>217</v>
      </c>
      <c r="D23" s="139" t="s">
        <v>25</v>
      </c>
      <c r="E23" s="332">
        <v>375</v>
      </c>
      <c r="F23" s="54">
        <v>1</v>
      </c>
      <c r="G23" s="281">
        <v>177.79</v>
      </c>
      <c r="H23" s="38">
        <f t="shared" si="1"/>
        <v>128.83000000000001</v>
      </c>
      <c r="I23" s="39">
        <f t="shared" si="2"/>
        <v>128.83000000000001</v>
      </c>
      <c r="J23" s="42"/>
      <c r="K23" s="88">
        <f t="shared" si="0"/>
        <v>1</v>
      </c>
      <c r="L23" s="38">
        <f t="shared" si="3"/>
        <v>128.83000000000001</v>
      </c>
      <c r="M23" s="38">
        <f t="shared" si="4"/>
        <v>128.83000000000001</v>
      </c>
      <c r="N23" s="128" t="s">
        <v>156</v>
      </c>
      <c r="O23" s="16"/>
      <c r="P23" s="51"/>
      <c r="Q23" s="1"/>
      <c r="R23" s="15"/>
      <c r="S23" s="40">
        <f t="shared" si="9"/>
        <v>0</v>
      </c>
      <c r="T23" s="52">
        <f t="shared" si="5"/>
        <v>128.83000000000001</v>
      </c>
      <c r="U23" s="52">
        <f t="shared" si="6"/>
        <v>128.83000000000001</v>
      </c>
      <c r="V23" s="41">
        <f t="shared" si="7"/>
        <v>0</v>
      </c>
      <c r="W23" s="41">
        <f t="shared" si="8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/>
      <c r="C24" s="6"/>
      <c r="D24" s="139"/>
      <c r="E24" s="126"/>
      <c r="F24" s="53"/>
      <c r="G24" s="259">
        <v>0</v>
      </c>
      <c r="H24" s="9">
        <f t="shared" si="1"/>
        <v>0</v>
      </c>
      <c r="I24" s="10">
        <f t="shared" si="2"/>
        <v>0</v>
      </c>
      <c r="J24" s="42"/>
      <c r="K24" s="89">
        <f t="shared" si="0"/>
        <v>0</v>
      </c>
      <c r="L24" s="9">
        <f t="shared" si="3"/>
        <v>0</v>
      </c>
      <c r="M24" s="9">
        <f t="shared" si="4"/>
        <v>0</v>
      </c>
      <c r="N24" s="8" t="s">
        <v>156</v>
      </c>
      <c r="O24" s="12"/>
      <c r="P24" s="51"/>
      <c r="Q24" s="3"/>
      <c r="R24" s="13"/>
      <c r="S24" s="14">
        <f t="shared" si="9"/>
        <v>0</v>
      </c>
      <c r="T24" s="14">
        <f t="shared" si="5"/>
        <v>0</v>
      </c>
      <c r="U24" s="14">
        <f t="shared" si="6"/>
        <v>0</v>
      </c>
      <c r="V24" s="29">
        <f t="shared" si="7"/>
        <v>0</v>
      </c>
      <c r="W24" s="29">
        <f t="shared" si="8"/>
        <v>0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/>
      <c r="C25" s="4" t="s">
        <v>219</v>
      </c>
      <c r="D25" s="139"/>
      <c r="E25" s="125"/>
      <c r="F25" s="54"/>
      <c r="G25" s="281">
        <v>0</v>
      </c>
      <c r="H25" s="38">
        <f t="shared" si="1"/>
        <v>0</v>
      </c>
      <c r="I25" s="39">
        <f t="shared" si="2"/>
        <v>0</v>
      </c>
      <c r="J25" s="42"/>
      <c r="K25" s="88">
        <f t="shared" si="0"/>
        <v>0</v>
      </c>
      <c r="L25" s="38">
        <f t="shared" si="3"/>
        <v>0</v>
      </c>
      <c r="M25" s="38">
        <f t="shared" si="4"/>
        <v>0</v>
      </c>
      <c r="N25" s="128" t="s">
        <v>156</v>
      </c>
      <c r="O25" s="16"/>
      <c r="P25" s="51"/>
      <c r="Q25" s="1"/>
      <c r="R25" s="15"/>
      <c r="S25" s="40">
        <f t="shared" si="9"/>
        <v>0</v>
      </c>
      <c r="T25" s="52">
        <f t="shared" si="5"/>
        <v>0</v>
      </c>
      <c r="U25" s="52">
        <f t="shared" si="6"/>
        <v>0</v>
      </c>
      <c r="V25" s="41">
        <f t="shared" si="7"/>
        <v>0</v>
      </c>
      <c r="W25" s="41">
        <f t="shared" si="8"/>
        <v>0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437</v>
      </c>
      <c r="C26" s="6" t="s">
        <v>220</v>
      </c>
      <c r="D26" s="139" t="s">
        <v>0</v>
      </c>
      <c r="E26" s="125" t="s">
        <v>176</v>
      </c>
      <c r="F26" s="53">
        <v>2</v>
      </c>
      <c r="G26" s="259">
        <v>728.94</v>
      </c>
      <c r="H26" s="9">
        <f t="shared" si="1"/>
        <v>528.22</v>
      </c>
      <c r="I26" s="10">
        <f t="shared" si="2"/>
        <v>1056.44</v>
      </c>
      <c r="J26" s="42"/>
      <c r="K26" s="89">
        <f t="shared" si="0"/>
        <v>2</v>
      </c>
      <c r="L26" s="9">
        <f t="shared" si="3"/>
        <v>528.22</v>
      </c>
      <c r="M26" s="9">
        <f t="shared" si="4"/>
        <v>1056.44</v>
      </c>
      <c r="N26" s="8" t="s">
        <v>156</v>
      </c>
      <c r="O26" s="12"/>
      <c r="P26" s="51"/>
      <c r="Q26" s="3"/>
      <c r="R26" s="13"/>
      <c r="S26" s="14">
        <f t="shared" si="9"/>
        <v>0</v>
      </c>
      <c r="T26" s="14">
        <f t="shared" si="5"/>
        <v>528.22</v>
      </c>
      <c r="U26" s="14">
        <f t="shared" si="6"/>
        <v>1056.44</v>
      </c>
      <c r="V26" s="29">
        <f t="shared" si="7"/>
        <v>0</v>
      </c>
      <c r="W26" s="29">
        <f t="shared" si="8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 t="s">
        <v>438</v>
      </c>
      <c r="C27" s="4" t="s">
        <v>221</v>
      </c>
      <c r="D27" s="139" t="s">
        <v>39</v>
      </c>
      <c r="E27" s="125" t="s">
        <v>176</v>
      </c>
      <c r="F27" s="54">
        <v>1</v>
      </c>
      <c r="G27" s="281">
        <v>6863.21</v>
      </c>
      <c r="H27" s="38">
        <f t="shared" si="1"/>
        <v>4973.34</v>
      </c>
      <c r="I27" s="39">
        <f t="shared" si="2"/>
        <v>4973.34</v>
      </c>
      <c r="J27" s="42"/>
      <c r="K27" s="88">
        <f t="shared" si="0"/>
        <v>1</v>
      </c>
      <c r="L27" s="38">
        <f t="shared" si="3"/>
        <v>4973.34</v>
      </c>
      <c r="M27" s="38">
        <f t="shared" si="4"/>
        <v>4973.34</v>
      </c>
      <c r="N27" s="128" t="s">
        <v>156</v>
      </c>
      <c r="O27" s="16"/>
      <c r="P27" s="51"/>
      <c r="Q27" s="1"/>
      <c r="R27" s="15"/>
      <c r="S27" s="40">
        <f t="shared" si="9"/>
        <v>0</v>
      </c>
      <c r="T27" s="52">
        <f t="shared" si="5"/>
        <v>4973.34</v>
      </c>
      <c r="U27" s="52">
        <f t="shared" si="6"/>
        <v>4973.34</v>
      </c>
      <c r="V27" s="41">
        <f t="shared" si="7"/>
        <v>0</v>
      </c>
      <c r="W27" s="41">
        <f t="shared" si="8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/>
      <c r="C28" s="6"/>
      <c r="D28" s="139"/>
      <c r="E28" s="126"/>
      <c r="F28" s="53"/>
      <c r="G28" s="259">
        <v>0</v>
      </c>
      <c r="H28" s="9">
        <f t="shared" si="1"/>
        <v>0</v>
      </c>
      <c r="I28" s="10">
        <f t="shared" si="2"/>
        <v>0</v>
      </c>
      <c r="J28" s="42"/>
      <c r="K28" s="89">
        <f t="shared" si="0"/>
        <v>0</v>
      </c>
      <c r="L28" s="9">
        <f t="shared" si="3"/>
        <v>0</v>
      </c>
      <c r="M28" s="9">
        <f t="shared" si="4"/>
        <v>0</v>
      </c>
      <c r="N28" s="8" t="s">
        <v>156</v>
      </c>
      <c r="O28" s="12"/>
      <c r="P28" s="51"/>
      <c r="Q28" s="3"/>
      <c r="R28" s="13"/>
      <c r="S28" s="14">
        <f t="shared" si="9"/>
        <v>0</v>
      </c>
      <c r="T28" s="14">
        <f t="shared" si="5"/>
        <v>0</v>
      </c>
      <c r="U28" s="14">
        <f t="shared" si="6"/>
        <v>0</v>
      </c>
      <c r="V28" s="29">
        <f t="shared" si="7"/>
        <v>0</v>
      </c>
      <c r="W28" s="29">
        <f t="shared" si="8"/>
        <v>0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/>
      <c r="C29" s="4" t="s">
        <v>222</v>
      </c>
      <c r="D29" s="139"/>
      <c r="E29" s="125"/>
      <c r="F29" s="54"/>
      <c r="G29" s="281">
        <v>0</v>
      </c>
      <c r="H29" s="38">
        <f>ROUND(IF($G$17="USD $", G29*$F$15,G29*$E$15),2)</f>
        <v>0</v>
      </c>
      <c r="I29" s="39">
        <f>ROUND(IF($I$17=$H$17,F29*H29,F29*G29),2)</f>
        <v>0</v>
      </c>
      <c r="J29" s="42"/>
      <c r="K29" s="88">
        <f t="shared" si="0"/>
        <v>0</v>
      </c>
      <c r="L29" s="38">
        <f t="shared" si="3"/>
        <v>0</v>
      </c>
      <c r="M29" s="38">
        <f>ROUND((K29*L29),2)</f>
        <v>0</v>
      </c>
      <c r="N29" s="128" t="s">
        <v>156</v>
      </c>
      <c r="O29" s="16"/>
      <c r="P29" s="51"/>
      <c r="Q29" s="1"/>
      <c r="R29" s="15"/>
      <c r="S29" s="40">
        <f t="shared" si="9"/>
        <v>0</v>
      </c>
      <c r="T29" s="52">
        <f t="shared" si="5"/>
        <v>0</v>
      </c>
      <c r="U29" s="52">
        <f t="shared" si="6"/>
        <v>0</v>
      </c>
      <c r="V29" s="41">
        <f t="shared" si="7"/>
        <v>0</v>
      </c>
      <c r="W29" s="41">
        <f t="shared" si="8"/>
        <v>0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"/>
      <c r="C30" s="6"/>
      <c r="D30" s="139"/>
      <c r="E30" s="126"/>
      <c r="F30" s="361"/>
      <c r="G30" s="259">
        <v>0</v>
      </c>
      <c r="H30" s="9">
        <f t="shared" si="1"/>
        <v>0</v>
      </c>
      <c r="I30" s="10">
        <f t="shared" si="2"/>
        <v>0</v>
      </c>
      <c r="J30" s="42"/>
      <c r="K30" s="89">
        <f t="shared" si="0"/>
        <v>0</v>
      </c>
      <c r="L30" s="9">
        <f t="shared" si="3"/>
        <v>0</v>
      </c>
      <c r="M30" s="9">
        <f t="shared" si="4"/>
        <v>0</v>
      </c>
      <c r="N30" s="8" t="s">
        <v>156</v>
      </c>
      <c r="O30" s="12"/>
      <c r="P30" s="51"/>
      <c r="Q30" s="3"/>
      <c r="R30" s="13"/>
      <c r="S30" s="14">
        <f t="shared" si="9"/>
        <v>0</v>
      </c>
      <c r="T30" s="14">
        <f t="shared" si="5"/>
        <v>0</v>
      </c>
      <c r="U30" s="14">
        <f t="shared" si="6"/>
        <v>0</v>
      </c>
      <c r="V30" s="29">
        <f t="shared" si="7"/>
        <v>0</v>
      </c>
      <c r="W30" s="29">
        <f t="shared" si="8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1" t="s">
        <v>442</v>
      </c>
      <c r="C31" s="4" t="s">
        <v>461</v>
      </c>
      <c r="D31" s="139" t="s">
        <v>15</v>
      </c>
      <c r="E31" s="125" t="s">
        <v>176</v>
      </c>
      <c r="F31" s="54">
        <v>1</v>
      </c>
      <c r="G31" s="281">
        <v>5336.07</v>
      </c>
      <c r="H31" s="38">
        <f t="shared" si="1"/>
        <v>3866.72</v>
      </c>
      <c r="I31" s="39">
        <f t="shared" si="2"/>
        <v>3866.72</v>
      </c>
      <c r="J31" s="42"/>
      <c r="K31" s="88">
        <f t="shared" si="0"/>
        <v>1</v>
      </c>
      <c r="L31" s="38">
        <f t="shared" si="3"/>
        <v>3866.72</v>
      </c>
      <c r="M31" s="38">
        <f t="shared" si="4"/>
        <v>3866.72</v>
      </c>
      <c r="N31" s="128" t="s">
        <v>156</v>
      </c>
      <c r="O31" s="16"/>
      <c r="P31" s="51"/>
      <c r="Q31" s="1"/>
      <c r="R31" s="15"/>
      <c r="S31" s="40">
        <f>ROUND(IF($S$17=$R$17,R31,IF($S$17="USD $",R31*$E$15,R31*$F$15))*F31,2)</f>
        <v>0</v>
      </c>
      <c r="T31" s="52">
        <f t="shared" si="5"/>
        <v>3866.72</v>
      </c>
      <c r="U31" s="52">
        <f t="shared" si="6"/>
        <v>3866.72</v>
      </c>
      <c r="V31" s="41">
        <f t="shared" si="7"/>
        <v>0</v>
      </c>
      <c r="W31" s="41">
        <f t="shared" si="8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" t="s">
        <v>444</v>
      </c>
      <c r="C32" s="6" t="s">
        <v>254</v>
      </c>
      <c r="D32" s="139" t="s">
        <v>16</v>
      </c>
      <c r="E32" s="125" t="s">
        <v>176</v>
      </c>
      <c r="F32" s="54">
        <v>1</v>
      </c>
      <c r="G32" s="259">
        <v>18234.509999999998</v>
      </c>
      <c r="H32" s="9">
        <f t="shared" si="1"/>
        <v>13213.41</v>
      </c>
      <c r="I32" s="10">
        <f t="shared" si="2"/>
        <v>13213.41</v>
      </c>
      <c r="J32" s="42"/>
      <c r="K32" s="89">
        <f t="shared" si="0"/>
        <v>1</v>
      </c>
      <c r="L32" s="9">
        <f t="shared" si="3"/>
        <v>13213.41</v>
      </c>
      <c r="M32" s="9">
        <f t="shared" si="4"/>
        <v>13213.41</v>
      </c>
      <c r="N32" s="8" t="s">
        <v>156</v>
      </c>
      <c r="O32" s="12"/>
      <c r="P32" s="51"/>
      <c r="Q32" s="3"/>
      <c r="R32" s="13"/>
      <c r="S32" s="14">
        <f t="shared" si="9"/>
        <v>0</v>
      </c>
      <c r="T32" s="14">
        <f t="shared" si="5"/>
        <v>13213.41</v>
      </c>
      <c r="U32" s="14">
        <f t="shared" si="6"/>
        <v>13213.41</v>
      </c>
      <c r="V32" s="29">
        <f t="shared" si="7"/>
        <v>0</v>
      </c>
      <c r="W32" s="29">
        <f t="shared" si="8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1" t="s">
        <v>446</v>
      </c>
      <c r="C33" s="4" t="s">
        <v>422</v>
      </c>
      <c r="D33" s="139" t="s">
        <v>17</v>
      </c>
      <c r="E33" s="125" t="s">
        <v>176</v>
      </c>
      <c r="F33" s="54">
        <v>1</v>
      </c>
      <c r="G33" s="281">
        <v>8687.51</v>
      </c>
      <c r="H33" s="38">
        <f t="shared" si="1"/>
        <v>6295.3</v>
      </c>
      <c r="I33" s="39">
        <f t="shared" si="2"/>
        <v>6295.3</v>
      </c>
      <c r="J33" s="42"/>
      <c r="K33" s="88">
        <f t="shared" si="0"/>
        <v>1</v>
      </c>
      <c r="L33" s="38">
        <f t="shared" si="3"/>
        <v>6295.3</v>
      </c>
      <c r="M33" s="38">
        <f t="shared" si="4"/>
        <v>6295.3</v>
      </c>
      <c r="N33" s="128" t="s">
        <v>156</v>
      </c>
      <c r="O33" s="16"/>
      <c r="P33" s="51"/>
      <c r="Q33" s="1"/>
      <c r="R33" s="15"/>
      <c r="S33" s="40">
        <f t="shared" si="9"/>
        <v>0</v>
      </c>
      <c r="T33" s="52">
        <f t="shared" si="5"/>
        <v>6295.3</v>
      </c>
      <c r="U33" s="52">
        <f t="shared" si="6"/>
        <v>6295.3</v>
      </c>
      <c r="V33" s="41">
        <f t="shared" si="7"/>
        <v>0</v>
      </c>
      <c r="W33" s="41">
        <f t="shared" si="8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" t="s">
        <v>462</v>
      </c>
      <c r="C34" s="6" t="s">
        <v>426</v>
      </c>
      <c r="D34" s="139" t="s">
        <v>23</v>
      </c>
      <c r="E34" s="126">
        <v>6000</v>
      </c>
      <c r="F34" s="54">
        <v>1</v>
      </c>
      <c r="G34" s="259">
        <v>8339.75</v>
      </c>
      <c r="H34" s="9">
        <f t="shared" si="1"/>
        <v>6043.3</v>
      </c>
      <c r="I34" s="10">
        <f t="shared" si="2"/>
        <v>6043.3</v>
      </c>
      <c r="J34" s="42"/>
      <c r="K34" s="89">
        <f t="shared" si="0"/>
        <v>1</v>
      </c>
      <c r="L34" s="9">
        <f t="shared" si="3"/>
        <v>6043.3</v>
      </c>
      <c r="M34" s="9">
        <f t="shared" si="4"/>
        <v>6043.3</v>
      </c>
      <c r="N34" s="8" t="s">
        <v>156</v>
      </c>
      <c r="O34" s="12"/>
      <c r="P34" s="51"/>
      <c r="Q34" s="3"/>
      <c r="R34" s="13"/>
      <c r="S34" s="14">
        <f t="shared" si="9"/>
        <v>0</v>
      </c>
      <c r="T34" s="14">
        <f t="shared" si="5"/>
        <v>6043.3</v>
      </c>
      <c r="U34" s="14">
        <f t="shared" si="6"/>
        <v>6043.3</v>
      </c>
      <c r="V34" s="29">
        <f t="shared" si="7"/>
        <v>0</v>
      </c>
      <c r="W34" s="29">
        <f t="shared" si="8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1" t="s">
        <v>448</v>
      </c>
      <c r="C35" s="4" t="s">
        <v>227</v>
      </c>
      <c r="D35" s="139" t="s">
        <v>19</v>
      </c>
      <c r="E35" s="126">
        <v>6000</v>
      </c>
      <c r="F35" s="54">
        <v>6</v>
      </c>
      <c r="G35" s="181">
        <v>4105.37</v>
      </c>
      <c r="H35" s="38">
        <f t="shared" si="1"/>
        <v>2974.91</v>
      </c>
      <c r="I35" s="39">
        <f t="shared" si="2"/>
        <v>17849.46</v>
      </c>
      <c r="J35" s="42"/>
      <c r="K35" s="88">
        <f t="shared" si="0"/>
        <v>6</v>
      </c>
      <c r="L35" s="38">
        <f t="shared" si="3"/>
        <v>2974.91</v>
      </c>
      <c r="M35" s="38">
        <f t="shared" si="4"/>
        <v>17849.46</v>
      </c>
      <c r="N35" s="128" t="s">
        <v>156</v>
      </c>
      <c r="O35" s="16"/>
      <c r="P35" s="51"/>
      <c r="Q35" s="1"/>
      <c r="R35" s="15"/>
      <c r="S35" s="40">
        <f t="shared" si="9"/>
        <v>0</v>
      </c>
      <c r="T35" s="52">
        <f t="shared" si="5"/>
        <v>2974.91</v>
      </c>
      <c r="U35" s="52">
        <f t="shared" si="6"/>
        <v>17849.46</v>
      </c>
      <c r="V35" s="41">
        <f t="shared" si="7"/>
        <v>0</v>
      </c>
      <c r="W35" s="41">
        <f t="shared" si="8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"/>
      <c r="C36" s="6"/>
      <c r="D36" s="139"/>
      <c r="E36" s="126"/>
      <c r="F36" s="53"/>
      <c r="G36" s="259"/>
      <c r="H36" s="9">
        <f t="shared" si="1"/>
        <v>0</v>
      </c>
      <c r="I36" s="10">
        <f t="shared" si="2"/>
        <v>0</v>
      </c>
      <c r="J36" s="42"/>
      <c r="K36" s="89">
        <f t="shared" si="0"/>
        <v>0</v>
      </c>
      <c r="L36" s="9">
        <f t="shared" si="3"/>
        <v>0</v>
      </c>
      <c r="M36" s="9">
        <f t="shared" si="4"/>
        <v>0</v>
      </c>
      <c r="N36" s="8" t="s">
        <v>156</v>
      </c>
      <c r="O36" s="12"/>
      <c r="P36" s="51"/>
      <c r="Q36" s="3"/>
      <c r="R36" s="13"/>
      <c r="S36" s="14">
        <f t="shared" si="9"/>
        <v>0</v>
      </c>
      <c r="T36" s="14">
        <f t="shared" si="5"/>
        <v>0</v>
      </c>
      <c r="U36" s="14">
        <f t="shared" si="6"/>
        <v>0</v>
      </c>
      <c r="V36" s="29">
        <f t="shared" si="7"/>
        <v>0</v>
      </c>
      <c r="W36" s="29">
        <f t="shared" si="8"/>
        <v>0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1"/>
      <c r="C37" s="4" t="s">
        <v>233</v>
      </c>
      <c r="D37" s="139"/>
      <c r="E37" s="125"/>
      <c r="F37" s="54"/>
      <c r="G37" s="281">
        <v>0</v>
      </c>
      <c r="H37" s="38">
        <f t="shared" si="1"/>
        <v>0</v>
      </c>
      <c r="I37" s="39">
        <f t="shared" si="2"/>
        <v>0</v>
      </c>
      <c r="J37" s="42"/>
      <c r="K37" s="88">
        <f t="shared" si="0"/>
        <v>0</v>
      </c>
      <c r="L37" s="38">
        <f t="shared" si="3"/>
        <v>0</v>
      </c>
      <c r="M37" s="38">
        <f t="shared" si="4"/>
        <v>0</v>
      </c>
      <c r="N37" s="128" t="s">
        <v>156</v>
      </c>
      <c r="O37" s="16"/>
      <c r="P37" s="51"/>
      <c r="Q37" s="1"/>
      <c r="R37" s="15"/>
      <c r="S37" s="40">
        <f t="shared" si="9"/>
        <v>0</v>
      </c>
      <c r="T37" s="52">
        <f t="shared" si="5"/>
        <v>0</v>
      </c>
      <c r="U37" s="52">
        <f t="shared" si="6"/>
        <v>0</v>
      </c>
      <c r="V37" s="41">
        <f t="shared" si="7"/>
        <v>0</v>
      </c>
      <c r="W37" s="41">
        <f t="shared" si="8"/>
        <v>0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" t="s">
        <v>463</v>
      </c>
      <c r="C38" s="6" t="s">
        <v>234</v>
      </c>
      <c r="D38" s="139" t="s">
        <v>32</v>
      </c>
      <c r="E38" s="125" t="s">
        <v>176</v>
      </c>
      <c r="F38" s="53">
        <v>1</v>
      </c>
      <c r="G38" s="273">
        <v>5454.63</v>
      </c>
      <c r="H38" s="9">
        <f t="shared" si="1"/>
        <v>3952.63</v>
      </c>
      <c r="I38" s="10">
        <f t="shared" si="2"/>
        <v>3952.63</v>
      </c>
      <c r="J38" s="42"/>
      <c r="K38" s="89">
        <f t="shared" si="0"/>
        <v>1</v>
      </c>
      <c r="L38" s="9">
        <f t="shared" si="3"/>
        <v>3952.63</v>
      </c>
      <c r="M38" s="9">
        <f t="shared" si="4"/>
        <v>3952.63</v>
      </c>
      <c r="N38" s="8" t="s">
        <v>156</v>
      </c>
      <c r="O38" s="12"/>
      <c r="P38" s="51"/>
      <c r="Q38" s="3"/>
      <c r="R38" s="13"/>
      <c r="S38" s="14">
        <f t="shared" si="9"/>
        <v>0</v>
      </c>
      <c r="T38" s="14">
        <f t="shared" si="5"/>
        <v>3952.63</v>
      </c>
      <c r="U38" s="14">
        <f t="shared" si="6"/>
        <v>3952.63</v>
      </c>
      <c r="V38" s="29">
        <f t="shared" si="7"/>
        <v>0</v>
      </c>
      <c r="W38" s="29">
        <f t="shared" si="8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1" t="s">
        <v>464</v>
      </c>
      <c r="C39" s="4" t="s">
        <v>465</v>
      </c>
      <c r="D39" s="139" t="s">
        <v>32</v>
      </c>
      <c r="E39" s="125" t="s">
        <v>176</v>
      </c>
      <c r="F39" s="53">
        <v>1</v>
      </c>
      <c r="G39" s="273">
        <v>1950.63</v>
      </c>
      <c r="H39" s="38">
        <f t="shared" si="1"/>
        <v>1413.5</v>
      </c>
      <c r="I39" s="39">
        <f t="shared" si="2"/>
        <v>1413.5</v>
      </c>
      <c r="J39" s="42"/>
      <c r="K39" s="88">
        <f t="shared" si="0"/>
        <v>1</v>
      </c>
      <c r="L39" s="38">
        <f t="shared" si="3"/>
        <v>1413.5</v>
      </c>
      <c r="M39" s="38">
        <f t="shared" si="4"/>
        <v>1413.5</v>
      </c>
      <c r="N39" s="128" t="s">
        <v>156</v>
      </c>
      <c r="O39" s="16"/>
      <c r="P39" s="51"/>
      <c r="Q39" s="1"/>
      <c r="R39" s="15"/>
      <c r="S39" s="40">
        <f t="shared" si="9"/>
        <v>0</v>
      </c>
      <c r="T39" s="52">
        <f t="shared" si="5"/>
        <v>1413.5</v>
      </c>
      <c r="U39" s="52">
        <f t="shared" si="6"/>
        <v>1413.5</v>
      </c>
      <c r="V39" s="41">
        <f t="shared" si="7"/>
        <v>0</v>
      </c>
      <c r="W39" s="41">
        <f t="shared" si="8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"/>
      <c r="C40" s="6"/>
      <c r="D40" s="139"/>
      <c r="E40" s="126"/>
      <c r="F40" s="53"/>
      <c r="G40" s="259">
        <v>0</v>
      </c>
      <c r="H40" s="9">
        <f t="shared" si="1"/>
        <v>0</v>
      </c>
      <c r="I40" s="10">
        <f t="shared" si="2"/>
        <v>0</v>
      </c>
      <c r="J40" s="42"/>
      <c r="K40" s="89">
        <f t="shared" si="0"/>
        <v>0</v>
      </c>
      <c r="L40" s="9">
        <f t="shared" si="3"/>
        <v>0</v>
      </c>
      <c r="M40" s="9">
        <f t="shared" si="4"/>
        <v>0</v>
      </c>
      <c r="N40" s="8" t="s">
        <v>156</v>
      </c>
      <c r="O40" s="12"/>
      <c r="P40" s="51"/>
      <c r="Q40" s="3"/>
      <c r="R40" s="13"/>
      <c r="S40" s="14">
        <f t="shared" si="9"/>
        <v>0</v>
      </c>
      <c r="T40" s="14">
        <f t="shared" si="5"/>
        <v>0</v>
      </c>
      <c r="U40" s="14">
        <f t="shared" si="6"/>
        <v>0</v>
      </c>
      <c r="V40" s="29">
        <f t="shared" si="7"/>
        <v>0</v>
      </c>
      <c r="W40" s="29">
        <f t="shared" si="8"/>
        <v>0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1"/>
      <c r="C41" s="4" t="s">
        <v>235</v>
      </c>
      <c r="D41" s="139"/>
      <c r="E41" s="125"/>
      <c r="F41" s="54"/>
      <c r="G41" s="281">
        <v>0</v>
      </c>
      <c r="H41" s="38">
        <f t="shared" si="1"/>
        <v>0</v>
      </c>
      <c r="I41" s="39">
        <f t="shared" si="2"/>
        <v>0</v>
      </c>
      <c r="J41" s="42"/>
      <c r="K41" s="88">
        <f t="shared" si="0"/>
        <v>0</v>
      </c>
      <c r="L41" s="38">
        <f t="shared" si="3"/>
        <v>0</v>
      </c>
      <c r="M41" s="38">
        <f t="shared" si="4"/>
        <v>0</v>
      </c>
      <c r="N41" s="128" t="s">
        <v>156</v>
      </c>
      <c r="O41" s="16"/>
      <c r="P41" s="51"/>
      <c r="Q41" s="1"/>
      <c r="R41" s="15"/>
      <c r="S41" s="40">
        <f t="shared" si="9"/>
        <v>0</v>
      </c>
      <c r="T41" s="52">
        <f t="shared" si="5"/>
        <v>0</v>
      </c>
      <c r="U41" s="52">
        <f t="shared" si="6"/>
        <v>0</v>
      </c>
      <c r="V41" s="41">
        <f t="shared" si="7"/>
        <v>0</v>
      </c>
      <c r="W41" s="41">
        <f t="shared" si="8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" t="s">
        <v>466</v>
      </c>
      <c r="C42" s="6" t="s">
        <v>236</v>
      </c>
      <c r="D42" s="139" t="s">
        <v>32</v>
      </c>
      <c r="E42" s="125" t="s">
        <v>176</v>
      </c>
      <c r="F42" s="53">
        <v>1</v>
      </c>
      <c r="G42" s="273">
        <v>5315.13</v>
      </c>
      <c r="H42" s="9">
        <f t="shared" si="1"/>
        <v>3851.54</v>
      </c>
      <c r="I42" s="10">
        <f t="shared" si="2"/>
        <v>3851.54</v>
      </c>
      <c r="J42" s="42"/>
      <c r="K42" s="89">
        <f t="shared" si="0"/>
        <v>1</v>
      </c>
      <c r="L42" s="9">
        <f t="shared" si="3"/>
        <v>3851.54</v>
      </c>
      <c r="M42" s="9">
        <f t="shared" si="4"/>
        <v>3851.54</v>
      </c>
      <c r="N42" s="8" t="s">
        <v>156</v>
      </c>
      <c r="O42" s="12"/>
      <c r="P42" s="51"/>
      <c r="Q42" s="3"/>
      <c r="R42" s="13"/>
      <c r="S42" s="14">
        <f t="shared" si="9"/>
        <v>0</v>
      </c>
      <c r="T42" s="14">
        <f t="shared" si="5"/>
        <v>3851.54</v>
      </c>
      <c r="U42" s="14">
        <f t="shared" si="6"/>
        <v>3851.54</v>
      </c>
      <c r="V42" s="29">
        <f t="shared" si="7"/>
        <v>0</v>
      </c>
      <c r="W42" s="29">
        <f t="shared" si="8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1" t="s">
        <v>467</v>
      </c>
      <c r="C43" s="4" t="s">
        <v>237</v>
      </c>
      <c r="D43" s="139" t="s">
        <v>32</v>
      </c>
      <c r="E43" s="125" t="s">
        <v>176</v>
      </c>
      <c r="F43" s="54">
        <v>1</v>
      </c>
      <c r="G43" s="281">
        <v>1268.8</v>
      </c>
      <c r="H43" s="38">
        <f t="shared" si="1"/>
        <v>919.42</v>
      </c>
      <c r="I43" s="39">
        <f t="shared" si="2"/>
        <v>919.42</v>
      </c>
      <c r="J43" s="42"/>
      <c r="K43" s="88">
        <f t="shared" si="0"/>
        <v>1</v>
      </c>
      <c r="L43" s="38">
        <f t="shared" si="3"/>
        <v>919.42</v>
      </c>
      <c r="M43" s="38">
        <f t="shared" si="4"/>
        <v>919.42</v>
      </c>
      <c r="N43" s="128" t="s">
        <v>156</v>
      </c>
      <c r="O43" s="16"/>
      <c r="P43" s="51"/>
      <c r="Q43" s="1"/>
      <c r="R43" s="15"/>
      <c r="S43" s="40">
        <f t="shared" si="9"/>
        <v>0</v>
      </c>
      <c r="T43" s="52">
        <f t="shared" si="5"/>
        <v>919.42</v>
      </c>
      <c r="U43" s="52">
        <f t="shared" si="6"/>
        <v>919.42</v>
      </c>
      <c r="V43" s="41">
        <f t="shared" si="7"/>
        <v>0</v>
      </c>
      <c r="W43" s="41">
        <f t="shared" si="8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"/>
      <c r="C44" s="6"/>
      <c r="D44" s="139"/>
      <c r="E44" s="126"/>
      <c r="F44" s="53"/>
      <c r="G44" s="259">
        <v>0</v>
      </c>
      <c r="H44" s="9">
        <f t="shared" si="1"/>
        <v>0</v>
      </c>
      <c r="I44" s="10">
        <f t="shared" si="2"/>
        <v>0</v>
      </c>
      <c r="J44" s="42"/>
      <c r="K44" s="89">
        <f t="shared" si="0"/>
        <v>0</v>
      </c>
      <c r="L44" s="9">
        <f t="shared" si="3"/>
        <v>0</v>
      </c>
      <c r="M44" s="9">
        <f t="shared" si="4"/>
        <v>0</v>
      </c>
      <c r="N44" s="8" t="s">
        <v>156</v>
      </c>
      <c r="O44" s="12"/>
      <c r="P44" s="51"/>
      <c r="Q44" s="3"/>
      <c r="R44" s="13"/>
      <c r="S44" s="14">
        <f t="shared" si="9"/>
        <v>0</v>
      </c>
      <c r="T44" s="14">
        <f t="shared" si="5"/>
        <v>0</v>
      </c>
      <c r="U44" s="14">
        <f t="shared" si="6"/>
        <v>0</v>
      </c>
      <c r="V44" s="29">
        <f t="shared" si="7"/>
        <v>0</v>
      </c>
      <c r="W44" s="29">
        <f t="shared" si="8"/>
        <v>0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2"/>
      <c r="C45" s="6" t="s">
        <v>228</v>
      </c>
      <c r="D45" s="139"/>
      <c r="E45" s="126"/>
      <c r="F45" s="54"/>
      <c r="G45" s="281">
        <v>0</v>
      </c>
      <c r="H45" s="38">
        <f t="shared" si="1"/>
        <v>0</v>
      </c>
      <c r="I45" s="39">
        <f t="shared" si="2"/>
        <v>0</v>
      </c>
      <c r="J45" s="42"/>
      <c r="K45" s="88">
        <f t="shared" si="0"/>
        <v>0</v>
      </c>
      <c r="L45" s="38">
        <f t="shared" si="3"/>
        <v>0</v>
      </c>
      <c r="M45" s="38">
        <f t="shared" si="4"/>
        <v>0</v>
      </c>
      <c r="N45" s="128" t="s">
        <v>156</v>
      </c>
      <c r="O45" s="16"/>
      <c r="P45" s="51"/>
      <c r="Q45" s="1"/>
      <c r="R45" s="15"/>
      <c r="S45" s="40">
        <f t="shared" si="9"/>
        <v>0</v>
      </c>
      <c r="T45" s="52">
        <f t="shared" si="5"/>
        <v>0</v>
      </c>
      <c r="U45" s="52">
        <f t="shared" si="6"/>
        <v>0</v>
      </c>
      <c r="V45" s="41">
        <f t="shared" si="7"/>
        <v>0</v>
      </c>
      <c r="W45" s="41">
        <f t="shared" si="8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1" t="s">
        <v>468</v>
      </c>
      <c r="C46" s="4" t="s">
        <v>229</v>
      </c>
      <c r="D46" s="139" t="s">
        <v>41</v>
      </c>
      <c r="E46" s="125">
        <v>4000</v>
      </c>
      <c r="F46" s="53">
        <v>6</v>
      </c>
      <c r="G46" s="401">
        <v>10937.7</v>
      </c>
      <c r="H46" s="9">
        <f t="shared" si="1"/>
        <v>7925.87</v>
      </c>
      <c r="I46" s="10">
        <f t="shared" si="2"/>
        <v>47555.22</v>
      </c>
      <c r="J46" s="42"/>
      <c r="K46" s="89">
        <f t="shared" si="0"/>
        <v>6</v>
      </c>
      <c r="L46" s="9">
        <f t="shared" si="3"/>
        <v>7925.87</v>
      </c>
      <c r="M46" s="9">
        <f t="shared" si="4"/>
        <v>47555.22</v>
      </c>
      <c r="N46" s="8" t="s">
        <v>156</v>
      </c>
      <c r="O46" s="12"/>
      <c r="P46" s="51"/>
      <c r="Q46" s="3"/>
      <c r="R46" s="13"/>
      <c r="S46" s="14">
        <f t="shared" si="9"/>
        <v>0</v>
      </c>
      <c r="T46" s="14">
        <f t="shared" si="5"/>
        <v>7925.87</v>
      </c>
      <c r="U46" s="14">
        <f t="shared" si="6"/>
        <v>47555.22</v>
      </c>
      <c r="V46" s="29">
        <f t="shared" si="7"/>
        <v>0</v>
      </c>
      <c r="W46" s="29">
        <f t="shared" si="8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"/>
      <c r="C47" s="6"/>
      <c r="D47" s="139"/>
      <c r="E47" s="126"/>
      <c r="F47" s="54"/>
      <c r="G47" s="281">
        <v>0</v>
      </c>
      <c r="H47" s="38">
        <f t="shared" si="1"/>
        <v>0</v>
      </c>
      <c r="I47" s="39">
        <f t="shared" si="2"/>
        <v>0</v>
      </c>
      <c r="J47" s="42"/>
      <c r="K47" s="88">
        <f t="shared" si="0"/>
        <v>0</v>
      </c>
      <c r="L47" s="38">
        <f t="shared" si="3"/>
        <v>0</v>
      </c>
      <c r="M47" s="38">
        <f t="shared" si="4"/>
        <v>0</v>
      </c>
      <c r="N47" s="128" t="s">
        <v>156</v>
      </c>
      <c r="O47" s="16"/>
      <c r="P47" s="51"/>
      <c r="Q47" s="1"/>
      <c r="R47" s="15"/>
      <c r="S47" s="40">
        <f t="shared" si="9"/>
        <v>0</v>
      </c>
      <c r="T47" s="52">
        <f t="shared" si="5"/>
        <v>0</v>
      </c>
      <c r="U47" s="52">
        <f t="shared" si="6"/>
        <v>0</v>
      </c>
      <c r="V47" s="41">
        <f t="shared" si="7"/>
        <v>0</v>
      </c>
      <c r="W47" s="41">
        <f t="shared" si="8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1" t="s">
        <v>469</v>
      </c>
      <c r="C48" s="4" t="s">
        <v>197</v>
      </c>
      <c r="D48" s="140" t="s">
        <v>22</v>
      </c>
      <c r="E48" s="125" t="s">
        <v>176</v>
      </c>
      <c r="F48" s="54">
        <v>1</v>
      </c>
      <c r="G48" s="259">
        <v>2538.87</v>
      </c>
      <c r="H48" s="9">
        <f t="shared" si="1"/>
        <v>1839.76</v>
      </c>
      <c r="I48" s="10">
        <f t="shared" si="2"/>
        <v>1839.76</v>
      </c>
      <c r="J48" s="42"/>
      <c r="K48" s="89">
        <f t="shared" si="0"/>
        <v>1</v>
      </c>
      <c r="L48" s="9">
        <f t="shared" si="3"/>
        <v>1839.76</v>
      </c>
      <c r="M48" s="9">
        <f t="shared" si="4"/>
        <v>1839.76</v>
      </c>
      <c r="N48" s="8" t="s">
        <v>156</v>
      </c>
      <c r="O48" s="12"/>
      <c r="P48" s="51"/>
      <c r="Q48" s="3"/>
      <c r="R48" s="13"/>
      <c r="S48" s="14">
        <f t="shared" si="9"/>
        <v>0</v>
      </c>
      <c r="T48" s="14">
        <f t="shared" si="5"/>
        <v>1839.76</v>
      </c>
      <c r="U48" s="14">
        <f t="shared" si="6"/>
        <v>1839.76</v>
      </c>
      <c r="V48" s="29">
        <f t="shared" si="7"/>
        <v>0</v>
      </c>
      <c r="W48" s="29">
        <f t="shared" si="8"/>
        <v>1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" t="s">
        <v>470</v>
      </c>
      <c r="C49" s="6" t="s">
        <v>416</v>
      </c>
      <c r="D49" s="139" t="s">
        <v>199</v>
      </c>
      <c r="E49" s="126" t="s">
        <v>176</v>
      </c>
      <c r="F49" s="54">
        <v>1</v>
      </c>
      <c r="G49" s="281">
        <v>2011.45</v>
      </c>
      <c r="H49" s="38">
        <f t="shared" si="1"/>
        <v>1457.57</v>
      </c>
      <c r="I49" s="39">
        <f t="shared" si="2"/>
        <v>1457.57</v>
      </c>
      <c r="J49" s="42"/>
      <c r="K49" s="88">
        <f t="shared" si="0"/>
        <v>1</v>
      </c>
      <c r="L49" s="38">
        <f t="shared" si="3"/>
        <v>1457.57</v>
      </c>
      <c r="M49" s="38">
        <f t="shared" si="4"/>
        <v>1457.57</v>
      </c>
      <c r="N49" s="128" t="s">
        <v>156</v>
      </c>
      <c r="O49" s="16"/>
      <c r="P49" s="51"/>
      <c r="Q49" s="1"/>
      <c r="R49" s="15"/>
      <c r="S49" s="40">
        <f t="shared" si="9"/>
        <v>0</v>
      </c>
      <c r="T49" s="52">
        <f t="shared" si="5"/>
        <v>1457.57</v>
      </c>
      <c r="U49" s="52">
        <f t="shared" si="6"/>
        <v>1457.57</v>
      </c>
      <c r="V49" s="41">
        <f t="shared" si="7"/>
        <v>0</v>
      </c>
      <c r="W49" s="41">
        <f t="shared" si="8"/>
        <v>1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1" t="s">
        <v>471</v>
      </c>
      <c r="C50" s="4" t="s">
        <v>472</v>
      </c>
      <c r="D50" s="140" t="s">
        <v>18</v>
      </c>
      <c r="E50" s="125" t="s">
        <v>176</v>
      </c>
      <c r="F50" s="54">
        <v>1</v>
      </c>
      <c r="G50" s="259">
        <v>1738.8</v>
      </c>
      <c r="H50" s="9">
        <f t="shared" si="1"/>
        <v>1260</v>
      </c>
      <c r="I50" s="10">
        <f t="shared" si="2"/>
        <v>1260</v>
      </c>
      <c r="J50" s="42"/>
      <c r="K50" s="89">
        <f t="shared" si="0"/>
        <v>1</v>
      </c>
      <c r="L50" s="9">
        <f t="shared" si="3"/>
        <v>1260</v>
      </c>
      <c r="M50" s="9">
        <f t="shared" si="4"/>
        <v>1260</v>
      </c>
      <c r="N50" s="8" t="s">
        <v>156</v>
      </c>
      <c r="O50" s="12"/>
      <c r="P50" s="51"/>
      <c r="Q50" s="3"/>
      <c r="R50" s="13"/>
      <c r="S50" s="14">
        <f t="shared" si="9"/>
        <v>0</v>
      </c>
      <c r="T50" s="14">
        <f t="shared" si="5"/>
        <v>1260</v>
      </c>
      <c r="U50" s="14">
        <f t="shared" si="6"/>
        <v>1260</v>
      </c>
      <c r="V50" s="29">
        <f t="shared" si="7"/>
        <v>0</v>
      </c>
      <c r="W50" s="29">
        <f t="shared" si="8"/>
        <v>1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/>
      <c r="C51" s="4"/>
      <c r="D51" s="139"/>
      <c r="E51" s="125"/>
      <c r="F51" s="54"/>
      <c r="G51" s="15"/>
      <c r="H51" s="38">
        <f t="shared" si="1"/>
        <v>0</v>
      </c>
      <c r="I51" s="39">
        <f t="shared" si="2"/>
        <v>0</v>
      </c>
      <c r="J51" s="42"/>
      <c r="K51" s="88">
        <f t="shared" si="0"/>
        <v>0</v>
      </c>
      <c r="L51" s="38">
        <f t="shared" si="3"/>
        <v>0</v>
      </c>
      <c r="M51" s="38">
        <f t="shared" si="4"/>
        <v>0</v>
      </c>
      <c r="N51" s="128" t="s">
        <v>156</v>
      </c>
      <c r="O51" s="16"/>
      <c r="P51" s="51"/>
      <c r="Q51" s="1"/>
      <c r="R51" s="15"/>
      <c r="S51" s="40">
        <f t="shared" si="9"/>
        <v>0</v>
      </c>
      <c r="T51" s="52">
        <f t="shared" si="5"/>
        <v>0</v>
      </c>
      <c r="U51" s="52">
        <f t="shared" si="6"/>
        <v>0</v>
      </c>
      <c r="V51" s="41">
        <f t="shared" si="7"/>
        <v>0</v>
      </c>
      <c r="W51" s="41">
        <f t="shared" si="8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/>
      <c r="C52" s="6"/>
      <c r="D52" s="139"/>
      <c r="E52" s="126"/>
      <c r="F52" s="53"/>
      <c r="G52" s="8"/>
      <c r="H52" s="9">
        <f t="shared" si="1"/>
        <v>0</v>
      </c>
      <c r="I52" s="10">
        <f t="shared" si="2"/>
        <v>0</v>
      </c>
      <c r="J52" s="42"/>
      <c r="K52" s="89">
        <f t="shared" si="0"/>
        <v>0</v>
      </c>
      <c r="L52" s="9">
        <f t="shared" si="3"/>
        <v>0</v>
      </c>
      <c r="M52" s="9">
        <f t="shared" si="4"/>
        <v>0</v>
      </c>
      <c r="N52" s="8" t="s">
        <v>156</v>
      </c>
      <c r="O52" s="12"/>
      <c r="P52" s="51"/>
      <c r="Q52" s="3"/>
      <c r="R52" s="13"/>
      <c r="S52" s="14">
        <f t="shared" si="9"/>
        <v>0</v>
      </c>
      <c r="T52" s="14">
        <f t="shared" si="5"/>
        <v>0</v>
      </c>
      <c r="U52" s="14">
        <f t="shared" si="6"/>
        <v>0</v>
      </c>
      <c r="V52" s="29">
        <f t="shared" si="7"/>
        <v>0</v>
      </c>
      <c r="W52" s="29">
        <f t="shared" si="8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/>
      <c r="C53" s="4"/>
      <c r="D53" s="139"/>
      <c r="E53" s="125"/>
      <c r="F53" s="54"/>
      <c r="G53" s="15"/>
      <c r="H53" s="38">
        <f t="shared" si="1"/>
        <v>0</v>
      </c>
      <c r="I53" s="39">
        <f t="shared" si="2"/>
        <v>0</v>
      </c>
      <c r="J53" s="42"/>
      <c r="K53" s="88">
        <f t="shared" si="0"/>
        <v>0</v>
      </c>
      <c r="L53" s="38">
        <f t="shared" si="3"/>
        <v>0</v>
      </c>
      <c r="M53" s="38">
        <f t="shared" si="4"/>
        <v>0</v>
      </c>
      <c r="N53" s="128" t="s">
        <v>156</v>
      </c>
      <c r="O53" s="16"/>
      <c r="P53" s="51"/>
      <c r="Q53" s="1"/>
      <c r="R53" s="15"/>
      <c r="S53" s="40">
        <f t="shared" si="9"/>
        <v>0</v>
      </c>
      <c r="T53" s="52">
        <f t="shared" si="5"/>
        <v>0</v>
      </c>
      <c r="U53" s="52">
        <f t="shared" si="6"/>
        <v>0</v>
      </c>
      <c r="V53" s="41">
        <f t="shared" si="7"/>
        <v>0</v>
      </c>
      <c r="W53" s="41">
        <f t="shared" si="8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8"/>
      <c r="H54" s="9">
        <f t="shared" si="1"/>
        <v>0</v>
      </c>
      <c r="I54" s="10">
        <f t="shared" si="2"/>
        <v>0</v>
      </c>
      <c r="J54" s="42"/>
      <c r="K54" s="89">
        <f t="shared" si="0"/>
        <v>0</v>
      </c>
      <c r="L54" s="9">
        <f t="shared" si="3"/>
        <v>0</v>
      </c>
      <c r="M54" s="9">
        <f t="shared" si="4"/>
        <v>0</v>
      </c>
      <c r="N54" s="8" t="s">
        <v>156</v>
      </c>
      <c r="O54" s="12"/>
      <c r="P54" s="51"/>
      <c r="Q54" s="3"/>
      <c r="R54" s="13"/>
      <c r="S54" s="14">
        <f t="shared" si="9"/>
        <v>0</v>
      </c>
      <c r="T54" s="14">
        <f t="shared" si="5"/>
        <v>0</v>
      </c>
      <c r="U54" s="14">
        <f t="shared" si="6"/>
        <v>0</v>
      </c>
      <c r="V54" s="29">
        <f t="shared" si="7"/>
        <v>0</v>
      </c>
      <c r="W54" s="29">
        <f t="shared" si="8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8">
        <f t="shared" si="1"/>
        <v>0</v>
      </c>
      <c r="I55" s="39">
        <f t="shared" si="2"/>
        <v>0</v>
      </c>
      <c r="J55" s="42"/>
      <c r="K55" s="88">
        <f t="shared" si="0"/>
        <v>0</v>
      </c>
      <c r="L55" s="38">
        <f t="shared" si="3"/>
        <v>0</v>
      </c>
      <c r="M55" s="38">
        <f t="shared" si="4"/>
        <v>0</v>
      </c>
      <c r="N55" s="128" t="s">
        <v>156</v>
      </c>
      <c r="O55" s="16"/>
      <c r="P55" s="51"/>
      <c r="Q55" s="1"/>
      <c r="R55" s="15"/>
      <c r="S55" s="40">
        <f t="shared" si="9"/>
        <v>0</v>
      </c>
      <c r="T55" s="52">
        <f t="shared" si="5"/>
        <v>0</v>
      </c>
      <c r="U55" s="52">
        <f t="shared" si="6"/>
        <v>0</v>
      </c>
      <c r="V55" s="41">
        <f t="shared" si="7"/>
        <v>0</v>
      </c>
      <c r="W55" s="41">
        <f t="shared" si="8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8"/>
      <c r="H56" s="9">
        <f t="shared" si="1"/>
        <v>0</v>
      </c>
      <c r="I56" s="10">
        <f t="shared" si="2"/>
        <v>0</v>
      </c>
      <c r="J56" s="42"/>
      <c r="K56" s="89">
        <f t="shared" si="0"/>
        <v>0</v>
      </c>
      <c r="L56" s="9">
        <f t="shared" si="3"/>
        <v>0</v>
      </c>
      <c r="M56" s="9">
        <f t="shared" si="4"/>
        <v>0</v>
      </c>
      <c r="N56" s="8" t="s">
        <v>156</v>
      </c>
      <c r="O56" s="12"/>
      <c r="P56" s="51"/>
      <c r="Q56" s="3"/>
      <c r="R56" s="13"/>
      <c r="S56" s="14">
        <f t="shared" si="9"/>
        <v>0</v>
      </c>
      <c r="T56" s="14">
        <f t="shared" si="5"/>
        <v>0</v>
      </c>
      <c r="U56" s="14">
        <f t="shared" si="6"/>
        <v>0</v>
      </c>
      <c r="V56" s="29">
        <f t="shared" si="7"/>
        <v>0</v>
      </c>
      <c r="W56" s="29">
        <f t="shared" si="8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8">
        <f t="shared" si="1"/>
        <v>0</v>
      </c>
      <c r="I57" s="39">
        <f t="shared" si="2"/>
        <v>0</v>
      </c>
      <c r="J57" s="42"/>
      <c r="K57" s="88">
        <f t="shared" si="0"/>
        <v>0</v>
      </c>
      <c r="L57" s="38">
        <f t="shared" si="3"/>
        <v>0</v>
      </c>
      <c r="M57" s="38">
        <f t="shared" si="4"/>
        <v>0</v>
      </c>
      <c r="N57" s="128" t="s">
        <v>156</v>
      </c>
      <c r="O57" s="16"/>
      <c r="P57" s="51"/>
      <c r="Q57" s="1"/>
      <c r="R57" s="15"/>
      <c r="S57" s="40">
        <f t="shared" si="9"/>
        <v>0</v>
      </c>
      <c r="T57" s="52">
        <f t="shared" si="5"/>
        <v>0</v>
      </c>
      <c r="U57" s="52">
        <f t="shared" si="6"/>
        <v>0</v>
      </c>
      <c r="V57" s="41">
        <f t="shared" si="7"/>
        <v>0</v>
      </c>
      <c r="W57" s="41">
        <f t="shared" si="8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8"/>
      <c r="H58" s="9">
        <f t="shared" si="1"/>
        <v>0</v>
      </c>
      <c r="I58" s="10">
        <f t="shared" si="2"/>
        <v>0</v>
      </c>
      <c r="J58" s="42"/>
      <c r="K58" s="89">
        <f t="shared" si="0"/>
        <v>0</v>
      </c>
      <c r="L58" s="9">
        <f t="shared" si="3"/>
        <v>0</v>
      </c>
      <c r="M58" s="9">
        <f t="shared" si="4"/>
        <v>0</v>
      </c>
      <c r="N58" s="8" t="s">
        <v>156</v>
      </c>
      <c r="O58" s="12"/>
      <c r="P58" s="51"/>
      <c r="Q58" s="3"/>
      <c r="R58" s="13"/>
      <c r="S58" s="14">
        <f t="shared" si="9"/>
        <v>0</v>
      </c>
      <c r="T58" s="14">
        <f t="shared" si="5"/>
        <v>0</v>
      </c>
      <c r="U58" s="14">
        <f t="shared" si="6"/>
        <v>0</v>
      </c>
      <c r="V58" s="29">
        <f t="shared" si="7"/>
        <v>0</v>
      </c>
      <c r="W58" s="29">
        <f t="shared" si="8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8">
        <f t="shared" si="1"/>
        <v>0</v>
      </c>
      <c r="I59" s="39">
        <f t="shared" si="2"/>
        <v>0</v>
      </c>
      <c r="J59" s="42"/>
      <c r="K59" s="88">
        <f t="shared" si="0"/>
        <v>0</v>
      </c>
      <c r="L59" s="38">
        <f t="shared" si="3"/>
        <v>0</v>
      </c>
      <c r="M59" s="38">
        <f t="shared" si="4"/>
        <v>0</v>
      </c>
      <c r="N59" s="128" t="s">
        <v>156</v>
      </c>
      <c r="O59" s="16"/>
      <c r="P59" s="51"/>
      <c r="Q59" s="1"/>
      <c r="R59" s="15"/>
      <c r="S59" s="40">
        <f t="shared" si="9"/>
        <v>0</v>
      </c>
      <c r="T59" s="52">
        <f t="shared" si="5"/>
        <v>0</v>
      </c>
      <c r="U59" s="52">
        <f t="shared" si="6"/>
        <v>0</v>
      </c>
      <c r="V59" s="41">
        <f t="shared" si="7"/>
        <v>0</v>
      </c>
      <c r="W59" s="41">
        <f t="shared" si="8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8"/>
      <c r="H60" s="9">
        <f t="shared" si="1"/>
        <v>0</v>
      </c>
      <c r="I60" s="10">
        <f t="shared" si="2"/>
        <v>0</v>
      </c>
      <c r="J60" s="42"/>
      <c r="K60" s="89">
        <f t="shared" si="0"/>
        <v>0</v>
      </c>
      <c r="L60" s="9">
        <f t="shared" si="3"/>
        <v>0</v>
      </c>
      <c r="M60" s="9">
        <f t="shared" si="4"/>
        <v>0</v>
      </c>
      <c r="N60" s="8" t="s">
        <v>156</v>
      </c>
      <c r="O60" s="12"/>
      <c r="P60" s="51"/>
      <c r="Q60" s="3"/>
      <c r="R60" s="13"/>
      <c r="S60" s="14">
        <f t="shared" si="9"/>
        <v>0</v>
      </c>
      <c r="T60" s="14">
        <f t="shared" si="5"/>
        <v>0</v>
      </c>
      <c r="U60" s="14">
        <f t="shared" si="6"/>
        <v>0</v>
      </c>
      <c r="V60" s="29">
        <f t="shared" si="7"/>
        <v>0</v>
      </c>
      <c r="W60" s="29">
        <f t="shared" si="8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8">
        <f t="shared" si="1"/>
        <v>0</v>
      </c>
      <c r="I61" s="39">
        <f t="shared" si="2"/>
        <v>0</v>
      </c>
      <c r="J61" s="42"/>
      <c r="K61" s="88">
        <f t="shared" si="0"/>
        <v>0</v>
      </c>
      <c r="L61" s="38">
        <f t="shared" si="3"/>
        <v>0</v>
      </c>
      <c r="M61" s="38">
        <f t="shared" si="4"/>
        <v>0</v>
      </c>
      <c r="N61" s="128" t="s">
        <v>156</v>
      </c>
      <c r="O61" s="16"/>
      <c r="P61" s="51"/>
      <c r="Q61" s="1"/>
      <c r="R61" s="15"/>
      <c r="S61" s="40">
        <f t="shared" si="9"/>
        <v>0</v>
      </c>
      <c r="T61" s="52">
        <f t="shared" si="5"/>
        <v>0</v>
      </c>
      <c r="U61" s="52">
        <f t="shared" si="6"/>
        <v>0</v>
      </c>
      <c r="V61" s="41">
        <f t="shared" si="7"/>
        <v>0</v>
      </c>
      <c r="W61" s="41">
        <f t="shared" si="8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8"/>
      <c r="H62" s="9">
        <f t="shared" si="1"/>
        <v>0</v>
      </c>
      <c r="I62" s="10">
        <f t="shared" si="2"/>
        <v>0</v>
      </c>
      <c r="J62" s="42"/>
      <c r="K62" s="89">
        <f t="shared" si="0"/>
        <v>0</v>
      </c>
      <c r="L62" s="9">
        <f t="shared" si="3"/>
        <v>0</v>
      </c>
      <c r="M62" s="9">
        <f t="shared" si="4"/>
        <v>0</v>
      </c>
      <c r="N62" s="8" t="s">
        <v>156</v>
      </c>
      <c r="O62" s="12"/>
      <c r="P62" s="51"/>
      <c r="Q62" s="3"/>
      <c r="R62" s="13"/>
      <c r="S62" s="14">
        <f t="shared" si="9"/>
        <v>0</v>
      </c>
      <c r="T62" s="14">
        <f t="shared" si="5"/>
        <v>0</v>
      </c>
      <c r="U62" s="14">
        <f t="shared" si="6"/>
        <v>0</v>
      </c>
      <c r="V62" s="29">
        <f t="shared" si="7"/>
        <v>0</v>
      </c>
      <c r="W62" s="29">
        <f t="shared" si="8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8">
        <f t="shared" si="1"/>
        <v>0</v>
      </c>
      <c r="I63" s="39">
        <f t="shared" si="2"/>
        <v>0</v>
      </c>
      <c r="J63" s="42"/>
      <c r="K63" s="88">
        <f t="shared" si="0"/>
        <v>0</v>
      </c>
      <c r="L63" s="38">
        <f t="shared" si="3"/>
        <v>0</v>
      </c>
      <c r="M63" s="38">
        <f t="shared" si="4"/>
        <v>0</v>
      </c>
      <c r="N63" s="128" t="s">
        <v>156</v>
      </c>
      <c r="O63" s="16"/>
      <c r="P63" s="51"/>
      <c r="Q63" s="1"/>
      <c r="R63" s="15"/>
      <c r="S63" s="40">
        <f t="shared" si="9"/>
        <v>0</v>
      </c>
      <c r="T63" s="52">
        <f t="shared" si="5"/>
        <v>0</v>
      </c>
      <c r="U63" s="52">
        <f t="shared" si="6"/>
        <v>0</v>
      </c>
      <c r="V63" s="41">
        <f t="shared" si="7"/>
        <v>0</v>
      </c>
      <c r="W63" s="41">
        <f t="shared" si="8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8"/>
      <c r="H64" s="9">
        <f t="shared" si="1"/>
        <v>0</v>
      </c>
      <c r="I64" s="10">
        <f t="shared" si="2"/>
        <v>0</v>
      </c>
      <c r="J64" s="42"/>
      <c r="K64" s="89">
        <f t="shared" si="0"/>
        <v>0</v>
      </c>
      <c r="L64" s="9">
        <f t="shared" si="3"/>
        <v>0</v>
      </c>
      <c r="M64" s="9">
        <f t="shared" si="4"/>
        <v>0</v>
      </c>
      <c r="N64" s="8" t="s">
        <v>156</v>
      </c>
      <c r="O64" s="12"/>
      <c r="P64" s="51"/>
      <c r="Q64" s="3"/>
      <c r="R64" s="13"/>
      <c r="S64" s="14">
        <f t="shared" si="9"/>
        <v>0</v>
      </c>
      <c r="T64" s="14">
        <f t="shared" si="5"/>
        <v>0</v>
      </c>
      <c r="U64" s="14">
        <f t="shared" si="6"/>
        <v>0</v>
      </c>
      <c r="V64" s="29">
        <f t="shared" si="7"/>
        <v>0</v>
      </c>
      <c r="W64" s="29">
        <f t="shared" si="8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8">
        <f t="shared" si="1"/>
        <v>0</v>
      </c>
      <c r="I65" s="39">
        <f t="shared" si="2"/>
        <v>0</v>
      </c>
      <c r="J65" s="42"/>
      <c r="K65" s="88">
        <f t="shared" si="0"/>
        <v>0</v>
      </c>
      <c r="L65" s="38">
        <f t="shared" si="3"/>
        <v>0</v>
      </c>
      <c r="M65" s="38">
        <f t="shared" si="4"/>
        <v>0</v>
      </c>
      <c r="N65" s="128" t="s">
        <v>156</v>
      </c>
      <c r="O65" s="16"/>
      <c r="P65" s="51"/>
      <c r="Q65" s="1"/>
      <c r="R65" s="15"/>
      <c r="S65" s="40">
        <f t="shared" si="9"/>
        <v>0</v>
      </c>
      <c r="T65" s="52">
        <f t="shared" si="5"/>
        <v>0</v>
      </c>
      <c r="U65" s="52">
        <f t="shared" si="6"/>
        <v>0</v>
      </c>
      <c r="V65" s="41">
        <f t="shared" si="7"/>
        <v>0</v>
      </c>
      <c r="W65" s="41">
        <f t="shared" si="8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8"/>
      <c r="H66" s="9">
        <f t="shared" si="1"/>
        <v>0</v>
      </c>
      <c r="I66" s="10">
        <f t="shared" si="2"/>
        <v>0</v>
      </c>
      <c r="J66" s="42"/>
      <c r="K66" s="89">
        <f t="shared" si="0"/>
        <v>0</v>
      </c>
      <c r="L66" s="9">
        <f t="shared" si="3"/>
        <v>0</v>
      </c>
      <c r="M66" s="9">
        <f t="shared" si="4"/>
        <v>0</v>
      </c>
      <c r="N66" s="8" t="s">
        <v>156</v>
      </c>
      <c r="O66" s="12"/>
      <c r="P66" s="51"/>
      <c r="Q66" s="3"/>
      <c r="R66" s="13"/>
      <c r="S66" s="14">
        <f t="shared" si="9"/>
        <v>0</v>
      </c>
      <c r="T66" s="14">
        <f t="shared" si="5"/>
        <v>0</v>
      </c>
      <c r="U66" s="14">
        <f t="shared" si="6"/>
        <v>0</v>
      </c>
      <c r="V66" s="29">
        <f t="shared" si="7"/>
        <v>0</v>
      </c>
      <c r="W66" s="29">
        <f t="shared" si="8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8">
        <f t="shared" si="1"/>
        <v>0</v>
      </c>
      <c r="I67" s="39">
        <f t="shared" si="2"/>
        <v>0</v>
      </c>
      <c r="J67" s="42"/>
      <c r="K67" s="88">
        <f t="shared" si="0"/>
        <v>0</v>
      </c>
      <c r="L67" s="38">
        <f t="shared" si="3"/>
        <v>0</v>
      </c>
      <c r="M67" s="38">
        <f t="shared" si="4"/>
        <v>0</v>
      </c>
      <c r="N67" s="128" t="s">
        <v>156</v>
      </c>
      <c r="O67" s="16"/>
      <c r="P67" s="51"/>
      <c r="Q67" s="1"/>
      <c r="R67" s="15"/>
      <c r="S67" s="40">
        <f t="shared" si="9"/>
        <v>0</v>
      </c>
      <c r="T67" s="52">
        <f t="shared" si="5"/>
        <v>0</v>
      </c>
      <c r="U67" s="52">
        <f t="shared" si="6"/>
        <v>0</v>
      </c>
      <c r="V67" s="41">
        <f t="shared" si="7"/>
        <v>0</v>
      </c>
      <c r="W67" s="41">
        <f t="shared" si="8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8"/>
      <c r="H68" s="9">
        <f t="shared" si="1"/>
        <v>0</v>
      </c>
      <c r="I68" s="10">
        <f t="shared" si="2"/>
        <v>0</v>
      </c>
      <c r="J68" s="42"/>
      <c r="K68" s="89">
        <f t="shared" si="0"/>
        <v>0</v>
      </c>
      <c r="L68" s="9">
        <f t="shared" si="3"/>
        <v>0</v>
      </c>
      <c r="M68" s="9">
        <f t="shared" si="4"/>
        <v>0</v>
      </c>
      <c r="N68" s="8" t="s">
        <v>156</v>
      </c>
      <c r="O68" s="12"/>
      <c r="P68" s="51"/>
      <c r="Q68" s="3"/>
      <c r="R68" s="13"/>
      <c r="S68" s="14">
        <f t="shared" si="9"/>
        <v>0</v>
      </c>
      <c r="T68" s="14">
        <f t="shared" si="5"/>
        <v>0</v>
      </c>
      <c r="U68" s="14">
        <f t="shared" si="6"/>
        <v>0</v>
      </c>
      <c r="V68" s="29">
        <f t="shared" si="7"/>
        <v>0</v>
      </c>
      <c r="W68" s="29">
        <f t="shared" si="8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8">
        <f t="shared" si="1"/>
        <v>0</v>
      </c>
      <c r="I69" s="39">
        <f t="shared" si="2"/>
        <v>0</v>
      </c>
      <c r="J69" s="42"/>
      <c r="K69" s="88">
        <f t="shared" si="0"/>
        <v>0</v>
      </c>
      <c r="L69" s="38">
        <f t="shared" si="3"/>
        <v>0</v>
      </c>
      <c r="M69" s="38">
        <f t="shared" si="4"/>
        <v>0</v>
      </c>
      <c r="N69" s="128" t="s">
        <v>156</v>
      </c>
      <c r="O69" s="16"/>
      <c r="P69" s="51"/>
      <c r="Q69" s="1"/>
      <c r="R69" s="15"/>
      <c r="S69" s="40">
        <f t="shared" si="9"/>
        <v>0</v>
      </c>
      <c r="T69" s="52">
        <f t="shared" si="5"/>
        <v>0</v>
      </c>
      <c r="U69" s="52">
        <f t="shared" si="6"/>
        <v>0</v>
      </c>
      <c r="V69" s="41">
        <f t="shared" si="7"/>
        <v>0</v>
      </c>
      <c r="W69" s="41">
        <f t="shared" si="8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8"/>
      <c r="H70" s="9">
        <f t="shared" si="1"/>
        <v>0</v>
      </c>
      <c r="I70" s="10">
        <f t="shared" si="2"/>
        <v>0</v>
      </c>
      <c r="J70" s="42"/>
      <c r="K70" s="89">
        <f t="shared" si="0"/>
        <v>0</v>
      </c>
      <c r="L70" s="9">
        <f t="shared" si="3"/>
        <v>0</v>
      </c>
      <c r="M70" s="9">
        <f t="shared" si="4"/>
        <v>0</v>
      </c>
      <c r="N70" s="8" t="s">
        <v>156</v>
      </c>
      <c r="O70" s="12"/>
      <c r="P70" s="51"/>
      <c r="Q70" s="3"/>
      <c r="R70" s="13"/>
      <c r="S70" s="14">
        <f t="shared" si="9"/>
        <v>0</v>
      </c>
      <c r="T70" s="14">
        <f t="shared" si="5"/>
        <v>0</v>
      </c>
      <c r="U70" s="14">
        <f t="shared" si="6"/>
        <v>0</v>
      </c>
      <c r="V70" s="29">
        <f t="shared" si="7"/>
        <v>0</v>
      </c>
      <c r="W70" s="29">
        <f t="shared" si="8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8">
        <f t="shared" si="1"/>
        <v>0</v>
      </c>
      <c r="I71" s="39">
        <f t="shared" si="2"/>
        <v>0</v>
      </c>
      <c r="J71" s="42"/>
      <c r="K71" s="88">
        <f t="shared" si="0"/>
        <v>0</v>
      </c>
      <c r="L71" s="38">
        <f t="shared" si="3"/>
        <v>0</v>
      </c>
      <c r="M71" s="38">
        <f t="shared" si="4"/>
        <v>0</v>
      </c>
      <c r="N71" s="128" t="s">
        <v>156</v>
      </c>
      <c r="O71" s="16"/>
      <c r="P71" s="51"/>
      <c r="Q71" s="1"/>
      <c r="R71" s="15"/>
      <c r="S71" s="40">
        <f t="shared" si="9"/>
        <v>0</v>
      </c>
      <c r="T71" s="52">
        <f t="shared" si="5"/>
        <v>0</v>
      </c>
      <c r="U71" s="52">
        <f t="shared" si="6"/>
        <v>0</v>
      </c>
      <c r="V71" s="41">
        <f t="shared" si="7"/>
        <v>0</v>
      </c>
      <c r="W71" s="41">
        <f t="shared" si="8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8"/>
      <c r="H72" s="9">
        <f t="shared" si="1"/>
        <v>0</v>
      </c>
      <c r="I72" s="10">
        <f t="shared" si="2"/>
        <v>0</v>
      </c>
      <c r="J72" s="42"/>
      <c r="K72" s="89">
        <f t="shared" si="0"/>
        <v>0</v>
      </c>
      <c r="L72" s="9">
        <f t="shared" si="3"/>
        <v>0</v>
      </c>
      <c r="M72" s="9">
        <f t="shared" si="4"/>
        <v>0</v>
      </c>
      <c r="N72" s="8" t="s">
        <v>156</v>
      </c>
      <c r="O72" s="12"/>
      <c r="P72" s="51"/>
      <c r="Q72" s="3"/>
      <c r="R72" s="13"/>
      <c r="S72" s="14">
        <f t="shared" si="9"/>
        <v>0</v>
      </c>
      <c r="T72" s="14">
        <f t="shared" si="5"/>
        <v>0</v>
      </c>
      <c r="U72" s="14">
        <f t="shared" si="6"/>
        <v>0</v>
      </c>
      <c r="V72" s="29">
        <f t="shared" si="7"/>
        <v>0</v>
      </c>
      <c r="W72" s="29">
        <f t="shared" si="8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8">
        <f t="shared" si="1"/>
        <v>0</v>
      </c>
      <c r="I73" s="39">
        <f t="shared" si="2"/>
        <v>0</v>
      </c>
      <c r="J73" s="42"/>
      <c r="K73" s="88">
        <f t="shared" si="0"/>
        <v>0</v>
      </c>
      <c r="L73" s="38">
        <f t="shared" si="3"/>
        <v>0</v>
      </c>
      <c r="M73" s="38">
        <f t="shared" si="4"/>
        <v>0</v>
      </c>
      <c r="N73" s="128" t="s">
        <v>156</v>
      </c>
      <c r="O73" s="16"/>
      <c r="P73" s="51"/>
      <c r="Q73" s="1"/>
      <c r="R73" s="15"/>
      <c r="S73" s="40">
        <f t="shared" si="9"/>
        <v>0</v>
      </c>
      <c r="T73" s="52">
        <f t="shared" si="5"/>
        <v>0</v>
      </c>
      <c r="U73" s="52">
        <f t="shared" si="6"/>
        <v>0</v>
      </c>
      <c r="V73" s="41">
        <f t="shared" si="7"/>
        <v>0</v>
      </c>
      <c r="W73" s="41">
        <f t="shared" si="8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8"/>
      <c r="H74" s="9">
        <f t="shared" si="1"/>
        <v>0</v>
      </c>
      <c r="I74" s="10">
        <f t="shared" si="2"/>
        <v>0</v>
      </c>
      <c r="J74" s="42"/>
      <c r="K74" s="89">
        <f t="shared" si="0"/>
        <v>0</v>
      </c>
      <c r="L74" s="9">
        <f t="shared" si="3"/>
        <v>0</v>
      </c>
      <c r="M74" s="9">
        <f t="shared" si="4"/>
        <v>0</v>
      </c>
      <c r="N74" s="8" t="s">
        <v>156</v>
      </c>
      <c r="O74" s="12"/>
      <c r="P74" s="51"/>
      <c r="Q74" s="3"/>
      <c r="R74" s="13"/>
      <c r="S74" s="14">
        <f t="shared" si="9"/>
        <v>0</v>
      </c>
      <c r="T74" s="14">
        <f t="shared" si="5"/>
        <v>0</v>
      </c>
      <c r="U74" s="14">
        <f t="shared" si="6"/>
        <v>0</v>
      </c>
      <c r="V74" s="29">
        <f t="shared" si="7"/>
        <v>0</v>
      </c>
      <c r="W74" s="29">
        <f t="shared" si="8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8">
        <f t="shared" si="1"/>
        <v>0</v>
      </c>
      <c r="I75" s="39">
        <f t="shared" si="2"/>
        <v>0</v>
      </c>
      <c r="J75" s="42"/>
      <c r="K75" s="88">
        <f t="shared" si="0"/>
        <v>0</v>
      </c>
      <c r="L75" s="38">
        <f t="shared" si="3"/>
        <v>0</v>
      </c>
      <c r="M75" s="38">
        <f t="shared" si="4"/>
        <v>0</v>
      </c>
      <c r="N75" s="128" t="s">
        <v>156</v>
      </c>
      <c r="O75" s="16"/>
      <c r="P75" s="51"/>
      <c r="Q75" s="1"/>
      <c r="R75" s="15"/>
      <c r="S75" s="40">
        <f t="shared" si="9"/>
        <v>0</v>
      </c>
      <c r="T75" s="52">
        <f t="shared" si="5"/>
        <v>0</v>
      </c>
      <c r="U75" s="52">
        <f t="shared" si="6"/>
        <v>0</v>
      </c>
      <c r="V75" s="41">
        <f t="shared" si="7"/>
        <v>0</v>
      </c>
      <c r="W75" s="41">
        <f t="shared" si="8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8"/>
      <c r="H76" s="9">
        <f t="shared" si="1"/>
        <v>0</v>
      </c>
      <c r="I76" s="10">
        <f t="shared" si="2"/>
        <v>0</v>
      </c>
      <c r="J76" s="42"/>
      <c r="K76" s="89">
        <f t="shared" si="0"/>
        <v>0</v>
      </c>
      <c r="L76" s="9">
        <f t="shared" si="3"/>
        <v>0</v>
      </c>
      <c r="M76" s="9">
        <f t="shared" si="4"/>
        <v>0</v>
      </c>
      <c r="N76" s="8" t="s">
        <v>156</v>
      </c>
      <c r="O76" s="12"/>
      <c r="P76" s="51"/>
      <c r="Q76" s="3"/>
      <c r="R76" s="13"/>
      <c r="S76" s="14">
        <f t="shared" si="9"/>
        <v>0</v>
      </c>
      <c r="T76" s="14">
        <f t="shared" si="5"/>
        <v>0</v>
      </c>
      <c r="U76" s="14">
        <f t="shared" si="6"/>
        <v>0</v>
      </c>
      <c r="V76" s="29">
        <f t="shared" si="7"/>
        <v>0</v>
      </c>
      <c r="W76" s="29">
        <f t="shared" si="8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8">
        <f t="shared" si="1"/>
        <v>0</v>
      </c>
      <c r="I77" s="39">
        <f t="shared" si="2"/>
        <v>0</v>
      </c>
      <c r="J77" s="42"/>
      <c r="K77" s="88">
        <f t="shared" si="0"/>
        <v>0</v>
      </c>
      <c r="L77" s="38">
        <f t="shared" si="3"/>
        <v>0</v>
      </c>
      <c r="M77" s="38">
        <f t="shared" si="4"/>
        <v>0</v>
      </c>
      <c r="N77" s="128" t="s">
        <v>156</v>
      </c>
      <c r="O77" s="16"/>
      <c r="P77" s="51"/>
      <c r="Q77" s="1"/>
      <c r="R77" s="15"/>
      <c r="S77" s="40">
        <f t="shared" si="9"/>
        <v>0</v>
      </c>
      <c r="T77" s="52">
        <f t="shared" si="5"/>
        <v>0</v>
      </c>
      <c r="U77" s="52">
        <f t="shared" si="6"/>
        <v>0</v>
      </c>
      <c r="V77" s="41">
        <f t="shared" si="7"/>
        <v>0</v>
      </c>
      <c r="W77" s="41">
        <f t="shared" si="8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8"/>
      <c r="H78" s="9">
        <f t="shared" si="1"/>
        <v>0</v>
      </c>
      <c r="I78" s="10">
        <f t="shared" si="2"/>
        <v>0</v>
      </c>
      <c r="J78" s="42"/>
      <c r="K78" s="89">
        <f t="shared" si="0"/>
        <v>0</v>
      </c>
      <c r="L78" s="9">
        <f t="shared" si="3"/>
        <v>0</v>
      </c>
      <c r="M78" s="9">
        <f t="shared" si="4"/>
        <v>0</v>
      </c>
      <c r="N78" s="8" t="s">
        <v>156</v>
      </c>
      <c r="O78" s="12"/>
      <c r="P78" s="51"/>
      <c r="Q78" s="3"/>
      <c r="R78" s="13"/>
      <c r="S78" s="14">
        <f t="shared" si="9"/>
        <v>0</v>
      </c>
      <c r="T78" s="14">
        <f t="shared" si="5"/>
        <v>0</v>
      </c>
      <c r="U78" s="14">
        <f t="shared" si="6"/>
        <v>0</v>
      </c>
      <c r="V78" s="29">
        <f t="shared" si="7"/>
        <v>0</v>
      </c>
      <c r="W78" s="29">
        <f t="shared" si="8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8">
        <f t="shared" si="1"/>
        <v>0</v>
      </c>
      <c r="I79" s="39">
        <f t="shared" si="2"/>
        <v>0</v>
      </c>
      <c r="J79" s="42"/>
      <c r="K79" s="88">
        <f t="shared" si="0"/>
        <v>0</v>
      </c>
      <c r="L79" s="38">
        <f t="shared" si="3"/>
        <v>0</v>
      </c>
      <c r="M79" s="38">
        <f t="shared" si="4"/>
        <v>0</v>
      </c>
      <c r="N79" s="128" t="s">
        <v>156</v>
      </c>
      <c r="O79" s="16"/>
      <c r="P79" s="51"/>
      <c r="Q79" s="1"/>
      <c r="R79" s="15"/>
      <c r="S79" s="40">
        <f t="shared" si="9"/>
        <v>0</v>
      </c>
      <c r="T79" s="52">
        <f t="shared" si="5"/>
        <v>0</v>
      </c>
      <c r="U79" s="52">
        <f t="shared" si="6"/>
        <v>0</v>
      </c>
      <c r="V79" s="41">
        <f t="shared" si="7"/>
        <v>0</v>
      </c>
      <c r="W79" s="41">
        <f t="shared" si="8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8"/>
      <c r="H80" s="9">
        <f t="shared" si="1"/>
        <v>0</v>
      </c>
      <c r="I80" s="10">
        <f t="shared" si="2"/>
        <v>0</v>
      </c>
      <c r="J80" s="42"/>
      <c r="K80" s="89">
        <f t="shared" si="0"/>
        <v>0</v>
      </c>
      <c r="L80" s="9">
        <f t="shared" si="3"/>
        <v>0</v>
      </c>
      <c r="M80" s="9">
        <f t="shared" si="4"/>
        <v>0</v>
      </c>
      <c r="N80" s="8" t="s">
        <v>156</v>
      </c>
      <c r="O80" s="12"/>
      <c r="P80" s="51"/>
      <c r="Q80" s="3"/>
      <c r="R80" s="13"/>
      <c r="S80" s="14">
        <f t="shared" si="9"/>
        <v>0</v>
      </c>
      <c r="T80" s="14">
        <f t="shared" si="5"/>
        <v>0</v>
      </c>
      <c r="U80" s="14">
        <f t="shared" si="6"/>
        <v>0</v>
      </c>
      <c r="V80" s="29">
        <f t="shared" si="7"/>
        <v>0</v>
      </c>
      <c r="W80" s="29">
        <f t="shared" si="8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31</v>
      </c>
      <c r="G81" s="78">
        <f>SUM(G18:G80)</f>
        <v>84035.329999999987</v>
      </c>
      <c r="H81" s="79">
        <f>SUM(H18:H80)</f>
        <v>60895.170000000006</v>
      </c>
      <c r="I81" s="80">
        <f>SUM(I18:I80)</f>
        <v>115927.29</v>
      </c>
      <c r="J81" s="81"/>
      <c r="K81" s="82">
        <f>SUM(K18:K80)</f>
        <v>31</v>
      </c>
      <c r="L81" s="79">
        <f>SUM(L18:L80)</f>
        <v>60895.170000000006</v>
      </c>
      <c r="M81" s="80">
        <f>SUM(M18:M80)</f>
        <v>115927.29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60895.170000000006</v>
      </c>
      <c r="U81" s="80">
        <f>SUM(U18:U80)</f>
        <v>115927.29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43" priority="3" stopIfTrue="1">
      <formula>$V$9&gt;100%</formula>
    </cfRule>
    <cfRule type="expression" dxfId="42" priority="4">
      <formula>$V$9&lt;50%</formula>
    </cfRule>
  </conditionalFormatting>
  <conditionalFormatting sqref="W9:W10">
    <cfRule type="expression" dxfId="41" priority="1">
      <formula>$W$9&lt;50%</formula>
    </cfRule>
    <cfRule type="expression" dxfId="40" priority="2">
      <formula>$W$9&gt;50%</formula>
    </cfRule>
  </conditionalFormatting>
  <dataValidations count="6">
    <dataValidation type="list" allowBlank="1" showInputMessage="1" showErrorMessage="1" sqref="G17 R14 R17 L17" xr:uid="{9EB828B3-C528-4881-B50E-81E3FA189FA8}">
      <formula1>$Z$11:$Z$12</formula1>
    </dataValidation>
    <dataValidation type="list" allowBlank="1" showInputMessage="1" showErrorMessage="1" sqref="I13" xr:uid="{4744433F-E339-43C2-B769-DF18004AFC07}">
      <formula1>$Z$13:$Z$14</formula1>
    </dataValidation>
    <dataValidation type="list" allowBlank="1" showInputMessage="1" showErrorMessage="1" sqref="J13" xr:uid="{C31A2BF6-B2BD-473F-B20B-DA0FA01B5729}">
      <formula1>$L$9:$L$9</formula1>
    </dataValidation>
    <dataValidation type="list" showInputMessage="1" showErrorMessage="1" sqref="E18:E19 E24:E80 E21:E22" xr:uid="{1B251152-5C63-4736-AC48-46A4793E4066}">
      <formula1>$AA$18:$AA$29</formula1>
    </dataValidation>
    <dataValidation type="list" allowBlank="1" showInputMessage="1" showErrorMessage="1" sqref="N18:N80" xr:uid="{34C3D672-25E6-4FFD-8D5F-DD5BB45A7E84}">
      <formula1>$Z$31:$Z$32</formula1>
    </dataValidation>
    <dataValidation type="list" allowBlank="1" showInputMessage="1" showErrorMessage="1" sqref="G2:H2" xr:uid="{E5D72D23-52BF-407D-9FD0-4782FC739B9B}">
      <formula1>$Z$34:$Z$48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08161D-45AF-4D26-AFF8-F4E824E5AAF0}">
          <x14:formula1>
            <xm:f>'Product Type'!$A$1:$A$55</xm:f>
          </x14:formula1>
          <xm:sqref>D51:D63 D18:D46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6FE8-AF0C-49B0-BC8B-8D38C5DC6F28}">
  <sheetPr>
    <pageSetUpPr fitToPage="1"/>
  </sheetPr>
  <dimension ref="A1:AC83"/>
  <sheetViews>
    <sheetView topLeftCell="A3" zoomScaleNormal="100" workbookViewId="0">
      <selection activeCell="A29" sqref="A2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3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115146.01000000001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116157.27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473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-1011.2599999999948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474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-8.782414605595059E-3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116157.27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116157.27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970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80" si="0">F19</f>
        <v>1</v>
      </c>
      <c r="L18" s="9">
        <f t="shared" ref="L18:L80" si="1">IFERROR(IF(N18="OEM DISC %",ROUND(IF($L$17=$G$18,G19*(1-O18),H19*(1-O18)),2),IF(N18="MARKUP %",ROUND(S18/K18*(1+O18),2))),0)</f>
        <v>31.82</v>
      </c>
      <c r="M18" s="9">
        <f>ROUND((K18*L18),2)</f>
        <v>31.82</v>
      </c>
      <c r="N18" s="8" t="s">
        <v>156</v>
      </c>
      <c r="O18" s="36"/>
      <c r="P18" s="51"/>
      <c r="Q18" s="2"/>
      <c r="R18" s="13"/>
      <c r="S18" s="14">
        <f t="shared" ref="S18:S80" si="2">ROUND(IF($S$17=$R$17,R18,IF($S$17="USD $",R18*$E$15,R18*$F$15))*F19,2)</f>
        <v>0</v>
      </c>
      <c r="T18" s="14">
        <f t="shared" ref="T18:T80" si="3">IFERROR(ROUND(U18/F19,2),0)</f>
        <v>31.82</v>
      </c>
      <c r="U18" s="14">
        <f>ROUND(M18-S18,2)</f>
        <v>31.82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" t="s">
        <v>431</v>
      </c>
      <c r="C19" s="163" t="s">
        <v>157</v>
      </c>
      <c r="D19" s="139" t="s">
        <v>29</v>
      </c>
      <c r="E19" s="124">
        <v>500</v>
      </c>
      <c r="F19" s="53">
        <v>1</v>
      </c>
      <c r="G19" s="8">
        <v>31.82</v>
      </c>
      <c r="H19" s="9">
        <f t="shared" ref="H19:H81" si="4">ROUND(IF($G$18="USD $", G19*$F$15,G19*$E$15),2)</f>
        <v>23.06</v>
      </c>
      <c r="I19" s="10">
        <f t="shared" ref="I19:I81" si="5">ROUND(IF($I$18=$H$18,F19*H19,F19*G19),2)</f>
        <v>31.82</v>
      </c>
      <c r="J19" s="151"/>
      <c r="K19" s="88">
        <f t="shared" si="0"/>
        <v>1</v>
      </c>
      <c r="L19" s="38">
        <f t="shared" si="1"/>
        <v>61.78</v>
      </c>
      <c r="M19" s="38">
        <f t="shared" ref="M19:M80" si="6">ROUND((K19*L19),2)</f>
        <v>61.78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61.78</v>
      </c>
      <c r="U19" s="52">
        <f t="shared" ref="U19:U80" si="7">ROUND(M19-S19,2)</f>
        <v>61.78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B20" s="2" t="s">
        <v>475</v>
      </c>
      <c r="C20" s="145" t="s">
        <v>161</v>
      </c>
      <c r="D20" s="139" t="s">
        <v>28</v>
      </c>
      <c r="E20" s="382">
        <v>375</v>
      </c>
      <c r="F20" s="361">
        <v>1</v>
      </c>
      <c r="G20" s="13">
        <v>61.78</v>
      </c>
      <c r="H20" s="9">
        <f t="shared" si="4"/>
        <v>44.77</v>
      </c>
      <c r="I20" s="10">
        <f t="shared" si="5"/>
        <v>61.78</v>
      </c>
      <c r="J20" s="383"/>
      <c r="K20" s="89">
        <f t="shared" si="0"/>
        <v>1</v>
      </c>
      <c r="L20" s="9">
        <f t="shared" si="1"/>
        <v>76.91</v>
      </c>
      <c r="M20" s="9">
        <f t="shared" si="6"/>
        <v>76.91</v>
      </c>
      <c r="N20" s="8" t="s">
        <v>156</v>
      </c>
      <c r="O20" s="384"/>
      <c r="P20" s="385"/>
      <c r="Q20" s="3"/>
      <c r="R20" s="13"/>
      <c r="S20" s="14">
        <f t="shared" si="2"/>
        <v>0</v>
      </c>
      <c r="T20" s="14">
        <f t="shared" si="3"/>
        <v>76.91</v>
      </c>
      <c r="U20" s="14">
        <f t="shared" si="7"/>
        <v>76.91</v>
      </c>
      <c r="V20" s="386">
        <f t="shared" si="8"/>
        <v>0</v>
      </c>
      <c r="W20" s="386">
        <f t="shared" si="9"/>
        <v>1</v>
      </c>
      <c r="X20" s="387"/>
      <c r="Y20" s="388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364" t="s">
        <v>476</v>
      </c>
      <c r="C21" s="365" t="s">
        <v>163</v>
      </c>
      <c r="D21" s="366" t="s">
        <v>27</v>
      </c>
      <c r="E21" s="367">
        <v>500</v>
      </c>
      <c r="F21" s="368">
        <v>1</v>
      </c>
      <c r="G21" s="8">
        <v>76.91</v>
      </c>
      <c r="H21" s="9">
        <f t="shared" si="4"/>
        <v>55.73</v>
      </c>
      <c r="I21" s="10">
        <f t="shared" si="5"/>
        <v>76.91</v>
      </c>
      <c r="J21" s="151"/>
      <c r="K21" s="88">
        <f t="shared" si="0"/>
        <v>1</v>
      </c>
      <c r="L21" s="38">
        <f t="shared" si="1"/>
        <v>73.66</v>
      </c>
      <c r="M21" s="38">
        <f t="shared" si="6"/>
        <v>73.66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73.66</v>
      </c>
      <c r="U21" s="52">
        <f t="shared" si="7"/>
        <v>73.66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B22" s="2" t="s">
        <v>393</v>
      </c>
      <c r="C22" s="145" t="s">
        <v>163</v>
      </c>
      <c r="D22" s="139" t="s">
        <v>27</v>
      </c>
      <c r="E22" s="126">
        <v>500</v>
      </c>
      <c r="F22" s="53">
        <v>1</v>
      </c>
      <c r="G22" s="13">
        <v>73.66</v>
      </c>
      <c r="H22" s="9">
        <f t="shared" si="4"/>
        <v>53.38</v>
      </c>
      <c r="I22" s="10">
        <f t="shared" si="5"/>
        <v>73.66</v>
      </c>
      <c r="J22" s="383"/>
      <c r="K22" s="89">
        <f t="shared" si="0"/>
        <v>1</v>
      </c>
      <c r="L22" s="9">
        <f t="shared" si="1"/>
        <v>119.67</v>
      </c>
      <c r="M22" s="9">
        <f t="shared" si="6"/>
        <v>119.67</v>
      </c>
      <c r="N22" s="8" t="s">
        <v>156</v>
      </c>
      <c r="O22" s="384"/>
      <c r="P22" s="385"/>
      <c r="Q22" s="3"/>
      <c r="R22" s="13"/>
      <c r="S22" s="14">
        <f t="shared" si="2"/>
        <v>0</v>
      </c>
      <c r="T22" s="14">
        <f t="shared" si="3"/>
        <v>119.67</v>
      </c>
      <c r="U22" s="14">
        <f t="shared" si="7"/>
        <v>119.67</v>
      </c>
      <c r="V22" s="386">
        <f t="shared" si="8"/>
        <v>0</v>
      </c>
      <c r="W22" s="386">
        <f t="shared" si="9"/>
        <v>1</v>
      </c>
      <c r="X22" s="387"/>
      <c r="Y22" s="388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364" t="s">
        <v>477</v>
      </c>
      <c r="C23" s="365" t="s">
        <v>166</v>
      </c>
      <c r="D23" s="366" t="s">
        <v>25</v>
      </c>
      <c r="E23" s="367">
        <v>500</v>
      </c>
      <c r="F23" s="368">
        <v>1</v>
      </c>
      <c r="G23" s="376">
        <v>119.67</v>
      </c>
      <c r="H23" s="9">
        <f t="shared" si="4"/>
        <v>86.72</v>
      </c>
      <c r="I23" s="10">
        <f t="shared" si="5"/>
        <v>119.67</v>
      </c>
      <c r="J23" s="151"/>
      <c r="K23" s="88">
        <f t="shared" si="0"/>
        <v>1</v>
      </c>
      <c r="L23" s="38">
        <f t="shared" si="1"/>
        <v>84.64</v>
      </c>
      <c r="M23" s="38">
        <f t="shared" si="6"/>
        <v>84.64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84.64</v>
      </c>
      <c r="U23" s="52">
        <f t="shared" si="7"/>
        <v>84.64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B24" s="2" t="s">
        <v>478</v>
      </c>
      <c r="C24" s="145" t="s">
        <v>168</v>
      </c>
      <c r="D24" s="139" t="s">
        <v>25</v>
      </c>
      <c r="E24" s="382">
        <v>375</v>
      </c>
      <c r="F24" s="53">
        <v>1</v>
      </c>
      <c r="G24" s="13">
        <v>84.64</v>
      </c>
      <c r="H24" s="9">
        <f t="shared" si="4"/>
        <v>61.33</v>
      </c>
      <c r="I24" s="10">
        <f t="shared" si="5"/>
        <v>84.64</v>
      </c>
      <c r="J24" s="383"/>
      <c r="K24" s="89">
        <f t="shared" si="0"/>
        <v>2</v>
      </c>
      <c r="L24" s="9">
        <f t="shared" si="1"/>
        <v>505.63</v>
      </c>
      <c r="M24" s="9">
        <f t="shared" si="6"/>
        <v>1011.26</v>
      </c>
      <c r="N24" s="8" t="s">
        <v>156</v>
      </c>
      <c r="O24" s="384"/>
      <c r="P24" s="385"/>
      <c r="Q24" s="3"/>
      <c r="R24" s="13"/>
      <c r="S24" s="14">
        <f t="shared" si="2"/>
        <v>0</v>
      </c>
      <c r="T24" s="14">
        <f t="shared" si="3"/>
        <v>505.63</v>
      </c>
      <c r="U24" s="14">
        <f t="shared" si="7"/>
        <v>1011.26</v>
      </c>
      <c r="V24" s="386">
        <f t="shared" si="8"/>
        <v>0</v>
      </c>
      <c r="W24" s="386">
        <f t="shared" si="9"/>
        <v>1</v>
      </c>
      <c r="X24" s="387"/>
      <c r="Y24" s="388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" t="s">
        <v>479</v>
      </c>
      <c r="C25" s="145" t="s">
        <v>480</v>
      </c>
      <c r="D25" s="139" t="s">
        <v>0</v>
      </c>
      <c r="E25" s="126" t="s">
        <v>176</v>
      </c>
      <c r="F25" s="53">
        <v>2</v>
      </c>
      <c r="G25" s="375">
        <v>505.63</v>
      </c>
      <c r="H25" s="9" t="s">
        <v>481</v>
      </c>
      <c r="I25" s="10" t="s">
        <v>481</v>
      </c>
      <c r="J25" s="151"/>
      <c r="K25" s="88">
        <f t="shared" si="0"/>
        <v>1</v>
      </c>
      <c r="L25" s="38">
        <f t="shared" si="1"/>
        <v>3084.71</v>
      </c>
      <c r="M25" s="38">
        <f t="shared" si="6"/>
        <v>3084.71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3084.71</v>
      </c>
      <c r="U25" s="52">
        <f t="shared" si="7"/>
        <v>3084.71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B26" s="3" t="s">
        <v>482</v>
      </c>
      <c r="C26" s="145" t="s">
        <v>483</v>
      </c>
      <c r="D26" s="139" t="s">
        <v>39</v>
      </c>
      <c r="E26" s="126" t="s">
        <v>176</v>
      </c>
      <c r="F26" s="361">
        <v>1</v>
      </c>
      <c r="G26" s="13">
        <v>3084.71</v>
      </c>
      <c r="H26" s="9">
        <f t="shared" si="4"/>
        <v>2235.3000000000002</v>
      </c>
      <c r="I26" s="10">
        <f t="shared" si="5"/>
        <v>3084.71</v>
      </c>
      <c r="J26" s="383"/>
      <c r="K26" s="89">
        <f t="shared" si="0"/>
        <v>0</v>
      </c>
      <c r="L26" s="9">
        <f t="shared" si="1"/>
        <v>0</v>
      </c>
      <c r="M26" s="9">
        <f t="shared" si="6"/>
        <v>0</v>
      </c>
      <c r="N26" s="8" t="s">
        <v>156</v>
      </c>
      <c r="O26" s="384"/>
      <c r="P26" s="385"/>
      <c r="Q26" s="3"/>
      <c r="R26" s="13"/>
      <c r="S26" s="14">
        <f t="shared" si="2"/>
        <v>0</v>
      </c>
      <c r="T26" s="14">
        <f t="shared" si="3"/>
        <v>0</v>
      </c>
      <c r="U26" s="14">
        <f t="shared" si="7"/>
        <v>0</v>
      </c>
      <c r="V26" s="386">
        <f t="shared" si="8"/>
        <v>0</v>
      </c>
      <c r="W26" s="386">
        <f t="shared" si="9"/>
        <v>0</v>
      </c>
      <c r="X26" s="387"/>
      <c r="Y26" s="388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2"/>
      <c r="C27" s="145"/>
      <c r="D27" s="139"/>
      <c r="E27" s="126"/>
      <c r="F27" s="53"/>
      <c r="G27" s="8"/>
      <c r="H27" s="9">
        <f t="shared" si="4"/>
        <v>0</v>
      </c>
      <c r="I27" s="10">
        <f t="shared" si="5"/>
        <v>0</v>
      </c>
      <c r="J27" s="151"/>
      <c r="K27" s="88">
        <f>F28</f>
        <v>22</v>
      </c>
      <c r="L27" s="38">
        <f>IFERROR(IF(N27="OEM DISC %",ROUND(IF($L$17=$G$18,G28*(1-O27),H28*(1-O27)),2),IF(N27="MARKUP %",ROUND(S27/K27*(1+O27),2))),0)</f>
        <v>673.27</v>
      </c>
      <c r="M27" s="38">
        <f t="shared" si="6"/>
        <v>14811.94</v>
      </c>
      <c r="N27" s="128" t="s">
        <v>156</v>
      </c>
      <c r="O27" s="16"/>
      <c r="P27" s="51"/>
      <c r="Q27" s="1"/>
      <c r="R27" s="15"/>
      <c r="S27" s="40">
        <f>ROUND(IF($S$17=$R$17,R27,IF($S$17="USD $",R27*$E$15,R27*$F$15))*F28,2)</f>
        <v>0</v>
      </c>
      <c r="T27" s="52">
        <f>IFERROR(ROUND(U27/F28,2),0)</f>
        <v>673.27</v>
      </c>
      <c r="U27" s="52">
        <f t="shared" si="7"/>
        <v>14811.94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B28" s="3" t="s">
        <v>484</v>
      </c>
      <c r="C28" s="145" t="s">
        <v>485</v>
      </c>
      <c r="D28" s="139" t="s">
        <v>43</v>
      </c>
      <c r="E28" s="382">
        <v>5000</v>
      </c>
      <c r="F28" s="361">
        <v>22</v>
      </c>
      <c r="G28" s="13">
        <v>673.27</v>
      </c>
      <c r="H28" s="9">
        <f t="shared" si="4"/>
        <v>487.88</v>
      </c>
      <c r="I28" s="10">
        <f t="shared" si="5"/>
        <v>14811.94</v>
      </c>
      <c r="J28" s="383"/>
      <c r="K28" s="89">
        <f>F29</f>
        <v>2</v>
      </c>
      <c r="L28" s="9">
        <f>IFERROR(IF(N28="OEM DISC %",ROUND(IF($L$17=$G$18,G29*(1-O28),H29*(1-O28)),2),IF(N28="MARKUP %",ROUND(S28/K28*(1+O28),2))),0)</f>
        <v>3145.55</v>
      </c>
      <c r="M28" s="9">
        <f t="shared" si="6"/>
        <v>6291.1</v>
      </c>
      <c r="N28" s="8" t="s">
        <v>156</v>
      </c>
      <c r="O28" s="384"/>
      <c r="P28" s="385"/>
      <c r="Q28" s="3"/>
      <c r="R28" s="13"/>
      <c r="S28" s="14">
        <f>ROUND(IF($S$17=$R$17,R28,IF($S$17="USD $",R28*$E$15,R28*$F$15))*F29,2)</f>
        <v>0</v>
      </c>
      <c r="T28" s="14">
        <f>IFERROR(ROUND(U28/F29,2),0)</f>
        <v>3145.55</v>
      </c>
      <c r="U28" s="14">
        <f t="shared" si="7"/>
        <v>6291.1</v>
      </c>
      <c r="V28" s="386">
        <f t="shared" si="8"/>
        <v>0</v>
      </c>
      <c r="W28" s="386">
        <f t="shared" si="9"/>
        <v>1</v>
      </c>
      <c r="X28" s="387"/>
      <c r="Y28" s="388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364" t="s">
        <v>486</v>
      </c>
      <c r="C29" s="365" t="s">
        <v>487</v>
      </c>
      <c r="D29" s="366" t="s">
        <v>47</v>
      </c>
      <c r="E29" s="377">
        <v>5000</v>
      </c>
      <c r="F29" s="368">
        <v>2</v>
      </c>
      <c r="G29" s="378">
        <v>3145.55</v>
      </c>
      <c r="H29" s="379">
        <f t="shared" si="4"/>
        <v>2279.38</v>
      </c>
      <c r="I29" s="10">
        <f t="shared" si="5"/>
        <v>6291.1</v>
      </c>
      <c r="J29" s="151"/>
      <c r="K29" s="88">
        <f t="shared" si="0"/>
        <v>8</v>
      </c>
      <c r="L29" s="38">
        <f t="shared" si="1"/>
        <v>8.8000000000000007</v>
      </c>
      <c r="M29" s="38">
        <f>ROUND((K29*L29),2)</f>
        <v>70.400000000000006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8.8000000000000007</v>
      </c>
      <c r="U29" s="52">
        <f t="shared" si="7"/>
        <v>70.400000000000006</v>
      </c>
      <c r="V29" s="41">
        <f t="shared" si="8"/>
        <v>0</v>
      </c>
      <c r="W29" s="41">
        <f t="shared" si="9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B30" s="2" t="s">
        <v>488</v>
      </c>
      <c r="C30" s="145" t="s">
        <v>185</v>
      </c>
      <c r="D30" s="139" t="s">
        <v>48</v>
      </c>
      <c r="E30" s="382">
        <v>5000</v>
      </c>
      <c r="F30" s="53">
        <v>8</v>
      </c>
      <c r="G30" s="8">
        <v>8.8000000000000007</v>
      </c>
      <c r="H30" s="9">
        <f t="shared" si="4"/>
        <v>6.38</v>
      </c>
      <c r="I30" s="10">
        <f t="shared" si="5"/>
        <v>70.400000000000006</v>
      </c>
      <c r="J30" s="383"/>
      <c r="K30" s="89">
        <f t="shared" si="0"/>
        <v>2</v>
      </c>
      <c r="L30" s="9">
        <f t="shared" si="1"/>
        <v>11591.39</v>
      </c>
      <c r="M30" s="9">
        <f t="shared" si="6"/>
        <v>23182.78</v>
      </c>
      <c r="N30" s="8" t="s">
        <v>156</v>
      </c>
      <c r="O30" s="384"/>
      <c r="P30" s="385"/>
      <c r="Q30" s="3"/>
      <c r="R30" s="13"/>
      <c r="S30" s="14">
        <f t="shared" si="2"/>
        <v>0</v>
      </c>
      <c r="T30" s="14">
        <f t="shared" si="3"/>
        <v>11591.39</v>
      </c>
      <c r="U30" s="14">
        <f t="shared" si="7"/>
        <v>23182.78</v>
      </c>
      <c r="V30" s="386">
        <f t="shared" si="8"/>
        <v>0</v>
      </c>
      <c r="W30" s="386">
        <f t="shared" si="9"/>
        <v>1</v>
      </c>
      <c r="X30" s="387"/>
      <c r="Y30" s="388"/>
      <c r="Z30" s="61"/>
      <c r="AA30" s="61"/>
      <c r="AB30" s="61"/>
      <c r="AC30" s="61"/>
    </row>
    <row r="31" spans="1:29" x14ac:dyDescent="0.25">
      <c r="A31" s="55"/>
      <c r="B31" s="2" t="s">
        <v>489</v>
      </c>
      <c r="C31" s="145" t="s">
        <v>490</v>
      </c>
      <c r="D31" s="139" t="s">
        <v>51</v>
      </c>
      <c r="E31" s="377">
        <v>5000</v>
      </c>
      <c r="F31" s="380">
        <v>2</v>
      </c>
      <c r="G31" s="378">
        <v>11591.39</v>
      </c>
      <c r="H31" s="379">
        <f t="shared" si="4"/>
        <v>8399.56</v>
      </c>
      <c r="I31" s="10">
        <f t="shared" si="5"/>
        <v>23182.78</v>
      </c>
      <c r="J31" s="151"/>
      <c r="K31" s="88">
        <f t="shared" si="0"/>
        <v>408</v>
      </c>
      <c r="L31" s="38">
        <f t="shared" si="1"/>
        <v>4.9000000000000004</v>
      </c>
      <c r="M31" s="38">
        <f t="shared" si="6"/>
        <v>1999.2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4.9000000000000004</v>
      </c>
      <c r="U31" s="52">
        <f t="shared" si="7"/>
        <v>1999.2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B32" s="3" t="s">
        <v>491</v>
      </c>
      <c r="C32" s="145" t="s">
        <v>194</v>
      </c>
      <c r="D32" s="139" t="s">
        <v>52</v>
      </c>
      <c r="E32" s="382">
        <v>5000</v>
      </c>
      <c r="F32" s="361">
        <v>408</v>
      </c>
      <c r="G32" s="8">
        <v>4.9000000000000004</v>
      </c>
      <c r="H32" s="9">
        <f t="shared" si="4"/>
        <v>3.55</v>
      </c>
      <c r="I32" s="10">
        <f t="shared" si="5"/>
        <v>1999.2</v>
      </c>
      <c r="J32" s="383"/>
      <c r="K32" s="89">
        <f t="shared" si="0"/>
        <v>408</v>
      </c>
      <c r="L32" s="9">
        <f t="shared" si="1"/>
        <v>2.2799999999999998</v>
      </c>
      <c r="M32" s="9">
        <f t="shared" si="6"/>
        <v>930.24</v>
      </c>
      <c r="N32" s="8" t="s">
        <v>156</v>
      </c>
      <c r="O32" s="384"/>
      <c r="P32" s="385"/>
      <c r="Q32" s="3"/>
      <c r="R32" s="13"/>
      <c r="S32" s="14">
        <f t="shared" si="2"/>
        <v>0</v>
      </c>
      <c r="T32" s="14">
        <f t="shared" si="3"/>
        <v>2.2799999999999998</v>
      </c>
      <c r="U32" s="14">
        <f t="shared" si="7"/>
        <v>930.24</v>
      </c>
      <c r="V32" s="386">
        <f t="shared" si="8"/>
        <v>0</v>
      </c>
      <c r="W32" s="386">
        <f t="shared" si="9"/>
        <v>1</v>
      </c>
      <c r="X32" s="387"/>
      <c r="Y32" s="388"/>
      <c r="Z32" s="61" t="s">
        <v>180</v>
      </c>
      <c r="AA32" s="61"/>
      <c r="AB32" s="61"/>
      <c r="AC32" s="61"/>
    </row>
    <row r="33" spans="1:29" x14ac:dyDescent="0.25">
      <c r="A33" s="55"/>
      <c r="B33" s="2" t="s">
        <v>492</v>
      </c>
      <c r="C33" s="145" t="s">
        <v>195</v>
      </c>
      <c r="D33" s="139" t="s">
        <v>52</v>
      </c>
      <c r="E33" s="377">
        <v>5000</v>
      </c>
      <c r="F33" s="380">
        <v>408</v>
      </c>
      <c r="G33" s="378">
        <v>2.2799999999999998</v>
      </c>
      <c r="H33" s="9">
        <f t="shared" si="4"/>
        <v>1.65</v>
      </c>
      <c r="I33" s="10">
        <f t="shared" si="5"/>
        <v>930.24</v>
      </c>
      <c r="J33" s="151"/>
      <c r="K33" s="88">
        <f t="shared" si="0"/>
        <v>102</v>
      </c>
      <c r="L33" s="38">
        <f t="shared" si="1"/>
        <v>221.33</v>
      </c>
      <c r="M33" s="38">
        <f t="shared" si="6"/>
        <v>22575.66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221.33</v>
      </c>
      <c r="U33" s="52">
        <f t="shared" si="7"/>
        <v>22575.66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B34" s="3" t="s">
        <v>493</v>
      </c>
      <c r="C34" s="145" t="s">
        <v>192</v>
      </c>
      <c r="D34" s="139" t="s">
        <v>52</v>
      </c>
      <c r="E34" s="126" t="s">
        <v>176</v>
      </c>
      <c r="F34" s="361">
        <v>102</v>
      </c>
      <c r="G34" s="8">
        <v>221.33</v>
      </c>
      <c r="H34" s="9">
        <f t="shared" si="4"/>
        <v>160.38</v>
      </c>
      <c r="I34" s="10">
        <f t="shared" si="5"/>
        <v>22575.66</v>
      </c>
      <c r="J34" s="383"/>
      <c r="K34" s="89">
        <f t="shared" si="0"/>
        <v>0</v>
      </c>
      <c r="L34" s="9">
        <f t="shared" si="1"/>
        <v>0</v>
      </c>
      <c r="M34" s="9">
        <f t="shared" si="6"/>
        <v>0</v>
      </c>
      <c r="N34" s="8" t="s">
        <v>156</v>
      </c>
      <c r="O34" s="384"/>
      <c r="P34" s="385"/>
      <c r="Q34" s="3"/>
      <c r="R34" s="13"/>
      <c r="S34" s="14">
        <f t="shared" si="2"/>
        <v>0</v>
      </c>
      <c r="T34" s="14">
        <f t="shared" si="3"/>
        <v>0</v>
      </c>
      <c r="U34" s="14">
        <f t="shared" si="7"/>
        <v>0</v>
      </c>
      <c r="V34" s="386">
        <f t="shared" si="8"/>
        <v>0</v>
      </c>
      <c r="W34" s="386">
        <f t="shared" si="9"/>
        <v>0</v>
      </c>
      <c r="X34" s="387"/>
      <c r="Y34" s="388"/>
      <c r="Z34" s="61" t="s">
        <v>56</v>
      </c>
      <c r="AA34" s="61"/>
      <c r="AB34" s="61"/>
      <c r="AC34" s="61"/>
    </row>
    <row r="35" spans="1:29" x14ac:dyDescent="0.25">
      <c r="A35" s="55"/>
      <c r="B35" s="2"/>
      <c r="C35" s="145"/>
      <c r="D35" s="139"/>
      <c r="E35" s="126"/>
      <c r="F35" s="53"/>
      <c r="G35" s="378"/>
      <c r="H35" s="9">
        <f t="shared" si="4"/>
        <v>0</v>
      </c>
      <c r="I35" s="10">
        <f t="shared" si="5"/>
        <v>0</v>
      </c>
      <c r="J35" s="151"/>
      <c r="K35" s="88">
        <f t="shared" si="0"/>
        <v>1</v>
      </c>
      <c r="L35" s="38">
        <f t="shared" si="1"/>
        <v>1902.99</v>
      </c>
      <c r="M35" s="38">
        <f t="shared" si="6"/>
        <v>1902.99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1902.99</v>
      </c>
      <c r="U35" s="52">
        <f t="shared" si="7"/>
        <v>1902.99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B36" s="2" t="s">
        <v>494</v>
      </c>
      <c r="C36" s="6" t="s">
        <v>197</v>
      </c>
      <c r="D36" s="139" t="s">
        <v>22</v>
      </c>
      <c r="E36" s="126" t="s">
        <v>176</v>
      </c>
      <c r="F36" s="53">
        <v>1</v>
      </c>
      <c r="G36" s="13">
        <v>1902.99</v>
      </c>
      <c r="H36" s="9">
        <f t="shared" si="4"/>
        <v>1378.98</v>
      </c>
      <c r="I36" s="10">
        <f t="shared" si="5"/>
        <v>1902.99</v>
      </c>
      <c r="J36" s="383"/>
      <c r="K36" s="89">
        <f t="shared" si="0"/>
        <v>1</v>
      </c>
      <c r="L36" s="9">
        <f t="shared" si="1"/>
        <v>2177.83</v>
      </c>
      <c r="M36" s="9">
        <f t="shared" si="6"/>
        <v>2177.83</v>
      </c>
      <c r="N36" s="8" t="s">
        <v>156</v>
      </c>
      <c r="O36" s="384"/>
      <c r="P36" s="385"/>
      <c r="Q36" s="3"/>
      <c r="R36" s="13"/>
      <c r="S36" s="14">
        <f t="shared" si="2"/>
        <v>0</v>
      </c>
      <c r="T36" s="14">
        <f t="shared" si="3"/>
        <v>2177.83</v>
      </c>
      <c r="U36" s="14">
        <f t="shared" si="7"/>
        <v>2177.83</v>
      </c>
      <c r="V36" s="386">
        <f t="shared" si="8"/>
        <v>0</v>
      </c>
      <c r="W36" s="386">
        <f t="shared" si="9"/>
        <v>1</v>
      </c>
      <c r="X36" s="387"/>
      <c r="Y36" s="388"/>
      <c r="Z36" s="61" t="s">
        <v>57</v>
      </c>
      <c r="AA36" s="61"/>
      <c r="AB36" s="61"/>
      <c r="AC36" s="61"/>
    </row>
    <row r="37" spans="1:29" x14ac:dyDescent="0.25">
      <c r="A37" s="55"/>
      <c r="B37" s="364" t="s">
        <v>495</v>
      </c>
      <c r="C37" s="381" t="s">
        <v>198</v>
      </c>
      <c r="D37" s="366" t="s">
        <v>199</v>
      </c>
      <c r="E37" s="367" t="s">
        <v>176</v>
      </c>
      <c r="F37" s="368">
        <v>1</v>
      </c>
      <c r="G37" s="8">
        <v>2177.83</v>
      </c>
      <c r="H37" s="9">
        <f t="shared" si="4"/>
        <v>1578.14</v>
      </c>
      <c r="I37" s="10">
        <f t="shared" si="5"/>
        <v>2177.83</v>
      </c>
      <c r="J37" s="151"/>
      <c r="K37" s="88">
        <f t="shared" si="0"/>
        <v>1</v>
      </c>
      <c r="L37" s="38">
        <f t="shared" si="1"/>
        <v>245.23</v>
      </c>
      <c r="M37" s="38">
        <f t="shared" si="6"/>
        <v>245.23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245.23</v>
      </c>
      <c r="U37" s="52">
        <f t="shared" si="7"/>
        <v>245.23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B38" s="2" t="s">
        <v>496</v>
      </c>
      <c r="C38" s="6" t="s">
        <v>497</v>
      </c>
      <c r="D38" s="139" t="s">
        <v>18</v>
      </c>
      <c r="E38" s="126" t="s">
        <v>176</v>
      </c>
      <c r="F38" s="361">
        <v>1</v>
      </c>
      <c r="G38" s="13">
        <v>245.23</v>
      </c>
      <c r="H38" s="9">
        <f t="shared" si="4"/>
        <v>177.7</v>
      </c>
      <c r="I38" s="10">
        <f t="shared" si="5"/>
        <v>245.23</v>
      </c>
      <c r="J38" s="383"/>
      <c r="K38" s="89">
        <f t="shared" si="0"/>
        <v>0</v>
      </c>
      <c r="L38" s="9">
        <f t="shared" si="1"/>
        <v>0</v>
      </c>
      <c r="M38" s="9">
        <f t="shared" si="6"/>
        <v>0</v>
      </c>
      <c r="N38" s="8" t="s">
        <v>156</v>
      </c>
      <c r="O38" s="384"/>
      <c r="P38" s="385"/>
      <c r="Q38" s="3"/>
      <c r="R38" s="13"/>
      <c r="S38" s="14">
        <f t="shared" si="2"/>
        <v>0</v>
      </c>
      <c r="T38" s="14">
        <f t="shared" si="3"/>
        <v>0</v>
      </c>
      <c r="U38" s="14">
        <f t="shared" si="7"/>
        <v>0</v>
      </c>
      <c r="V38" s="386">
        <f t="shared" si="8"/>
        <v>0</v>
      </c>
      <c r="W38" s="386">
        <f t="shared" si="9"/>
        <v>0</v>
      </c>
      <c r="X38" s="387"/>
      <c r="Y38" s="388"/>
      <c r="Z38" s="61" t="s">
        <v>60</v>
      </c>
      <c r="AA38" s="61"/>
      <c r="AB38" s="61"/>
      <c r="AC38" s="61"/>
    </row>
    <row r="39" spans="1:29" x14ac:dyDescent="0.25">
      <c r="A39" s="55"/>
      <c r="B39" s="364"/>
      <c r="C39" s="381"/>
      <c r="D39" s="366"/>
      <c r="E39" s="367"/>
      <c r="F39" s="368"/>
      <c r="G39" s="8"/>
      <c r="H39" s="9">
        <f t="shared" si="4"/>
        <v>0</v>
      </c>
      <c r="I39" s="10">
        <f t="shared" si="5"/>
        <v>0</v>
      </c>
      <c r="J39" s="151"/>
      <c r="K39" s="88">
        <f t="shared" si="0"/>
        <v>1</v>
      </c>
      <c r="L39" s="38">
        <f t="shared" si="1"/>
        <v>8770.36</v>
      </c>
      <c r="M39" s="38">
        <f t="shared" si="6"/>
        <v>8770.36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8770.36</v>
      </c>
      <c r="U39" s="52">
        <f t="shared" si="7"/>
        <v>8770.36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B40" s="2" t="s">
        <v>498</v>
      </c>
      <c r="C40" s="6" t="s">
        <v>499</v>
      </c>
      <c r="D40" s="139" t="s">
        <v>21</v>
      </c>
      <c r="E40" s="126">
        <v>10000</v>
      </c>
      <c r="F40" s="361">
        <v>1</v>
      </c>
      <c r="G40" s="13">
        <v>8770.36</v>
      </c>
      <c r="H40" s="9">
        <f t="shared" si="4"/>
        <v>6355.33</v>
      </c>
      <c r="I40" s="10">
        <f t="shared" si="5"/>
        <v>8770.36</v>
      </c>
      <c r="J40" s="383"/>
      <c r="K40" s="89">
        <f t="shared" si="0"/>
        <v>1</v>
      </c>
      <c r="L40" s="9">
        <f t="shared" si="1"/>
        <v>2794.78</v>
      </c>
      <c r="M40" s="9">
        <f t="shared" si="6"/>
        <v>2794.78</v>
      </c>
      <c r="N40" s="8" t="s">
        <v>156</v>
      </c>
      <c r="O40" s="384"/>
      <c r="P40" s="385"/>
      <c r="Q40" s="3"/>
      <c r="R40" s="13"/>
      <c r="S40" s="14">
        <f t="shared" si="2"/>
        <v>0</v>
      </c>
      <c r="T40" s="14">
        <f t="shared" si="3"/>
        <v>2794.78</v>
      </c>
      <c r="U40" s="14">
        <f t="shared" si="7"/>
        <v>2794.78</v>
      </c>
      <c r="V40" s="386">
        <f t="shared" si="8"/>
        <v>0</v>
      </c>
      <c r="W40" s="386">
        <f t="shared" si="9"/>
        <v>1</v>
      </c>
      <c r="X40" s="387"/>
      <c r="Y40" s="388"/>
      <c r="Z40" s="61" t="s">
        <v>62</v>
      </c>
      <c r="AA40" s="61"/>
      <c r="AB40" s="61"/>
      <c r="AC40" s="61"/>
    </row>
    <row r="41" spans="1:29" x14ac:dyDescent="0.25">
      <c r="A41" s="55"/>
      <c r="B41" s="364" t="s">
        <v>500</v>
      </c>
      <c r="C41" s="381" t="s">
        <v>203</v>
      </c>
      <c r="D41" s="366" t="s">
        <v>15</v>
      </c>
      <c r="E41" s="367" t="s">
        <v>176</v>
      </c>
      <c r="F41" s="368">
        <v>1</v>
      </c>
      <c r="G41" s="8">
        <v>2794.78</v>
      </c>
      <c r="H41" s="9">
        <f t="shared" si="4"/>
        <v>2025.2</v>
      </c>
      <c r="I41" s="10">
        <f t="shared" si="5"/>
        <v>2794.78</v>
      </c>
      <c r="J41" s="151"/>
      <c r="K41" s="88">
        <f t="shared" si="0"/>
        <v>1</v>
      </c>
      <c r="L41" s="38">
        <f t="shared" si="1"/>
        <v>10921.85</v>
      </c>
      <c r="M41" s="38">
        <f t="shared" si="6"/>
        <v>10921.85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10921.85</v>
      </c>
      <c r="U41" s="52">
        <f t="shared" si="7"/>
        <v>10921.85</v>
      </c>
      <c r="V41" s="41">
        <f t="shared" si="8"/>
        <v>0</v>
      </c>
      <c r="W41" s="41">
        <f t="shared" si="9"/>
        <v>1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B42" s="2" t="s">
        <v>501</v>
      </c>
      <c r="C42" s="6" t="s">
        <v>254</v>
      </c>
      <c r="D42" s="139" t="s">
        <v>16</v>
      </c>
      <c r="E42" s="126" t="s">
        <v>176</v>
      </c>
      <c r="F42" s="361">
        <v>1</v>
      </c>
      <c r="G42" s="13">
        <v>10921.85</v>
      </c>
      <c r="H42" s="9">
        <f t="shared" si="4"/>
        <v>7914.38</v>
      </c>
      <c r="I42" s="10">
        <f t="shared" si="5"/>
        <v>10921.85</v>
      </c>
      <c r="J42" s="383"/>
      <c r="K42" s="89">
        <f t="shared" si="0"/>
        <v>1</v>
      </c>
      <c r="L42" s="9">
        <f t="shared" si="1"/>
        <v>7677.49</v>
      </c>
      <c r="M42" s="9">
        <f t="shared" si="6"/>
        <v>7677.49</v>
      </c>
      <c r="N42" s="8" t="s">
        <v>156</v>
      </c>
      <c r="O42" s="384"/>
      <c r="P42" s="385"/>
      <c r="Q42" s="3"/>
      <c r="R42" s="13"/>
      <c r="S42" s="14">
        <f t="shared" si="2"/>
        <v>0</v>
      </c>
      <c r="T42" s="14">
        <f t="shared" si="3"/>
        <v>7677.49</v>
      </c>
      <c r="U42" s="14">
        <f t="shared" si="7"/>
        <v>7677.49</v>
      </c>
      <c r="V42" s="386">
        <f t="shared" si="8"/>
        <v>0</v>
      </c>
      <c r="W42" s="386">
        <f t="shared" si="9"/>
        <v>1</v>
      </c>
      <c r="X42" s="387"/>
      <c r="Y42" s="388"/>
      <c r="Z42" s="61" t="s">
        <v>189</v>
      </c>
      <c r="AA42" s="61"/>
      <c r="AB42" s="61"/>
      <c r="AC42" s="61"/>
    </row>
    <row r="43" spans="1:29" x14ac:dyDescent="0.25">
      <c r="A43" s="55"/>
      <c r="B43" s="364" t="s">
        <v>502</v>
      </c>
      <c r="C43" s="381" t="s">
        <v>422</v>
      </c>
      <c r="D43" s="366" t="s">
        <v>17</v>
      </c>
      <c r="E43" s="367" t="s">
        <v>176</v>
      </c>
      <c r="F43" s="368">
        <v>1</v>
      </c>
      <c r="G43" s="8">
        <v>7677.49</v>
      </c>
      <c r="H43" s="9">
        <f t="shared" si="4"/>
        <v>5563.4</v>
      </c>
      <c r="I43" s="10">
        <f t="shared" si="5"/>
        <v>7677.49</v>
      </c>
      <c r="J43" s="151"/>
      <c r="K43" s="88">
        <f t="shared" si="0"/>
        <v>1</v>
      </c>
      <c r="L43" s="38">
        <f t="shared" si="1"/>
        <v>1570.49</v>
      </c>
      <c r="M43" s="38">
        <f t="shared" si="6"/>
        <v>1570.49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1570.49</v>
      </c>
      <c r="U43" s="52">
        <f t="shared" si="7"/>
        <v>1570.49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B44" s="2" t="s">
        <v>503</v>
      </c>
      <c r="C44" s="145" t="s">
        <v>424</v>
      </c>
      <c r="D44" s="139" t="s">
        <v>19</v>
      </c>
      <c r="E44" s="126">
        <v>6000</v>
      </c>
      <c r="F44" s="361">
        <v>1</v>
      </c>
      <c r="G44" s="13">
        <v>1570.49</v>
      </c>
      <c r="H44" s="9">
        <f t="shared" si="4"/>
        <v>1138.04</v>
      </c>
      <c r="I44" s="10">
        <f t="shared" si="5"/>
        <v>1570.49</v>
      </c>
      <c r="J44" s="383"/>
      <c r="K44" s="89">
        <f t="shared" si="0"/>
        <v>1</v>
      </c>
      <c r="L44" s="9">
        <f t="shared" si="1"/>
        <v>5690.48</v>
      </c>
      <c r="M44" s="9">
        <f t="shared" si="6"/>
        <v>5690.48</v>
      </c>
      <c r="N44" s="8" t="s">
        <v>156</v>
      </c>
      <c r="O44" s="384"/>
      <c r="P44" s="385"/>
      <c r="Q44" s="3"/>
      <c r="R44" s="13"/>
      <c r="S44" s="14">
        <f t="shared" si="2"/>
        <v>0</v>
      </c>
      <c r="T44" s="14">
        <f t="shared" si="3"/>
        <v>5690.48</v>
      </c>
      <c r="U44" s="14">
        <f t="shared" si="7"/>
        <v>5690.48</v>
      </c>
      <c r="V44" s="386">
        <f t="shared" si="8"/>
        <v>0</v>
      </c>
      <c r="W44" s="386">
        <f t="shared" si="9"/>
        <v>1</v>
      </c>
      <c r="X44" s="387"/>
      <c r="Y44" s="388"/>
      <c r="Z44" s="61" t="s">
        <v>191</v>
      </c>
      <c r="AA44" s="61"/>
      <c r="AB44" s="61"/>
      <c r="AC44" s="61"/>
    </row>
    <row r="45" spans="1:29" x14ac:dyDescent="0.25">
      <c r="A45" s="55"/>
      <c r="B45" s="364" t="s">
        <v>504</v>
      </c>
      <c r="C45" s="365" t="s">
        <v>226</v>
      </c>
      <c r="D45" s="366" t="s">
        <v>23</v>
      </c>
      <c r="E45" s="367">
        <v>6000</v>
      </c>
      <c r="F45" s="368">
        <v>1</v>
      </c>
      <c r="G45" s="8">
        <v>5690.48</v>
      </c>
      <c r="H45" s="9">
        <f t="shared" si="4"/>
        <v>4123.54</v>
      </c>
      <c r="I45" s="10">
        <f t="shared" si="5"/>
        <v>5690.48</v>
      </c>
      <c r="J45" s="151"/>
      <c r="K45" s="88">
        <f t="shared" si="0"/>
        <v>0</v>
      </c>
      <c r="L45" s="38">
        <f t="shared" si="1"/>
        <v>0</v>
      </c>
      <c r="M45" s="38">
        <f t="shared" si="6"/>
        <v>0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0</v>
      </c>
      <c r="U45" s="52">
        <f t="shared" si="7"/>
        <v>0</v>
      </c>
      <c r="V45" s="41">
        <f t="shared" si="8"/>
        <v>0</v>
      </c>
      <c r="W45" s="41">
        <f t="shared" si="9"/>
        <v>0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B46" s="2"/>
      <c r="C46" s="145"/>
      <c r="D46" s="139"/>
      <c r="E46" s="126"/>
      <c r="F46" s="53"/>
      <c r="G46" s="13"/>
      <c r="H46" s="9">
        <f t="shared" si="4"/>
        <v>0</v>
      </c>
      <c r="I46" s="10">
        <f t="shared" si="5"/>
        <v>0</v>
      </c>
      <c r="J46" s="383"/>
      <c r="K46" s="89">
        <f t="shared" si="0"/>
        <v>0</v>
      </c>
      <c r="L46" s="9">
        <f t="shared" si="1"/>
        <v>0</v>
      </c>
      <c r="M46" s="9">
        <f t="shared" si="6"/>
        <v>0</v>
      </c>
      <c r="N46" s="8" t="s">
        <v>156</v>
      </c>
      <c r="O46" s="384"/>
      <c r="P46" s="385"/>
      <c r="Q46" s="3"/>
      <c r="R46" s="13"/>
      <c r="S46" s="14">
        <f t="shared" si="2"/>
        <v>0</v>
      </c>
      <c r="T46" s="14">
        <f t="shared" si="3"/>
        <v>0</v>
      </c>
      <c r="U46" s="14">
        <f t="shared" si="7"/>
        <v>0</v>
      </c>
      <c r="V46" s="386">
        <f t="shared" si="8"/>
        <v>0</v>
      </c>
      <c r="W46" s="386">
        <f t="shared" si="9"/>
        <v>0</v>
      </c>
      <c r="X46" s="387"/>
      <c r="Y46" s="388"/>
      <c r="Z46" s="61" t="s">
        <v>65</v>
      </c>
      <c r="AA46" s="61"/>
      <c r="AB46" s="61"/>
      <c r="AC46" s="61"/>
    </row>
    <row r="47" spans="1:29" x14ac:dyDescent="0.25">
      <c r="A47" s="55"/>
      <c r="B47" s="364"/>
      <c r="C47" s="381"/>
      <c r="D47" s="366"/>
      <c r="E47" s="367"/>
      <c r="F47" s="368"/>
      <c r="G47" s="8"/>
      <c r="H47" s="9">
        <f t="shared" si="4"/>
        <v>0</v>
      </c>
      <c r="I47" s="10">
        <f t="shared" si="5"/>
        <v>0</v>
      </c>
      <c r="J47" s="151"/>
      <c r="K47" s="88">
        <f t="shared" si="0"/>
        <v>0</v>
      </c>
      <c r="L47" s="38">
        <f t="shared" si="1"/>
        <v>0</v>
      </c>
      <c r="M47" s="38">
        <f t="shared" si="6"/>
        <v>0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0</v>
      </c>
      <c r="U47" s="52">
        <f t="shared" si="7"/>
        <v>0</v>
      </c>
      <c r="V47" s="41">
        <f t="shared" si="8"/>
        <v>0</v>
      </c>
      <c r="W47" s="41">
        <f t="shared" si="9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B48" s="2"/>
      <c r="C48" s="6"/>
      <c r="D48" s="139"/>
      <c r="E48" s="126"/>
      <c r="F48" s="53"/>
      <c r="G48" s="13"/>
      <c r="H48" s="9">
        <f t="shared" si="4"/>
        <v>0</v>
      </c>
      <c r="I48" s="10">
        <f t="shared" si="5"/>
        <v>0</v>
      </c>
      <c r="J48" s="383"/>
      <c r="K48" s="89">
        <f t="shared" si="0"/>
        <v>0</v>
      </c>
      <c r="L48" s="9">
        <f t="shared" si="1"/>
        <v>0</v>
      </c>
      <c r="M48" s="9">
        <f t="shared" si="6"/>
        <v>0</v>
      </c>
      <c r="N48" s="8" t="s">
        <v>156</v>
      </c>
      <c r="O48" s="384"/>
      <c r="P48" s="385"/>
      <c r="Q48" s="3"/>
      <c r="R48" s="13"/>
      <c r="S48" s="14">
        <f t="shared" si="2"/>
        <v>0</v>
      </c>
      <c r="T48" s="14">
        <f t="shared" si="3"/>
        <v>0</v>
      </c>
      <c r="U48" s="14">
        <f t="shared" si="7"/>
        <v>0</v>
      </c>
      <c r="V48" s="386">
        <f t="shared" si="8"/>
        <v>0</v>
      </c>
      <c r="W48" s="386">
        <f t="shared" si="9"/>
        <v>0</v>
      </c>
      <c r="X48" s="387"/>
      <c r="Y48" s="388"/>
      <c r="Z48" s="61" t="s">
        <v>196</v>
      </c>
      <c r="AA48" s="61"/>
      <c r="AB48" s="61"/>
      <c r="AC48" s="61"/>
    </row>
    <row r="49" spans="1:29" x14ac:dyDescent="0.25">
      <c r="A49" s="55"/>
      <c r="B49" s="2"/>
      <c r="C49" s="6"/>
      <c r="D49" s="139"/>
      <c r="E49" s="126"/>
      <c r="F49" s="53"/>
      <c r="G49" s="8"/>
      <c r="H49" s="9"/>
      <c r="I49" s="10"/>
      <c r="J49" s="151"/>
      <c r="K49" s="88">
        <f t="shared" si="0"/>
        <v>0</v>
      </c>
      <c r="L49" s="38">
        <f t="shared" si="1"/>
        <v>0</v>
      </c>
      <c r="M49" s="38">
        <f t="shared" si="6"/>
        <v>0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0</v>
      </c>
      <c r="U49" s="52">
        <f t="shared" si="7"/>
        <v>0</v>
      </c>
      <c r="V49" s="41">
        <f t="shared" si="8"/>
        <v>0</v>
      </c>
      <c r="W49" s="41">
        <f t="shared" si="9"/>
        <v>0</v>
      </c>
      <c r="X49" s="28"/>
      <c r="Y49" s="50"/>
      <c r="Z49" s="61"/>
      <c r="AA49" s="61"/>
      <c r="AB49" s="61"/>
      <c r="AC49" s="61"/>
    </row>
    <row r="50" spans="1:29" x14ac:dyDescent="0.25">
      <c r="B50" s="3"/>
      <c r="C50" s="6"/>
      <c r="D50" s="139"/>
      <c r="E50" s="126"/>
      <c r="F50" s="361"/>
      <c r="G50" s="13"/>
      <c r="H50" s="9"/>
      <c r="I50" s="10"/>
      <c r="J50" s="383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384"/>
      <c r="P50" s="385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386">
        <f t="shared" si="8"/>
        <v>0</v>
      </c>
      <c r="W50" s="386">
        <f t="shared" si="9"/>
        <v>0</v>
      </c>
      <c r="X50" s="387"/>
      <c r="Y50" s="388"/>
      <c r="Z50" s="61"/>
      <c r="AA50" s="61"/>
      <c r="AB50" s="61"/>
      <c r="AC50" s="61"/>
    </row>
    <row r="51" spans="1:29" x14ac:dyDescent="0.25">
      <c r="A51" s="55"/>
      <c r="B51" s="2"/>
      <c r="C51" s="6"/>
      <c r="D51" s="366"/>
      <c r="E51" s="367"/>
      <c r="F51" s="368"/>
      <c r="G51" s="8"/>
      <c r="H51" s="9"/>
      <c r="I51" s="10"/>
      <c r="J51" s="151"/>
      <c r="K51" s="88">
        <f t="shared" si="0"/>
        <v>0</v>
      </c>
      <c r="L51" s="38">
        <f t="shared" si="1"/>
        <v>0</v>
      </c>
      <c r="M51" s="38">
        <f t="shared" si="6"/>
        <v>0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0</v>
      </c>
      <c r="U51" s="52">
        <f t="shared" si="7"/>
        <v>0</v>
      </c>
      <c r="V51" s="41">
        <f t="shared" si="8"/>
        <v>0</v>
      </c>
      <c r="W51" s="41">
        <f t="shared" si="9"/>
        <v>0</v>
      </c>
      <c r="X51" s="28"/>
      <c r="Y51" s="50"/>
      <c r="Z51" s="61"/>
      <c r="AA51" s="61"/>
      <c r="AB51" s="61"/>
      <c r="AC51" s="61"/>
    </row>
    <row r="52" spans="1:29" x14ac:dyDescent="0.25">
      <c r="B52" s="3"/>
      <c r="C52" s="6"/>
      <c r="D52" s="139"/>
      <c r="E52" s="126"/>
      <c r="F52" s="361"/>
      <c r="G52" s="13"/>
      <c r="H52" s="9"/>
      <c r="I52" s="10"/>
      <c r="J52" s="383"/>
      <c r="K52" s="89">
        <f t="shared" si="0"/>
        <v>0</v>
      </c>
      <c r="L52" s="9">
        <f t="shared" si="1"/>
        <v>0</v>
      </c>
      <c r="M52" s="9">
        <f t="shared" si="6"/>
        <v>0</v>
      </c>
      <c r="N52" s="8" t="s">
        <v>156</v>
      </c>
      <c r="O52" s="384"/>
      <c r="P52" s="385"/>
      <c r="Q52" s="3"/>
      <c r="R52" s="13"/>
      <c r="S52" s="14">
        <f t="shared" si="2"/>
        <v>0</v>
      </c>
      <c r="T52" s="14">
        <f t="shared" si="3"/>
        <v>0</v>
      </c>
      <c r="U52" s="14">
        <f t="shared" si="7"/>
        <v>0</v>
      </c>
      <c r="V52" s="386">
        <f t="shared" si="8"/>
        <v>0</v>
      </c>
      <c r="W52" s="386">
        <f t="shared" si="9"/>
        <v>0</v>
      </c>
      <c r="X52" s="387"/>
      <c r="Y52" s="388"/>
      <c r="Z52" s="61"/>
      <c r="AA52" s="61"/>
      <c r="AB52" s="61"/>
      <c r="AC52" s="61"/>
    </row>
    <row r="53" spans="1:29" x14ac:dyDescent="0.25">
      <c r="A53" s="55"/>
      <c r="B53" s="2"/>
      <c r="C53" s="6"/>
      <c r="D53" s="139"/>
      <c r="E53" s="126"/>
      <c r="F53" s="368"/>
      <c r="G53" s="8"/>
      <c r="H53" s="9"/>
      <c r="I53" s="10"/>
      <c r="J53" s="151"/>
      <c r="K53" s="88">
        <f t="shared" si="0"/>
        <v>0</v>
      </c>
      <c r="L53" s="38">
        <f t="shared" si="1"/>
        <v>0</v>
      </c>
      <c r="M53" s="38">
        <f t="shared" si="6"/>
        <v>0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0</v>
      </c>
      <c r="U53" s="52">
        <f t="shared" si="7"/>
        <v>0</v>
      </c>
      <c r="V53" s="41">
        <f t="shared" si="8"/>
        <v>0</v>
      </c>
      <c r="W53" s="41">
        <f t="shared" si="9"/>
        <v>0</v>
      </c>
      <c r="X53" s="28"/>
      <c r="Y53" s="50"/>
      <c r="Z53" s="61"/>
      <c r="AA53" s="61"/>
      <c r="AB53" s="61"/>
      <c r="AC53" s="61"/>
    </row>
    <row r="54" spans="1:29" x14ac:dyDescent="0.25">
      <c r="B54" s="3"/>
      <c r="C54" s="6"/>
      <c r="D54" s="139"/>
      <c r="E54" s="126"/>
      <c r="F54" s="361"/>
      <c r="G54" s="13"/>
      <c r="H54" s="9"/>
      <c r="I54" s="10"/>
      <c r="J54" s="383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384"/>
      <c r="P54" s="385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386">
        <f t="shared" si="8"/>
        <v>0</v>
      </c>
      <c r="W54" s="386">
        <f t="shared" si="9"/>
        <v>0</v>
      </c>
      <c r="X54" s="387"/>
      <c r="Y54" s="388"/>
      <c r="Z54" s="61"/>
      <c r="AA54" s="61"/>
      <c r="AB54" s="61"/>
      <c r="AC54" s="61"/>
    </row>
    <row r="55" spans="1:29" x14ac:dyDescent="0.25">
      <c r="A55" s="55"/>
      <c r="B55" s="2"/>
      <c r="C55" s="6"/>
      <c r="D55" s="139"/>
      <c r="E55" s="126"/>
      <c r="F55" s="368"/>
      <c r="G55" s="8"/>
      <c r="H55" s="9"/>
      <c r="I55" s="10"/>
      <c r="J55" s="151"/>
      <c r="K55" s="88">
        <f t="shared" si="0"/>
        <v>0</v>
      </c>
      <c r="L55" s="38">
        <f t="shared" si="1"/>
        <v>0</v>
      </c>
      <c r="M55" s="38">
        <f t="shared" si="6"/>
        <v>0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0</v>
      </c>
      <c r="U55" s="52">
        <f t="shared" si="7"/>
        <v>0</v>
      </c>
      <c r="V55" s="41">
        <f t="shared" si="8"/>
        <v>0</v>
      </c>
      <c r="W55" s="41">
        <f t="shared" si="9"/>
        <v>0</v>
      </c>
      <c r="X55" s="28"/>
      <c r="Y55" s="50"/>
      <c r="Z55" s="61"/>
      <c r="AA55" s="61"/>
      <c r="AB55" s="61"/>
      <c r="AC55" s="61"/>
    </row>
    <row r="56" spans="1:29" x14ac:dyDescent="0.25">
      <c r="B56" s="3"/>
      <c r="C56" s="6"/>
      <c r="D56" s="139"/>
      <c r="E56" s="126"/>
      <c r="F56" s="361"/>
      <c r="G56" s="13"/>
      <c r="H56" s="9"/>
      <c r="I56" s="10"/>
      <c r="J56" s="383"/>
      <c r="K56" s="89">
        <f t="shared" si="0"/>
        <v>0</v>
      </c>
      <c r="L56" s="9">
        <f t="shared" si="1"/>
        <v>0</v>
      </c>
      <c r="M56" s="9">
        <f t="shared" si="6"/>
        <v>0</v>
      </c>
      <c r="N56" s="8" t="s">
        <v>156</v>
      </c>
      <c r="O56" s="384"/>
      <c r="P56" s="385"/>
      <c r="Q56" s="3"/>
      <c r="R56" s="13"/>
      <c r="S56" s="14">
        <f t="shared" si="2"/>
        <v>0</v>
      </c>
      <c r="T56" s="14">
        <f t="shared" si="3"/>
        <v>0</v>
      </c>
      <c r="U56" s="14">
        <f t="shared" si="7"/>
        <v>0</v>
      </c>
      <c r="V56" s="386">
        <f t="shared" si="8"/>
        <v>0</v>
      </c>
      <c r="W56" s="386">
        <f t="shared" si="9"/>
        <v>0</v>
      </c>
      <c r="X56" s="387"/>
      <c r="Y56" s="388"/>
      <c r="Z56" s="61"/>
      <c r="AA56" s="61"/>
      <c r="AB56" s="61"/>
      <c r="AC56" s="61"/>
    </row>
    <row r="57" spans="1:29" x14ac:dyDescent="0.25">
      <c r="A57" s="55"/>
      <c r="B57" s="2"/>
      <c r="C57" s="145"/>
      <c r="D57" s="139"/>
      <c r="E57" s="126"/>
      <c r="F57" s="368"/>
      <c r="G57" s="8"/>
      <c r="H57" s="9"/>
      <c r="I57" s="10"/>
      <c r="J57" s="151"/>
      <c r="K57" s="88">
        <f t="shared" si="0"/>
        <v>0</v>
      </c>
      <c r="L57" s="38">
        <f t="shared" si="1"/>
        <v>0</v>
      </c>
      <c r="M57" s="38">
        <f t="shared" si="6"/>
        <v>0</v>
      </c>
      <c r="N57" s="128" t="s">
        <v>156</v>
      </c>
      <c r="O57" s="16"/>
      <c r="P57" s="51"/>
      <c r="Q57" s="1"/>
      <c r="R57" s="15"/>
      <c r="S57" s="40">
        <f t="shared" si="2"/>
        <v>0</v>
      </c>
      <c r="T57" s="52">
        <f t="shared" si="3"/>
        <v>0</v>
      </c>
      <c r="U57" s="52">
        <f t="shared" si="7"/>
        <v>0</v>
      </c>
      <c r="V57" s="41">
        <f t="shared" si="8"/>
        <v>0</v>
      </c>
      <c r="W57" s="41">
        <f t="shared" si="9"/>
        <v>0</v>
      </c>
      <c r="X57" s="28"/>
      <c r="Y57" s="50"/>
      <c r="Z57" s="61"/>
      <c r="AA57" s="61"/>
      <c r="AB57" s="61"/>
      <c r="AC57" s="61"/>
    </row>
    <row r="58" spans="1:29" x14ac:dyDescent="0.25">
      <c r="B58" s="3"/>
      <c r="C58" s="145"/>
      <c r="D58" s="139"/>
      <c r="E58" s="126"/>
      <c r="F58" s="361"/>
      <c r="G58" s="13"/>
      <c r="H58" s="9"/>
      <c r="I58" s="10"/>
      <c r="J58" s="383"/>
      <c r="K58" s="89">
        <f t="shared" si="0"/>
        <v>0</v>
      </c>
      <c r="L58" s="9">
        <f t="shared" si="1"/>
        <v>0</v>
      </c>
      <c r="M58" s="9">
        <f t="shared" si="6"/>
        <v>0</v>
      </c>
      <c r="N58" s="8" t="s">
        <v>156</v>
      </c>
      <c r="O58" s="384"/>
      <c r="P58" s="385"/>
      <c r="Q58" s="3"/>
      <c r="R58" s="13"/>
      <c r="S58" s="14">
        <f t="shared" si="2"/>
        <v>0</v>
      </c>
      <c r="T58" s="14">
        <f t="shared" si="3"/>
        <v>0</v>
      </c>
      <c r="U58" s="14">
        <f t="shared" si="7"/>
        <v>0</v>
      </c>
      <c r="V58" s="386">
        <f t="shared" si="8"/>
        <v>0</v>
      </c>
      <c r="W58" s="386">
        <f t="shared" si="9"/>
        <v>0</v>
      </c>
      <c r="X58" s="387"/>
      <c r="Y58" s="388"/>
      <c r="Z58" s="61"/>
      <c r="AA58" s="61"/>
      <c r="AB58" s="61"/>
      <c r="AC58" s="61"/>
    </row>
    <row r="59" spans="1:29" x14ac:dyDescent="0.25">
      <c r="A59" s="55"/>
      <c r="B59" s="2"/>
      <c r="C59" s="6"/>
      <c r="D59" s="139"/>
      <c r="E59" s="126"/>
      <c r="F59" s="53"/>
      <c r="G59" s="8"/>
      <c r="H59" s="9">
        <f t="shared" si="4"/>
        <v>0</v>
      </c>
      <c r="I59" s="10">
        <f t="shared" si="5"/>
        <v>0</v>
      </c>
      <c r="J59" s="151"/>
      <c r="K59" s="88">
        <f t="shared" si="0"/>
        <v>0</v>
      </c>
      <c r="L59" s="38">
        <f t="shared" si="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2"/>
        <v>0</v>
      </c>
      <c r="T59" s="52">
        <f t="shared" si="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B60" s="3"/>
      <c r="C60" s="6"/>
      <c r="D60" s="139"/>
      <c r="E60" s="126"/>
      <c r="F60" s="361"/>
      <c r="G60" s="13"/>
      <c r="H60" s="9">
        <f t="shared" si="4"/>
        <v>0</v>
      </c>
      <c r="I60" s="10">
        <f t="shared" si="5"/>
        <v>0</v>
      </c>
      <c r="J60" s="383"/>
      <c r="K60" s="89">
        <f t="shared" si="0"/>
        <v>0</v>
      </c>
      <c r="L60" s="9">
        <f t="shared" si="1"/>
        <v>0</v>
      </c>
      <c r="M60" s="9">
        <f t="shared" si="6"/>
        <v>0</v>
      </c>
      <c r="N60" s="8" t="s">
        <v>156</v>
      </c>
      <c r="O60" s="384"/>
      <c r="P60" s="385"/>
      <c r="Q60" s="3"/>
      <c r="R60" s="13"/>
      <c r="S60" s="14">
        <f t="shared" si="2"/>
        <v>0</v>
      </c>
      <c r="T60" s="14">
        <f t="shared" si="3"/>
        <v>0</v>
      </c>
      <c r="U60" s="14">
        <f t="shared" si="7"/>
        <v>0</v>
      </c>
      <c r="V60" s="386">
        <f t="shared" si="8"/>
        <v>0</v>
      </c>
      <c r="W60" s="386">
        <f t="shared" si="9"/>
        <v>0</v>
      </c>
      <c r="X60" s="387"/>
      <c r="Y60" s="388"/>
      <c r="Z60" s="61"/>
      <c r="AA60" s="61"/>
      <c r="AB60" s="61"/>
      <c r="AC60" s="61"/>
    </row>
    <row r="61" spans="1:29" x14ac:dyDescent="0.25">
      <c r="A61" s="55"/>
      <c r="B61" s="2"/>
      <c r="C61" s="6"/>
      <c r="D61" s="139"/>
      <c r="E61" s="126"/>
      <c r="F61" s="53"/>
      <c r="G61" s="8"/>
      <c r="H61" s="9">
        <f t="shared" si="4"/>
        <v>0</v>
      </c>
      <c r="I61" s="10">
        <f t="shared" si="5"/>
        <v>0</v>
      </c>
      <c r="J61" s="151"/>
      <c r="K61" s="88">
        <f t="shared" si="0"/>
        <v>0</v>
      </c>
      <c r="L61" s="38">
        <f t="shared" si="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2"/>
        <v>0</v>
      </c>
      <c r="T61" s="52">
        <f t="shared" si="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B62" s="3"/>
      <c r="C62" s="6"/>
      <c r="D62" s="139"/>
      <c r="E62" s="126"/>
      <c r="F62" s="361"/>
      <c r="G62" s="13"/>
      <c r="H62" s="9">
        <f t="shared" si="4"/>
        <v>0</v>
      </c>
      <c r="I62" s="10">
        <f t="shared" si="5"/>
        <v>0</v>
      </c>
      <c r="J62" s="383"/>
      <c r="K62" s="89">
        <f t="shared" si="0"/>
        <v>0</v>
      </c>
      <c r="L62" s="9">
        <f t="shared" si="1"/>
        <v>0</v>
      </c>
      <c r="M62" s="9">
        <f t="shared" si="6"/>
        <v>0</v>
      </c>
      <c r="N62" s="8" t="s">
        <v>156</v>
      </c>
      <c r="O62" s="384"/>
      <c r="P62" s="385"/>
      <c r="Q62" s="3"/>
      <c r="R62" s="13"/>
      <c r="S62" s="14">
        <f t="shared" si="2"/>
        <v>0</v>
      </c>
      <c r="T62" s="14">
        <f t="shared" si="3"/>
        <v>0</v>
      </c>
      <c r="U62" s="14">
        <f t="shared" si="7"/>
        <v>0</v>
      </c>
      <c r="V62" s="386">
        <f t="shared" si="8"/>
        <v>0</v>
      </c>
      <c r="W62" s="386">
        <f t="shared" si="9"/>
        <v>0</v>
      </c>
      <c r="X62" s="387"/>
      <c r="Y62" s="388"/>
      <c r="Z62" s="61"/>
      <c r="AA62" s="61"/>
      <c r="AB62" s="61"/>
      <c r="AC62" s="61"/>
    </row>
    <row r="63" spans="1:29" x14ac:dyDescent="0.25">
      <c r="A63" s="55"/>
      <c r="B63" s="2"/>
      <c r="C63" s="6"/>
      <c r="D63" s="139"/>
      <c r="E63" s="126"/>
      <c r="F63" s="53"/>
      <c r="G63" s="8"/>
      <c r="H63" s="9">
        <f t="shared" si="4"/>
        <v>0</v>
      </c>
      <c r="I63" s="10">
        <f t="shared" si="5"/>
        <v>0</v>
      </c>
      <c r="J63" s="151"/>
      <c r="K63" s="88">
        <f t="shared" si="0"/>
        <v>0</v>
      </c>
      <c r="L63" s="38">
        <f t="shared" si="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2"/>
        <v>0</v>
      </c>
      <c r="T63" s="52">
        <f t="shared" si="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B64" s="3"/>
      <c r="C64" s="6"/>
      <c r="D64" s="139"/>
      <c r="E64" s="126"/>
      <c r="F64" s="361"/>
      <c r="G64" s="13"/>
      <c r="H64" s="9">
        <f t="shared" si="4"/>
        <v>0</v>
      </c>
      <c r="I64" s="10">
        <f t="shared" si="5"/>
        <v>0</v>
      </c>
      <c r="J64" s="383"/>
      <c r="K64" s="89">
        <f t="shared" si="0"/>
        <v>0</v>
      </c>
      <c r="L64" s="9">
        <f t="shared" si="1"/>
        <v>0</v>
      </c>
      <c r="M64" s="9">
        <f t="shared" si="6"/>
        <v>0</v>
      </c>
      <c r="N64" s="8" t="s">
        <v>156</v>
      </c>
      <c r="O64" s="384"/>
      <c r="P64" s="385"/>
      <c r="Q64" s="3"/>
      <c r="R64" s="13"/>
      <c r="S64" s="14">
        <f t="shared" si="2"/>
        <v>0</v>
      </c>
      <c r="T64" s="14">
        <f t="shared" si="3"/>
        <v>0</v>
      </c>
      <c r="U64" s="14">
        <f t="shared" si="7"/>
        <v>0</v>
      </c>
      <c r="V64" s="386">
        <f t="shared" si="8"/>
        <v>0</v>
      </c>
      <c r="W64" s="386">
        <f t="shared" si="9"/>
        <v>0</v>
      </c>
      <c r="X64" s="387"/>
      <c r="Y64" s="388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0"/>
        <v>0</v>
      </c>
      <c r="L65" s="38">
        <f t="shared" si="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2"/>
        <v>0</v>
      </c>
      <c r="T65" s="52">
        <f t="shared" si="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B66" s="3"/>
      <c r="C66" s="6"/>
      <c r="D66" s="139"/>
      <c r="E66" s="126"/>
      <c r="F66" s="361"/>
      <c r="G66" s="13"/>
      <c r="H66" s="9">
        <f t="shared" si="4"/>
        <v>0</v>
      </c>
      <c r="I66" s="10">
        <f t="shared" si="5"/>
        <v>0</v>
      </c>
      <c r="J66" s="383"/>
      <c r="K66" s="89">
        <f t="shared" si="0"/>
        <v>0</v>
      </c>
      <c r="L66" s="9">
        <f t="shared" si="1"/>
        <v>0</v>
      </c>
      <c r="M66" s="9">
        <f t="shared" si="6"/>
        <v>0</v>
      </c>
      <c r="N66" s="8" t="s">
        <v>156</v>
      </c>
      <c r="O66" s="384"/>
      <c r="P66" s="385"/>
      <c r="Q66" s="3"/>
      <c r="R66" s="13"/>
      <c r="S66" s="14">
        <f t="shared" si="2"/>
        <v>0</v>
      </c>
      <c r="T66" s="14">
        <f t="shared" si="3"/>
        <v>0</v>
      </c>
      <c r="U66" s="14">
        <f t="shared" si="7"/>
        <v>0</v>
      </c>
      <c r="V66" s="386">
        <f t="shared" si="8"/>
        <v>0</v>
      </c>
      <c r="W66" s="386">
        <f t="shared" si="9"/>
        <v>0</v>
      </c>
      <c r="X66" s="387"/>
      <c r="Y66" s="388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0"/>
        <v>0</v>
      </c>
      <c r="L67" s="38">
        <f t="shared" si="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2"/>
        <v>0</v>
      </c>
      <c r="T67" s="52">
        <f t="shared" si="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B68" s="3"/>
      <c r="C68" s="6"/>
      <c r="D68" s="139"/>
      <c r="E68" s="126"/>
      <c r="F68" s="361"/>
      <c r="G68" s="13"/>
      <c r="H68" s="9">
        <f t="shared" si="4"/>
        <v>0</v>
      </c>
      <c r="I68" s="10">
        <f t="shared" si="5"/>
        <v>0</v>
      </c>
      <c r="J68" s="383"/>
      <c r="K68" s="89">
        <f t="shared" si="0"/>
        <v>0</v>
      </c>
      <c r="L68" s="9">
        <f t="shared" si="1"/>
        <v>0</v>
      </c>
      <c r="M68" s="9">
        <f t="shared" si="6"/>
        <v>0</v>
      </c>
      <c r="N68" s="8" t="s">
        <v>156</v>
      </c>
      <c r="O68" s="384"/>
      <c r="P68" s="385"/>
      <c r="Q68" s="3"/>
      <c r="R68" s="13"/>
      <c r="S68" s="14">
        <f t="shared" si="2"/>
        <v>0</v>
      </c>
      <c r="T68" s="14">
        <f t="shared" si="3"/>
        <v>0</v>
      </c>
      <c r="U68" s="14">
        <f t="shared" si="7"/>
        <v>0</v>
      </c>
      <c r="V68" s="386">
        <f t="shared" si="8"/>
        <v>0</v>
      </c>
      <c r="W68" s="386">
        <f t="shared" si="9"/>
        <v>0</v>
      </c>
      <c r="X68" s="387"/>
      <c r="Y68" s="388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0"/>
        <v>0</v>
      </c>
      <c r="L69" s="38">
        <f t="shared" si="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2"/>
        <v>0</v>
      </c>
      <c r="T69" s="52">
        <f t="shared" si="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B70" s="3"/>
      <c r="C70" s="6"/>
      <c r="D70" s="139"/>
      <c r="E70" s="126"/>
      <c r="F70" s="361"/>
      <c r="G70" s="13"/>
      <c r="H70" s="9">
        <f t="shared" si="4"/>
        <v>0</v>
      </c>
      <c r="I70" s="10">
        <f t="shared" si="5"/>
        <v>0</v>
      </c>
      <c r="J70" s="383"/>
      <c r="K70" s="89">
        <f t="shared" si="0"/>
        <v>0</v>
      </c>
      <c r="L70" s="9">
        <f t="shared" si="1"/>
        <v>0</v>
      </c>
      <c r="M70" s="9">
        <f t="shared" si="6"/>
        <v>0</v>
      </c>
      <c r="N70" s="8" t="s">
        <v>156</v>
      </c>
      <c r="O70" s="384"/>
      <c r="P70" s="385"/>
      <c r="Q70" s="3"/>
      <c r="R70" s="13"/>
      <c r="S70" s="14">
        <f t="shared" si="2"/>
        <v>0</v>
      </c>
      <c r="T70" s="14">
        <f t="shared" si="3"/>
        <v>0</v>
      </c>
      <c r="U70" s="14">
        <f t="shared" si="7"/>
        <v>0</v>
      </c>
      <c r="V70" s="386">
        <f t="shared" si="8"/>
        <v>0</v>
      </c>
      <c r="W70" s="386">
        <f t="shared" si="9"/>
        <v>0</v>
      </c>
      <c r="X70" s="387"/>
      <c r="Y70" s="388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0"/>
        <v>0</v>
      </c>
      <c r="L71" s="38">
        <f t="shared" si="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2"/>
        <v>0</v>
      </c>
      <c r="T71" s="52">
        <f t="shared" si="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B72" s="3"/>
      <c r="C72" s="6"/>
      <c r="D72" s="139"/>
      <c r="E72" s="126"/>
      <c r="F72" s="361"/>
      <c r="G72" s="13"/>
      <c r="H72" s="9">
        <f t="shared" si="4"/>
        <v>0</v>
      </c>
      <c r="I72" s="10">
        <f t="shared" si="5"/>
        <v>0</v>
      </c>
      <c r="J72" s="383"/>
      <c r="K72" s="89">
        <f t="shared" si="0"/>
        <v>0</v>
      </c>
      <c r="L72" s="9">
        <f t="shared" si="1"/>
        <v>0</v>
      </c>
      <c r="M72" s="9">
        <f t="shared" si="6"/>
        <v>0</v>
      </c>
      <c r="N72" s="8" t="s">
        <v>156</v>
      </c>
      <c r="O72" s="384"/>
      <c r="P72" s="385"/>
      <c r="Q72" s="3"/>
      <c r="R72" s="13"/>
      <c r="S72" s="14">
        <f t="shared" si="2"/>
        <v>0</v>
      </c>
      <c r="T72" s="14">
        <f t="shared" si="3"/>
        <v>0</v>
      </c>
      <c r="U72" s="14">
        <f t="shared" si="7"/>
        <v>0</v>
      </c>
      <c r="V72" s="386">
        <f t="shared" si="8"/>
        <v>0</v>
      </c>
      <c r="W72" s="386">
        <f t="shared" si="9"/>
        <v>0</v>
      </c>
      <c r="X72" s="387"/>
      <c r="Y72" s="388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0"/>
        <v>0</v>
      </c>
      <c r="L73" s="38">
        <f t="shared" si="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2"/>
        <v>0</v>
      </c>
      <c r="T73" s="52">
        <f t="shared" si="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B74" s="3"/>
      <c r="C74" s="6"/>
      <c r="D74" s="139"/>
      <c r="E74" s="126"/>
      <c r="F74" s="361"/>
      <c r="G74" s="13"/>
      <c r="H74" s="9">
        <f t="shared" si="4"/>
        <v>0</v>
      </c>
      <c r="I74" s="10">
        <f t="shared" si="5"/>
        <v>0</v>
      </c>
      <c r="J74" s="383"/>
      <c r="K74" s="89">
        <f t="shared" si="0"/>
        <v>0</v>
      </c>
      <c r="L74" s="9">
        <f t="shared" si="1"/>
        <v>0</v>
      </c>
      <c r="M74" s="9">
        <f t="shared" si="6"/>
        <v>0</v>
      </c>
      <c r="N74" s="8" t="s">
        <v>156</v>
      </c>
      <c r="O74" s="384"/>
      <c r="P74" s="385"/>
      <c r="Q74" s="3"/>
      <c r="R74" s="13"/>
      <c r="S74" s="14">
        <f t="shared" si="2"/>
        <v>0</v>
      </c>
      <c r="T74" s="14">
        <f t="shared" si="3"/>
        <v>0</v>
      </c>
      <c r="U74" s="14">
        <f t="shared" si="7"/>
        <v>0</v>
      </c>
      <c r="V74" s="386">
        <f t="shared" si="8"/>
        <v>0</v>
      </c>
      <c r="W74" s="386">
        <f t="shared" si="9"/>
        <v>0</v>
      </c>
      <c r="X74" s="387"/>
      <c r="Y74" s="388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0"/>
        <v>0</v>
      </c>
      <c r="L75" s="38">
        <f t="shared" si="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2"/>
        <v>0</v>
      </c>
      <c r="T75" s="52">
        <f t="shared" si="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B76" s="3"/>
      <c r="C76" s="6"/>
      <c r="D76" s="139"/>
      <c r="E76" s="126"/>
      <c r="F76" s="361"/>
      <c r="G76" s="13"/>
      <c r="H76" s="9">
        <f t="shared" si="4"/>
        <v>0</v>
      </c>
      <c r="I76" s="10">
        <f t="shared" si="5"/>
        <v>0</v>
      </c>
      <c r="J76" s="383"/>
      <c r="K76" s="89">
        <f t="shared" si="0"/>
        <v>0</v>
      </c>
      <c r="L76" s="9">
        <f t="shared" si="1"/>
        <v>0</v>
      </c>
      <c r="M76" s="9">
        <f t="shared" si="6"/>
        <v>0</v>
      </c>
      <c r="N76" s="8" t="s">
        <v>156</v>
      </c>
      <c r="O76" s="384"/>
      <c r="P76" s="385"/>
      <c r="Q76" s="3"/>
      <c r="R76" s="13"/>
      <c r="S76" s="14">
        <f t="shared" si="2"/>
        <v>0</v>
      </c>
      <c r="T76" s="14">
        <f t="shared" si="3"/>
        <v>0</v>
      </c>
      <c r="U76" s="14">
        <f t="shared" si="7"/>
        <v>0</v>
      </c>
      <c r="V76" s="386">
        <f t="shared" si="8"/>
        <v>0</v>
      </c>
      <c r="W76" s="386">
        <f t="shared" si="9"/>
        <v>0</v>
      </c>
      <c r="X76" s="387"/>
      <c r="Y76" s="388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0"/>
        <v>0</v>
      </c>
      <c r="L77" s="38">
        <f t="shared" si="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2"/>
        <v>0</v>
      </c>
      <c r="T77" s="52">
        <f t="shared" si="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B78" s="3"/>
      <c r="C78" s="6"/>
      <c r="D78" s="139"/>
      <c r="E78" s="126"/>
      <c r="F78" s="361"/>
      <c r="G78" s="13"/>
      <c r="H78" s="9">
        <f t="shared" si="4"/>
        <v>0</v>
      </c>
      <c r="I78" s="10">
        <f t="shared" si="5"/>
        <v>0</v>
      </c>
      <c r="J78" s="383"/>
      <c r="K78" s="89">
        <f t="shared" si="0"/>
        <v>0</v>
      </c>
      <c r="L78" s="9">
        <f t="shared" si="1"/>
        <v>0</v>
      </c>
      <c r="M78" s="9">
        <f t="shared" si="6"/>
        <v>0</v>
      </c>
      <c r="N78" s="8" t="s">
        <v>156</v>
      </c>
      <c r="O78" s="384"/>
      <c r="P78" s="385"/>
      <c r="Q78" s="3"/>
      <c r="R78" s="13"/>
      <c r="S78" s="14">
        <f t="shared" si="2"/>
        <v>0</v>
      </c>
      <c r="T78" s="14">
        <f t="shared" si="3"/>
        <v>0</v>
      </c>
      <c r="U78" s="14">
        <f t="shared" si="7"/>
        <v>0</v>
      </c>
      <c r="V78" s="386">
        <f t="shared" si="8"/>
        <v>0</v>
      </c>
      <c r="W78" s="386">
        <f t="shared" si="9"/>
        <v>0</v>
      </c>
      <c r="X78" s="387"/>
      <c r="Y78" s="388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0"/>
        <v>0</v>
      </c>
      <c r="L79" s="38">
        <f t="shared" si="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2"/>
        <v>0</v>
      </c>
      <c r="T79" s="52">
        <f t="shared" si="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B80" s="3"/>
      <c r="C80" s="6"/>
      <c r="D80" s="139"/>
      <c r="E80" s="126"/>
      <c r="F80" s="361"/>
      <c r="G80" s="13"/>
      <c r="H80" s="9">
        <f t="shared" si="4"/>
        <v>0</v>
      </c>
      <c r="I80" s="10">
        <f t="shared" si="5"/>
        <v>0</v>
      </c>
      <c r="J80" s="383"/>
      <c r="K80" s="89">
        <f t="shared" si="0"/>
        <v>0</v>
      </c>
      <c r="L80" s="9">
        <f t="shared" si="1"/>
        <v>0</v>
      </c>
      <c r="M80" s="9">
        <f t="shared" si="6"/>
        <v>0</v>
      </c>
      <c r="N80" s="8" t="s">
        <v>156</v>
      </c>
      <c r="O80" s="384"/>
      <c r="P80" s="385"/>
      <c r="Q80" s="3"/>
      <c r="R80" s="13"/>
      <c r="S80" s="14">
        <f t="shared" si="2"/>
        <v>0</v>
      </c>
      <c r="T80" s="14">
        <f t="shared" si="3"/>
        <v>0</v>
      </c>
      <c r="U80" s="14">
        <f t="shared" si="7"/>
        <v>0</v>
      </c>
      <c r="V80" s="386">
        <f t="shared" si="8"/>
        <v>0</v>
      </c>
      <c r="W80" s="386">
        <f t="shared" si="9"/>
        <v>0</v>
      </c>
      <c r="X80" s="387"/>
      <c r="Y80" s="388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970</v>
      </c>
      <c r="L81" s="79">
        <f>SUM(L18:L80)</f>
        <v>61437.84</v>
      </c>
      <c r="M81" s="80">
        <f>SUM(M18:M80)</f>
        <v>116157.27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61437.84</v>
      </c>
      <c r="U81" s="80">
        <f>SUM(U18:U80)</f>
        <v>116157.27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970</v>
      </c>
      <c r="G82" s="78">
        <f>SUM(G19:G81)</f>
        <v>61437.84</v>
      </c>
      <c r="H82" s="79">
        <f>SUM(H19:H81)</f>
        <v>44153.780000000006</v>
      </c>
      <c r="I82" s="80">
        <f>SUM(I19:I81)</f>
        <v>115146.01000000001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39" priority="3" stopIfTrue="1">
      <formula>$V$9&gt;100%</formula>
    </cfRule>
    <cfRule type="expression" dxfId="38" priority="4">
      <formula>$V$9&lt;50%</formula>
    </cfRule>
  </conditionalFormatting>
  <conditionalFormatting sqref="W9:W10">
    <cfRule type="expression" dxfId="37" priority="1">
      <formula>$W$9&lt;50%</formula>
    </cfRule>
    <cfRule type="expression" dxfId="36" priority="2">
      <formula>$W$9&gt;50%</formula>
    </cfRule>
  </conditionalFormatting>
  <dataValidations count="6">
    <dataValidation type="list" allowBlank="1" showInputMessage="1" showErrorMessage="1" sqref="G2" xr:uid="{5452A21F-154E-4695-A0F2-89567488437C}">
      <formula1>$Z$34:$Z$48</formula1>
    </dataValidation>
    <dataValidation type="list" allowBlank="1" showInputMessage="1" showErrorMessage="1" sqref="J13" xr:uid="{D86B888E-762D-4C55-B566-E8148BA2E088}">
      <formula1>$L$9:$L$9</formula1>
    </dataValidation>
    <dataValidation type="list" allowBlank="1" showInputMessage="1" showErrorMessage="1" sqref="I13" xr:uid="{E96B08B3-6F4A-4396-A4C2-75B1D3BAECFA}">
      <formula1>$Z$13:$Z$14</formula1>
    </dataValidation>
    <dataValidation type="list" allowBlank="1" showInputMessage="1" showErrorMessage="1" sqref="G18 R14 R17 L17" xr:uid="{DB18D505-E1E9-4567-9286-6C70775688E9}">
      <formula1>$Z$11:$Z$12</formula1>
    </dataValidation>
    <dataValidation type="list" showInputMessage="1" showErrorMessage="1" sqref="E34:E81 E19 E21:E23 E25:E27" xr:uid="{29539A96-2258-40F3-BCD0-1080E04D2511}">
      <formula1>$AA$18:$AA$29</formula1>
    </dataValidation>
    <dataValidation type="list" allowBlank="1" showInputMessage="1" showErrorMessage="1" sqref="N18:N80" xr:uid="{C9F85E1C-73F8-4F4A-9352-E079E618339C}">
      <formula1>$Z$31:$Z$32</formula1>
    </dataValidation>
  </dataValidations>
  <printOptions verticalCentered="1"/>
  <pageMargins left="0.2" right="0.2" top="0.25" bottom="0.25" header="0.05" footer="0.05"/>
  <pageSetup scale="3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8D1FAE-42B3-43F9-B46F-ECBA9F0C42E7}">
          <x14:formula1>
            <xm:f>'Product Type'!$A$1:$A$55</xm:f>
          </x14:formula1>
          <xm:sqref>D19:D64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FD8A-8213-49F0-879C-0BB6C0F94CD0}">
  <sheetPr>
    <pageSetUpPr fitToPage="1"/>
  </sheetPr>
  <dimension ref="A1:AC83"/>
  <sheetViews>
    <sheetView zoomScale="85" zoomScaleNormal="85" workbookViewId="0">
      <selection activeCell="C54" sqref="C54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16.28515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57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128918.57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164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128918.57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505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174" t="s">
        <v>506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 t="s">
        <v>507</v>
      </c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128918.57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 t="s">
        <v>508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128918.57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120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31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 t="s">
        <v>509</v>
      </c>
      <c r="C18" s="325" t="s">
        <v>210</v>
      </c>
      <c r="D18" s="271" t="s">
        <v>510</v>
      </c>
      <c r="E18" s="329">
        <v>375</v>
      </c>
      <c r="F18" s="327">
        <v>1</v>
      </c>
      <c r="G18" s="259">
        <v>64.650000000000006</v>
      </c>
      <c r="H18" s="258">
        <f t="shared" ref="H18:H49" si="0">ROUND(IF($G$17="USD $", G18*$F$15,G18*$E$15),2)</f>
        <v>46.85</v>
      </c>
      <c r="I18" s="274">
        <f t="shared" ref="I18:I49" si="1">ROUND(IF($I$17=$H$17,F18*H18,F18*G18),2)</f>
        <v>46.85</v>
      </c>
      <c r="J18" s="322"/>
      <c r="K18" s="257">
        <f t="shared" ref="K18:K49" si="2">F18</f>
        <v>1</v>
      </c>
      <c r="L18" s="258">
        <f t="shared" ref="L18:L49" si="3">IFERROR(IF(N18="OEM DISC %",ROUND(IF($L$17=$G$17,G18*(1-O18),H18*(1-O18)),2),IF(N18="MARKUP %",ROUND(S18/K18*(1+O18),2))),0)</f>
        <v>46.85</v>
      </c>
      <c r="M18" s="258">
        <f t="shared" ref="M18:M49" si="4">ROUND((K18*L18),2)</f>
        <v>46.85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46.85</v>
      </c>
      <c r="U18" s="264">
        <f t="shared" ref="U18:U49" si="7">ROUND(M18-S18,2)</f>
        <v>46.85</v>
      </c>
      <c r="V18" s="265">
        <f t="shared" ref="V18:V49" si="8">IFERROR(((L18-(S18/K18))/(S18/K18)),0)</f>
        <v>0</v>
      </c>
      <c r="W18" s="265">
        <f t="shared" ref="W18:W49" si="9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 t="s">
        <v>511</v>
      </c>
      <c r="C19" s="181" t="s">
        <v>512</v>
      </c>
      <c r="D19" s="271" t="s">
        <v>513</v>
      </c>
      <c r="E19" s="331">
        <v>375</v>
      </c>
      <c r="F19" s="328">
        <v>1</v>
      </c>
      <c r="G19" s="281">
        <v>108.43</v>
      </c>
      <c r="H19" s="277">
        <f t="shared" si="0"/>
        <v>78.569999999999993</v>
      </c>
      <c r="I19" s="289">
        <f t="shared" si="1"/>
        <v>78.569999999999993</v>
      </c>
      <c r="J19" s="323"/>
      <c r="K19" s="276">
        <f t="shared" si="2"/>
        <v>1</v>
      </c>
      <c r="L19" s="277">
        <f t="shared" si="3"/>
        <v>78.569999999999993</v>
      </c>
      <c r="M19" s="277">
        <f t="shared" si="4"/>
        <v>78.569999999999993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78.569999999999993</v>
      </c>
      <c r="U19" s="283">
        <f t="shared" si="7"/>
        <v>78.569999999999993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514</v>
      </c>
      <c r="C20" s="295" t="s">
        <v>211</v>
      </c>
      <c r="D20" s="271" t="s">
        <v>513</v>
      </c>
      <c r="E20" s="329">
        <v>375</v>
      </c>
      <c r="F20" s="327">
        <v>1</v>
      </c>
      <c r="G20" s="259">
        <v>73.400000000000006</v>
      </c>
      <c r="H20" s="258">
        <f t="shared" si="0"/>
        <v>53.19</v>
      </c>
      <c r="I20" s="274">
        <f t="shared" si="1"/>
        <v>53.19</v>
      </c>
      <c r="J20" s="323"/>
      <c r="K20" s="257">
        <f t="shared" si="2"/>
        <v>1</v>
      </c>
      <c r="L20" s="258">
        <f t="shared" si="3"/>
        <v>53.19</v>
      </c>
      <c r="M20" s="258">
        <f t="shared" si="4"/>
        <v>53.19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53.19</v>
      </c>
      <c r="U20" s="264">
        <f t="shared" si="7"/>
        <v>53.19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 t="s">
        <v>515</v>
      </c>
      <c r="C21" s="181" t="s">
        <v>516</v>
      </c>
      <c r="D21" s="271" t="s">
        <v>27</v>
      </c>
      <c r="E21" s="330">
        <v>500</v>
      </c>
      <c r="F21" s="328">
        <v>1</v>
      </c>
      <c r="G21" s="281">
        <v>75.459999999999994</v>
      </c>
      <c r="H21" s="277">
        <f t="shared" si="0"/>
        <v>54.68</v>
      </c>
      <c r="I21" s="289">
        <f t="shared" si="1"/>
        <v>54.68</v>
      </c>
      <c r="J21" s="323"/>
      <c r="K21" s="276">
        <f t="shared" si="2"/>
        <v>1</v>
      </c>
      <c r="L21" s="277">
        <f t="shared" si="3"/>
        <v>54.68</v>
      </c>
      <c r="M21" s="277">
        <f t="shared" si="4"/>
        <v>54.68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54.68</v>
      </c>
      <c r="U21" s="283">
        <f t="shared" si="7"/>
        <v>54.68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 t="s">
        <v>435</v>
      </c>
      <c r="C22" s="295" t="s">
        <v>166</v>
      </c>
      <c r="D22" s="271" t="s">
        <v>25</v>
      </c>
      <c r="E22" s="293">
        <v>1000</v>
      </c>
      <c r="F22" s="273">
        <v>1</v>
      </c>
      <c r="G22" s="259">
        <v>162.65</v>
      </c>
      <c r="H22" s="258">
        <f t="shared" si="0"/>
        <v>117.86</v>
      </c>
      <c r="I22" s="274">
        <f t="shared" si="1"/>
        <v>117.86</v>
      </c>
      <c r="J22" s="323"/>
      <c r="K22" s="257">
        <f t="shared" si="2"/>
        <v>1</v>
      </c>
      <c r="L22" s="258">
        <f t="shared" si="3"/>
        <v>117.86</v>
      </c>
      <c r="M22" s="258">
        <f t="shared" si="4"/>
        <v>117.86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117.86</v>
      </c>
      <c r="U22" s="264">
        <f t="shared" si="7"/>
        <v>117.86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517</v>
      </c>
      <c r="C23" s="181" t="s">
        <v>518</v>
      </c>
      <c r="D23" s="271" t="s">
        <v>25</v>
      </c>
      <c r="E23" s="287">
        <v>1000</v>
      </c>
      <c r="F23" s="288">
        <v>1</v>
      </c>
      <c r="G23" s="281">
        <v>124.45</v>
      </c>
      <c r="H23" s="277">
        <f t="shared" si="0"/>
        <v>90.18</v>
      </c>
      <c r="I23" s="289">
        <f t="shared" si="1"/>
        <v>90.18</v>
      </c>
      <c r="J23" s="323"/>
      <c r="K23" s="276">
        <f t="shared" si="2"/>
        <v>1</v>
      </c>
      <c r="L23" s="277">
        <f t="shared" si="3"/>
        <v>90.18</v>
      </c>
      <c r="M23" s="277">
        <f t="shared" si="4"/>
        <v>90.18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90.18</v>
      </c>
      <c r="U23" s="283">
        <f t="shared" si="7"/>
        <v>90.18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519</v>
      </c>
      <c r="C24" s="295" t="s">
        <v>170</v>
      </c>
      <c r="D24" s="271" t="s">
        <v>24</v>
      </c>
      <c r="E24" s="293">
        <v>1000</v>
      </c>
      <c r="F24" s="273">
        <v>1</v>
      </c>
      <c r="G24" s="259">
        <v>107.68</v>
      </c>
      <c r="H24" s="258">
        <f t="shared" si="0"/>
        <v>78.03</v>
      </c>
      <c r="I24" s="274">
        <f t="shared" si="1"/>
        <v>78.03</v>
      </c>
      <c r="J24" s="323"/>
      <c r="K24" s="257">
        <f t="shared" si="2"/>
        <v>1</v>
      </c>
      <c r="L24" s="258">
        <f t="shared" si="3"/>
        <v>78.03</v>
      </c>
      <c r="M24" s="258">
        <f t="shared" si="4"/>
        <v>78.03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78.03</v>
      </c>
      <c r="U24" s="264">
        <f t="shared" si="7"/>
        <v>78.03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/>
      <c r="C25" s="181"/>
      <c r="D25" s="271"/>
      <c r="E25" s="287"/>
      <c r="F25" s="288"/>
      <c r="G25" s="281"/>
      <c r="H25" s="277">
        <f t="shared" si="0"/>
        <v>0</v>
      </c>
      <c r="I25" s="289">
        <f t="shared" si="1"/>
        <v>0</v>
      </c>
      <c r="J25" s="323"/>
      <c r="K25" s="276">
        <f t="shared" si="2"/>
        <v>0</v>
      </c>
      <c r="L25" s="277">
        <f t="shared" si="3"/>
        <v>0</v>
      </c>
      <c r="M25" s="277">
        <f t="shared" si="4"/>
        <v>0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0</v>
      </c>
      <c r="U25" s="283">
        <f t="shared" si="7"/>
        <v>0</v>
      </c>
      <c r="V25" s="284">
        <f t="shared" si="8"/>
        <v>0</v>
      </c>
      <c r="W25" s="284">
        <f t="shared" si="9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 t="s">
        <v>437</v>
      </c>
      <c r="C26" s="295" t="s">
        <v>220</v>
      </c>
      <c r="D26" s="271" t="s">
        <v>0</v>
      </c>
      <c r="E26" s="293" t="s">
        <v>176</v>
      </c>
      <c r="F26" s="273">
        <v>4</v>
      </c>
      <c r="G26" s="259">
        <v>494.44</v>
      </c>
      <c r="H26" s="258">
        <f t="shared" si="0"/>
        <v>358.29</v>
      </c>
      <c r="I26" s="274">
        <f t="shared" si="1"/>
        <v>1433.16</v>
      </c>
      <c r="J26" s="323"/>
      <c r="K26" s="257">
        <f t="shared" si="2"/>
        <v>4</v>
      </c>
      <c r="L26" s="258">
        <f t="shared" si="3"/>
        <v>358.29</v>
      </c>
      <c r="M26" s="258">
        <f t="shared" si="4"/>
        <v>1433.16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358.29</v>
      </c>
      <c r="U26" s="264">
        <f t="shared" si="7"/>
        <v>1433.16</v>
      </c>
      <c r="V26" s="265">
        <f t="shared" si="8"/>
        <v>0</v>
      </c>
      <c r="W26" s="265">
        <f t="shared" si="9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 t="s">
        <v>520</v>
      </c>
      <c r="C27" s="181" t="s">
        <v>521</v>
      </c>
      <c r="D27" s="271" t="s">
        <v>39</v>
      </c>
      <c r="E27" s="287" t="s">
        <v>176</v>
      </c>
      <c r="F27" s="288">
        <v>1</v>
      </c>
      <c r="G27" s="281">
        <v>6508.43</v>
      </c>
      <c r="H27" s="277">
        <f t="shared" si="0"/>
        <v>4716.25</v>
      </c>
      <c r="I27" s="289">
        <f t="shared" si="1"/>
        <v>4716.25</v>
      </c>
      <c r="J27" s="323"/>
      <c r="K27" s="276">
        <f t="shared" si="2"/>
        <v>1</v>
      </c>
      <c r="L27" s="277">
        <f t="shared" si="3"/>
        <v>4716.25</v>
      </c>
      <c r="M27" s="277">
        <f t="shared" si="4"/>
        <v>4716.25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4716.25</v>
      </c>
      <c r="U27" s="283">
        <f t="shared" si="7"/>
        <v>4716.25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/>
      <c r="C28" s="295" t="s">
        <v>522</v>
      </c>
      <c r="D28" s="271" t="s">
        <v>41</v>
      </c>
      <c r="E28" s="293" t="s">
        <v>176</v>
      </c>
      <c r="F28" s="273">
        <v>6</v>
      </c>
      <c r="G28" s="259"/>
      <c r="H28" s="258">
        <f t="shared" si="0"/>
        <v>0</v>
      </c>
      <c r="I28" s="274">
        <f t="shared" si="1"/>
        <v>0</v>
      </c>
      <c r="J28" s="323"/>
      <c r="K28" s="257">
        <f t="shared" si="2"/>
        <v>6</v>
      </c>
      <c r="L28" s="258">
        <f t="shared" si="3"/>
        <v>0</v>
      </c>
      <c r="M28" s="258">
        <f t="shared" si="4"/>
        <v>0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0</v>
      </c>
      <c r="U28" s="264">
        <f t="shared" si="7"/>
        <v>0</v>
      </c>
      <c r="V28" s="265">
        <f t="shared" si="8"/>
        <v>0</v>
      </c>
      <c r="W28" s="265">
        <f t="shared" si="9"/>
        <v>0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 t="s">
        <v>523</v>
      </c>
      <c r="C30" s="295" t="s">
        <v>524</v>
      </c>
      <c r="D30" s="271" t="s">
        <v>21</v>
      </c>
      <c r="E30" s="293" t="s">
        <v>176</v>
      </c>
      <c r="F30" s="273">
        <v>1</v>
      </c>
      <c r="G30" s="259">
        <v>14093.42</v>
      </c>
      <c r="H30" s="258">
        <f t="shared" si="0"/>
        <v>10212.620000000001</v>
      </c>
      <c r="I30" s="274">
        <f t="shared" si="1"/>
        <v>10212.620000000001</v>
      </c>
      <c r="J30" s="323"/>
      <c r="K30" s="257">
        <f t="shared" si="2"/>
        <v>1</v>
      </c>
      <c r="L30" s="258">
        <f t="shared" si="3"/>
        <v>10212.620000000001</v>
      </c>
      <c r="M30" s="258">
        <f t="shared" si="4"/>
        <v>10212.620000000001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10212.620000000001</v>
      </c>
      <c r="U30" s="264">
        <f t="shared" si="7"/>
        <v>10212.620000000001</v>
      </c>
      <c r="V30" s="265">
        <f t="shared" si="8"/>
        <v>0</v>
      </c>
      <c r="W30" s="265">
        <f t="shared" si="9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 t="s">
        <v>525</v>
      </c>
      <c r="C31" s="181" t="s">
        <v>224</v>
      </c>
      <c r="D31" s="271" t="s">
        <v>15</v>
      </c>
      <c r="E31" s="287" t="s">
        <v>176</v>
      </c>
      <c r="F31" s="288">
        <v>1</v>
      </c>
      <c r="G31" s="281">
        <v>8507.77</v>
      </c>
      <c r="H31" s="277">
        <f t="shared" si="0"/>
        <v>6165.05</v>
      </c>
      <c r="I31" s="289">
        <f t="shared" si="1"/>
        <v>6165.05</v>
      </c>
      <c r="J31" s="323"/>
      <c r="K31" s="276">
        <f t="shared" si="2"/>
        <v>1</v>
      </c>
      <c r="L31" s="277">
        <f t="shared" si="3"/>
        <v>6165.05</v>
      </c>
      <c r="M31" s="277">
        <f t="shared" si="4"/>
        <v>6165.05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6165.05</v>
      </c>
      <c r="U31" s="283">
        <f t="shared" si="7"/>
        <v>6165.05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526</v>
      </c>
      <c r="C32" s="295" t="s">
        <v>254</v>
      </c>
      <c r="D32" s="271" t="s">
        <v>16</v>
      </c>
      <c r="E32" s="293" t="s">
        <v>176</v>
      </c>
      <c r="F32" s="273">
        <v>1</v>
      </c>
      <c r="G32" s="259">
        <v>24988.61</v>
      </c>
      <c r="H32" s="258">
        <f t="shared" si="0"/>
        <v>18107.689999999999</v>
      </c>
      <c r="I32" s="274">
        <f t="shared" si="1"/>
        <v>18107.689999999999</v>
      </c>
      <c r="J32" s="323"/>
      <c r="K32" s="257">
        <f t="shared" si="2"/>
        <v>1</v>
      </c>
      <c r="L32" s="258">
        <f t="shared" si="3"/>
        <v>18107.689999999999</v>
      </c>
      <c r="M32" s="258">
        <f t="shared" si="4"/>
        <v>18107.689999999999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18107.689999999999</v>
      </c>
      <c r="U32" s="264">
        <f t="shared" si="7"/>
        <v>18107.689999999999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 t="s">
        <v>527</v>
      </c>
      <c r="C33" s="181" t="s">
        <v>205</v>
      </c>
      <c r="D33" s="271" t="s">
        <v>17</v>
      </c>
      <c r="E33" s="287" t="s">
        <v>176</v>
      </c>
      <c r="F33" s="288">
        <v>1</v>
      </c>
      <c r="G33" s="281">
        <v>15713.11</v>
      </c>
      <c r="H33" s="277">
        <f t="shared" si="0"/>
        <v>11386.31</v>
      </c>
      <c r="I33" s="289">
        <f t="shared" si="1"/>
        <v>11386.31</v>
      </c>
      <c r="J33" s="323"/>
      <c r="K33" s="276">
        <f t="shared" si="2"/>
        <v>1</v>
      </c>
      <c r="L33" s="277">
        <f t="shared" si="3"/>
        <v>11386.31</v>
      </c>
      <c r="M33" s="277">
        <f t="shared" si="4"/>
        <v>11386.31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11386.31</v>
      </c>
      <c r="U33" s="283">
        <f t="shared" si="7"/>
        <v>11386.31</v>
      </c>
      <c r="V33" s="284">
        <f t="shared" si="8"/>
        <v>0</v>
      </c>
      <c r="W33" s="284">
        <f t="shared" si="9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 t="s">
        <v>528</v>
      </c>
      <c r="C34" s="295" t="s">
        <v>226</v>
      </c>
      <c r="D34" s="271" t="s">
        <v>23</v>
      </c>
      <c r="E34" s="293" t="s">
        <v>176</v>
      </c>
      <c r="F34" s="273">
        <v>1</v>
      </c>
      <c r="G34" s="259">
        <v>7985.01</v>
      </c>
      <c r="H34" s="258">
        <f t="shared" si="0"/>
        <v>5786.24</v>
      </c>
      <c r="I34" s="274">
        <f t="shared" si="1"/>
        <v>5786.24</v>
      </c>
      <c r="J34" s="323"/>
      <c r="K34" s="257">
        <f t="shared" si="2"/>
        <v>1</v>
      </c>
      <c r="L34" s="258">
        <f t="shared" si="3"/>
        <v>5786.24</v>
      </c>
      <c r="M34" s="258">
        <f t="shared" si="4"/>
        <v>5786.24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5786.24</v>
      </c>
      <c r="U34" s="264">
        <f t="shared" si="7"/>
        <v>5786.24</v>
      </c>
      <c r="V34" s="265">
        <f t="shared" si="8"/>
        <v>0</v>
      </c>
      <c r="W34" s="265">
        <f t="shared" si="9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 t="s">
        <v>529</v>
      </c>
      <c r="C35" s="181" t="s">
        <v>530</v>
      </c>
      <c r="D35" s="271" t="s">
        <v>19</v>
      </c>
      <c r="E35" s="287" t="s">
        <v>176</v>
      </c>
      <c r="F35" s="288">
        <v>6</v>
      </c>
      <c r="G35" s="281">
        <v>2520.09</v>
      </c>
      <c r="H35" s="277">
        <f t="shared" si="0"/>
        <v>1826.15</v>
      </c>
      <c r="I35" s="289">
        <f t="shared" si="1"/>
        <v>10956.9</v>
      </c>
      <c r="J35" s="323"/>
      <c r="K35" s="276">
        <f t="shared" si="2"/>
        <v>6</v>
      </c>
      <c r="L35" s="277">
        <f t="shared" si="3"/>
        <v>1826.15</v>
      </c>
      <c r="M35" s="277">
        <f t="shared" si="4"/>
        <v>10956.9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1826.15</v>
      </c>
      <c r="U35" s="283">
        <f t="shared" si="7"/>
        <v>10956.9</v>
      </c>
      <c r="V35" s="284">
        <f t="shared" si="8"/>
        <v>0</v>
      </c>
      <c r="W35" s="284">
        <f t="shared" si="9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/>
      <c r="C36" s="295"/>
      <c r="D36" s="271"/>
      <c r="E36" s="293"/>
      <c r="F36" s="273"/>
      <c r="G36" s="259"/>
      <c r="H36" s="258">
        <f t="shared" si="0"/>
        <v>0</v>
      </c>
      <c r="I36" s="274">
        <f t="shared" si="1"/>
        <v>0</v>
      </c>
      <c r="J36" s="323"/>
      <c r="K36" s="257">
        <f t="shared" si="2"/>
        <v>0</v>
      </c>
      <c r="L36" s="258">
        <f t="shared" si="3"/>
        <v>0</v>
      </c>
      <c r="M36" s="258">
        <f t="shared" si="4"/>
        <v>0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0</v>
      </c>
      <c r="U36" s="264">
        <f t="shared" si="7"/>
        <v>0</v>
      </c>
      <c r="V36" s="265">
        <f t="shared" si="8"/>
        <v>0</v>
      </c>
      <c r="W36" s="265">
        <f t="shared" si="9"/>
        <v>0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 t="s">
        <v>531</v>
      </c>
      <c r="C37" s="181" t="s">
        <v>532</v>
      </c>
      <c r="D37" s="271"/>
      <c r="E37" s="287" t="s">
        <v>176</v>
      </c>
      <c r="F37" s="288">
        <v>1</v>
      </c>
      <c r="G37" s="281">
        <v>74400.399999999994</v>
      </c>
      <c r="H37" s="277">
        <f t="shared" si="0"/>
        <v>53913.33</v>
      </c>
      <c r="I37" s="289">
        <f t="shared" si="1"/>
        <v>53913.33</v>
      </c>
      <c r="J37" s="323"/>
      <c r="K37" s="276">
        <f t="shared" si="2"/>
        <v>1</v>
      </c>
      <c r="L37" s="277">
        <f t="shared" si="3"/>
        <v>53913.33</v>
      </c>
      <c r="M37" s="277">
        <f t="shared" si="4"/>
        <v>53913.33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53913.33</v>
      </c>
      <c r="U37" s="283">
        <f t="shared" si="7"/>
        <v>53913.33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 t="s">
        <v>533</v>
      </c>
      <c r="C38" s="295" t="s">
        <v>208</v>
      </c>
      <c r="D38" s="271" t="s">
        <v>9</v>
      </c>
      <c r="E38" s="293" t="s">
        <v>176</v>
      </c>
      <c r="F38" s="273">
        <v>2</v>
      </c>
      <c r="G38" s="259">
        <v>410.98</v>
      </c>
      <c r="H38" s="258">
        <f t="shared" si="0"/>
        <v>297.81</v>
      </c>
      <c r="I38" s="274">
        <f t="shared" si="1"/>
        <v>595.62</v>
      </c>
      <c r="J38" s="323"/>
      <c r="K38" s="257">
        <f t="shared" si="2"/>
        <v>2</v>
      </c>
      <c r="L38" s="258">
        <f t="shared" si="3"/>
        <v>297.81</v>
      </c>
      <c r="M38" s="258">
        <f t="shared" si="4"/>
        <v>595.62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297.81</v>
      </c>
      <c r="U38" s="264">
        <f t="shared" si="7"/>
        <v>595.62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 t="s">
        <v>534</v>
      </c>
      <c r="C39" s="181" t="s">
        <v>207</v>
      </c>
      <c r="D39" s="271" t="s">
        <v>10</v>
      </c>
      <c r="E39" s="287" t="s">
        <v>176</v>
      </c>
      <c r="F39" s="288">
        <v>28</v>
      </c>
      <c r="G39" s="281">
        <v>3.73</v>
      </c>
      <c r="H39" s="277">
        <f t="shared" si="0"/>
        <v>2.7</v>
      </c>
      <c r="I39" s="289">
        <f t="shared" si="1"/>
        <v>75.599999999999994</v>
      </c>
      <c r="J39" s="323"/>
      <c r="K39" s="276">
        <f t="shared" si="2"/>
        <v>28</v>
      </c>
      <c r="L39" s="277">
        <f t="shared" si="3"/>
        <v>2.7</v>
      </c>
      <c r="M39" s="277">
        <f t="shared" si="4"/>
        <v>75.599999999999994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2.7</v>
      </c>
      <c r="U39" s="283">
        <f t="shared" si="7"/>
        <v>75.599999999999994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 t="s">
        <v>535</v>
      </c>
      <c r="C40" s="295" t="s">
        <v>232</v>
      </c>
      <c r="D40" s="271" t="s">
        <v>10</v>
      </c>
      <c r="E40" s="293" t="s">
        <v>176</v>
      </c>
      <c r="F40" s="273">
        <v>38</v>
      </c>
      <c r="G40" s="259">
        <v>3.55</v>
      </c>
      <c r="H40" s="258">
        <f t="shared" si="0"/>
        <v>2.57</v>
      </c>
      <c r="I40" s="274">
        <f t="shared" si="1"/>
        <v>97.66</v>
      </c>
      <c r="J40" s="323"/>
      <c r="K40" s="257">
        <f t="shared" si="2"/>
        <v>38</v>
      </c>
      <c r="L40" s="258">
        <f t="shared" si="3"/>
        <v>2.57</v>
      </c>
      <c r="M40" s="258">
        <f t="shared" si="4"/>
        <v>97.66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2.57</v>
      </c>
      <c r="U40" s="264">
        <f t="shared" si="7"/>
        <v>97.66</v>
      </c>
      <c r="V40" s="265">
        <f t="shared" si="8"/>
        <v>0</v>
      </c>
      <c r="W40" s="265">
        <f t="shared" si="9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 t="s">
        <v>536</v>
      </c>
      <c r="C41" s="181" t="s">
        <v>206</v>
      </c>
      <c r="D41" s="271" t="s">
        <v>7</v>
      </c>
      <c r="E41" s="287" t="s">
        <v>176</v>
      </c>
      <c r="F41" s="288">
        <v>2</v>
      </c>
      <c r="G41" s="281">
        <v>137.86000000000001</v>
      </c>
      <c r="H41" s="277">
        <f t="shared" si="0"/>
        <v>99.9</v>
      </c>
      <c r="I41" s="289">
        <f t="shared" si="1"/>
        <v>199.8</v>
      </c>
      <c r="J41" s="323"/>
      <c r="K41" s="276">
        <f t="shared" si="2"/>
        <v>2</v>
      </c>
      <c r="L41" s="277">
        <f t="shared" si="3"/>
        <v>99.9</v>
      </c>
      <c r="M41" s="277">
        <f t="shared" si="4"/>
        <v>199.8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99.9</v>
      </c>
      <c r="U41" s="283">
        <f t="shared" si="7"/>
        <v>199.8</v>
      </c>
      <c r="V41" s="284">
        <f t="shared" si="8"/>
        <v>0</v>
      </c>
      <c r="W41" s="284">
        <f t="shared" si="9"/>
        <v>1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 t="s">
        <v>537</v>
      </c>
      <c r="C42" s="295" t="s">
        <v>207</v>
      </c>
      <c r="D42" s="271" t="s">
        <v>538</v>
      </c>
      <c r="E42" s="293" t="s">
        <v>176</v>
      </c>
      <c r="F42" s="273">
        <v>10</v>
      </c>
      <c r="G42" s="259">
        <v>2.98</v>
      </c>
      <c r="H42" s="258">
        <f t="shared" si="0"/>
        <v>2.16</v>
      </c>
      <c r="I42" s="274">
        <f t="shared" si="1"/>
        <v>21.6</v>
      </c>
      <c r="J42" s="323"/>
      <c r="K42" s="257">
        <f t="shared" si="2"/>
        <v>10</v>
      </c>
      <c r="L42" s="258">
        <f t="shared" si="3"/>
        <v>2.16</v>
      </c>
      <c r="M42" s="258">
        <f t="shared" si="4"/>
        <v>21.6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2.16</v>
      </c>
      <c r="U42" s="264">
        <f t="shared" si="7"/>
        <v>21.6</v>
      </c>
      <c r="V42" s="265">
        <f t="shared" si="8"/>
        <v>0</v>
      </c>
      <c r="W42" s="265">
        <f t="shared" si="9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 t="s">
        <v>539</v>
      </c>
      <c r="C44" s="295" t="s">
        <v>540</v>
      </c>
      <c r="D44" s="271" t="s">
        <v>33</v>
      </c>
      <c r="E44" s="293" t="s">
        <v>176</v>
      </c>
      <c r="F44" s="273">
        <v>1</v>
      </c>
      <c r="G44" s="259">
        <v>888.65</v>
      </c>
      <c r="H44" s="258">
        <f t="shared" si="0"/>
        <v>643.95000000000005</v>
      </c>
      <c r="I44" s="274">
        <f t="shared" si="1"/>
        <v>643.95000000000005</v>
      </c>
      <c r="J44" s="323"/>
      <c r="K44" s="257">
        <f t="shared" si="2"/>
        <v>1</v>
      </c>
      <c r="L44" s="258">
        <f t="shared" si="3"/>
        <v>643.95000000000005</v>
      </c>
      <c r="M44" s="258">
        <f t="shared" si="4"/>
        <v>643.95000000000005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643.95000000000005</v>
      </c>
      <c r="U44" s="264">
        <f t="shared" si="7"/>
        <v>643.95000000000005</v>
      </c>
      <c r="V44" s="265">
        <f t="shared" si="8"/>
        <v>0</v>
      </c>
      <c r="W44" s="265">
        <f t="shared" si="9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 t="s">
        <v>541</v>
      </c>
      <c r="C45" s="181" t="s">
        <v>542</v>
      </c>
      <c r="D45" s="271" t="s">
        <v>35</v>
      </c>
      <c r="E45" s="287" t="s">
        <v>176</v>
      </c>
      <c r="F45" s="288">
        <v>1</v>
      </c>
      <c r="G45" s="281">
        <v>103.21</v>
      </c>
      <c r="H45" s="277">
        <f t="shared" si="0"/>
        <v>74.790000000000006</v>
      </c>
      <c r="I45" s="289">
        <f t="shared" si="1"/>
        <v>74.790000000000006</v>
      </c>
      <c r="J45" s="323"/>
      <c r="K45" s="276">
        <f t="shared" si="2"/>
        <v>1</v>
      </c>
      <c r="L45" s="277">
        <f t="shared" si="3"/>
        <v>74.790000000000006</v>
      </c>
      <c r="M45" s="277">
        <f t="shared" si="4"/>
        <v>74.790000000000006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74.790000000000006</v>
      </c>
      <c r="U45" s="283">
        <f t="shared" si="7"/>
        <v>74.790000000000006</v>
      </c>
      <c r="V45" s="284">
        <f t="shared" si="8"/>
        <v>0</v>
      </c>
      <c r="W45" s="284">
        <f t="shared" si="9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 t="s">
        <v>543</v>
      </c>
      <c r="C46" s="295" t="s">
        <v>544</v>
      </c>
      <c r="D46" s="271" t="s">
        <v>36</v>
      </c>
      <c r="E46" s="293" t="s">
        <v>176</v>
      </c>
      <c r="F46" s="273">
        <v>2</v>
      </c>
      <c r="G46" s="259">
        <v>7.45</v>
      </c>
      <c r="H46" s="258">
        <f t="shared" si="0"/>
        <v>5.4</v>
      </c>
      <c r="I46" s="274">
        <f t="shared" si="1"/>
        <v>10.8</v>
      </c>
      <c r="J46" s="323"/>
      <c r="K46" s="257">
        <f t="shared" si="2"/>
        <v>2</v>
      </c>
      <c r="L46" s="258">
        <f t="shared" si="3"/>
        <v>5.4</v>
      </c>
      <c r="M46" s="258">
        <f t="shared" si="4"/>
        <v>10.8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5.4</v>
      </c>
      <c r="U46" s="264">
        <f t="shared" si="7"/>
        <v>10.8</v>
      </c>
      <c r="V46" s="265">
        <f t="shared" si="8"/>
        <v>0</v>
      </c>
      <c r="W46" s="265">
        <f t="shared" si="9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 t="s">
        <v>545</v>
      </c>
      <c r="C47" s="181" t="s">
        <v>546</v>
      </c>
      <c r="D47" s="271" t="s">
        <v>34</v>
      </c>
      <c r="E47" s="287" t="s">
        <v>176</v>
      </c>
      <c r="F47" s="288">
        <v>1</v>
      </c>
      <c r="G47" s="281">
        <v>16.59</v>
      </c>
      <c r="H47" s="277">
        <f t="shared" si="0"/>
        <v>12.02</v>
      </c>
      <c r="I47" s="289">
        <f t="shared" si="1"/>
        <v>12.02</v>
      </c>
      <c r="J47" s="323"/>
      <c r="K47" s="276">
        <f t="shared" si="2"/>
        <v>1</v>
      </c>
      <c r="L47" s="277">
        <f t="shared" si="3"/>
        <v>12.02</v>
      </c>
      <c r="M47" s="277">
        <f t="shared" si="4"/>
        <v>12.02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12.02</v>
      </c>
      <c r="U47" s="283">
        <f t="shared" si="7"/>
        <v>12.02</v>
      </c>
      <c r="V47" s="284">
        <f t="shared" si="8"/>
        <v>0</v>
      </c>
      <c r="W47" s="284">
        <f t="shared" si="9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 t="s">
        <v>547</v>
      </c>
      <c r="C48" s="295" t="s">
        <v>548</v>
      </c>
      <c r="D48" s="271" t="s">
        <v>34</v>
      </c>
      <c r="E48" s="293" t="s">
        <v>176</v>
      </c>
      <c r="F48" s="273">
        <v>1</v>
      </c>
      <c r="G48" s="259">
        <v>16.02</v>
      </c>
      <c r="H48" s="258">
        <f t="shared" si="0"/>
        <v>11.61</v>
      </c>
      <c r="I48" s="274">
        <f t="shared" si="1"/>
        <v>11.61</v>
      </c>
      <c r="J48" s="323"/>
      <c r="K48" s="257">
        <f t="shared" si="2"/>
        <v>1</v>
      </c>
      <c r="L48" s="258">
        <f t="shared" si="3"/>
        <v>11.61</v>
      </c>
      <c r="M48" s="258">
        <f t="shared" si="4"/>
        <v>11.61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11.61</v>
      </c>
      <c r="U48" s="264">
        <f t="shared" si="7"/>
        <v>11.61</v>
      </c>
      <c r="V48" s="265">
        <f t="shared" si="8"/>
        <v>0</v>
      </c>
      <c r="W48" s="265">
        <f t="shared" si="9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 t="s">
        <v>549</v>
      </c>
      <c r="C49" s="181" t="s">
        <v>550</v>
      </c>
      <c r="D49" s="271" t="s">
        <v>36</v>
      </c>
      <c r="E49" s="287" t="s">
        <v>176</v>
      </c>
      <c r="F49" s="288">
        <v>1</v>
      </c>
      <c r="G49" s="281">
        <v>203.26</v>
      </c>
      <c r="H49" s="277">
        <f t="shared" si="0"/>
        <v>147.29</v>
      </c>
      <c r="I49" s="289">
        <f t="shared" si="1"/>
        <v>147.29</v>
      </c>
      <c r="J49" s="323"/>
      <c r="K49" s="276">
        <f t="shared" si="2"/>
        <v>1</v>
      </c>
      <c r="L49" s="277">
        <f t="shared" si="3"/>
        <v>147.29</v>
      </c>
      <c r="M49" s="277">
        <f t="shared" si="4"/>
        <v>147.29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147.29</v>
      </c>
      <c r="U49" s="283">
        <f t="shared" si="7"/>
        <v>147.29</v>
      </c>
      <c r="V49" s="284">
        <f t="shared" si="8"/>
        <v>0</v>
      </c>
      <c r="W49" s="284">
        <f t="shared" si="9"/>
        <v>1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ref="H50:H80" si="10">ROUND(IF($G$17="USD $", G50*$F$15,G50*$E$15),2)</f>
        <v>0</v>
      </c>
      <c r="I50" s="274">
        <f t="shared" ref="I50:I80" si="11">ROUND(IF($I$17=$H$17,F50*H50,F50*G50),2)</f>
        <v>0</v>
      </c>
      <c r="J50" s="323"/>
      <c r="K50" s="257">
        <f t="shared" ref="K50:K80" si="12">F50</f>
        <v>0</v>
      </c>
      <c r="L50" s="258">
        <f t="shared" ref="L50:L80" si="13">IFERROR(IF(N50="OEM DISC %",ROUND(IF($L$17=$G$17,G50*(1-O50),H50*(1-O50)),2),IF(N50="MARKUP %",ROUND(S50/K50*(1+O50),2))),0)</f>
        <v>0</v>
      </c>
      <c r="M50" s="258">
        <f t="shared" ref="M50:M80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0" si="15">ROUND(IF($S$17=$R$17,R50,IF($S$17="USD $",R50*$E$15,R50*$F$15))*F50,2)</f>
        <v>0</v>
      </c>
      <c r="T50" s="264">
        <f t="shared" ref="T50:T80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 t="s">
        <v>551</v>
      </c>
      <c r="C51" s="181" t="s">
        <v>197</v>
      </c>
      <c r="D51" s="271" t="s">
        <v>22</v>
      </c>
      <c r="E51" s="287" t="s">
        <v>176</v>
      </c>
      <c r="F51" s="288">
        <v>1</v>
      </c>
      <c r="G51" s="281">
        <v>2372.85</v>
      </c>
      <c r="H51" s="277">
        <f t="shared" si="10"/>
        <v>1719.46</v>
      </c>
      <c r="I51" s="289">
        <f t="shared" si="11"/>
        <v>1719.46</v>
      </c>
      <c r="J51" s="323"/>
      <c r="K51" s="276">
        <f t="shared" si="12"/>
        <v>1</v>
      </c>
      <c r="L51" s="277">
        <f t="shared" si="13"/>
        <v>1719.46</v>
      </c>
      <c r="M51" s="277">
        <f t="shared" si="14"/>
        <v>1719.46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1719.46</v>
      </c>
      <c r="U51" s="283">
        <f t="shared" si="17"/>
        <v>1719.46</v>
      </c>
      <c r="V51" s="284">
        <f t="shared" si="18"/>
        <v>0</v>
      </c>
      <c r="W51" s="284">
        <f t="shared" si="19"/>
        <v>1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 t="s">
        <v>453</v>
      </c>
      <c r="C52" s="295" t="s">
        <v>198</v>
      </c>
      <c r="D52" s="271" t="s">
        <v>199</v>
      </c>
      <c r="E52" s="293" t="s">
        <v>176</v>
      </c>
      <c r="F52" s="273">
        <v>1</v>
      </c>
      <c r="G52" s="259">
        <v>2124.39</v>
      </c>
      <c r="H52" s="258">
        <f t="shared" si="10"/>
        <v>1539.41</v>
      </c>
      <c r="I52" s="274">
        <f t="shared" si="11"/>
        <v>1539.41</v>
      </c>
      <c r="J52" s="323"/>
      <c r="K52" s="257">
        <f t="shared" si="12"/>
        <v>1</v>
      </c>
      <c r="L52" s="258">
        <f t="shared" si="13"/>
        <v>1539.41</v>
      </c>
      <c r="M52" s="258">
        <f t="shared" si="14"/>
        <v>1539.41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1539.41</v>
      </c>
      <c r="U52" s="264">
        <f t="shared" si="17"/>
        <v>1539.41</v>
      </c>
      <c r="V52" s="265">
        <f t="shared" si="18"/>
        <v>0</v>
      </c>
      <c r="W52" s="265">
        <f t="shared" si="19"/>
        <v>1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 t="s">
        <v>552</v>
      </c>
      <c r="C53" s="181" t="s">
        <v>200</v>
      </c>
      <c r="D53" s="271" t="s">
        <v>18</v>
      </c>
      <c r="E53" s="287" t="s">
        <v>176</v>
      </c>
      <c r="F53" s="288">
        <v>1</v>
      </c>
      <c r="G53" s="281">
        <v>789.43</v>
      </c>
      <c r="H53" s="277">
        <f t="shared" si="10"/>
        <v>572.04999999999995</v>
      </c>
      <c r="I53" s="289">
        <f t="shared" si="11"/>
        <v>572.04999999999995</v>
      </c>
      <c r="J53" s="323"/>
      <c r="K53" s="276">
        <f t="shared" si="12"/>
        <v>1</v>
      </c>
      <c r="L53" s="277">
        <f t="shared" si="13"/>
        <v>572.04999999999995</v>
      </c>
      <c r="M53" s="277">
        <f t="shared" si="14"/>
        <v>572.04999999999995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572.04999999999995</v>
      </c>
      <c r="U53" s="283">
        <f t="shared" si="17"/>
        <v>572.04999999999995</v>
      </c>
      <c r="V53" s="284">
        <f t="shared" si="18"/>
        <v>0</v>
      </c>
      <c r="W53" s="284">
        <f t="shared" si="19"/>
        <v>1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120</v>
      </c>
      <c r="G81" s="318">
        <f>SUM(G18:G80)</f>
        <v>163008.95000000001</v>
      </c>
      <c r="H81" s="308">
        <f>SUM(H18:H80)</f>
        <v>118122.40999999999</v>
      </c>
      <c r="I81" s="309">
        <f>SUM(I18:I80)</f>
        <v>128918.57</v>
      </c>
      <c r="J81" s="324"/>
      <c r="K81" s="307">
        <f>SUM(K18:K80)</f>
        <v>120</v>
      </c>
      <c r="L81" s="308">
        <f>SUM(L18:L80)</f>
        <v>118122.40999999999</v>
      </c>
      <c r="M81" s="309">
        <f>SUM(M18:M80)</f>
        <v>128918.57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118122.40999999999</v>
      </c>
      <c r="U81" s="309">
        <f>SUM(U18:U80)</f>
        <v>128918.57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T9:T10"/>
    <mergeCell ref="U9:U10"/>
    <mergeCell ref="V9:V10"/>
    <mergeCell ref="W9:W10"/>
    <mergeCell ref="X9:X10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T1:X1"/>
    <mergeCell ref="B1:C1"/>
    <mergeCell ref="E1:H1"/>
    <mergeCell ref="I1:L1"/>
    <mergeCell ref="M1:P1"/>
    <mergeCell ref="Q1:S1"/>
  </mergeCells>
  <conditionalFormatting sqref="V9:V10">
    <cfRule type="expression" dxfId="35" priority="3" stopIfTrue="1">
      <formula>$V$9&gt;100%</formula>
    </cfRule>
    <cfRule type="expression" dxfId="34" priority="4">
      <formula>$V$9&lt;50%</formula>
    </cfRule>
  </conditionalFormatting>
  <conditionalFormatting sqref="W9:W10">
    <cfRule type="expression" dxfId="33" priority="1">
      <formula>$W$9&lt;50%</formula>
    </cfRule>
    <cfRule type="expression" dxfId="32" priority="2">
      <formula>$W$9&gt;50%</formula>
    </cfRule>
  </conditionalFormatting>
  <dataValidations count="7">
    <dataValidation type="list" allowBlank="1" showInputMessage="1" showErrorMessage="1" sqref="G2" xr:uid="{EF49B291-F5BC-4157-BE6E-22181D87CEE4}">
      <formula1>$Z$34:$Z$48</formula1>
    </dataValidation>
    <dataValidation type="list" allowBlank="1" showInputMessage="1" showErrorMessage="1" sqref="N18:N80" xr:uid="{25A33B51-6279-44BE-9FF7-83CA0A8A9C34}">
      <formula1>$Z$31:$Z$32</formula1>
    </dataValidation>
    <dataValidation type="list" showInputMessage="1" showErrorMessage="1" sqref="E50:E80" xr:uid="{9B0D03F0-2F8E-40AF-B012-8DA833595B98}">
      <formula1>$AA$18:$AA$29</formula1>
    </dataValidation>
    <dataValidation type="list" allowBlank="1" showInputMessage="1" showErrorMessage="1" sqref="J13" xr:uid="{D9E1CFB4-A5EC-4D64-87A7-FEE4E10BC0A1}">
      <formula1>$L$9:$L$9</formula1>
    </dataValidation>
    <dataValidation type="list" allowBlank="1" showInputMessage="1" showErrorMessage="1" sqref="I13" xr:uid="{445C1A89-E9D4-456A-A78D-88525CE4D82E}">
      <formula1>$Z$13:$Z$14</formula1>
    </dataValidation>
    <dataValidation type="list" allowBlank="1" showInputMessage="1" showErrorMessage="1" sqref="G17 R14 R17 L17" xr:uid="{57867859-CD76-4B50-A51A-1E4AD0BF5885}">
      <formula1>$Z$11:$Z$12</formula1>
    </dataValidation>
    <dataValidation type="list" showInputMessage="1" showErrorMessage="1" sqref="E21:E49" xr:uid="{7CC13E9A-7CE8-4A9C-B0A3-53200D03F605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43331A-D9D1-4A2B-A867-EA4F9710C52F}">
          <x14:formula1>
            <xm:f>'Product Type'!$A$1:$A$55</xm:f>
          </x14:formula1>
          <xm:sqref>D18:D63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459F-A96A-4469-8F41-D911F93351EA}">
  <sheetPr>
    <pageSetUpPr fitToPage="1"/>
  </sheetPr>
  <dimension ref="A1:AC83"/>
  <sheetViews>
    <sheetView topLeftCell="A12" zoomScale="85" zoomScaleNormal="85" workbookViewId="0">
      <selection activeCell="B53" sqref="B53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16.28515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57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128918.57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164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128918.57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505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174" t="s">
        <v>553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 t="s">
        <v>507</v>
      </c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128918.57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 t="s">
        <v>554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128918.57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120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 t="s">
        <v>509</v>
      </c>
      <c r="C18" s="325" t="s">
        <v>210</v>
      </c>
      <c r="D18" s="271" t="s">
        <v>510</v>
      </c>
      <c r="E18" s="333">
        <v>375</v>
      </c>
      <c r="F18" s="273">
        <v>1</v>
      </c>
      <c r="G18" s="259">
        <v>64.650000000000006</v>
      </c>
      <c r="H18" s="258">
        <f t="shared" ref="H18:H49" si="0">ROUND(IF($G$17="USD $", G18*$F$15,G18*$E$15),2)</f>
        <v>46.85</v>
      </c>
      <c r="I18" s="274">
        <f t="shared" ref="I18:I49" si="1">ROUND(IF($I$17=$H$17,F18*H18,F18*G18),2)</f>
        <v>46.85</v>
      </c>
      <c r="J18" s="322"/>
      <c r="K18" s="257">
        <f t="shared" ref="K18:K49" si="2">F18</f>
        <v>1</v>
      </c>
      <c r="L18" s="258">
        <f t="shared" ref="L18:L49" si="3">IFERROR(IF(N18="OEM DISC %",ROUND(IF($L$17=$G$17,G18*(1-O18),H18*(1-O18)),2),IF(N18="MARKUP %",ROUND(S18/K18*(1+O18),2))),0)</f>
        <v>46.85</v>
      </c>
      <c r="M18" s="258">
        <f t="shared" ref="M18:M49" si="4">ROUND((K18*L18),2)</f>
        <v>46.85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46.85</v>
      </c>
      <c r="U18" s="264">
        <f t="shared" ref="U18:U49" si="7">ROUND(M18-S18,2)</f>
        <v>46.85</v>
      </c>
      <c r="V18" s="265">
        <f t="shared" ref="V18:V49" si="8">IFERROR(((L18-(S18/K18))/(S18/K18)),0)</f>
        <v>0</v>
      </c>
      <c r="W18" s="265">
        <f t="shared" ref="W18:W49" si="9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 t="s">
        <v>511</v>
      </c>
      <c r="C19" s="181" t="s">
        <v>512</v>
      </c>
      <c r="D19" s="271" t="s">
        <v>513</v>
      </c>
      <c r="E19" s="334">
        <v>375</v>
      </c>
      <c r="F19" s="288">
        <v>1</v>
      </c>
      <c r="G19" s="281">
        <v>108.43</v>
      </c>
      <c r="H19" s="277">
        <f t="shared" si="0"/>
        <v>78.569999999999993</v>
      </c>
      <c r="I19" s="289">
        <f t="shared" si="1"/>
        <v>78.569999999999993</v>
      </c>
      <c r="J19" s="323"/>
      <c r="K19" s="276">
        <f t="shared" si="2"/>
        <v>1</v>
      </c>
      <c r="L19" s="277">
        <f t="shared" si="3"/>
        <v>78.569999999999993</v>
      </c>
      <c r="M19" s="277">
        <f t="shared" si="4"/>
        <v>78.569999999999993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78.569999999999993</v>
      </c>
      <c r="U19" s="283">
        <f t="shared" si="7"/>
        <v>78.569999999999993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514</v>
      </c>
      <c r="C20" s="295" t="s">
        <v>211</v>
      </c>
      <c r="D20" s="271" t="s">
        <v>513</v>
      </c>
      <c r="E20" s="333">
        <v>375</v>
      </c>
      <c r="F20" s="273">
        <v>1</v>
      </c>
      <c r="G20" s="259">
        <v>73.400000000000006</v>
      </c>
      <c r="H20" s="258">
        <f t="shared" si="0"/>
        <v>53.19</v>
      </c>
      <c r="I20" s="274">
        <f t="shared" si="1"/>
        <v>53.19</v>
      </c>
      <c r="J20" s="323"/>
      <c r="K20" s="257">
        <f t="shared" si="2"/>
        <v>1</v>
      </c>
      <c r="L20" s="258">
        <f t="shared" si="3"/>
        <v>53.19</v>
      </c>
      <c r="M20" s="258">
        <f t="shared" si="4"/>
        <v>53.19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53.19</v>
      </c>
      <c r="U20" s="264">
        <f t="shared" si="7"/>
        <v>53.19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 t="s">
        <v>515</v>
      </c>
      <c r="C21" s="181" t="s">
        <v>516</v>
      </c>
      <c r="D21" s="271" t="s">
        <v>27</v>
      </c>
      <c r="E21" s="335">
        <v>500</v>
      </c>
      <c r="F21" s="288">
        <v>1</v>
      </c>
      <c r="G21" s="281">
        <v>75.459999999999994</v>
      </c>
      <c r="H21" s="277">
        <f t="shared" si="0"/>
        <v>54.68</v>
      </c>
      <c r="I21" s="289">
        <f t="shared" si="1"/>
        <v>54.68</v>
      </c>
      <c r="J21" s="323"/>
      <c r="K21" s="276">
        <f t="shared" si="2"/>
        <v>1</v>
      </c>
      <c r="L21" s="277">
        <f t="shared" si="3"/>
        <v>54.68</v>
      </c>
      <c r="M21" s="277">
        <f t="shared" si="4"/>
        <v>54.68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54.68</v>
      </c>
      <c r="U21" s="283">
        <f t="shared" si="7"/>
        <v>54.68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 t="s">
        <v>435</v>
      </c>
      <c r="C22" s="295" t="s">
        <v>166</v>
      </c>
      <c r="D22" s="271" t="s">
        <v>25</v>
      </c>
      <c r="E22" s="293">
        <v>1000</v>
      </c>
      <c r="F22" s="273">
        <v>1</v>
      </c>
      <c r="G22" s="259">
        <v>162.65</v>
      </c>
      <c r="H22" s="258">
        <f t="shared" si="0"/>
        <v>117.86</v>
      </c>
      <c r="I22" s="274">
        <f t="shared" si="1"/>
        <v>117.86</v>
      </c>
      <c r="J22" s="323"/>
      <c r="K22" s="257">
        <f t="shared" si="2"/>
        <v>1</v>
      </c>
      <c r="L22" s="258">
        <f t="shared" si="3"/>
        <v>117.86</v>
      </c>
      <c r="M22" s="258">
        <f t="shared" si="4"/>
        <v>117.86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117.86</v>
      </c>
      <c r="U22" s="264">
        <f t="shared" si="7"/>
        <v>117.86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517</v>
      </c>
      <c r="C23" s="181" t="s">
        <v>518</v>
      </c>
      <c r="D23" s="271" t="s">
        <v>25</v>
      </c>
      <c r="E23" s="287">
        <v>1000</v>
      </c>
      <c r="F23" s="288">
        <v>1</v>
      </c>
      <c r="G23" s="281">
        <v>124.45</v>
      </c>
      <c r="H23" s="277">
        <f t="shared" si="0"/>
        <v>90.18</v>
      </c>
      <c r="I23" s="289">
        <f t="shared" si="1"/>
        <v>90.18</v>
      </c>
      <c r="J23" s="323"/>
      <c r="K23" s="276">
        <f t="shared" si="2"/>
        <v>1</v>
      </c>
      <c r="L23" s="277">
        <f t="shared" si="3"/>
        <v>90.18</v>
      </c>
      <c r="M23" s="277">
        <f t="shared" si="4"/>
        <v>90.18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90.18</v>
      </c>
      <c r="U23" s="283">
        <f t="shared" si="7"/>
        <v>90.18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519</v>
      </c>
      <c r="C24" s="295" t="s">
        <v>170</v>
      </c>
      <c r="D24" s="271" t="s">
        <v>24</v>
      </c>
      <c r="E24" s="293">
        <v>1000</v>
      </c>
      <c r="F24" s="273">
        <v>1</v>
      </c>
      <c r="G24" s="259">
        <v>107.68</v>
      </c>
      <c r="H24" s="258">
        <f t="shared" si="0"/>
        <v>78.03</v>
      </c>
      <c r="I24" s="274">
        <f t="shared" si="1"/>
        <v>78.03</v>
      </c>
      <c r="J24" s="323"/>
      <c r="K24" s="257">
        <f t="shared" si="2"/>
        <v>1</v>
      </c>
      <c r="L24" s="258">
        <f t="shared" si="3"/>
        <v>78.03</v>
      </c>
      <c r="M24" s="258">
        <f t="shared" si="4"/>
        <v>78.03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78.03</v>
      </c>
      <c r="U24" s="264">
        <f t="shared" si="7"/>
        <v>78.03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/>
      <c r="C25" s="181"/>
      <c r="D25" s="271"/>
      <c r="E25" s="287"/>
      <c r="F25" s="288"/>
      <c r="G25" s="281"/>
      <c r="H25" s="277">
        <f t="shared" si="0"/>
        <v>0</v>
      </c>
      <c r="I25" s="289">
        <f t="shared" si="1"/>
        <v>0</v>
      </c>
      <c r="J25" s="323"/>
      <c r="K25" s="276">
        <f t="shared" si="2"/>
        <v>0</v>
      </c>
      <c r="L25" s="277">
        <f t="shared" si="3"/>
        <v>0</v>
      </c>
      <c r="M25" s="277">
        <f t="shared" si="4"/>
        <v>0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0</v>
      </c>
      <c r="U25" s="283">
        <f t="shared" si="7"/>
        <v>0</v>
      </c>
      <c r="V25" s="284">
        <f t="shared" si="8"/>
        <v>0</v>
      </c>
      <c r="W25" s="284">
        <f t="shared" si="9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 t="s">
        <v>437</v>
      </c>
      <c r="C26" s="295" t="s">
        <v>220</v>
      </c>
      <c r="D26" s="271" t="s">
        <v>0</v>
      </c>
      <c r="E26" s="293" t="s">
        <v>176</v>
      </c>
      <c r="F26" s="273">
        <v>4</v>
      </c>
      <c r="G26" s="259">
        <v>494.44</v>
      </c>
      <c r="H26" s="258">
        <f t="shared" si="0"/>
        <v>358.29</v>
      </c>
      <c r="I26" s="274">
        <f t="shared" si="1"/>
        <v>1433.16</v>
      </c>
      <c r="J26" s="323"/>
      <c r="K26" s="257">
        <f t="shared" si="2"/>
        <v>4</v>
      </c>
      <c r="L26" s="258">
        <f t="shared" si="3"/>
        <v>358.29</v>
      </c>
      <c r="M26" s="258">
        <f t="shared" si="4"/>
        <v>1433.16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358.29</v>
      </c>
      <c r="U26" s="264">
        <f t="shared" si="7"/>
        <v>1433.16</v>
      </c>
      <c r="V26" s="265">
        <f t="shared" si="8"/>
        <v>0</v>
      </c>
      <c r="W26" s="265">
        <f t="shared" si="9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 t="s">
        <v>520</v>
      </c>
      <c r="C27" s="181" t="s">
        <v>521</v>
      </c>
      <c r="D27" s="271" t="s">
        <v>39</v>
      </c>
      <c r="E27" s="287" t="s">
        <v>176</v>
      </c>
      <c r="F27" s="288">
        <v>1</v>
      </c>
      <c r="G27" s="281">
        <v>6508.43</v>
      </c>
      <c r="H27" s="277">
        <f t="shared" si="0"/>
        <v>4716.25</v>
      </c>
      <c r="I27" s="289">
        <f t="shared" si="1"/>
        <v>4716.25</v>
      </c>
      <c r="J27" s="323"/>
      <c r="K27" s="276">
        <f t="shared" si="2"/>
        <v>1</v>
      </c>
      <c r="L27" s="277">
        <f t="shared" si="3"/>
        <v>4716.25</v>
      </c>
      <c r="M27" s="277">
        <f t="shared" si="4"/>
        <v>4716.25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4716.25</v>
      </c>
      <c r="U27" s="283">
        <f t="shared" si="7"/>
        <v>4716.25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/>
      <c r="C28" s="295" t="s">
        <v>522</v>
      </c>
      <c r="D28" s="271" t="s">
        <v>41</v>
      </c>
      <c r="E28" s="293" t="s">
        <v>176</v>
      </c>
      <c r="F28" s="273">
        <v>6</v>
      </c>
      <c r="G28" s="259"/>
      <c r="H28" s="258">
        <f t="shared" si="0"/>
        <v>0</v>
      </c>
      <c r="I28" s="274">
        <f t="shared" si="1"/>
        <v>0</v>
      </c>
      <c r="J28" s="323"/>
      <c r="K28" s="257">
        <f t="shared" si="2"/>
        <v>6</v>
      </c>
      <c r="L28" s="258">
        <f t="shared" si="3"/>
        <v>0</v>
      </c>
      <c r="M28" s="258">
        <f t="shared" si="4"/>
        <v>0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0</v>
      </c>
      <c r="U28" s="264">
        <f t="shared" si="7"/>
        <v>0</v>
      </c>
      <c r="V28" s="265">
        <f t="shared" si="8"/>
        <v>0</v>
      </c>
      <c r="W28" s="265">
        <f t="shared" si="9"/>
        <v>0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 t="s">
        <v>523</v>
      </c>
      <c r="C30" s="295" t="s">
        <v>524</v>
      </c>
      <c r="D30" s="271" t="s">
        <v>21</v>
      </c>
      <c r="E30" s="293" t="s">
        <v>176</v>
      </c>
      <c r="F30" s="273">
        <v>1</v>
      </c>
      <c r="G30" s="259">
        <v>14093.42</v>
      </c>
      <c r="H30" s="258">
        <f t="shared" si="0"/>
        <v>10212.620000000001</v>
      </c>
      <c r="I30" s="274">
        <f t="shared" si="1"/>
        <v>10212.620000000001</v>
      </c>
      <c r="J30" s="323"/>
      <c r="K30" s="257">
        <f t="shared" si="2"/>
        <v>1</v>
      </c>
      <c r="L30" s="258">
        <f t="shared" si="3"/>
        <v>10212.620000000001</v>
      </c>
      <c r="M30" s="258">
        <f t="shared" si="4"/>
        <v>10212.620000000001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10212.620000000001</v>
      </c>
      <c r="U30" s="264">
        <f t="shared" si="7"/>
        <v>10212.620000000001</v>
      </c>
      <c r="V30" s="265">
        <f t="shared" si="8"/>
        <v>0</v>
      </c>
      <c r="W30" s="265">
        <f t="shared" si="9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280" t="s">
        <v>525</v>
      </c>
      <c r="C31" s="181" t="s">
        <v>224</v>
      </c>
      <c r="D31" s="271" t="s">
        <v>15</v>
      </c>
      <c r="E31" s="287" t="s">
        <v>176</v>
      </c>
      <c r="F31" s="288">
        <v>1</v>
      </c>
      <c r="G31" s="281">
        <v>8507.77</v>
      </c>
      <c r="H31" s="277">
        <f t="shared" si="0"/>
        <v>6165.05</v>
      </c>
      <c r="I31" s="289">
        <f t="shared" si="1"/>
        <v>6165.05</v>
      </c>
      <c r="J31" s="323"/>
      <c r="K31" s="276">
        <f t="shared" si="2"/>
        <v>1</v>
      </c>
      <c r="L31" s="277">
        <f t="shared" si="3"/>
        <v>6165.05</v>
      </c>
      <c r="M31" s="277">
        <f t="shared" si="4"/>
        <v>6165.05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6165.05</v>
      </c>
      <c r="U31" s="283">
        <f t="shared" si="7"/>
        <v>6165.05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526</v>
      </c>
      <c r="C32" s="295" t="s">
        <v>254</v>
      </c>
      <c r="D32" s="271" t="s">
        <v>16</v>
      </c>
      <c r="E32" s="293" t="s">
        <v>176</v>
      </c>
      <c r="F32" s="273">
        <v>1</v>
      </c>
      <c r="G32" s="259">
        <v>24988.61</v>
      </c>
      <c r="H32" s="258">
        <f t="shared" si="0"/>
        <v>18107.689999999999</v>
      </c>
      <c r="I32" s="274">
        <f t="shared" si="1"/>
        <v>18107.689999999999</v>
      </c>
      <c r="J32" s="323"/>
      <c r="K32" s="257">
        <f t="shared" si="2"/>
        <v>1</v>
      </c>
      <c r="L32" s="258">
        <f t="shared" si="3"/>
        <v>18107.689999999999</v>
      </c>
      <c r="M32" s="258">
        <f t="shared" si="4"/>
        <v>18107.689999999999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18107.689999999999</v>
      </c>
      <c r="U32" s="264">
        <f t="shared" si="7"/>
        <v>18107.689999999999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 t="s">
        <v>527</v>
      </c>
      <c r="C33" s="181" t="s">
        <v>205</v>
      </c>
      <c r="D33" s="271" t="s">
        <v>17</v>
      </c>
      <c r="E33" s="287" t="s">
        <v>176</v>
      </c>
      <c r="F33" s="288">
        <v>1</v>
      </c>
      <c r="G33" s="281">
        <v>15713.11</v>
      </c>
      <c r="H33" s="277">
        <f t="shared" si="0"/>
        <v>11386.31</v>
      </c>
      <c r="I33" s="289">
        <f t="shared" si="1"/>
        <v>11386.31</v>
      </c>
      <c r="J33" s="323"/>
      <c r="K33" s="276">
        <f t="shared" si="2"/>
        <v>1</v>
      </c>
      <c r="L33" s="277">
        <f t="shared" si="3"/>
        <v>11386.31</v>
      </c>
      <c r="M33" s="277">
        <f t="shared" si="4"/>
        <v>11386.31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11386.31</v>
      </c>
      <c r="U33" s="283">
        <f t="shared" si="7"/>
        <v>11386.31</v>
      </c>
      <c r="V33" s="284">
        <f t="shared" si="8"/>
        <v>0</v>
      </c>
      <c r="W33" s="284">
        <f t="shared" si="9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 t="s">
        <v>528</v>
      </c>
      <c r="C34" s="295" t="s">
        <v>226</v>
      </c>
      <c r="D34" s="271" t="s">
        <v>23</v>
      </c>
      <c r="E34" s="293" t="s">
        <v>176</v>
      </c>
      <c r="F34" s="273">
        <v>1</v>
      </c>
      <c r="G34" s="259">
        <v>7985.01</v>
      </c>
      <c r="H34" s="258">
        <f t="shared" si="0"/>
        <v>5786.24</v>
      </c>
      <c r="I34" s="274">
        <f t="shared" si="1"/>
        <v>5786.24</v>
      </c>
      <c r="J34" s="323"/>
      <c r="K34" s="257">
        <f t="shared" si="2"/>
        <v>1</v>
      </c>
      <c r="L34" s="258">
        <f t="shared" si="3"/>
        <v>5786.24</v>
      </c>
      <c r="M34" s="258">
        <f t="shared" si="4"/>
        <v>5786.24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5786.24</v>
      </c>
      <c r="U34" s="264">
        <f t="shared" si="7"/>
        <v>5786.24</v>
      </c>
      <c r="V34" s="265">
        <f t="shared" si="8"/>
        <v>0</v>
      </c>
      <c r="W34" s="265">
        <f t="shared" si="9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 t="s">
        <v>529</v>
      </c>
      <c r="C35" s="181" t="s">
        <v>530</v>
      </c>
      <c r="D35" s="271" t="s">
        <v>19</v>
      </c>
      <c r="E35" s="287" t="s">
        <v>176</v>
      </c>
      <c r="F35" s="288">
        <v>6</v>
      </c>
      <c r="G35" s="281">
        <v>2520.09</v>
      </c>
      <c r="H35" s="277">
        <f t="shared" si="0"/>
        <v>1826.15</v>
      </c>
      <c r="I35" s="289">
        <f t="shared" si="1"/>
        <v>10956.9</v>
      </c>
      <c r="J35" s="323"/>
      <c r="K35" s="276">
        <f t="shared" si="2"/>
        <v>6</v>
      </c>
      <c r="L35" s="277">
        <f t="shared" si="3"/>
        <v>1826.15</v>
      </c>
      <c r="M35" s="277">
        <f t="shared" si="4"/>
        <v>10956.9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1826.15</v>
      </c>
      <c r="U35" s="283">
        <f t="shared" si="7"/>
        <v>10956.9</v>
      </c>
      <c r="V35" s="284">
        <f t="shared" si="8"/>
        <v>0</v>
      </c>
      <c r="W35" s="284">
        <f t="shared" si="9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/>
      <c r="C36" s="295"/>
      <c r="D36" s="271"/>
      <c r="E36" s="293"/>
      <c r="F36" s="273"/>
      <c r="G36" s="259"/>
      <c r="H36" s="258">
        <f t="shared" si="0"/>
        <v>0</v>
      </c>
      <c r="I36" s="274">
        <f t="shared" si="1"/>
        <v>0</v>
      </c>
      <c r="J36" s="323"/>
      <c r="K36" s="257">
        <f t="shared" si="2"/>
        <v>0</v>
      </c>
      <c r="L36" s="258">
        <f t="shared" si="3"/>
        <v>0</v>
      </c>
      <c r="M36" s="258">
        <f t="shared" si="4"/>
        <v>0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0</v>
      </c>
      <c r="U36" s="264">
        <f t="shared" si="7"/>
        <v>0</v>
      </c>
      <c r="V36" s="265">
        <f t="shared" si="8"/>
        <v>0</v>
      </c>
      <c r="W36" s="265">
        <f t="shared" si="9"/>
        <v>0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 t="s">
        <v>531</v>
      </c>
      <c r="C37" s="181" t="s">
        <v>532</v>
      </c>
      <c r="D37" s="271" t="s">
        <v>9</v>
      </c>
      <c r="E37" s="287" t="s">
        <v>176</v>
      </c>
      <c r="F37" s="288">
        <v>1</v>
      </c>
      <c r="G37" s="281">
        <v>74400.399999999994</v>
      </c>
      <c r="H37" s="277">
        <f t="shared" si="0"/>
        <v>53913.33</v>
      </c>
      <c r="I37" s="289">
        <f t="shared" si="1"/>
        <v>53913.33</v>
      </c>
      <c r="J37" s="323"/>
      <c r="K37" s="276">
        <f t="shared" si="2"/>
        <v>1</v>
      </c>
      <c r="L37" s="277">
        <f t="shared" si="3"/>
        <v>53913.33</v>
      </c>
      <c r="M37" s="277">
        <f t="shared" si="4"/>
        <v>53913.33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53913.33</v>
      </c>
      <c r="U37" s="283">
        <f t="shared" si="7"/>
        <v>53913.33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 t="s">
        <v>533</v>
      </c>
      <c r="C38" s="295" t="s">
        <v>208</v>
      </c>
      <c r="D38" s="271" t="s">
        <v>9</v>
      </c>
      <c r="E38" s="293" t="s">
        <v>176</v>
      </c>
      <c r="F38" s="273">
        <v>2</v>
      </c>
      <c r="G38" s="259">
        <v>410.98</v>
      </c>
      <c r="H38" s="258">
        <f t="shared" si="0"/>
        <v>297.81</v>
      </c>
      <c r="I38" s="274">
        <f t="shared" si="1"/>
        <v>595.62</v>
      </c>
      <c r="J38" s="323"/>
      <c r="K38" s="257">
        <f t="shared" si="2"/>
        <v>2</v>
      </c>
      <c r="L38" s="258">
        <f t="shared" si="3"/>
        <v>297.81</v>
      </c>
      <c r="M38" s="258">
        <f t="shared" si="4"/>
        <v>595.62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297.81</v>
      </c>
      <c r="U38" s="264">
        <f t="shared" si="7"/>
        <v>595.62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 t="s">
        <v>534</v>
      </c>
      <c r="C39" s="181" t="s">
        <v>207</v>
      </c>
      <c r="D39" s="271" t="s">
        <v>10</v>
      </c>
      <c r="E39" s="287" t="s">
        <v>176</v>
      </c>
      <c r="F39" s="288">
        <v>28</v>
      </c>
      <c r="G39" s="281">
        <v>3.73</v>
      </c>
      <c r="H39" s="277">
        <f t="shared" si="0"/>
        <v>2.7</v>
      </c>
      <c r="I39" s="289">
        <f t="shared" si="1"/>
        <v>75.599999999999994</v>
      </c>
      <c r="J39" s="323"/>
      <c r="K39" s="276">
        <f t="shared" si="2"/>
        <v>28</v>
      </c>
      <c r="L39" s="277">
        <f t="shared" si="3"/>
        <v>2.7</v>
      </c>
      <c r="M39" s="277">
        <f t="shared" si="4"/>
        <v>75.599999999999994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2.7</v>
      </c>
      <c r="U39" s="283">
        <f t="shared" si="7"/>
        <v>75.599999999999994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 t="s">
        <v>535</v>
      </c>
      <c r="C40" s="295" t="s">
        <v>232</v>
      </c>
      <c r="D40" s="271" t="s">
        <v>10</v>
      </c>
      <c r="E40" s="293" t="s">
        <v>176</v>
      </c>
      <c r="F40" s="273">
        <v>38</v>
      </c>
      <c r="G40" s="259">
        <v>3.55</v>
      </c>
      <c r="H40" s="258">
        <f t="shared" si="0"/>
        <v>2.57</v>
      </c>
      <c r="I40" s="274">
        <f t="shared" si="1"/>
        <v>97.66</v>
      </c>
      <c r="J40" s="323"/>
      <c r="K40" s="257">
        <f t="shared" si="2"/>
        <v>38</v>
      </c>
      <c r="L40" s="258">
        <f t="shared" si="3"/>
        <v>2.57</v>
      </c>
      <c r="M40" s="258">
        <f t="shared" si="4"/>
        <v>97.66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2.57</v>
      </c>
      <c r="U40" s="264">
        <f t="shared" si="7"/>
        <v>97.66</v>
      </c>
      <c r="V40" s="265">
        <f t="shared" si="8"/>
        <v>0</v>
      </c>
      <c r="W40" s="265">
        <f t="shared" si="9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 t="s">
        <v>536</v>
      </c>
      <c r="C41" s="181" t="s">
        <v>206</v>
      </c>
      <c r="D41" s="271" t="s">
        <v>7</v>
      </c>
      <c r="E41" s="287" t="s">
        <v>176</v>
      </c>
      <c r="F41" s="288">
        <v>2</v>
      </c>
      <c r="G41" s="281">
        <v>137.86000000000001</v>
      </c>
      <c r="H41" s="277">
        <f t="shared" si="0"/>
        <v>99.9</v>
      </c>
      <c r="I41" s="289">
        <f t="shared" si="1"/>
        <v>199.8</v>
      </c>
      <c r="J41" s="323"/>
      <c r="K41" s="276">
        <f t="shared" si="2"/>
        <v>2</v>
      </c>
      <c r="L41" s="277">
        <f t="shared" si="3"/>
        <v>99.9</v>
      </c>
      <c r="M41" s="277">
        <f t="shared" si="4"/>
        <v>199.8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99.9</v>
      </c>
      <c r="U41" s="283">
        <f t="shared" si="7"/>
        <v>199.8</v>
      </c>
      <c r="V41" s="284">
        <f t="shared" si="8"/>
        <v>0</v>
      </c>
      <c r="W41" s="284">
        <f t="shared" si="9"/>
        <v>1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 t="s">
        <v>537</v>
      </c>
      <c r="C42" s="295" t="s">
        <v>207</v>
      </c>
      <c r="D42" s="271" t="s">
        <v>538</v>
      </c>
      <c r="E42" s="293" t="s">
        <v>176</v>
      </c>
      <c r="F42" s="273">
        <v>10</v>
      </c>
      <c r="G42" s="259">
        <v>2.98</v>
      </c>
      <c r="H42" s="258">
        <f t="shared" si="0"/>
        <v>2.16</v>
      </c>
      <c r="I42" s="274">
        <f t="shared" si="1"/>
        <v>21.6</v>
      </c>
      <c r="J42" s="323"/>
      <c r="K42" s="257">
        <f t="shared" si="2"/>
        <v>10</v>
      </c>
      <c r="L42" s="258">
        <f t="shared" si="3"/>
        <v>2.16</v>
      </c>
      <c r="M42" s="258">
        <f t="shared" si="4"/>
        <v>21.6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2.16</v>
      </c>
      <c r="U42" s="264">
        <f t="shared" si="7"/>
        <v>21.6</v>
      </c>
      <c r="V42" s="265">
        <f t="shared" si="8"/>
        <v>0</v>
      </c>
      <c r="W42" s="265">
        <f t="shared" si="9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 t="s">
        <v>539</v>
      </c>
      <c r="C44" s="295" t="s">
        <v>540</v>
      </c>
      <c r="D44" s="271" t="s">
        <v>33</v>
      </c>
      <c r="E44" s="293" t="s">
        <v>176</v>
      </c>
      <c r="F44" s="273">
        <v>1</v>
      </c>
      <c r="G44" s="259">
        <v>888.65</v>
      </c>
      <c r="H44" s="258">
        <f t="shared" si="0"/>
        <v>643.95000000000005</v>
      </c>
      <c r="I44" s="274">
        <f t="shared" si="1"/>
        <v>643.95000000000005</v>
      </c>
      <c r="J44" s="323"/>
      <c r="K44" s="257">
        <f t="shared" si="2"/>
        <v>1</v>
      </c>
      <c r="L44" s="258">
        <f t="shared" si="3"/>
        <v>643.95000000000005</v>
      </c>
      <c r="M44" s="258">
        <f t="shared" si="4"/>
        <v>643.95000000000005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643.95000000000005</v>
      </c>
      <c r="U44" s="264">
        <f t="shared" si="7"/>
        <v>643.95000000000005</v>
      </c>
      <c r="V44" s="265">
        <f t="shared" si="8"/>
        <v>0</v>
      </c>
      <c r="W44" s="265">
        <f t="shared" si="9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 t="s">
        <v>541</v>
      </c>
      <c r="C45" s="181" t="s">
        <v>542</v>
      </c>
      <c r="D45" s="271" t="s">
        <v>35</v>
      </c>
      <c r="E45" s="287" t="s">
        <v>176</v>
      </c>
      <c r="F45" s="288">
        <v>1</v>
      </c>
      <c r="G45" s="281">
        <v>103.21</v>
      </c>
      <c r="H45" s="277">
        <f t="shared" si="0"/>
        <v>74.790000000000006</v>
      </c>
      <c r="I45" s="289">
        <f t="shared" si="1"/>
        <v>74.790000000000006</v>
      </c>
      <c r="J45" s="323"/>
      <c r="K45" s="276">
        <f t="shared" si="2"/>
        <v>1</v>
      </c>
      <c r="L45" s="277">
        <f t="shared" si="3"/>
        <v>74.790000000000006</v>
      </c>
      <c r="M45" s="277">
        <f t="shared" si="4"/>
        <v>74.790000000000006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74.790000000000006</v>
      </c>
      <c r="U45" s="283">
        <f t="shared" si="7"/>
        <v>74.790000000000006</v>
      </c>
      <c r="V45" s="284">
        <f t="shared" si="8"/>
        <v>0</v>
      </c>
      <c r="W45" s="284">
        <f t="shared" si="9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 t="s">
        <v>543</v>
      </c>
      <c r="C46" s="295" t="s">
        <v>544</v>
      </c>
      <c r="D46" s="271" t="s">
        <v>36</v>
      </c>
      <c r="E46" s="293" t="s">
        <v>176</v>
      </c>
      <c r="F46" s="273">
        <v>2</v>
      </c>
      <c r="G46" s="259">
        <v>7.45</v>
      </c>
      <c r="H46" s="258">
        <f t="shared" si="0"/>
        <v>5.4</v>
      </c>
      <c r="I46" s="274">
        <f t="shared" si="1"/>
        <v>10.8</v>
      </c>
      <c r="J46" s="323"/>
      <c r="K46" s="257">
        <f t="shared" si="2"/>
        <v>2</v>
      </c>
      <c r="L46" s="258">
        <f t="shared" si="3"/>
        <v>5.4</v>
      </c>
      <c r="M46" s="258">
        <f t="shared" si="4"/>
        <v>10.8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5.4</v>
      </c>
      <c r="U46" s="264">
        <f t="shared" si="7"/>
        <v>10.8</v>
      </c>
      <c r="V46" s="265">
        <f t="shared" si="8"/>
        <v>0</v>
      </c>
      <c r="W46" s="265">
        <f t="shared" si="9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 t="s">
        <v>545</v>
      </c>
      <c r="C47" s="181" t="s">
        <v>546</v>
      </c>
      <c r="D47" s="271" t="s">
        <v>34</v>
      </c>
      <c r="E47" s="287" t="s">
        <v>176</v>
      </c>
      <c r="F47" s="288">
        <v>1</v>
      </c>
      <c r="G47" s="281">
        <v>16.59</v>
      </c>
      <c r="H47" s="277">
        <f t="shared" si="0"/>
        <v>12.02</v>
      </c>
      <c r="I47" s="289">
        <f t="shared" si="1"/>
        <v>12.02</v>
      </c>
      <c r="J47" s="323"/>
      <c r="K47" s="276">
        <f t="shared" si="2"/>
        <v>1</v>
      </c>
      <c r="L47" s="277">
        <f t="shared" si="3"/>
        <v>12.02</v>
      </c>
      <c r="M47" s="277">
        <f t="shared" si="4"/>
        <v>12.02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12.02</v>
      </c>
      <c r="U47" s="283">
        <f t="shared" si="7"/>
        <v>12.02</v>
      </c>
      <c r="V47" s="284">
        <f t="shared" si="8"/>
        <v>0</v>
      </c>
      <c r="W47" s="284">
        <f t="shared" si="9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 t="s">
        <v>547</v>
      </c>
      <c r="C48" s="295" t="s">
        <v>548</v>
      </c>
      <c r="D48" s="271" t="s">
        <v>34</v>
      </c>
      <c r="E48" s="293" t="s">
        <v>176</v>
      </c>
      <c r="F48" s="273">
        <v>1</v>
      </c>
      <c r="G48" s="259">
        <v>16.02</v>
      </c>
      <c r="H48" s="258">
        <f t="shared" si="0"/>
        <v>11.61</v>
      </c>
      <c r="I48" s="274">
        <f t="shared" si="1"/>
        <v>11.61</v>
      </c>
      <c r="J48" s="323"/>
      <c r="K48" s="257">
        <f t="shared" si="2"/>
        <v>1</v>
      </c>
      <c r="L48" s="258">
        <f t="shared" si="3"/>
        <v>11.61</v>
      </c>
      <c r="M48" s="258">
        <f t="shared" si="4"/>
        <v>11.61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11.61</v>
      </c>
      <c r="U48" s="264">
        <f t="shared" si="7"/>
        <v>11.61</v>
      </c>
      <c r="V48" s="265">
        <f t="shared" si="8"/>
        <v>0</v>
      </c>
      <c r="W48" s="265">
        <f t="shared" si="9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 t="s">
        <v>549</v>
      </c>
      <c r="C49" s="181" t="s">
        <v>550</v>
      </c>
      <c r="D49" s="271" t="s">
        <v>36</v>
      </c>
      <c r="E49" s="287" t="s">
        <v>176</v>
      </c>
      <c r="F49" s="288">
        <v>1</v>
      </c>
      <c r="G49" s="281">
        <v>203.26</v>
      </c>
      <c r="H49" s="277">
        <f t="shared" si="0"/>
        <v>147.29</v>
      </c>
      <c r="I49" s="289">
        <f t="shared" si="1"/>
        <v>147.29</v>
      </c>
      <c r="J49" s="323"/>
      <c r="K49" s="276">
        <f t="shared" si="2"/>
        <v>1</v>
      </c>
      <c r="L49" s="277">
        <f t="shared" si="3"/>
        <v>147.29</v>
      </c>
      <c r="M49" s="277">
        <f t="shared" si="4"/>
        <v>147.29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147.29</v>
      </c>
      <c r="U49" s="283">
        <f t="shared" si="7"/>
        <v>147.29</v>
      </c>
      <c r="V49" s="284">
        <f t="shared" si="8"/>
        <v>0</v>
      </c>
      <c r="W49" s="284">
        <f t="shared" si="9"/>
        <v>1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ref="H50:H80" si="10">ROUND(IF($G$17="USD $", G50*$F$15,G50*$E$15),2)</f>
        <v>0</v>
      </c>
      <c r="I50" s="274">
        <f t="shared" ref="I50:I80" si="11">ROUND(IF($I$17=$H$17,F50*H50,F50*G50),2)</f>
        <v>0</v>
      </c>
      <c r="J50" s="323"/>
      <c r="K50" s="257">
        <f t="shared" ref="K50:K80" si="12">F50</f>
        <v>0</v>
      </c>
      <c r="L50" s="258">
        <f t="shared" ref="L50:L80" si="13">IFERROR(IF(N50="OEM DISC %",ROUND(IF($L$17=$G$17,G50*(1-O50),H50*(1-O50)),2),IF(N50="MARKUP %",ROUND(S50/K50*(1+O50),2))),0)</f>
        <v>0</v>
      </c>
      <c r="M50" s="258">
        <f t="shared" ref="M50:M80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0" si="15">ROUND(IF($S$17=$R$17,R50,IF($S$17="USD $",R50*$E$15,R50*$F$15))*F50,2)</f>
        <v>0</v>
      </c>
      <c r="T50" s="264">
        <f t="shared" ref="T50:T80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 t="s">
        <v>551</v>
      </c>
      <c r="C51" s="181" t="s">
        <v>197</v>
      </c>
      <c r="D51" s="271" t="s">
        <v>22</v>
      </c>
      <c r="E51" s="287" t="s">
        <v>176</v>
      </c>
      <c r="F51" s="288">
        <v>1</v>
      </c>
      <c r="G51" s="281">
        <v>2372.85</v>
      </c>
      <c r="H51" s="277">
        <f t="shared" si="10"/>
        <v>1719.46</v>
      </c>
      <c r="I51" s="289">
        <f t="shared" si="11"/>
        <v>1719.46</v>
      </c>
      <c r="J51" s="323"/>
      <c r="K51" s="276">
        <f t="shared" si="12"/>
        <v>1</v>
      </c>
      <c r="L51" s="277">
        <f t="shared" si="13"/>
        <v>1719.46</v>
      </c>
      <c r="M51" s="277">
        <f t="shared" si="14"/>
        <v>1719.46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1719.46</v>
      </c>
      <c r="U51" s="283">
        <f t="shared" si="17"/>
        <v>1719.46</v>
      </c>
      <c r="V51" s="284">
        <f t="shared" si="18"/>
        <v>0</v>
      </c>
      <c r="W51" s="284">
        <f t="shared" si="19"/>
        <v>1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262" t="s">
        <v>453</v>
      </c>
      <c r="C52" s="295" t="s">
        <v>198</v>
      </c>
      <c r="D52" s="271" t="s">
        <v>199</v>
      </c>
      <c r="E52" s="293" t="s">
        <v>176</v>
      </c>
      <c r="F52" s="273">
        <v>1</v>
      </c>
      <c r="G52" s="259">
        <v>2124.39</v>
      </c>
      <c r="H52" s="258">
        <f t="shared" si="10"/>
        <v>1539.41</v>
      </c>
      <c r="I52" s="274">
        <f t="shared" si="11"/>
        <v>1539.41</v>
      </c>
      <c r="J52" s="323"/>
      <c r="K52" s="257">
        <f t="shared" si="12"/>
        <v>1</v>
      </c>
      <c r="L52" s="258">
        <f t="shared" si="13"/>
        <v>1539.41</v>
      </c>
      <c r="M52" s="258">
        <f t="shared" si="14"/>
        <v>1539.41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1539.41</v>
      </c>
      <c r="U52" s="264">
        <f t="shared" si="17"/>
        <v>1539.41</v>
      </c>
      <c r="V52" s="265">
        <f t="shared" si="18"/>
        <v>0</v>
      </c>
      <c r="W52" s="265">
        <f t="shared" si="19"/>
        <v>1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 t="s">
        <v>552</v>
      </c>
      <c r="C53" s="181" t="s">
        <v>200</v>
      </c>
      <c r="D53" s="271" t="s">
        <v>18</v>
      </c>
      <c r="E53" s="287" t="s">
        <v>176</v>
      </c>
      <c r="F53" s="288">
        <v>1</v>
      </c>
      <c r="G53" s="281">
        <v>789.43</v>
      </c>
      <c r="H53" s="277">
        <f t="shared" si="10"/>
        <v>572.04999999999995</v>
      </c>
      <c r="I53" s="289">
        <f t="shared" si="11"/>
        <v>572.04999999999995</v>
      </c>
      <c r="J53" s="323"/>
      <c r="K53" s="276">
        <f t="shared" si="12"/>
        <v>1</v>
      </c>
      <c r="L53" s="277">
        <f t="shared" si="13"/>
        <v>572.04999999999995</v>
      </c>
      <c r="M53" s="277">
        <f t="shared" si="14"/>
        <v>572.04999999999995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572.04999999999995</v>
      </c>
      <c r="U53" s="283">
        <f t="shared" si="17"/>
        <v>572.04999999999995</v>
      </c>
      <c r="V53" s="284">
        <f t="shared" si="18"/>
        <v>0</v>
      </c>
      <c r="W53" s="284">
        <f t="shared" si="19"/>
        <v>1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120</v>
      </c>
      <c r="G81" s="318">
        <f>SUM(G18:G80)</f>
        <v>163008.95000000001</v>
      </c>
      <c r="H81" s="308">
        <f>SUM(H18:H80)</f>
        <v>118122.40999999999</v>
      </c>
      <c r="I81" s="309">
        <f>SUM(I18:I80)</f>
        <v>128918.57</v>
      </c>
      <c r="J81" s="324"/>
      <c r="K81" s="307">
        <f>SUM(K18:K80)</f>
        <v>120</v>
      </c>
      <c r="L81" s="308">
        <f>SUM(L18:L80)</f>
        <v>118122.40999999999</v>
      </c>
      <c r="M81" s="309">
        <f>SUM(M18:M80)</f>
        <v>128918.57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118122.40999999999</v>
      </c>
      <c r="U81" s="309">
        <f>SUM(U18:U80)</f>
        <v>128918.57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T9:T10"/>
    <mergeCell ref="U9:U10"/>
    <mergeCell ref="V9:V10"/>
    <mergeCell ref="W9:W10"/>
    <mergeCell ref="X9:X10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T1:X1"/>
    <mergeCell ref="B1:C1"/>
    <mergeCell ref="E1:H1"/>
    <mergeCell ref="I1:L1"/>
    <mergeCell ref="M1:P1"/>
    <mergeCell ref="Q1:S1"/>
  </mergeCells>
  <conditionalFormatting sqref="V9:V10">
    <cfRule type="expression" dxfId="31" priority="3" stopIfTrue="1">
      <formula>$V$9&gt;100%</formula>
    </cfRule>
    <cfRule type="expression" dxfId="30" priority="4">
      <formula>$V$9&lt;50%</formula>
    </cfRule>
  </conditionalFormatting>
  <conditionalFormatting sqref="W9:W10">
    <cfRule type="expression" dxfId="29" priority="1">
      <formula>$W$9&lt;50%</formula>
    </cfRule>
    <cfRule type="expression" dxfId="28" priority="2">
      <formula>$W$9&gt;50%</formula>
    </cfRule>
  </conditionalFormatting>
  <dataValidations count="7">
    <dataValidation type="list" showInputMessage="1" showErrorMessage="1" sqref="E21:E49" xr:uid="{FE267F56-015F-4125-A493-55E2A9DB517E}">
      <formula1>$Z$18:$Z$29</formula1>
    </dataValidation>
    <dataValidation type="list" allowBlank="1" showInputMessage="1" showErrorMessage="1" sqref="G17 R14 R17 L17" xr:uid="{BC9C13FA-9289-450C-868D-7CA30B9603D7}">
      <formula1>$Z$11:$Z$12</formula1>
    </dataValidation>
    <dataValidation type="list" allowBlank="1" showInputMessage="1" showErrorMessage="1" sqref="I13" xr:uid="{7B106F95-16B7-4554-817B-5DF94D918522}">
      <formula1>$Z$13:$Z$14</formula1>
    </dataValidation>
    <dataValidation type="list" allowBlank="1" showInputMessage="1" showErrorMessage="1" sqref="J13" xr:uid="{463F708E-C522-44F4-9953-1EE522A94291}">
      <formula1>$L$9:$L$9</formula1>
    </dataValidation>
    <dataValidation type="list" showInputMessage="1" showErrorMessage="1" sqref="E50:E80" xr:uid="{D470F810-30A5-438B-9D27-7F3D9AE63465}">
      <formula1>$AA$18:$AA$29</formula1>
    </dataValidation>
    <dataValidation type="list" allowBlank="1" showInputMessage="1" showErrorMessage="1" sqref="N18:N80" xr:uid="{B4A84BC5-1A4C-41C5-A416-67173D51D49C}">
      <formula1>$Z$31:$Z$32</formula1>
    </dataValidation>
    <dataValidation type="list" allowBlank="1" showInputMessage="1" showErrorMessage="1" sqref="G2" xr:uid="{1ABA268E-4F73-49DA-A031-C2AABAE477A0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53E9D8-F732-41AD-9A93-C66BAF93B395}">
          <x14:formula1>
            <xm:f>'Product Type'!$A$1:$A$55</xm:f>
          </x14:formula1>
          <xm:sqref>D18:D63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AF0C-2742-4DA7-ACB3-B685F65CB232}">
  <sheetPr>
    <pageSetUpPr fitToPage="1"/>
  </sheetPr>
  <dimension ref="A1:AC83"/>
  <sheetViews>
    <sheetView topLeftCell="A39" zoomScale="85" zoomScaleNormal="85" workbookViewId="0">
      <selection activeCell="C51" sqref="C51:E53"/>
    </sheetView>
  </sheetViews>
  <sheetFormatPr defaultColWidth="9.140625" defaultRowHeight="15" x14ac:dyDescent="0.25"/>
  <cols>
    <col min="1" max="1" width="0.85546875" style="164" customWidth="1"/>
    <col min="2" max="2" width="25.7109375" style="164" customWidth="1"/>
    <col min="3" max="3" width="43.28515625" style="164" customWidth="1"/>
    <col min="4" max="4" width="16.28515625" style="164" customWidth="1"/>
    <col min="5" max="5" width="9.7109375" style="166" customWidth="1"/>
    <col min="6" max="6" width="9.7109375" style="164" customWidth="1"/>
    <col min="7" max="9" width="18.7109375" style="164" customWidth="1"/>
    <col min="10" max="10" width="0.85546875" style="164" customWidth="1"/>
    <col min="11" max="11" width="9.5703125" style="164" customWidth="1"/>
    <col min="12" max="14" width="18.7109375" style="164" customWidth="1"/>
    <col min="15" max="15" width="13.7109375" style="164" customWidth="1"/>
    <col min="16" max="16" width="0.85546875" style="164" customWidth="1"/>
    <col min="17" max="17" width="17.85546875" style="164" customWidth="1"/>
    <col min="18" max="21" width="18.7109375" style="164" customWidth="1"/>
    <col min="22" max="22" width="15" style="164" bestFit="1" customWidth="1"/>
    <col min="23" max="23" width="14.7109375" style="164" bestFit="1" customWidth="1"/>
    <col min="24" max="24" width="13.42578125" style="164" hidden="1" customWidth="1"/>
    <col min="25" max="25" width="0.85546875" style="164" customWidth="1"/>
    <col min="26" max="27" width="9.140625" style="164" hidden="1" customWidth="1"/>
    <col min="28" max="28" width="9.140625" style="164" customWidth="1"/>
    <col min="29" max="29" width="10.5703125" style="164" bestFit="1" customWidth="1"/>
    <col min="30" max="16384" width="9.140625" style="164"/>
  </cols>
  <sheetData>
    <row r="1" spans="1:29" ht="23.25" customHeight="1" x14ac:dyDescent="0.25">
      <c r="A1" s="167"/>
      <c r="B1" s="717" t="s">
        <v>73</v>
      </c>
      <c r="C1" s="546"/>
      <c r="D1" s="168"/>
      <c r="E1" s="718" t="s">
        <v>74</v>
      </c>
      <c r="F1" s="547"/>
      <c r="G1" s="547"/>
      <c r="H1" s="548"/>
      <c r="I1" s="546" t="s">
        <v>75</v>
      </c>
      <c r="J1" s="547"/>
      <c r="K1" s="547"/>
      <c r="L1" s="548"/>
      <c r="M1" s="552" t="s">
        <v>76</v>
      </c>
      <c r="N1" s="553"/>
      <c r="O1" s="553"/>
      <c r="P1" s="553"/>
      <c r="Q1" s="547" t="str">
        <f>L17</f>
        <v>USD $</v>
      </c>
      <c r="R1" s="547"/>
      <c r="S1" s="548"/>
      <c r="T1" s="546" t="s">
        <v>77</v>
      </c>
      <c r="U1" s="547"/>
      <c r="V1" s="547"/>
      <c r="W1" s="547"/>
      <c r="X1" s="548"/>
      <c r="Y1" s="169"/>
      <c r="Z1" s="170"/>
      <c r="AA1" s="171"/>
      <c r="AB1" s="171"/>
      <c r="AC1" s="171"/>
    </row>
    <row r="2" spans="1:29" ht="15" customHeight="1" x14ac:dyDescent="0.25">
      <c r="A2" s="167"/>
      <c r="B2" s="172" t="s">
        <v>78</v>
      </c>
      <c r="C2" s="173"/>
      <c r="D2" s="173"/>
      <c r="E2" s="556" t="s">
        <v>55</v>
      </c>
      <c r="F2" s="557"/>
      <c r="G2" s="174" t="s">
        <v>57</v>
      </c>
      <c r="H2" s="175"/>
      <c r="I2" s="558" t="s">
        <v>79</v>
      </c>
      <c r="J2" s="559"/>
      <c r="K2" s="560"/>
      <c r="L2" s="176"/>
      <c r="M2" s="561" t="s">
        <v>71</v>
      </c>
      <c r="N2" s="562"/>
      <c r="O2" s="563"/>
      <c r="P2" s="177"/>
      <c r="Q2" s="565">
        <f>I81</f>
        <v>111459.62000000002</v>
      </c>
      <c r="R2" s="565"/>
      <c r="S2" s="566"/>
      <c r="T2" s="567" t="s">
        <v>80</v>
      </c>
      <c r="U2" s="568"/>
      <c r="V2" s="569"/>
      <c r="W2" s="570"/>
      <c r="X2" s="178"/>
      <c r="Y2" s="179"/>
      <c r="Z2" s="170"/>
      <c r="AA2" s="171"/>
      <c r="AB2" s="171"/>
      <c r="AC2" s="171"/>
    </row>
    <row r="3" spans="1:29" ht="15" customHeight="1" x14ac:dyDescent="0.25">
      <c r="A3" s="167"/>
      <c r="B3" s="180" t="s">
        <v>81</v>
      </c>
      <c r="C3" s="181"/>
      <c r="D3" s="181"/>
      <c r="E3" s="556" t="s">
        <v>67</v>
      </c>
      <c r="F3" s="557"/>
      <c r="G3" s="174" t="s">
        <v>164</v>
      </c>
      <c r="H3" s="175"/>
      <c r="I3" s="571" t="s">
        <v>83</v>
      </c>
      <c r="J3" s="572"/>
      <c r="K3" s="573"/>
      <c r="L3" s="182"/>
      <c r="M3" s="574" t="s">
        <v>72</v>
      </c>
      <c r="N3" s="575"/>
      <c r="O3" s="576"/>
      <c r="P3" s="177"/>
      <c r="Q3" s="578">
        <f>M81</f>
        <v>111459.62000000002</v>
      </c>
      <c r="R3" s="578"/>
      <c r="S3" s="579"/>
      <c r="T3" s="580" t="s">
        <v>84</v>
      </c>
      <c r="U3" s="581"/>
      <c r="V3" s="554"/>
      <c r="W3" s="555"/>
      <c r="X3" s="183"/>
      <c r="Y3" s="167"/>
      <c r="Z3" s="184"/>
      <c r="AA3" s="171"/>
      <c r="AB3" s="171"/>
      <c r="AC3" s="171"/>
    </row>
    <row r="4" spans="1:29" ht="15" customHeight="1" x14ac:dyDescent="0.25">
      <c r="A4" s="167"/>
      <c r="B4" s="185" t="s">
        <v>85</v>
      </c>
      <c r="C4" s="181"/>
      <c r="D4" s="181"/>
      <c r="E4" s="556" t="s">
        <v>68</v>
      </c>
      <c r="F4" s="557"/>
      <c r="G4" s="174" t="s">
        <v>555</v>
      </c>
      <c r="H4" s="175"/>
      <c r="I4" s="571" t="s">
        <v>86</v>
      </c>
      <c r="J4" s="572"/>
      <c r="K4" s="573"/>
      <c r="L4" s="182"/>
      <c r="M4" s="574" t="s">
        <v>87</v>
      </c>
      <c r="N4" s="575"/>
      <c r="O4" s="576"/>
      <c r="P4" s="177"/>
      <c r="Q4" s="578">
        <f>Q2-Q3</f>
        <v>0</v>
      </c>
      <c r="R4" s="578"/>
      <c r="S4" s="579"/>
      <c r="T4" s="580" t="s">
        <v>88</v>
      </c>
      <c r="U4" s="581"/>
      <c r="V4" s="554"/>
      <c r="W4" s="555"/>
      <c r="X4" s="183"/>
      <c r="Y4" s="167"/>
      <c r="Z4" s="184"/>
      <c r="AA4" s="171"/>
      <c r="AB4" s="171"/>
      <c r="AC4" s="171"/>
    </row>
    <row r="5" spans="1:29" ht="15" customHeight="1" x14ac:dyDescent="0.25">
      <c r="A5" s="167"/>
      <c r="B5" s="185" t="s">
        <v>89</v>
      </c>
      <c r="C5" s="181"/>
      <c r="D5" s="181"/>
      <c r="E5" s="556" t="s">
        <v>90</v>
      </c>
      <c r="F5" s="557"/>
      <c r="G5" s="174" t="s">
        <v>556</v>
      </c>
      <c r="H5" s="175"/>
      <c r="I5" s="571" t="s">
        <v>91</v>
      </c>
      <c r="J5" s="572"/>
      <c r="K5" s="573"/>
      <c r="L5" s="182"/>
      <c r="M5" s="582" t="s">
        <v>92</v>
      </c>
      <c r="N5" s="583"/>
      <c r="O5" s="584"/>
      <c r="P5" s="177"/>
      <c r="Q5" s="586">
        <f>IFERROR((Q2-Q3)/Q2,"")</f>
        <v>0</v>
      </c>
      <c r="R5" s="586"/>
      <c r="S5" s="587"/>
      <c r="T5" s="580" t="s">
        <v>93</v>
      </c>
      <c r="U5" s="581"/>
      <c r="V5" s="554"/>
      <c r="W5" s="555"/>
      <c r="X5" s="183"/>
      <c r="Y5" s="167"/>
      <c r="Z5" s="184"/>
      <c r="AA5" s="171"/>
      <c r="AB5" s="171"/>
      <c r="AC5" s="171"/>
    </row>
    <row r="6" spans="1:29" ht="15" customHeight="1" x14ac:dyDescent="0.25">
      <c r="A6" s="167"/>
      <c r="B6" s="185" t="s">
        <v>94</v>
      </c>
      <c r="C6" s="186"/>
      <c r="D6" s="186"/>
      <c r="E6" s="556" t="s">
        <v>69</v>
      </c>
      <c r="F6" s="557"/>
      <c r="G6" s="174" t="s">
        <v>557</v>
      </c>
      <c r="H6" s="175"/>
      <c r="I6" s="571" t="s">
        <v>95</v>
      </c>
      <c r="J6" s="572"/>
      <c r="K6" s="573"/>
      <c r="L6" s="182"/>
      <c r="M6" s="590" t="s">
        <v>96</v>
      </c>
      <c r="N6" s="591"/>
      <c r="O6" s="592"/>
      <c r="P6" s="177"/>
      <c r="Q6" s="594">
        <f>U81</f>
        <v>111459.62000000002</v>
      </c>
      <c r="R6" s="594"/>
      <c r="S6" s="595"/>
      <c r="T6" s="580" t="s">
        <v>97</v>
      </c>
      <c r="U6" s="581"/>
      <c r="V6" s="554"/>
      <c r="W6" s="555"/>
      <c r="X6" s="187"/>
      <c r="Y6" s="188"/>
      <c r="Z6" s="189"/>
      <c r="AA6" s="171"/>
      <c r="AB6" s="171"/>
      <c r="AC6" s="171"/>
    </row>
    <row r="7" spans="1:29" ht="15" customHeight="1" x14ac:dyDescent="0.25">
      <c r="A7" s="167"/>
      <c r="B7" s="185" t="s">
        <v>98</v>
      </c>
      <c r="C7" s="190"/>
      <c r="D7" s="190"/>
      <c r="E7" s="556" t="s">
        <v>99</v>
      </c>
      <c r="F7" s="557"/>
      <c r="G7" s="174" t="s">
        <v>558</v>
      </c>
      <c r="H7" s="175"/>
      <c r="I7" s="571" t="s">
        <v>100</v>
      </c>
      <c r="J7" s="572"/>
      <c r="K7" s="573"/>
      <c r="L7" s="182"/>
      <c r="M7" s="596" t="s">
        <v>101</v>
      </c>
      <c r="N7" s="597"/>
      <c r="O7" s="598"/>
      <c r="P7" s="177"/>
      <c r="Q7" s="600">
        <f>S81</f>
        <v>0</v>
      </c>
      <c r="R7" s="600"/>
      <c r="S7" s="601"/>
      <c r="T7" s="602" t="s">
        <v>102</v>
      </c>
      <c r="U7" s="603"/>
      <c r="V7" s="588"/>
      <c r="W7" s="589"/>
      <c r="X7" s="187"/>
      <c r="Y7" s="191"/>
      <c r="Z7" s="171"/>
      <c r="AA7" s="171"/>
      <c r="AB7" s="171"/>
      <c r="AC7" s="171"/>
    </row>
    <row r="8" spans="1:29" ht="15" customHeight="1" x14ac:dyDescent="0.25">
      <c r="A8" s="167"/>
      <c r="B8" s="192"/>
      <c r="C8" s="193"/>
      <c r="D8" s="193"/>
      <c r="E8" s="556" t="s">
        <v>103</v>
      </c>
      <c r="F8" s="557"/>
      <c r="G8" s="174"/>
      <c r="H8" s="175"/>
      <c r="I8" s="571" t="s">
        <v>104</v>
      </c>
      <c r="J8" s="572"/>
      <c r="K8" s="573"/>
      <c r="L8" s="182"/>
      <c r="M8" s="596" t="s">
        <v>105</v>
      </c>
      <c r="N8" s="597"/>
      <c r="O8" s="598"/>
      <c r="P8" s="177"/>
      <c r="Q8" s="600">
        <f>IF(Q1=R14,S14,IF(R14="CAD $",S14*E15,IF(R14="USD $",S14*F15,0)))</f>
        <v>0</v>
      </c>
      <c r="R8" s="600"/>
      <c r="S8" s="601"/>
      <c r="T8" s="194" t="s">
        <v>106</v>
      </c>
      <c r="U8" s="195" t="s">
        <v>107</v>
      </c>
      <c r="V8" s="195" t="s">
        <v>108</v>
      </c>
      <c r="W8" s="196" t="s">
        <v>109</v>
      </c>
      <c r="X8" s="197"/>
      <c r="Y8" s="198"/>
      <c r="Z8" s="171"/>
      <c r="AA8" s="171"/>
      <c r="AB8" s="171"/>
      <c r="AC8" s="171"/>
    </row>
    <row r="9" spans="1:29" ht="15" customHeight="1" x14ac:dyDescent="0.25">
      <c r="A9" s="167"/>
      <c r="B9" s="193"/>
      <c r="C9" s="193"/>
      <c r="D9" s="193"/>
      <c r="E9" s="556" t="s">
        <v>110</v>
      </c>
      <c r="F9" s="557"/>
      <c r="G9" s="174"/>
      <c r="H9" s="175"/>
      <c r="I9" s="199"/>
      <c r="J9" s="200"/>
      <c r="K9" s="200"/>
      <c r="L9" s="201"/>
      <c r="M9" s="596" t="s">
        <v>111</v>
      </c>
      <c r="N9" s="597"/>
      <c r="O9" s="598"/>
      <c r="P9" s="177"/>
      <c r="Q9" s="609">
        <f>W14</f>
        <v>0</v>
      </c>
      <c r="R9" s="609"/>
      <c r="S9" s="610"/>
      <c r="T9" s="611">
        <f>Q7+Q8+Q9</f>
        <v>0</v>
      </c>
      <c r="U9" s="611">
        <f>Q3-T9</f>
        <v>111459.62000000002</v>
      </c>
      <c r="V9" s="613">
        <f>IFERROR(((Q3-T9)/T9),0)</f>
        <v>0</v>
      </c>
      <c r="W9" s="613">
        <f>IFERROR(U9/Q3,0)</f>
        <v>1</v>
      </c>
      <c r="X9" s="615"/>
      <c r="Y9" s="198"/>
      <c r="Z9" s="171"/>
      <c r="AA9" s="171"/>
      <c r="AB9" s="171"/>
      <c r="AC9" s="171"/>
    </row>
    <row r="10" spans="1:29" ht="15" customHeight="1" x14ac:dyDescent="0.25">
      <c r="A10" s="167"/>
      <c r="B10" s="193"/>
      <c r="C10" s="193"/>
      <c r="D10" s="193"/>
      <c r="E10" s="556" t="s">
        <v>70</v>
      </c>
      <c r="F10" s="557"/>
      <c r="G10" s="174"/>
      <c r="H10" s="175"/>
      <c r="I10" s="199"/>
      <c r="J10" s="200"/>
      <c r="K10" s="200"/>
      <c r="L10" s="201"/>
      <c r="M10" s="580" t="s">
        <v>112</v>
      </c>
      <c r="N10" s="604"/>
      <c r="O10" s="581"/>
      <c r="P10" s="177"/>
      <c r="Q10" s="606">
        <f>F81</f>
        <v>120</v>
      </c>
      <c r="R10" s="606"/>
      <c r="S10" s="607"/>
      <c r="T10" s="612"/>
      <c r="U10" s="612"/>
      <c r="V10" s="614"/>
      <c r="W10" s="614"/>
      <c r="X10" s="616"/>
      <c r="Y10" s="198"/>
      <c r="Z10" s="171"/>
      <c r="AA10" s="171"/>
      <c r="AB10" s="171"/>
      <c r="AC10" s="171"/>
    </row>
    <row r="11" spans="1:29" ht="15" customHeight="1" x14ac:dyDescent="0.25">
      <c r="A11" s="167"/>
      <c r="B11" s="713"/>
      <c r="C11" s="714"/>
      <c r="D11" s="202"/>
      <c r="E11" s="623" t="s">
        <v>113</v>
      </c>
      <c r="F11" s="624"/>
      <c r="G11" s="629" t="s">
        <v>71</v>
      </c>
      <c r="H11" s="630"/>
      <c r="I11" s="631"/>
      <c r="J11" s="203"/>
      <c r="K11" s="635" t="s">
        <v>114</v>
      </c>
      <c r="L11" s="636"/>
      <c r="M11" s="636"/>
      <c r="N11" s="636"/>
      <c r="O11" s="637"/>
      <c r="P11" s="177"/>
      <c r="Q11" s="644" t="s">
        <v>115</v>
      </c>
      <c r="R11" s="630"/>
      <c r="S11" s="630"/>
      <c r="T11" s="630"/>
      <c r="U11" s="630"/>
      <c r="V11" s="630"/>
      <c r="W11" s="645"/>
      <c r="X11" s="204"/>
      <c r="Y11" s="205"/>
      <c r="Z11" s="171" t="s">
        <v>116</v>
      </c>
      <c r="AA11" s="171"/>
      <c r="AB11" s="171"/>
      <c r="AC11" s="171"/>
    </row>
    <row r="12" spans="1:29" ht="15" customHeight="1" x14ac:dyDescent="0.25">
      <c r="A12" s="167"/>
      <c r="B12" s="715"/>
      <c r="C12" s="716"/>
      <c r="D12" s="206"/>
      <c r="E12" s="625"/>
      <c r="F12" s="626"/>
      <c r="G12" s="632"/>
      <c r="H12" s="633"/>
      <c r="I12" s="634"/>
      <c r="J12" s="207"/>
      <c r="K12" s="638"/>
      <c r="L12" s="639"/>
      <c r="M12" s="639"/>
      <c r="N12" s="639"/>
      <c r="O12" s="640"/>
      <c r="P12" s="208"/>
      <c r="Q12" s="646"/>
      <c r="R12" s="647"/>
      <c r="S12" s="647"/>
      <c r="T12" s="647"/>
      <c r="U12" s="647"/>
      <c r="V12" s="647"/>
      <c r="W12" s="648"/>
      <c r="X12" s="209"/>
      <c r="Y12" s="205"/>
      <c r="Z12" s="171" t="s">
        <v>117</v>
      </c>
      <c r="AA12" s="171"/>
      <c r="AB12" s="171"/>
      <c r="AC12" s="171"/>
    </row>
    <row r="13" spans="1:29" ht="15" customHeight="1" x14ac:dyDescent="0.25">
      <c r="A13" s="167"/>
      <c r="B13" s="715"/>
      <c r="C13" s="716"/>
      <c r="D13" s="210"/>
      <c r="E13" s="627"/>
      <c r="F13" s="628"/>
      <c r="G13" s="649" t="s">
        <v>118</v>
      </c>
      <c r="H13" s="650"/>
      <c r="I13" s="211" t="s">
        <v>119</v>
      </c>
      <c r="J13" s="212"/>
      <c r="K13" s="641"/>
      <c r="L13" s="642"/>
      <c r="M13" s="642"/>
      <c r="N13" s="642"/>
      <c r="O13" s="643"/>
      <c r="P13" s="208"/>
      <c r="Q13" s="646"/>
      <c r="R13" s="647"/>
      <c r="S13" s="647"/>
      <c r="T13" s="647"/>
      <c r="U13" s="647"/>
      <c r="V13" s="647"/>
      <c r="W13" s="648"/>
      <c r="X13" s="213"/>
      <c r="Y13" s="205"/>
      <c r="Z13" s="171" t="s">
        <v>119</v>
      </c>
      <c r="AA13" s="171"/>
      <c r="AB13" s="171"/>
      <c r="AC13" s="171"/>
    </row>
    <row r="14" spans="1:29" ht="30" customHeight="1" x14ac:dyDescent="0.25">
      <c r="A14" s="167"/>
      <c r="B14" s="715"/>
      <c r="C14" s="716"/>
      <c r="D14" s="214"/>
      <c r="E14" s="215" t="s">
        <v>120</v>
      </c>
      <c r="F14" s="216" t="s">
        <v>121</v>
      </c>
      <c r="G14" s="651" t="s">
        <v>122</v>
      </c>
      <c r="H14" s="652"/>
      <c r="I14" s="653"/>
      <c r="J14" s="217"/>
      <c r="K14" s="654" t="s">
        <v>123</v>
      </c>
      <c r="L14" s="655"/>
      <c r="M14" s="656" t="s">
        <v>124</v>
      </c>
      <c r="N14" s="657"/>
      <c r="O14" s="658"/>
      <c r="P14" s="218"/>
      <c r="Q14" s="219" t="s">
        <v>125</v>
      </c>
      <c r="R14" s="220" t="s">
        <v>117</v>
      </c>
      <c r="S14" s="221"/>
      <c r="T14" s="219" t="s">
        <v>126</v>
      </c>
      <c r="U14" s="222">
        <v>2.5000000000000001E-2</v>
      </c>
      <c r="V14" s="219" t="s">
        <v>127</v>
      </c>
      <c r="W14" s="223">
        <f>ROUND(S81*U14,2)</f>
        <v>0</v>
      </c>
      <c r="X14" s="224"/>
      <c r="Y14" s="205"/>
      <c r="Z14" s="171" t="s">
        <v>128</v>
      </c>
      <c r="AA14" s="171"/>
      <c r="AB14" s="171"/>
      <c r="AC14" s="171"/>
    </row>
    <row r="15" spans="1:29" ht="15" customHeight="1" x14ac:dyDescent="0.25">
      <c r="A15" s="167"/>
      <c r="B15" s="715"/>
      <c r="C15" s="716"/>
      <c r="D15" s="206"/>
      <c r="E15" s="225">
        <f>1/F15</f>
        <v>0.7246376811594204</v>
      </c>
      <c r="F15" s="226">
        <v>1.38</v>
      </c>
      <c r="G15" s="662"/>
      <c r="H15" s="663"/>
      <c r="I15" s="664"/>
      <c r="J15" s="227"/>
      <c r="K15" s="627"/>
      <c r="L15" s="628"/>
      <c r="M15" s="659"/>
      <c r="N15" s="660"/>
      <c r="O15" s="661"/>
      <c r="P15" s="218"/>
      <c r="Q15" s="665" t="s">
        <v>129</v>
      </c>
      <c r="R15" s="666"/>
      <c r="S15" s="666"/>
      <c r="T15" s="666"/>
      <c r="U15" s="666"/>
      <c r="V15" s="666"/>
      <c r="W15" s="667"/>
      <c r="X15" s="228"/>
      <c r="Y15" s="229"/>
      <c r="Z15" s="171"/>
      <c r="AA15" s="171"/>
      <c r="AB15" s="171"/>
      <c r="AC15" s="171"/>
    </row>
    <row r="16" spans="1:29" ht="15" customHeight="1" x14ac:dyDescent="0.25">
      <c r="A16" s="167"/>
      <c r="B16" s="702" t="s">
        <v>150</v>
      </c>
      <c r="C16" s="704" t="s">
        <v>151</v>
      </c>
      <c r="D16" s="706" t="s">
        <v>152</v>
      </c>
      <c r="E16" s="708" t="s">
        <v>153</v>
      </c>
      <c r="F16" s="710" t="s">
        <v>138</v>
      </c>
      <c r="G16" s="705" t="s">
        <v>154</v>
      </c>
      <c r="H16" s="712"/>
      <c r="I16" s="237" t="s">
        <v>155</v>
      </c>
      <c r="J16" s="320"/>
      <c r="K16" s="671" t="s">
        <v>138</v>
      </c>
      <c r="L16" s="239" t="s">
        <v>139</v>
      </c>
      <c r="M16" s="240" t="s">
        <v>140</v>
      </c>
      <c r="N16" s="673" t="s">
        <v>141</v>
      </c>
      <c r="O16" s="673" t="s">
        <v>142</v>
      </c>
      <c r="P16" s="241"/>
      <c r="Q16" s="700" t="s">
        <v>143</v>
      </c>
      <c r="R16" s="242" t="s">
        <v>144</v>
      </c>
      <c r="S16" s="242" t="s">
        <v>145</v>
      </c>
      <c r="T16" s="243" t="s">
        <v>146</v>
      </c>
      <c r="U16" s="243" t="s">
        <v>147</v>
      </c>
      <c r="V16" s="240" t="s">
        <v>148</v>
      </c>
      <c r="W16" s="240" t="s">
        <v>149</v>
      </c>
      <c r="X16" s="244"/>
      <c r="Y16" s="245"/>
      <c r="Z16" s="171"/>
      <c r="AA16" s="171"/>
      <c r="AB16" s="171"/>
      <c r="AC16" s="171"/>
    </row>
    <row r="17" spans="1:29" s="165" customFormat="1" ht="15" customHeight="1" x14ac:dyDescent="0.25">
      <c r="A17" s="246"/>
      <c r="B17" s="703"/>
      <c r="C17" s="705"/>
      <c r="D17" s="707"/>
      <c r="E17" s="709"/>
      <c r="F17" s="711"/>
      <c r="G17" s="220" t="s">
        <v>116</v>
      </c>
      <c r="H17" s="254" t="str">
        <f>IF(G17="USD $", "CAD $", "USD $")</f>
        <v>USD $</v>
      </c>
      <c r="I17" s="255" t="str">
        <f>L17</f>
        <v>USD $</v>
      </c>
      <c r="J17" s="321"/>
      <c r="K17" s="672"/>
      <c r="L17" s="679" t="s">
        <v>117</v>
      </c>
      <c r="M17" s="680"/>
      <c r="N17" s="674"/>
      <c r="O17" s="674"/>
      <c r="P17" s="248"/>
      <c r="Q17" s="701"/>
      <c r="R17" s="220" t="s">
        <v>117</v>
      </c>
      <c r="S17" s="668" t="str">
        <f>L17</f>
        <v>USD $</v>
      </c>
      <c r="T17" s="669"/>
      <c r="U17" s="669"/>
      <c r="V17" s="669"/>
      <c r="W17" s="670"/>
      <c r="X17" s="249"/>
      <c r="Y17" s="250"/>
      <c r="Z17" s="251"/>
      <c r="AA17" s="251"/>
      <c r="AB17" s="251"/>
      <c r="AC17" s="251"/>
    </row>
    <row r="18" spans="1:29" x14ac:dyDescent="0.25">
      <c r="A18" s="167"/>
      <c r="B18" s="262" t="s">
        <v>559</v>
      </c>
      <c r="C18" s="325" t="s">
        <v>210</v>
      </c>
      <c r="D18" s="271" t="s">
        <v>510</v>
      </c>
      <c r="E18" s="333">
        <v>375</v>
      </c>
      <c r="F18" s="273">
        <v>1</v>
      </c>
      <c r="G18" s="259">
        <v>33.31</v>
      </c>
      <c r="H18" s="258">
        <f t="shared" ref="H18:H49" si="0">ROUND(IF($G$17="USD $", G18*$F$15,G18*$E$15),2)</f>
        <v>24.14</v>
      </c>
      <c r="I18" s="274">
        <f t="shared" ref="I18:I49" si="1">ROUND(IF($I$17=$H$17,F18*H18,F18*G18),2)</f>
        <v>24.14</v>
      </c>
      <c r="J18" s="322"/>
      <c r="K18" s="257">
        <f t="shared" ref="K18:K49" si="2">F18</f>
        <v>1</v>
      </c>
      <c r="L18" s="258">
        <f t="shared" ref="L18:L49" si="3">IFERROR(IF(N18="OEM DISC %",ROUND(IF($L$17=$G$17,G18*(1-O18),H18*(1-O18)),2),IF(N18="MARKUP %",ROUND(S18/K18*(1+O18),2))),0)</f>
        <v>24.14</v>
      </c>
      <c r="M18" s="258">
        <f t="shared" ref="M18:M49" si="4">ROUND((K18*L18),2)</f>
        <v>24.14</v>
      </c>
      <c r="N18" s="259" t="s">
        <v>156</v>
      </c>
      <c r="O18" s="260"/>
      <c r="P18" s="261"/>
      <c r="Q18" s="262"/>
      <c r="R18" s="263"/>
      <c r="S18" s="264">
        <f t="shared" ref="S18:S49" si="5">ROUND(IF($S$17=$R$17,R18,IF($S$17="USD $",R18*$E$15,R18*$F$15))*F18,2)</f>
        <v>0</v>
      </c>
      <c r="T18" s="264">
        <f t="shared" ref="T18:T49" si="6">IFERROR(ROUND(U18/F18,2),0)</f>
        <v>24.14</v>
      </c>
      <c r="U18" s="264">
        <f t="shared" ref="U18:U49" si="7">ROUND(M18-S18,2)</f>
        <v>24.14</v>
      </c>
      <c r="V18" s="265">
        <f t="shared" ref="V18:V49" si="8">IFERROR(((L18-(S18/K18))/(S18/K18)),0)</f>
        <v>0</v>
      </c>
      <c r="W18" s="265">
        <f t="shared" ref="W18:W49" si="9">IFERROR(((L18-(S18/K18))/L18),0)</f>
        <v>1</v>
      </c>
      <c r="X18" s="266"/>
      <c r="Y18" s="267"/>
      <c r="Z18" s="171"/>
      <c r="AA18" s="171">
        <v>250</v>
      </c>
      <c r="AB18" s="268"/>
      <c r="AC18" s="269"/>
    </row>
    <row r="19" spans="1:29" x14ac:dyDescent="0.25">
      <c r="A19" s="167"/>
      <c r="B19" s="280" t="s">
        <v>511</v>
      </c>
      <c r="C19" s="181" t="s">
        <v>512</v>
      </c>
      <c r="D19" s="271" t="s">
        <v>513</v>
      </c>
      <c r="E19" s="334">
        <v>375</v>
      </c>
      <c r="F19" s="288">
        <v>1</v>
      </c>
      <c r="G19" s="281">
        <v>108.43</v>
      </c>
      <c r="H19" s="277">
        <f t="shared" si="0"/>
        <v>78.569999999999993</v>
      </c>
      <c r="I19" s="289">
        <f t="shared" si="1"/>
        <v>78.569999999999993</v>
      </c>
      <c r="J19" s="323"/>
      <c r="K19" s="276">
        <f t="shared" si="2"/>
        <v>1</v>
      </c>
      <c r="L19" s="277">
        <f t="shared" si="3"/>
        <v>78.569999999999993</v>
      </c>
      <c r="M19" s="277">
        <f t="shared" si="4"/>
        <v>78.569999999999993</v>
      </c>
      <c r="N19" s="278" t="s">
        <v>156</v>
      </c>
      <c r="O19" s="279"/>
      <c r="P19" s="261"/>
      <c r="Q19" s="280"/>
      <c r="R19" s="281"/>
      <c r="S19" s="282">
        <f t="shared" si="5"/>
        <v>0</v>
      </c>
      <c r="T19" s="283">
        <f t="shared" si="6"/>
        <v>78.569999999999993</v>
      </c>
      <c r="U19" s="283">
        <f t="shared" si="7"/>
        <v>78.569999999999993</v>
      </c>
      <c r="V19" s="284">
        <f t="shared" si="8"/>
        <v>0</v>
      </c>
      <c r="W19" s="284">
        <f t="shared" si="9"/>
        <v>1</v>
      </c>
      <c r="X19" s="285"/>
      <c r="Y19" s="267"/>
      <c r="Z19" s="171" t="s">
        <v>158</v>
      </c>
      <c r="AA19" s="171">
        <v>500</v>
      </c>
      <c r="AB19" s="171"/>
      <c r="AC19" s="171"/>
    </row>
    <row r="20" spans="1:29" x14ac:dyDescent="0.25">
      <c r="A20" s="167"/>
      <c r="B20" s="262" t="s">
        <v>514</v>
      </c>
      <c r="C20" s="295" t="s">
        <v>211</v>
      </c>
      <c r="D20" s="271" t="s">
        <v>513</v>
      </c>
      <c r="E20" s="333">
        <v>375</v>
      </c>
      <c r="F20" s="273">
        <v>1</v>
      </c>
      <c r="G20" s="259">
        <v>73.400000000000006</v>
      </c>
      <c r="H20" s="258">
        <f t="shared" si="0"/>
        <v>53.19</v>
      </c>
      <c r="I20" s="274">
        <f t="shared" si="1"/>
        <v>53.19</v>
      </c>
      <c r="J20" s="323"/>
      <c r="K20" s="257">
        <f t="shared" si="2"/>
        <v>1</v>
      </c>
      <c r="L20" s="258">
        <f t="shared" si="3"/>
        <v>53.19</v>
      </c>
      <c r="M20" s="258">
        <f t="shared" si="4"/>
        <v>53.19</v>
      </c>
      <c r="N20" s="259" t="s">
        <v>156</v>
      </c>
      <c r="O20" s="290"/>
      <c r="P20" s="261"/>
      <c r="Q20" s="291"/>
      <c r="R20" s="263"/>
      <c r="S20" s="264">
        <f t="shared" si="5"/>
        <v>0</v>
      </c>
      <c r="T20" s="264">
        <f t="shared" si="6"/>
        <v>53.19</v>
      </c>
      <c r="U20" s="264">
        <f t="shared" si="7"/>
        <v>53.19</v>
      </c>
      <c r="V20" s="265">
        <f t="shared" si="8"/>
        <v>0</v>
      </c>
      <c r="W20" s="265">
        <f t="shared" si="9"/>
        <v>1</v>
      </c>
      <c r="X20" s="266"/>
      <c r="Y20" s="267"/>
      <c r="Z20" s="171" t="s">
        <v>160</v>
      </c>
      <c r="AA20" s="171">
        <v>750</v>
      </c>
      <c r="AB20" s="171"/>
      <c r="AC20" s="171"/>
    </row>
    <row r="21" spans="1:29" x14ac:dyDescent="0.25">
      <c r="A21" s="167"/>
      <c r="B21" s="280" t="s">
        <v>515</v>
      </c>
      <c r="C21" s="181" t="s">
        <v>516</v>
      </c>
      <c r="D21" s="271" t="s">
        <v>27</v>
      </c>
      <c r="E21" s="335">
        <v>500</v>
      </c>
      <c r="F21" s="288">
        <v>1</v>
      </c>
      <c r="G21" s="281">
        <v>75.459999999999994</v>
      </c>
      <c r="H21" s="277">
        <f t="shared" si="0"/>
        <v>54.68</v>
      </c>
      <c r="I21" s="289">
        <f t="shared" si="1"/>
        <v>54.68</v>
      </c>
      <c r="J21" s="323"/>
      <c r="K21" s="276">
        <f t="shared" si="2"/>
        <v>1</v>
      </c>
      <c r="L21" s="277">
        <f t="shared" si="3"/>
        <v>54.68</v>
      </c>
      <c r="M21" s="277">
        <f t="shared" si="4"/>
        <v>54.68</v>
      </c>
      <c r="N21" s="278" t="s">
        <v>156</v>
      </c>
      <c r="O21" s="279"/>
      <c r="P21" s="261"/>
      <c r="Q21" s="280"/>
      <c r="R21" s="281"/>
      <c r="S21" s="282">
        <f t="shared" si="5"/>
        <v>0</v>
      </c>
      <c r="T21" s="283">
        <f t="shared" si="6"/>
        <v>54.68</v>
      </c>
      <c r="U21" s="283">
        <f t="shared" si="7"/>
        <v>54.68</v>
      </c>
      <c r="V21" s="284">
        <f t="shared" si="8"/>
        <v>0</v>
      </c>
      <c r="W21" s="284">
        <f t="shared" si="9"/>
        <v>1</v>
      </c>
      <c r="X21" s="285"/>
      <c r="Y21" s="267"/>
      <c r="Z21" s="171" t="s">
        <v>162</v>
      </c>
      <c r="AA21" s="171">
        <v>1000</v>
      </c>
      <c r="AB21" s="171"/>
      <c r="AC21" s="171"/>
    </row>
    <row r="22" spans="1:29" x14ac:dyDescent="0.25">
      <c r="A22" s="167"/>
      <c r="B22" s="262" t="s">
        <v>435</v>
      </c>
      <c r="C22" s="295" t="s">
        <v>166</v>
      </c>
      <c r="D22" s="271" t="s">
        <v>25</v>
      </c>
      <c r="E22" s="293">
        <v>1000</v>
      </c>
      <c r="F22" s="273">
        <v>1</v>
      </c>
      <c r="G22" s="259">
        <v>154.44</v>
      </c>
      <c r="H22" s="258">
        <f t="shared" si="0"/>
        <v>111.91</v>
      </c>
      <c r="I22" s="274">
        <f t="shared" si="1"/>
        <v>111.91</v>
      </c>
      <c r="J22" s="323"/>
      <c r="K22" s="257">
        <f t="shared" si="2"/>
        <v>1</v>
      </c>
      <c r="L22" s="258">
        <f t="shared" si="3"/>
        <v>111.91</v>
      </c>
      <c r="M22" s="258">
        <f t="shared" si="4"/>
        <v>111.91</v>
      </c>
      <c r="N22" s="259" t="s">
        <v>156</v>
      </c>
      <c r="O22" s="290"/>
      <c r="P22" s="261"/>
      <c r="Q22" s="291"/>
      <c r="R22" s="263"/>
      <c r="S22" s="264">
        <f t="shared" si="5"/>
        <v>0</v>
      </c>
      <c r="T22" s="264">
        <f t="shared" si="6"/>
        <v>111.91</v>
      </c>
      <c r="U22" s="264">
        <f t="shared" si="7"/>
        <v>111.91</v>
      </c>
      <c r="V22" s="265">
        <f t="shared" si="8"/>
        <v>0</v>
      </c>
      <c r="W22" s="265">
        <f t="shared" si="9"/>
        <v>1</v>
      </c>
      <c r="X22" s="266"/>
      <c r="Y22" s="267"/>
      <c r="Z22" s="171" t="s">
        <v>164</v>
      </c>
      <c r="AA22" s="171">
        <v>1200</v>
      </c>
      <c r="AB22" s="171"/>
      <c r="AC22" s="171"/>
    </row>
    <row r="23" spans="1:29" x14ac:dyDescent="0.25">
      <c r="A23" s="167"/>
      <c r="B23" s="280" t="s">
        <v>517</v>
      </c>
      <c r="C23" s="181" t="s">
        <v>518</v>
      </c>
      <c r="D23" s="271" t="s">
        <v>25</v>
      </c>
      <c r="E23" s="287">
        <v>1000</v>
      </c>
      <c r="F23" s="288">
        <v>1</v>
      </c>
      <c r="G23" s="281">
        <v>124.45</v>
      </c>
      <c r="H23" s="277">
        <f t="shared" si="0"/>
        <v>90.18</v>
      </c>
      <c r="I23" s="289">
        <f t="shared" si="1"/>
        <v>90.18</v>
      </c>
      <c r="J23" s="323"/>
      <c r="K23" s="276">
        <f t="shared" si="2"/>
        <v>1</v>
      </c>
      <c r="L23" s="277">
        <f t="shared" si="3"/>
        <v>90.18</v>
      </c>
      <c r="M23" s="277">
        <f t="shared" si="4"/>
        <v>90.18</v>
      </c>
      <c r="N23" s="278" t="s">
        <v>156</v>
      </c>
      <c r="O23" s="279"/>
      <c r="P23" s="261"/>
      <c r="Q23" s="280"/>
      <c r="R23" s="281"/>
      <c r="S23" s="282">
        <f t="shared" si="5"/>
        <v>0</v>
      </c>
      <c r="T23" s="283">
        <f t="shared" si="6"/>
        <v>90.18</v>
      </c>
      <c r="U23" s="283">
        <f t="shared" si="7"/>
        <v>90.18</v>
      </c>
      <c r="V23" s="284">
        <f t="shared" si="8"/>
        <v>0</v>
      </c>
      <c r="W23" s="284">
        <f t="shared" si="9"/>
        <v>1</v>
      </c>
      <c r="X23" s="285"/>
      <c r="Y23" s="267"/>
      <c r="Z23" s="171" t="s">
        <v>165</v>
      </c>
      <c r="AA23" s="171">
        <v>2000</v>
      </c>
      <c r="AB23" s="171"/>
      <c r="AC23" s="171"/>
    </row>
    <row r="24" spans="1:29" x14ac:dyDescent="0.25">
      <c r="A24" s="167"/>
      <c r="B24" s="262" t="s">
        <v>519</v>
      </c>
      <c r="C24" s="295" t="s">
        <v>170</v>
      </c>
      <c r="D24" s="271" t="s">
        <v>24</v>
      </c>
      <c r="E24" s="293">
        <v>1000</v>
      </c>
      <c r="F24" s="273">
        <v>1</v>
      </c>
      <c r="G24" s="259">
        <v>107.68</v>
      </c>
      <c r="H24" s="258">
        <f t="shared" si="0"/>
        <v>78.03</v>
      </c>
      <c r="I24" s="274">
        <f t="shared" si="1"/>
        <v>78.03</v>
      </c>
      <c r="J24" s="323"/>
      <c r="K24" s="257">
        <f t="shared" si="2"/>
        <v>1</v>
      </c>
      <c r="L24" s="258">
        <f t="shared" si="3"/>
        <v>78.03</v>
      </c>
      <c r="M24" s="258">
        <f t="shared" si="4"/>
        <v>78.03</v>
      </c>
      <c r="N24" s="259" t="s">
        <v>156</v>
      </c>
      <c r="O24" s="290"/>
      <c r="P24" s="261"/>
      <c r="Q24" s="291"/>
      <c r="R24" s="263"/>
      <c r="S24" s="264">
        <f t="shared" si="5"/>
        <v>0</v>
      </c>
      <c r="T24" s="264">
        <f t="shared" si="6"/>
        <v>78.03</v>
      </c>
      <c r="U24" s="264">
        <f t="shared" si="7"/>
        <v>78.03</v>
      </c>
      <c r="V24" s="265">
        <f t="shared" si="8"/>
        <v>0</v>
      </c>
      <c r="W24" s="265">
        <f t="shared" si="9"/>
        <v>1</v>
      </c>
      <c r="X24" s="266"/>
      <c r="Y24" s="267"/>
      <c r="Z24" s="171" t="s">
        <v>167</v>
      </c>
      <c r="AA24" s="171">
        <v>4000</v>
      </c>
      <c r="AB24" s="171"/>
      <c r="AC24" s="171"/>
    </row>
    <row r="25" spans="1:29" x14ac:dyDescent="0.25">
      <c r="A25" s="167"/>
      <c r="B25" s="280"/>
      <c r="C25" s="181"/>
      <c r="D25" s="271"/>
      <c r="E25" s="287"/>
      <c r="F25" s="288"/>
      <c r="G25" s="281"/>
      <c r="H25" s="277">
        <f t="shared" si="0"/>
        <v>0</v>
      </c>
      <c r="I25" s="289">
        <f t="shared" si="1"/>
        <v>0</v>
      </c>
      <c r="J25" s="323"/>
      <c r="K25" s="276">
        <f t="shared" si="2"/>
        <v>0</v>
      </c>
      <c r="L25" s="277">
        <f t="shared" si="3"/>
        <v>0</v>
      </c>
      <c r="M25" s="277">
        <f t="shared" si="4"/>
        <v>0</v>
      </c>
      <c r="N25" s="278" t="s">
        <v>156</v>
      </c>
      <c r="O25" s="279"/>
      <c r="P25" s="261"/>
      <c r="Q25" s="280"/>
      <c r="R25" s="281"/>
      <c r="S25" s="282">
        <f t="shared" si="5"/>
        <v>0</v>
      </c>
      <c r="T25" s="283">
        <f t="shared" si="6"/>
        <v>0</v>
      </c>
      <c r="U25" s="283">
        <f t="shared" si="7"/>
        <v>0</v>
      </c>
      <c r="V25" s="284">
        <f t="shared" si="8"/>
        <v>0</v>
      </c>
      <c r="W25" s="284">
        <f t="shared" si="9"/>
        <v>0</v>
      </c>
      <c r="X25" s="285"/>
      <c r="Y25" s="267"/>
      <c r="Z25" s="171" t="s">
        <v>169</v>
      </c>
      <c r="AA25" s="171">
        <v>6000</v>
      </c>
      <c r="AB25" s="171"/>
      <c r="AC25" s="171"/>
    </row>
    <row r="26" spans="1:29" x14ac:dyDescent="0.25">
      <c r="A26" s="167"/>
      <c r="B26" s="262" t="s">
        <v>437</v>
      </c>
      <c r="C26" s="295" t="s">
        <v>220</v>
      </c>
      <c r="D26" s="271" t="s">
        <v>0</v>
      </c>
      <c r="E26" s="293" t="s">
        <v>176</v>
      </c>
      <c r="F26" s="273">
        <v>4</v>
      </c>
      <c r="G26" s="259">
        <v>494.44</v>
      </c>
      <c r="H26" s="258">
        <f t="shared" si="0"/>
        <v>358.29</v>
      </c>
      <c r="I26" s="274">
        <f t="shared" si="1"/>
        <v>1433.16</v>
      </c>
      <c r="J26" s="323"/>
      <c r="K26" s="257">
        <f t="shared" si="2"/>
        <v>4</v>
      </c>
      <c r="L26" s="258">
        <f t="shared" si="3"/>
        <v>358.29</v>
      </c>
      <c r="M26" s="258">
        <f t="shared" si="4"/>
        <v>1433.16</v>
      </c>
      <c r="N26" s="259" t="s">
        <v>156</v>
      </c>
      <c r="O26" s="290"/>
      <c r="P26" s="261"/>
      <c r="Q26" s="291"/>
      <c r="R26" s="263"/>
      <c r="S26" s="264">
        <f t="shared" si="5"/>
        <v>0</v>
      </c>
      <c r="T26" s="264">
        <f t="shared" si="6"/>
        <v>358.29</v>
      </c>
      <c r="U26" s="264">
        <f t="shared" si="7"/>
        <v>1433.16</v>
      </c>
      <c r="V26" s="265">
        <f t="shared" si="8"/>
        <v>0</v>
      </c>
      <c r="W26" s="265">
        <f t="shared" si="9"/>
        <v>1</v>
      </c>
      <c r="X26" s="266"/>
      <c r="Y26" s="267"/>
      <c r="Z26" s="171" t="s">
        <v>171</v>
      </c>
      <c r="AA26" s="171">
        <v>8000</v>
      </c>
      <c r="AB26" s="171"/>
      <c r="AC26" s="171"/>
    </row>
    <row r="27" spans="1:29" x14ac:dyDescent="0.25">
      <c r="A27" s="167"/>
      <c r="B27" s="280" t="s">
        <v>560</v>
      </c>
      <c r="C27" s="181" t="s">
        <v>521</v>
      </c>
      <c r="D27" s="271" t="s">
        <v>39</v>
      </c>
      <c r="E27" s="287" t="s">
        <v>176</v>
      </c>
      <c r="F27" s="288">
        <v>1</v>
      </c>
      <c r="G27" s="281">
        <v>3870.42</v>
      </c>
      <c r="H27" s="277">
        <f t="shared" si="0"/>
        <v>2804.65</v>
      </c>
      <c r="I27" s="289">
        <f t="shared" si="1"/>
        <v>2804.65</v>
      </c>
      <c r="J27" s="323"/>
      <c r="K27" s="276">
        <f t="shared" si="2"/>
        <v>1</v>
      </c>
      <c r="L27" s="277">
        <f t="shared" si="3"/>
        <v>2804.65</v>
      </c>
      <c r="M27" s="277">
        <f t="shared" si="4"/>
        <v>2804.65</v>
      </c>
      <c r="N27" s="278" t="s">
        <v>156</v>
      </c>
      <c r="O27" s="279"/>
      <c r="P27" s="261"/>
      <c r="Q27" s="280"/>
      <c r="R27" s="281"/>
      <c r="S27" s="282">
        <f t="shared" si="5"/>
        <v>0</v>
      </c>
      <c r="T27" s="283">
        <f t="shared" si="6"/>
        <v>2804.65</v>
      </c>
      <c r="U27" s="283">
        <f t="shared" si="7"/>
        <v>2804.65</v>
      </c>
      <c r="V27" s="284">
        <f t="shared" si="8"/>
        <v>0</v>
      </c>
      <c r="W27" s="284">
        <f t="shared" si="9"/>
        <v>1</v>
      </c>
      <c r="X27" s="285"/>
      <c r="Y27" s="267"/>
      <c r="Z27" s="171" t="s">
        <v>173</v>
      </c>
      <c r="AA27" s="294">
        <v>10000</v>
      </c>
      <c r="AB27" s="171"/>
      <c r="AC27" s="171"/>
    </row>
    <row r="28" spans="1:29" x14ac:dyDescent="0.25">
      <c r="A28" s="167"/>
      <c r="B28" s="262"/>
      <c r="C28" s="295" t="s">
        <v>522</v>
      </c>
      <c r="D28" s="271" t="s">
        <v>41</v>
      </c>
      <c r="E28" s="293" t="s">
        <v>176</v>
      </c>
      <c r="F28" s="273">
        <v>6</v>
      </c>
      <c r="G28" s="259">
        <v>0</v>
      </c>
      <c r="H28" s="258">
        <f t="shared" si="0"/>
        <v>0</v>
      </c>
      <c r="I28" s="274">
        <f t="shared" si="1"/>
        <v>0</v>
      </c>
      <c r="J28" s="323"/>
      <c r="K28" s="257">
        <f t="shared" si="2"/>
        <v>6</v>
      </c>
      <c r="L28" s="258">
        <f t="shared" si="3"/>
        <v>0</v>
      </c>
      <c r="M28" s="258">
        <f t="shared" si="4"/>
        <v>0</v>
      </c>
      <c r="N28" s="259" t="s">
        <v>156</v>
      </c>
      <c r="O28" s="290"/>
      <c r="P28" s="261"/>
      <c r="Q28" s="291"/>
      <c r="R28" s="263"/>
      <c r="S28" s="264">
        <f t="shared" si="5"/>
        <v>0</v>
      </c>
      <c r="T28" s="264">
        <f t="shared" si="6"/>
        <v>0</v>
      </c>
      <c r="U28" s="264">
        <f t="shared" si="7"/>
        <v>0</v>
      </c>
      <c r="V28" s="265">
        <f t="shared" si="8"/>
        <v>0</v>
      </c>
      <c r="W28" s="265">
        <f t="shared" si="9"/>
        <v>0</v>
      </c>
      <c r="X28" s="266"/>
      <c r="Y28" s="267"/>
      <c r="Z28" s="171" t="s">
        <v>175</v>
      </c>
      <c r="AA28" s="171" t="s">
        <v>176</v>
      </c>
      <c r="AB28" s="171"/>
      <c r="AC28" s="171"/>
    </row>
    <row r="29" spans="1:29" x14ac:dyDescent="0.25">
      <c r="A29" s="167"/>
      <c r="B29" s="280"/>
      <c r="C29" s="181"/>
      <c r="D29" s="271"/>
      <c r="E29" s="287"/>
      <c r="F29" s="288"/>
      <c r="G29" s="281"/>
      <c r="H29" s="277">
        <f t="shared" si="0"/>
        <v>0</v>
      </c>
      <c r="I29" s="289">
        <f t="shared" si="1"/>
        <v>0</v>
      </c>
      <c r="J29" s="323"/>
      <c r="K29" s="276">
        <f t="shared" si="2"/>
        <v>0</v>
      </c>
      <c r="L29" s="277">
        <f t="shared" si="3"/>
        <v>0</v>
      </c>
      <c r="M29" s="277">
        <f t="shared" si="4"/>
        <v>0</v>
      </c>
      <c r="N29" s="278" t="s">
        <v>156</v>
      </c>
      <c r="O29" s="279"/>
      <c r="P29" s="261"/>
      <c r="Q29" s="280"/>
      <c r="R29" s="281"/>
      <c r="S29" s="282">
        <f t="shared" si="5"/>
        <v>0</v>
      </c>
      <c r="T29" s="283">
        <f t="shared" si="6"/>
        <v>0</v>
      </c>
      <c r="U29" s="283">
        <f t="shared" si="7"/>
        <v>0</v>
      </c>
      <c r="V29" s="284">
        <f t="shared" si="8"/>
        <v>0</v>
      </c>
      <c r="W29" s="284">
        <f t="shared" si="9"/>
        <v>0</v>
      </c>
      <c r="X29" s="285"/>
      <c r="Y29" s="267"/>
      <c r="Z29" s="171" t="s">
        <v>178</v>
      </c>
      <c r="AA29" s="171"/>
      <c r="AB29" s="171"/>
      <c r="AC29" s="171"/>
    </row>
    <row r="30" spans="1:29" x14ac:dyDescent="0.25">
      <c r="A30" s="167"/>
      <c r="B30" s="262" t="s">
        <v>523</v>
      </c>
      <c r="C30" s="295" t="s">
        <v>524</v>
      </c>
      <c r="D30" s="271" t="s">
        <v>21</v>
      </c>
      <c r="E30" s="293" t="s">
        <v>176</v>
      </c>
      <c r="F30" s="273">
        <v>1</v>
      </c>
      <c r="G30" s="259">
        <v>14093.42</v>
      </c>
      <c r="H30" s="258">
        <f t="shared" si="0"/>
        <v>10212.620000000001</v>
      </c>
      <c r="I30" s="274">
        <f t="shared" si="1"/>
        <v>10212.620000000001</v>
      </c>
      <c r="J30" s="323"/>
      <c r="K30" s="257">
        <f t="shared" si="2"/>
        <v>1</v>
      </c>
      <c r="L30" s="258">
        <f t="shared" si="3"/>
        <v>10212.620000000001</v>
      </c>
      <c r="M30" s="258">
        <f t="shared" si="4"/>
        <v>10212.620000000001</v>
      </c>
      <c r="N30" s="259" t="s">
        <v>156</v>
      </c>
      <c r="O30" s="290"/>
      <c r="P30" s="261"/>
      <c r="Q30" s="291"/>
      <c r="R30" s="263"/>
      <c r="S30" s="264">
        <f t="shared" si="5"/>
        <v>0</v>
      </c>
      <c r="T30" s="264">
        <f t="shared" si="6"/>
        <v>10212.620000000001</v>
      </c>
      <c r="U30" s="264">
        <f t="shared" si="7"/>
        <v>10212.620000000001</v>
      </c>
      <c r="V30" s="265">
        <f t="shared" si="8"/>
        <v>0</v>
      </c>
      <c r="W30" s="265">
        <f t="shared" si="9"/>
        <v>1</v>
      </c>
      <c r="X30" s="266"/>
      <c r="Y30" s="267"/>
      <c r="Z30" s="171"/>
      <c r="AA30" s="171"/>
      <c r="AB30" s="171"/>
      <c r="AC30" s="171"/>
    </row>
    <row r="31" spans="1:29" x14ac:dyDescent="0.25">
      <c r="A31" s="167"/>
      <c r="B31" s="326" t="s">
        <v>561</v>
      </c>
      <c r="C31" s="181" t="s">
        <v>224</v>
      </c>
      <c r="D31" s="271" t="s">
        <v>15</v>
      </c>
      <c r="E31" s="287" t="s">
        <v>176</v>
      </c>
      <c r="F31" s="288">
        <v>1</v>
      </c>
      <c r="G31" s="281">
        <v>6184.3</v>
      </c>
      <c r="H31" s="277">
        <f t="shared" si="0"/>
        <v>4481.38</v>
      </c>
      <c r="I31" s="289">
        <f t="shared" si="1"/>
        <v>4481.38</v>
      </c>
      <c r="J31" s="323"/>
      <c r="K31" s="276">
        <f t="shared" si="2"/>
        <v>1</v>
      </c>
      <c r="L31" s="277">
        <f t="shared" si="3"/>
        <v>4481.38</v>
      </c>
      <c r="M31" s="277">
        <f t="shared" si="4"/>
        <v>4481.38</v>
      </c>
      <c r="N31" s="278" t="s">
        <v>156</v>
      </c>
      <c r="O31" s="279"/>
      <c r="P31" s="261"/>
      <c r="Q31" s="280"/>
      <c r="R31" s="281"/>
      <c r="S31" s="282">
        <f t="shared" si="5"/>
        <v>0</v>
      </c>
      <c r="T31" s="283">
        <f t="shared" si="6"/>
        <v>4481.38</v>
      </c>
      <c r="U31" s="283">
        <f t="shared" si="7"/>
        <v>4481.38</v>
      </c>
      <c r="V31" s="284">
        <f t="shared" si="8"/>
        <v>0</v>
      </c>
      <c r="W31" s="284">
        <f t="shared" si="9"/>
        <v>1</v>
      </c>
      <c r="X31" s="285"/>
      <c r="Y31" s="267"/>
      <c r="Z31" s="171" t="s">
        <v>156</v>
      </c>
      <c r="AA31" s="171"/>
      <c r="AB31" s="171"/>
      <c r="AC31" s="171"/>
    </row>
    <row r="32" spans="1:29" x14ac:dyDescent="0.25">
      <c r="A32" s="167"/>
      <c r="B32" s="262" t="s">
        <v>562</v>
      </c>
      <c r="C32" s="295" t="s">
        <v>254</v>
      </c>
      <c r="D32" s="271" t="s">
        <v>16</v>
      </c>
      <c r="E32" s="293" t="s">
        <v>176</v>
      </c>
      <c r="F32" s="273">
        <v>1</v>
      </c>
      <c r="G32" s="259">
        <v>19424.52</v>
      </c>
      <c r="H32" s="258">
        <f t="shared" si="0"/>
        <v>14075.74</v>
      </c>
      <c r="I32" s="274">
        <f t="shared" si="1"/>
        <v>14075.74</v>
      </c>
      <c r="J32" s="323"/>
      <c r="K32" s="257">
        <f t="shared" si="2"/>
        <v>1</v>
      </c>
      <c r="L32" s="258">
        <f t="shared" si="3"/>
        <v>14075.74</v>
      </c>
      <c r="M32" s="258">
        <f t="shared" si="4"/>
        <v>14075.74</v>
      </c>
      <c r="N32" s="259" t="s">
        <v>156</v>
      </c>
      <c r="O32" s="290"/>
      <c r="P32" s="261"/>
      <c r="Q32" s="291"/>
      <c r="R32" s="263"/>
      <c r="S32" s="264">
        <f t="shared" si="5"/>
        <v>0</v>
      </c>
      <c r="T32" s="264">
        <f t="shared" si="6"/>
        <v>14075.74</v>
      </c>
      <c r="U32" s="264">
        <f t="shared" si="7"/>
        <v>14075.74</v>
      </c>
      <c r="V32" s="265">
        <f t="shared" si="8"/>
        <v>0</v>
      </c>
      <c r="W32" s="265">
        <f t="shared" si="9"/>
        <v>1</v>
      </c>
      <c r="X32" s="266"/>
      <c r="Y32" s="267"/>
      <c r="Z32" s="171" t="s">
        <v>180</v>
      </c>
      <c r="AA32" s="171"/>
      <c r="AB32" s="171"/>
      <c r="AC32" s="171"/>
    </row>
    <row r="33" spans="1:29" x14ac:dyDescent="0.25">
      <c r="A33" s="167"/>
      <c r="B33" s="280" t="s">
        <v>563</v>
      </c>
      <c r="C33" s="181" t="s">
        <v>205</v>
      </c>
      <c r="D33" s="271" t="s">
        <v>17</v>
      </c>
      <c r="E33" s="287" t="s">
        <v>176</v>
      </c>
      <c r="F33" s="288">
        <v>1</v>
      </c>
      <c r="G33" s="281">
        <v>11657.62</v>
      </c>
      <c r="H33" s="277">
        <f t="shared" si="0"/>
        <v>8447.5499999999993</v>
      </c>
      <c r="I33" s="289">
        <f t="shared" si="1"/>
        <v>8447.5499999999993</v>
      </c>
      <c r="J33" s="323"/>
      <c r="K33" s="276">
        <f t="shared" si="2"/>
        <v>1</v>
      </c>
      <c r="L33" s="277">
        <f t="shared" si="3"/>
        <v>8447.5499999999993</v>
      </c>
      <c r="M33" s="277">
        <f t="shared" si="4"/>
        <v>8447.5499999999993</v>
      </c>
      <c r="N33" s="278" t="s">
        <v>156</v>
      </c>
      <c r="O33" s="279"/>
      <c r="P33" s="261"/>
      <c r="Q33" s="280"/>
      <c r="R33" s="281"/>
      <c r="S33" s="282">
        <f t="shared" si="5"/>
        <v>0</v>
      </c>
      <c r="T33" s="283">
        <f t="shared" si="6"/>
        <v>8447.5499999999993</v>
      </c>
      <c r="U33" s="283">
        <f t="shared" si="7"/>
        <v>8447.5499999999993</v>
      </c>
      <c r="V33" s="284">
        <f t="shared" si="8"/>
        <v>0</v>
      </c>
      <c r="W33" s="284">
        <f t="shared" si="9"/>
        <v>1</v>
      </c>
      <c r="X33" s="285"/>
      <c r="Y33" s="267"/>
      <c r="Z33" s="171"/>
      <c r="AA33" s="171"/>
      <c r="AB33" s="171"/>
      <c r="AC33" s="171"/>
    </row>
    <row r="34" spans="1:29" x14ac:dyDescent="0.25">
      <c r="A34" s="167"/>
      <c r="B34" s="262" t="s">
        <v>564</v>
      </c>
      <c r="C34" s="295" t="s">
        <v>226</v>
      </c>
      <c r="D34" s="271" t="s">
        <v>23</v>
      </c>
      <c r="E34" s="293" t="s">
        <v>176</v>
      </c>
      <c r="F34" s="273">
        <v>1</v>
      </c>
      <c r="G34" s="259">
        <v>9956.42</v>
      </c>
      <c r="H34" s="258">
        <f t="shared" si="0"/>
        <v>7214.8</v>
      </c>
      <c r="I34" s="274">
        <f t="shared" si="1"/>
        <v>7214.8</v>
      </c>
      <c r="J34" s="323"/>
      <c r="K34" s="257">
        <f t="shared" si="2"/>
        <v>1</v>
      </c>
      <c r="L34" s="258">
        <f t="shared" si="3"/>
        <v>7214.8</v>
      </c>
      <c r="M34" s="258">
        <f t="shared" si="4"/>
        <v>7214.8</v>
      </c>
      <c r="N34" s="259" t="s">
        <v>156</v>
      </c>
      <c r="O34" s="290"/>
      <c r="P34" s="261"/>
      <c r="Q34" s="291"/>
      <c r="R34" s="263"/>
      <c r="S34" s="264">
        <f t="shared" si="5"/>
        <v>0</v>
      </c>
      <c r="T34" s="264">
        <f t="shared" si="6"/>
        <v>7214.8</v>
      </c>
      <c r="U34" s="264">
        <f t="shared" si="7"/>
        <v>7214.8</v>
      </c>
      <c r="V34" s="265">
        <f t="shared" si="8"/>
        <v>0</v>
      </c>
      <c r="W34" s="265">
        <f t="shared" si="9"/>
        <v>1</v>
      </c>
      <c r="X34" s="266"/>
      <c r="Y34" s="267"/>
      <c r="Z34" s="171" t="s">
        <v>56</v>
      </c>
      <c r="AA34" s="171"/>
      <c r="AB34" s="171"/>
      <c r="AC34" s="171"/>
    </row>
    <row r="35" spans="1:29" x14ac:dyDescent="0.25">
      <c r="A35" s="167"/>
      <c r="B35" s="280" t="s">
        <v>565</v>
      </c>
      <c r="C35" s="181" t="s">
        <v>530</v>
      </c>
      <c r="D35" s="271" t="s">
        <v>19</v>
      </c>
      <c r="E35" s="287" t="s">
        <v>176</v>
      </c>
      <c r="F35" s="288">
        <v>6</v>
      </c>
      <c r="G35" s="281">
        <v>598.11</v>
      </c>
      <c r="H35" s="277">
        <f t="shared" si="0"/>
        <v>433.41</v>
      </c>
      <c r="I35" s="289">
        <f t="shared" si="1"/>
        <v>2600.46</v>
      </c>
      <c r="J35" s="323"/>
      <c r="K35" s="276">
        <f t="shared" si="2"/>
        <v>6</v>
      </c>
      <c r="L35" s="277">
        <f t="shared" si="3"/>
        <v>433.41</v>
      </c>
      <c r="M35" s="277">
        <f t="shared" si="4"/>
        <v>2600.46</v>
      </c>
      <c r="N35" s="278" t="s">
        <v>156</v>
      </c>
      <c r="O35" s="279"/>
      <c r="P35" s="261"/>
      <c r="Q35" s="280"/>
      <c r="R35" s="281"/>
      <c r="S35" s="282">
        <f t="shared" si="5"/>
        <v>0</v>
      </c>
      <c r="T35" s="283">
        <f t="shared" si="6"/>
        <v>433.41</v>
      </c>
      <c r="U35" s="283">
        <f t="shared" si="7"/>
        <v>2600.46</v>
      </c>
      <c r="V35" s="284">
        <f t="shared" si="8"/>
        <v>0</v>
      </c>
      <c r="W35" s="284">
        <f t="shared" si="9"/>
        <v>1</v>
      </c>
      <c r="X35" s="285"/>
      <c r="Y35" s="267"/>
      <c r="Z35" s="171" t="s">
        <v>58</v>
      </c>
      <c r="AA35" s="171"/>
      <c r="AB35" s="171"/>
      <c r="AC35" s="171"/>
    </row>
    <row r="36" spans="1:29" x14ac:dyDescent="0.25">
      <c r="A36" s="167"/>
      <c r="B36" s="262"/>
      <c r="C36" s="295"/>
      <c r="D36" s="271"/>
      <c r="E36" s="293"/>
      <c r="F36" s="273"/>
      <c r="G36" s="259"/>
      <c r="H36" s="258">
        <f t="shared" si="0"/>
        <v>0</v>
      </c>
      <c r="I36" s="274">
        <f t="shared" si="1"/>
        <v>0</v>
      </c>
      <c r="J36" s="323"/>
      <c r="K36" s="257">
        <f t="shared" si="2"/>
        <v>0</v>
      </c>
      <c r="L36" s="258">
        <f t="shared" si="3"/>
        <v>0</v>
      </c>
      <c r="M36" s="258">
        <f t="shared" si="4"/>
        <v>0</v>
      </c>
      <c r="N36" s="259" t="s">
        <v>156</v>
      </c>
      <c r="O36" s="290"/>
      <c r="P36" s="261"/>
      <c r="Q36" s="291"/>
      <c r="R36" s="263"/>
      <c r="S36" s="264">
        <f t="shared" si="5"/>
        <v>0</v>
      </c>
      <c r="T36" s="264">
        <f t="shared" si="6"/>
        <v>0</v>
      </c>
      <c r="U36" s="264">
        <f t="shared" si="7"/>
        <v>0</v>
      </c>
      <c r="V36" s="265">
        <f t="shared" si="8"/>
        <v>0</v>
      </c>
      <c r="W36" s="265">
        <f t="shared" si="9"/>
        <v>0</v>
      </c>
      <c r="X36" s="266"/>
      <c r="Y36" s="267"/>
      <c r="Z36" s="171" t="s">
        <v>57</v>
      </c>
      <c r="AA36" s="171"/>
      <c r="AB36" s="171"/>
      <c r="AC36" s="171"/>
    </row>
    <row r="37" spans="1:29" x14ac:dyDescent="0.25">
      <c r="A37" s="167"/>
      <c r="B37" s="280" t="s">
        <v>531</v>
      </c>
      <c r="C37" s="181" t="s">
        <v>532</v>
      </c>
      <c r="D37" s="271"/>
      <c r="E37" s="287" t="s">
        <v>176</v>
      </c>
      <c r="F37" s="288">
        <v>1</v>
      </c>
      <c r="G37" s="281">
        <v>74400.399999999994</v>
      </c>
      <c r="H37" s="277">
        <f t="shared" si="0"/>
        <v>53913.33</v>
      </c>
      <c r="I37" s="289">
        <f t="shared" si="1"/>
        <v>53913.33</v>
      </c>
      <c r="J37" s="323"/>
      <c r="K37" s="276">
        <f t="shared" si="2"/>
        <v>1</v>
      </c>
      <c r="L37" s="277">
        <f t="shared" si="3"/>
        <v>53913.33</v>
      </c>
      <c r="M37" s="277">
        <f t="shared" si="4"/>
        <v>53913.33</v>
      </c>
      <c r="N37" s="278" t="s">
        <v>156</v>
      </c>
      <c r="O37" s="279"/>
      <c r="P37" s="261"/>
      <c r="Q37" s="280"/>
      <c r="R37" s="281"/>
      <c r="S37" s="282">
        <f t="shared" si="5"/>
        <v>0</v>
      </c>
      <c r="T37" s="283">
        <f t="shared" si="6"/>
        <v>53913.33</v>
      </c>
      <c r="U37" s="283">
        <f t="shared" si="7"/>
        <v>53913.33</v>
      </c>
      <c r="V37" s="284">
        <f t="shared" si="8"/>
        <v>0</v>
      </c>
      <c r="W37" s="284">
        <f t="shared" si="9"/>
        <v>1</v>
      </c>
      <c r="X37" s="285"/>
      <c r="Y37" s="267"/>
      <c r="Z37" s="171" t="s">
        <v>59</v>
      </c>
      <c r="AA37" s="171"/>
      <c r="AB37" s="171"/>
      <c r="AC37" s="171"/>
    </row>
    <row r="38" spans="1:29" x14ac:dyDescent="0.25">
      <c r="A38" s="167"/>
      <c r="B38" s="262" t="s">
        <v>533</v>
      </c>
      <c r="C38" s="295" t="s">
        <v>208</v>
      </c>
      <c r="D38" s="271" t="s">
        <v>9</v>
      </c>
      <c r="E38" s="293" t="s">
        <v>176</v>
      </c>
      <c r="F38" s="273">
        <v>2</v>
      </c>
      <c r="G38" s="259">
        <v>410.98</v>
      </c>
      <c r="H38" s="258">
        <f t="shared" si="0"/>
        <v>297.81</v>
      </c>
      <c r="I38" s="274">
        <f t="shared" si="1"/>
        <v>595.62</v>
      </c>
      <c r="J38" s="323"/>
      <c r="K38" s="257">
        <f t="shared" si="2"/>
        <v>2</v>
      </c>
      <c r="L38" s="258">
        <f t="shared" si="3"/>
        <v>297.81</v>
      </c>
      <c r="M38" s="258">
        <f t="shared" si="4"/>
        <v>595.62</v>
      </c>
      <c r="N38" s="259" t="s">
        <v>156</v>
      </c>
      <c r="O38" s="290"/>
      <c r="P38" s="261"/>
      <c r="Q38" s="291"/>
      <c r="R38" s="263"/>
      <c r="S38" s="264">
        <f t="shared" si="5"/>
        <v>0</v>
      </c>
      <c r="T38" s="264">
        <f t="shared" si="6"/>
        <v>297.81</v>
      </c>
      <c r="U38" s="264">
        <f t="shared" si="7"/>
        <v>595.62</v>
      </c>
      <c r="V38" s="265">
        <f t="shared" si="8"/>
        <v>0</v>
      </c>
      <c r="W38" s="265">
        <f t="shared" si="9"/>
        <v>1</v>
      </c>
      <c r="X38" s="285"/>
      <c r="Y38" s="267"/>
      <c r="Z38" s="171" t="s">
        <v>60</v>
      </c>
      <c r="AA38" s="171"/>
      <c r="AB38" s="171"/>
      <c r="AC38" s="171"/>
    </row>
    <row r="39" spans="1:29" x14ac:dyDescent="0.25">
      <c r="A39" s="167"/>
      <c r="B39" s="280" t="s">
        <v>534</v>
      </c>
      <c r="C39" s="181" t="s">
        <v>207</v>
      </c>
      <c r="D39" s="271" t="s">
        <v>10</v>
      </c>
      <c r="E39" s="287" t="s">
        <v>176</v>
      </c>
      <c r="F39" s="288">
        <v>28</v>
      </c>
      <c r="G39" s="281">
        <v>3.73</v>
      </c>
      <c r="H39" s="277">
        <f t="shared" si="0"/>
        <v>2.7</v>
      </c>
      <c r="I39" s="289">
        <f t="shared" si="1"/>
        <v>75.599999999999994</v>
      </c>
      <c r="J39" s="323"/>
      <c r="K39" s="276">
        <f t="shared" si="2"/>
        <v>28</v>
      </c>
      <c r="L39" s="277">
        <f t="shared" si="3"/>
        <v>2.7</v>
      </c>
      <c r="M39" s="277">
        <f t="shared" si="4"/>
        <v>75.599999999999994</v>
      </c>
      <c r="N39" s="278" t="s">
        <v>156</v>
      </c>
      <c r="O39" s="279"/>
      <c r="P39" s="261"/>
      <c r="Q39" s="280"/>
      <c r="R39" s="281"/>
      <c r="S39" s="282">
        <f t="shared" si="5"/>
        <v>0</v>
      </c>
      <c r="T39" s="283">
        <f t="shared" si="6"/>
        <v>2.7</v>
      </c>
      <c r="U39" s="283">
        <f t="shared" si="7"/>
        <v>75.599999999999994</v>
      </c>
      <c r="V39" s="284">
        <f t="shared" si="8"/>
        <v>0</v>
      </c>
      <c r="W39" s="284">
        <f t="shared" si="9"/>
        <v>1</v>
      </c>
      <c r="X39" s="285"/>
      <c r="Y39" s="267"/>
      <c r="Z39" s="171" t="s">
        <v>61</v>
      </c>
      <c r="AA39" s="171"/>
      <c r="AB39" s="171"/>
      <c r="AC39" s="171"/>
    </row>
    <row r="40" spans="1:29" x14ac:dyDescent="0.25">
      <c r="A40" s="167"/>
      <c r="B40" s="262" t="s">
        <v>535</v>
      </c>
      <c r="C40" s="295" t="s">
        <v>232</v>
      </c>
      <c r="D40" s="271" t="s">
        <v>10</v>
      </c>
      <c r="E40" s="293" t="s">
        <v>176</v>
      </c>
      <c r="F40" s="273">
        <v>38</v>
      </c>
      <c r="G40" s="259">
        <v>3.55</v>
      </c>
      <c r="H40" s="258">
        <f t="shared" si="0"/>
        <v>2.57</v>
      </c>
      <c r="I40" s="274">
        <f t="shared" si="1"/>
        <v>97.66</v>
      </c>
      <c r="J40" s="323"/>
      <c r="K40" s="257">
        <f t="shared" si="2"/>
        <v>38</v>
      </c>
      <c r="L40" s="258">
        <f t="shared" si="3"/>
        <v>2.57</v>
      </c>
      <c r="M40" s="258">
        <f t="shared" si="4"/>
        <v>97.66</v>
      </c>
      <c r="N40" s="259" t="s">
        <v>156</v>
      </c>
      <c r="O40" s="290"/>
      <c r="P40" s="261"/>
      <c r="Q40" s="291"/>
      <c r="R40" s="263"/>
      <c r="S40" s="264">
        <f t="shared" si="5"/>
        <v>0</v>
      </c>
      <c r="T40" s="264">
        <f t="shared" si="6"/>
        <v>2.57</v>
      </c>
      <c r="U40" s="264">
        <f t="shared" si="7"/>
        <v>97.66</v>
      </c>
      <c r="V40" s="265">
        <f t="shared" si="8"/>
        <v>0</v>
      </c>
      <c r="W40" s="265">
        <f t="shared" si="9"/>
        <v>1</v>
      </c>
      <c r="X40" s="285"/>
      <c r="Y40" s="267"/>
      <c r="Z40" s="171" t="s">
        <v>62</v>
      </c>
      <c r="AA40" s="171"/>
      <c r="AB40" s="171"/>
      <c r="AC40" s="171"/>
    </row>
    <row r="41" spans="1:29" x14ac:dyDescent="0.25">
      <c r="A41" s="167"/>
      <c r="B41" s="280" t="s">
        <v>536</v>
      </c>
      <c r="C41" s="181" t="s">
        <v>206</v>
      </c>
      <c r="D41" s="271" t="s">
        <v>7</v>
      </c>
      <c r="E41" s="287" t="s">
        <v>176</v>
      </c>
      <c r="F41" s="288">
        <v>2</v>
      </c>
      <c r="G41" s="281">
        <v>137.86000000000001</v>
      </c>
      <c r="H41" s="277">
        <f t="shared" si="0"/>
        <v>99.9</v>
      </c>
      <c r="I41" s="289">
        <f t="shared" si="1"/>
        <v>199.8</v>
      </c>
      <c r="J41" s="323"/>
      <c r="K41" s="276">
        <f t="shared" si="2"/>
        <v>2</v>
      </c>
      <c r="L41" s="277">
        <f t="shared" si="3"/>
        <v>99.9</v>
      </c>
      <c r="M41" s="277">
        <f t="shared" si="4"/>
        <v>199.8</v>
      </c>
      <c r="N41" s="278" t="s">
        <v>156</v>
      </c>
      <c r="O41" s="279"/>
      <c r="P41" s="261"/>
      <c r="Q41" s="280"/>
      <c r="R41" s="281"/>
      <c r="S41" s="282">
        <f t="shared" si="5"/>
        <v>0</v>
      </c>
      <c r="T41" s="283">
        <f t="shared" si="6"/>
        <v>99.9</v>
      </c>
      <c r="U41" s="283">
        <f t="shared" si="7"/>
        <v>199.8</v>
      </c>
      <c r="V41" s="284">
        <f t="shared" si="8"/>
        <v>0</v>
      </c>
      <c r="W41" s="284">
        <f t="shared" si="9"/>
        <v>1</v>
      </c>
      <c r="X41" s="285"/>
      <c r="Y41" s="267"/>
      <c r="Z41" s="171" t="s">
        <v>63</v>
      </c>
      <c r="AA41" s="171"/>
      <c r="AB41" s="171"/>
      <c r="AC41" s="171"/>
    </row>
    <row r="42" spans="1:29" x14ac:dyDescent="0.25">
      <c r="A42" s="167"/>
      <c r="B42" s="262" t="s">
        <v>537</v>
      </c>
      <c r="C42" s="295" t="s">
        <v>207</v>
      </c>
      <c r="D42" s="271" t="s">
        <v>538</v>
      </c>
      <c r="E42" s="293" t="s">
        <v>176</v>
      </c>
      <c r="F42" s="273">
        <v>10</v>
      </c>
      <c r="G42" s="259">
        <v>2.98</v>
      </c>
      <c r="H42" s="258">
        <f t="shared" si="0"/>
        <v>2.16</v>
      </c>
      <c r="I42" s="274">
        <f t="shared" si="1"/>
        <v>21.6</v>
      </c>
      <c r="J42" s="323"/>
      <c r="K42" s="257">
        <f t="shared" si="2"/>
        <v>10</v>
      </c>
      <c r="L42" s="258">
        <f t="shared" si="3"/>
        <v>2.16</v>
      </c>
      <c r="M42" s="258">
        <f t="shared" si="4"/>
        <v>21.6</v>
      </c>
      <c r="N42" s="259" t="s">
        <v>156</v>
      </c>
      <c r="O42" s="290"/>
      <c r="P42" s="261"/>
      <c r="Q42" s="291"/>
      <c r="R42" s="263"/>
      <c r="S42" s="264">
        <f t="shared" si="5"/>
        <v>0</v>
      </c>
      <c r="T42" s="264">
        <f t="shared" si="6"/>
        <v>2.16</v>
      </c>
      <c r="U42" s="264">
        <f t="shared" si="7"/>
        <v>21.6</v>
      </c>
      <c r="V42" s="265">
        <f t="shared" si="8"/>
        <v>0</v>
      </c>
      <c r="W42" s="265">
        <f t="shared" si="9"/>
        <v>1</v>
      </c>
      <c r="X42" s="285"/>
      <c r="Y42" s="267"/>
      <c r="Z42" s="171" t="s">
        <v>189</v>
      </c>
      <c r="AA42" s="171"/>
      <c r="AB42" s="171"/>
      <c r="AC42" s="171"/>
    </row>
    <row r="43" spans="1:29" x14ac:dyDescent="0.25">
      <c r="A43" s="167"/>
      <c r="B43" s="280"/>
      <c r="C43" s="181"/>
      <c r="D43" s="271"/>
      <c r="E43" s="287"/>
      <c r="F43" s="288"/>
      <c r="G43" s="281"/>
      <c r="H43" s="277">
        <f t="shared" si="0"/>
        <v>0</v>
      </c>
      <c r="I43" s="289">
        <f t="shared" si="1"/>
        <v>0</v>
      </c>
      <c r="J43" s="323"/>
      <c r="K43" s="276">
        <f t="shared" si="2"/>
        <v>0</v>
      </c>
      <c r="L43" s="277">
        <f t="shared" si="3"/>
        <v>0</v>
      </c>
      <c r="M43" s="277">
        <f t="shared" si="4"/>
        <v>0</v>
      </c>
      <c r="N43" s="278" t="s">
        <v>156</v>
      </c>
      <c r="O43" s="279"/>
      <c r="P43" s="261"/>
      <c r="Q43" s="280"/>
      <c r="R43" s="281"/>
      <c r="S43" s="282">
        <f t="shared" si="5"/>
        <v>0</v>
      </c>
      <c r="T43" s="283">
        <f t="shared" si="6"/>
        <v>0</v>
      </c>
      <c r="U43" s="283">
        <f t="shared" si="7"/>
        <v>0</v>
      </c>
      <c r="V43" s="284">
        <f t="shared" si="8"/>
        <v>0</v>
      </c>
      <c r="W43" s="284">
        <f t="shared" si="9"/>
        <v>0</v>
      </c>
      <c r="X43" s="285"/>
      <c r="Y43" s="267"/>
      <c r="Z43" s="171" t="s">
        <v>64</v>
      </c>
      <c r="AA43" s="171"/>
      <c r="AB43" s="171"/>
      <c r="AC43" s="171"/>
    </row>
    <row r="44" spans="1:29" x14ac:dyDescent="0.25">
      <c r="A44" s="167"/>
      <c r="B44" s="262" t="s">
        <v>539</v>
      </c>
      <c r="C44" s="295" t="s">
        <v>540</v>
      </c>
      <c r="D44" s="271" t="s">
        <v>33</v>
      </c>
      <c r="E44" s="293" t="s">
        <v>176</v>
      </c>
      <c r="F44" s="273">
        <v>1</v>
      </c>
      <c r="G44" s="259">
        <v>888.65</v>
      </c>
      <c r="H44" s="258">
        <f t="shared" si="0"/>
        <v>643.95000000000005</v>
      </c>
      <c r="I44" s="274">
        <f t="shared" si="1"/>
        <v>643.95000000000005</v>
      </c>
      <c r="J44" s="323"/>
      <c r="K44" s="257">
        <f t="shared" si="2"/>
        <v>1</v>
      </c>
      <c r="L44" s="258">
        <f t="shared" si="3"/>
        <v>643.95000000000005</v>
      </c>
      <c r="M44" s="258">
        <f t="shared" si="4"/>
        <v>643.95000000000005</v>
      </c>
      <c r="N44" s="259" t="s">
        <v>156</v>
      </c>
      <c r="O44" s="290"/>
      <c r="P44" s="261"/>
      <c r="Q44" s="291"/>
      <c r="R44" s="263"/>
      <c r="S44" s="264">
        <f t="shared" si="5"/>
        <v>0</v>
      </c>
      <c r="T44" s="264">
        <f t="shared" si="6"/>
        <v>643.95000000000005</v>
      </c>
      <c r="U44" s="264">
        <f t="shared" si="7"/>
        <v>643.95000000000005</v>
      </c>
      <c r="V44" s="265">
        <f t="shared" si="8"/>
        <v>0</v>
      </c>
      <c r="W44" s="265">
        <f t="shared" si="9"/>
        <v>1</v>
      </c>
      <c r="X44" s="285"/>
      <c r="Y44" s="267"/>
      <c r="Z44" s="171" t="s">
        <v>191</v>
      </c>
      <c r="AA44" s="171"/>
      <c r="AB44" s="171"/>
      <c r="AC44" s="171"/>
    </row>
    <row r="45" spans="1:29" x14ac:dyDescent="0.25">
      <c r="A45" s="167"/>
      <c r="B45" s="280" t="s">
        <v>541</v>
      </c>
      <c r="C45" s="181" t="s">
        <v>542</v>
      </c>
      <c r="D45" s="271" t="s">
        <v>35</v>
      </c>
      <c r="E45" s="287" t="s">
        <v>176</v>
      </c>
      <c r="F45" s="288">
        <v>1</v>
      </c>
      <c r="G45" s="281">
        <v>103.21</v>
      </c>
      <c r="H45" s="277">
        <f t="shared" si="0"/>
        <v>74.790000000000006</v>
      </c>
      <c r="I45" s="289">
        <f t="shared" si="1"/>
        <v>74.790000000000006</v>
      </c>
      <c r="J45" s="323"/>
      <c r="K45" s="276">
        <f t="shared" si="2"/>
        <v>1</v>
      </c>
      <c r="L45" s="277">
        <f t="shared" si="3"/>
        <v>74.790000000000006</v>
      </c>
      <c r="M45" s="277">
        <f t="shared" si="4"/>
        <v>74.790000000000006</v>
      </c>
      <c r="N45" s="278" t="s">
        <v>156</v>
      </c>
      <c r="O45" s="279"/>
      <c r="P45" s="261"/>
      <c r="Q45" s="280"/>
      <c r="R45" s="281"/>
      <c r="S45" s="282">
        <f t="shared" si="5"/>
        <v>0</v>
      </c>
      <c r="T45" s="283">
        <f t="shared" si="6"/>
        <v>74.790000000000006</v>
      </c>
      <c r="U45" s="283">
        <f t="shared" si="7"/>
        <v>74.790000000000006</v>
      </c>
      <c r="V45" s="284">
        <f t="shared" si="8"/>
        <v>0</v>
      </c>
      <c r="W45" s="284">
        <f t="shared" si="9"/>
        <v>1</v>
      </c>
      <c r="X45" s="285"/>
      <c r="Y45" s="267"/>
      <c r="Z45" s="171" t="s">
        <v>193</v>
      </c>
      <c r="AA45" s="171"/>
      <c r="AB45" s="171"/>
      <c r="AC45" s="171"/>
    </row>
    <row r="46" spans="1:29" x14ac:dyDescent="0.25">
      <c r="A46" s="167"/>
      <c r="B46" s="262" t="s">
        <v>543</v>
      </c>
      <c r="C46" s="295" t="s">
        <v>544</v>
      </c>
      <c r="D46" s="271" t="s">
        <v>36</v>
      </c>
      <c r="E46" s="293" t="s">
        <v>176</v>
      </c>
      <c r="F46" s="273">
        <v>2</v>
      </c>
      <c r="G46" s="259">
        <v>7.45</v>
      </c>
      <c r="H46" s="258">
        <f t="shared" si="0"/>
        <v>5.4</v>
      </c>
      <c r="I46" s="274">
        <f t="shared" si="1"/>
        <v>10.8</v>
      </c>
      <c r="J46" s="323"/>
      <c r="K46" s="257">
        <f t="shared" si="2"/>
        <v>2</v>
      </c>
      <c r="L46" s="258">
        <f t="shared" si="3"/>
        <v>5.4</v>
      </c>
      <c r="M46" s="258">
        <f t="shared" si="4"/>
        <v>10.8</v>
      </c>
      <c r="N46" s="259" t="s">
        <v>156</v>
      </c>
      <c r="O46" s="290"/>
      <c r="P46" s="261"/>
      <c r="Q46" s="291"/>
      <c r="R46" s="263"/>
      <c r="S46" s="264">
        <f t="shared" si="5"/>
        <v>0</v>
      </c>
      <c r="T46" s="264">
        <f t="shared" si="6"/>
        <v>5.4</v>
      </c>
      <c r="U46" s="264">
        <f t="shared" si="7"/>
        <v>10.8</v>
      </c>
      <c r="V46" s="265">
        <f t="shared" si="8"/>
        <v>0</v>
      </c>
      <c r="W46" s="265">
        <f t="shared" si="9"/>
        <v>1</v>
      </c>
      <c r="X46" s="285"/>
      <c r="Y46" s="267"/>
      <c r="Z46" s="171" t="s">
        <v>65</v>
      </c>
      <c r="AA46" s="171"/>
      <c r="AB46" s="171"/>
      <c r="AC46" s="171"/>
    </row>
    <row r="47" spans="1:29" x14ac:dyDescent="0.25">
      <c r="A47" s="167"/>
      <c r="B47" s="280" t="s">
        <v>545</v>
      </c>
      <c r="C47" s="181" t="s">
        <v>546</v>
      </c>
      <c r="D47" s="271" t="s">
        <v>34</v>
      </c>
      <c r="E47" s="287" t="s">
        <v>176</v>
      </c>
      <c r="F47" s="288">
        <v>1</v>
      </c>
      <c r="G47" s="281">
        <v>16.59</v>
      </c>
      <c r="H47" s="277">
        <f t="shared" si="0"/>
        <v>12.02</v>
      </c>
      <c r="I47" s="289">
        <f t="shared" si="1"/>
        <v>12.02</v>
      </c>
      <c r="J47" s="323"/>
      <c r="K47" s="276">
        <f t="shared" si="2"/>
        <v>1</v>
      </c>
      <c r="L47" s="277">
        <f t="shared" si="3"/>
        <v>12.02</v>
      </c>
      <c r="M47" s="277">
        <f t="shared" si="4"/>
        <v>12.02</v>
      </c>
      <c r="N47" s="278" t="s">
        <v>156</v>
      </c>
      <c r="O47" s="279"/>
      <c r="P47" s="261"/>
      <c r="Q47" s="280"/>
      <c r="R47" s="281"/>
      <c r="S47" s="282">
        <f t="shared" si="5"/>
        <v>0</v>
      </c>
      <c r="T47" s="283">
        <f t="shared" si="6"/>
        <v>12.02</v>
      </c>
      <c r="U47" s="283">
        <f t="shared" si="7"/>
        <v>12.02</v>
      </c>
      <c r="V47" s="284">
        <f t="shared" si="8"/>
        <v>0</v>
      </c>
      <c r="W47" s="284">
        <f t="shared" si="9"/>
        <v>1</v>
      </c>
      <c r="X47" s="285"/>
      <c r="Y47" s="267"/>
      <c r="Z47" s="171" t="s">
        <v>66</v>
      </c>
      <c r="AA47" s="171"/>
      <c r="AB47" s="171"/>
      <c r="AC47" s="171"/>
    </row>
    <row r="48" spans="1:29" x14ac:dyDescent="0.25">
      <c r="A48" s="167"/>
      <c r="B48" s="262" t="s">
        <v>547</v>
      </c>
      <c r="C48" s="295" t="s">
        <v>548</v>
      </c>
      <c r="D48" s="271" t="s">
        <v>34</v>
      </c>
      <c r="E48" s="293" t="s">
        <v>176</v>
      </c>
      <c r="F48" s="273">
        <v>1</v>
      </c>
      <c r="G48" s="259">
        <v>16.02</v>
      </c>
      <c r="H48" s="258">
        <f t="shared" si="0"/>
        <v>11.61</v>
      </c>
      <c r="I48" s="274">
        <f t="shared" si="1"/>
        <v>11.61</v>
      </c>
      <c r="J48" s="323"/>
      <c r="K48" s="257">
        <f t="shared" si="2"/>
        <v>1</v>
      </c>
      <c r="L48" s="258">
        <f t="shared" si="3"/>
        <v>11.61</v>
      </c>
      <c r="M48" s="258">
        <f t="shared" si="4"/>
        <v>11.61</v>
      </c>
      <c r="N48" s="259" t="s">
        <v>156</v>
      </c>
      <c r="O48" s="290"/>
      <c r="P48" s="261"/>
      <c r="Q48" s="291"/>
      <c r="R48" s="263"/>
      <c r="S48" s="264">
        <f t="shared" si="5"/>
        <v>0</v>
      </c>
      <c r="T48" s="264">
        <f t="shared" si="6"/>
        <v>11.61</v>
      </c>
      <c r="U48" s="264">
        <f t="shared" si="7"/>
        <v>11.61</v>
      </c>
      <c r="V48" s="265">
        <f t="shared" si="8"/>
        <v>0</v>
      </c>
      <c r="W48" s="265">
        <f t="shared" si="9"/>
        <v>1</v>
      </c>
      <c r="X48" s="285"/>
      <c r="Y48" s="267"/>
      <c r="Z48" s="171" t="s">
        <v>196</v>
      </c>
      <c r="AA48" s="171"/>
      <c r="AB48" s="171"/>
      <c r="AC48" s="171"/>
    </row>
    <row r="49" spans="1:29" x14ac:dyDescent="0.25">
      <c r="A49" s="167"/>
      <c r="B49" s="280" t="s">
        <v>549</v>
      </c>
      <c r="C49" s="181" t="s">
        <v>550</v>
      </c>
      <c r="D49" s="271" t="s">
        <v>36</v>
      </c>
      <c r="E49" s="287" t="s">
        <v>176</v>
      </c>
      <c r="F49" s="288">
        <v>1</v>
      </c>
      <c r="G49" s="281">
        <v>203.26</v>
      </c>
      <c r="H49" s="277">
        <f t="shared" si="0"/>
        <v>147.29</v>
      </c>
      <c r="I49" s="289">
        <f t="shared" si="1"/>
        <v>147.29</v>
      </c>
      <c r="J49" s="323"/>
      <c r="K49" s="276">
        <f t="shared" si="2"/>
        <v>1</v>
      </c>
      <c r="L49" s="277">
        <f t="shared" si="3"/>
        <v>147.29</v>
      </c>
      <c r="M49" s="277">
        <f t="shared" si="4"/>
        <v>147.29</v>
      </c>
      <c r="N49" s="278" t="s">
        <v>156</v>
      </c>
      <c r="O49" s="279"/>
      <c r="P49" s="261"/>
      <c r="Q49" s="280"/>
      <c r="R49" s="281"/>
      <c r="S49" s="282">
        <f t="shared" si="5"/>
        <v>0</v>
      </c>
      <c r="T49" s="283">
        <f t="shared" si="6"/>
        <v>147.29</v>
      </c>
      <c r="U49" s="283">
        <f t="shared" si="7"/>
        <v>147.29</v>
      </c>
      <c r="V49" s="284">
        <f t="shared" si="8"/>
        <v>0</v>
      </c>
      <c r="W49" s="284">
        <f t="shared" si="9"/>
        <v>1</v>
      </c>
      <c r="X49" s="285"/>
      <c r="Y49" s="267"/>
      <c r="Z49" s="171"/>
      <c r="AA49" s="171"/>
      <c r="AB49" s="171"/>
      <c r="AC49" s="171"/>
    </row>
    <row r="50" spans="1:29" x14ac:dyDescent="0.25">
      <c r="A50" s="167"/>
      <c r="B50" s="262"/>
      <c r="C50" s="295"/>
      <c r="D50" s="271"/>
      <c r="E50" s="293"/>
      <c r="F50" s="273"/>
      <c r="G50" s="259"/>
      <c r="H50" s="258">
        <f t="shared" ref="H50:H80" si="10">ROUND(IF($G$17="USD $", G50*$F$15,G50*$E$15),2)</f>
        <v>0</v>
      </c>
      <c r="I50" s="274">
        <f t="shared" ref="I50:I80" si="11">ROUND(IF($I$17=$H$17,F50*H50,F50*G50),2)</f>
        <v>0</v>
      </c>
      <c r="J50" s="323"/>
      <c r="K50" s="257">
        <f t="shared" ref="K50:K80" si="12">F50</f>
        <v>0</v>
      </c>
      <c r="L50" s="258">
        <f t="shared" ref="L50:L80" si="13">IFERROR(IF(N50="OEM DISC %",ROUND(IF($L$17=$G$17,G50*(1-O50),H50*(1-O50)),2),IF(N50="MARKUP %",ROUND(S50/K50*(1+O50),2))),0)</f>
        <v>0</v>
      </c>
      <c r="M50" s="258">
        <f t="shared" ref="M50:M80" si="14">ROUND((K50*L50),2)</f>
        <v>0</v>
      </c>
      <c r="N50" s="259" t="s">
        <v>156</v>
      </c>
      <c r="O50" s="290"/>
      <c r="P50" s="261"/>
      <c r="Q50" s="291"/>
      <c r="R50" s="263"/>
      <c r="S50" s="264">
        <f t="shared" ref="S50:S80" si="15">ROUND(IF($S$17=$R$17,R50,IF($S$17="USD $",R50*$E$15,R50*$F$15))*F50,2)</f>
        <v>0</v>
      </c>
      <c r="T50" s="264">
        <f t="shared" ref="T50:T80" si="16">IFERROR(ROUND(U50/F50,2),0)</f>
        <v>0</v>
      </c>
      <c r="U50" s="264">
        <f t="shared" ref="U50:U80" si="17">ROUND(M50-S50,2)</f>
        <v>0</v>
      </c>
      <c r="V50" s="265">
        <f t="shared" ref="V50:V80" si="18">IFERROR(((L50-(S50/K50))/(S50/K50)),0)</f>
        <v>0</v>
      </c>
      <c r="W50" s="265">
        <f t="shared" ref="W50:W80" si="19">IFERROR(((L50-(S50/K50))/L50),0)</f>
        <v>0</v>
      </c>
      <c r="X50" s="285"/>
      <c r="Y50" s="267"/>
      <c r="Z50" s="171"/>
      <c r="AA50" s="171"/>
      <c r="AB50" s="171"/>
      <c r="AC50" s="171"/>
    </row>
    <row r="51" spans="1:29" x14ac:dyDescent="0.25">
      <c r="A51" s="167"/>
      <c r="B51" s="280" t="s">
        <v>551</v>
      </c>
      <c r="C51" s="181" t="s">
        <v>197</v>
      </c>
      <c r="D51" s="271" t="s">
        <v>22</v>
      </c>
      <c r="E51" s="287" t="s">
        <v>176</v>
      </c>
      <c r="F51" s="288">
        <v>1</v>
      </c>
      <c r="G51" s="281">
        <v>2372.85</v>
      </c>
      <c r="H51" s="277">
        <f t="shared" si="10"/>
        <v>1719.46</v>
      </c>
      <c r="I51" s="289">
        <f t="shared" si="11"/>
        <v>1719.46</v>
      </c>
      <c r="J51" s="323"/>
      <c r="K51" s="276">
        <f t="shared" si="12"/>
        <v>1</v>
      </c>
      <c r="L51" s="277">
        <f t="shared" si="13"/>
        <v>1719.46</v>
      </c>
      <c r="M51" s="277">
        <f t="shared" si="14"/>
        <v>1719.46</v>
      </c>
      <c r="N51" s="278" t="s">
        <v>156</v>
      </c>
      <c r="O51" s="279"/>
      <c r="P51" s="261"/>
      <c r="Q51" s="280"/>
      <c r="R51" s="281"/>
      <c r="S51" s="282">
        <f t="shared" si="15"/>
        <v>0</v>
      </c>
      <c r="T51" s="283">
        <f t="shared" si="16"/>
        <v>1719.46</v>
      </c>
      <c r="U51" s="283">
        <f t="shared" si="17"/>
        <v>1719.46</v>
      </c>
      <c r="V51" s="284">
        <f t="shared" si="18"/>
        <v>0</v>
      </c>
      <c r="W51" s="284">
        <f t="shared" si="19"/>
        <v>1</v>
      </c>
      <c r="X51" s="285"/>
      <c r="Y51" s="267"/>
      <c r="Z51" s="171"/>
      <c r="AA51" s="171"/>
      <c r="AB51" s="171"/>
      <c r="AC51" s="171"/>
    </row>
    <row r="52" spans="1:29" x14ac:dyDescent="0.25">
      <c r="A52" s="167"/>
      <c r="B52" s="337" t="s">
        <v>566</v>
      </c>
      <c r="C52" s="295" t="s">
        <v>198</v>
      </c>
      <c r="D52" s="271" t="s">
        <v>199</v>
      </c>
      <c r="E52" s="293" t="s">
        <v>176</v>
      </c>
      <c r="F52" s="273">
        <v>1</v>
      </c>
      <c r="G52" s="259">
        <v>2124.39</v>
      </c>
      <c r="H52" s="258">
        <f t="shared" si="10"/>
        <v>1539.41</v>
      </c>
      <c r="I52" s="274">
        <f t="shared" si="11"/>
        <v>1539.41</v>
      </c>
      <c r="J52" s="323"/>
      <c r="K52" s="257">
        <f t="shared" si="12"/>
        <v>1</v>
      </c>
      <c r="L52" s="258">
        <f t="shared" si="13"/>
        <v>1539.41</v>
      </c>
      <c r="M52" s="258">
        <f t="shared" si="14"/>
        <v>1539.41</v>
      </c>
      <c r="N52" s="259" t="s">
        <v>156</v>
      </c>
      <c r="O52" s="290"/>
      <c r="P52" s="261"/>
      <c r="Q52" s="291"/>
      <c r="R52" s="263"/>
      <c r="S52" s="264">
        <f t="shared" si="15"/>
        <v>0</v>
      </c>
      <c r="T52" s="264">
        <f t="shared" si="16"/>
        <v>1539.41</v>
      </c>
      <c r="U52" s="264">
        <f t="shared" si="17"/>
        <v>1539.41</v>
      </c>
      <c r="V52" s="265">
        <f t="shared" si="18"/>
        <v>0</v>
      </c>
      <c r="W52" s="265">
        <f t="shared" si="19"/>
        <v>1</v>
      </c>
      <c r="X52" s="285"/>
      <c r="Y52" s="267"/>
      <c r="Z52" s="171"/>
      <c r="AA52" s="171"/>
      <c r="AB52" s="171"/>
      <c r="AC52" s="171"/>
    </row>
    <row r="53" spans="1:29" x14ac:dyDescent="0.25">
      <c r="A53" s="167"/>
      <c r="B53" s="280" t="s">
        <v>567</v>
      </c>
      <c r="C53" s="181" t="s">
        <v>200</v>
      </c>
      <c r="D53" s="271" t="s">
        <v>18</v>
      </c>
      <c r="E53" s="287" t="s">
        <v>176</v>
      </c>
      <c r="F53" s="288">
        <v>1</v>
      </c>
      <c r="G53" s="281">
        <v>877.16</v>
      </c>
      <c r="H53" s="277">
        <f t="shared" si="10"/>
        <v>635.62</v>
      </c>
      <c r="I53" s="289">
        <f t="shared" si="11"/>
        <v>635.62</v>
      </c>
      <c r="J53" s="323"/>
      <c r="K53" s="276">
        <f t="shared" si="12"/>
        <v>1</v>
      </c>
      <c r="L53" s="277">
        <f t="shared" si="13"/>
        <v>635.62</v>
      </c>
      <c r="M53" s="277">
        <f t="shared" si="14"/>
        <v>635.62</v>
      </c>
      <c r="N53" s="278" t="s">
        <v>156</v>
      </c>
      <c r="O53" s="279"/>
      <c r="P53" s="261"/>
      <c r="Q53" s="280"/>
      <c r="R53" s="281"/>
      <c r="S53" s="282">
        <f t="shared" si="15"/>
        <v>0</v>
      </c>
      <c r="T53" s="283">
        <f t="shared" si="16"/>
        <v>635.62</v>
      </c>
      <c r="U53" s="283">
        <f t="shared" si="17"/>
        <v>635.62</v>
      </c>
      <c r="V53" s="284">
        <f t="shared" si="18"/>
        <v>0</v>
      </c>
      <c r="W53" s="284">
        <f t="shared" si="19"/>
        <v>1</v>
      </c>
      <c r="X53" s="285"/>
      <c r="Y53" s="267"/>
      <c r="Z53" s="171"/>
      <c r="AA53" s="171"/>
      <c r="AB53" s="171"/>
      <c r="AC53" s="171"/>
    </row>
    <row r="54" spans="1:29" x14ac:dyDescent="0.25">
      <c r="A54" s="167"/>
      <c r="B54" s="262"/>
      <c r="C54" s="295"/>
      <c r="D54" s="271"/>
      <c r="E54" s="293"/>
      <c r="F54" s="273"/>
      <c r="G54" s="259"/>
      <c r="H54" s="258">
        <f t="shared" si="10"/>
        <v>0</v>
      </c>
      <c r="I54" s="274">
        <f t="shared" si="11"/>
        <v>0</v>
      </c>
      <c r="J54" s="323"/>
      <c r="K54" s="257">
        <f t="shared" si="12"/>
        <v>0</v>
      </c>
      <c r="L54" s="258">
        <f t="shared" si="13"/>
        <v>0</v>
      </c>
      <c r="M54" s="258">
        <f t="shared" si="14"/>
        <v>0</v>
      </c>
      <c r="N54" s="259" t="s">
        <v>156</v>
      </c>
      <c r="O54" s="290"/>
      <c r="P54" s="261"/>
      <c r="Q54" s="291"/>
      <c r="R54" s="263"/>
      <c r="S54" s="264">
        <f t="shared" si="15"/>
        <v>0</v>
      </c>
      <c r="T54" s="264">
        <f t="shared" si="16"/>
        <v>0</v>
      </c>
      <c r="U54" s="264">
        <f t="shared" si="17"/>
        <v>0</v>
      </c>
      <c r="V54" s="265">
        <f t="shared" si="18"/>
        <v>0</v>
      </c>
      <c r="W54" s="265">
        <f t="shared" si="19"/>
        <v>0</v>
      </c>
      <c r="X54" s="285"/>
      <c r="Y54" s="267"/>
      <c r="Z54" s="171"/>
      <c r="AA54" s="171"/>
      <c r="AB54" s="171"/>
      <c r="AC54" s="171"/>
    </row>
    <row r="55" spans="1:29" x14ac:dyDescent="0.25">
      <c r="A55" s="167"/>
      <c r="B55" s="280"/>
      <c r="C55" s="181"/>
      <c r="D55" s="271"/>
      <c r="E55" s="287"/>
      <c r="F55" s="288"/>
      <c r="G55" s="281"/>
      <c r="H55" s="277">
        <f t="shared" si="10"/>
        <v>0</v>
      </c>
      <c r="I55" s="289">
        <f t="shared" si="11"/>
        <v>0</v>
      </c>
      <c r="J55" s="323"/>
      <c r="K55" s="276">
        <f t="shared" si="12"/>
        <v>0</v>
      </c>
      <c r="L55" s="277">
        <f t="shared" si="13"/>
        <v>0</v>
      </c>
      <c r="M55" s="277">
        <f t="shared" si="14"/>
        <v>0</v>
      </c>
      <c r="N55" s="278" t="s">
        <v>156</v>
      </c>
      <c r="O55" s="279"/>
      <c r="P55" s="261"/>
      <c r="Q55" s="280"/>
      <c r="R55" s="281"/>
      <c r="S55" s="282">
        <f t="shared" si="15"/>
        <v>0</v>
      </c>
      <c r="T55" s="283">
        <f t="shared" si="16"/>
        <v>0</v>
      </c>
      <c r="U55" s="283">
        <f t="shared" si="17"/>
        <v>0</v>
      </c>
      <c r="V55" s="284">
        <f t="shared" si="18"/>
        <v>0</v>
      </c>
      <c r="W55" s="284">
        <f t="shared" si="19"/>
        <v>0</v>
      </c>
      <c r="X55" s="285"/>
      <c r="Y55" s="267"/>
      <c r="Z55" s="171"/>
      <c r="AA55" s="171"/>
      <c r="AB55" s="171"/>
      <c r="AC55" s="171"/>
    </row>
    <row r="56" spans="1:29" x14ac:dyDescent="0.25">
      <c r="A56" s="167"/>
      <c r="B56" s="262"/>
      <c r="C56" s="295"/>
      <c r="D56" s="271"/>
      <c r="E56" s="293"/>
      <c r="F56" s="273"/>
      <c r="G56" s="259"/>
      <c r="H56" s="258">
        <f t="shared" si="10"/>
        <v>0</v>
      </c>
      <c r="I56" s="274">
        <f t="shared" si="11"/>
        <v>0</v>
      </c>
      <c r="J56" s="323"/>
      <c r="K56" s="257">
        <f t="shared" si="12"/>
        <v>0</v>
      </c>
      <c r="L56" s="258">
        <f t="shared" si="13"/>
        <v>0</v>
      </c>
      <c r="M56" s="258">
        <f t="shared" si="14"/>
        <v>0</v>
      </c>
      <c r="N56" s="259" t="s">
        <v>156</v>
      </c>
      <c r="O56" s="290"/>
      <c r="P56" s="261"/>
      <c r="Q56" s="291"/>
      <c r="R56" s="263"/>
      <c r="S56" s="264">
        <f t="shared" si="15"/>
        <v>0</v>
      </c>
      <c r="T56" s="264">
        <f t="shared" si="16"/>
        <v>0</v>
      </c>
      <c r="U56" s="264">
        <f t="shared" si="17"/>
        <v>0</v>
      </c>
      <c r="V56" s="265">
        <f t="shared" si="18"/>
        <v>0</v>
      </c>
      <c r="W56" s="265">
        <f t="shared" si="19"/>
        <v>0</v>
      </c>
      <c r="X56" s="285"/>
      <c r="Y56" s="267"/>
      <c r="Z56" s="171"/>
      <c r="AA56" s="171"/>
      <c r="AB56" s="171"/>
      <c r="AC56" s="171"/>
    </row>
    <row r="57" spans="1:29" x14ac:dyDescent="0.25">
      <c r="A57" s="167"/>
      <c r="B57" s="280"/>
      <c r="C57" s="181"/>
      <c r="D57" s="271"/>
      <c r="E57" s="287"/>
      <c r="F57" s="288"/>
      <c r="G57" s="281"/>
      <c r="H57" s="277">
        <f t="shared" si="10"/>
        <v>0</v>
      </c>
      <c r="I57" s="289">
        <f t="shared" si="11"/>
        <v>0</v>
      </c>
      <c r="J57" s="323"/>
      <c r="K57" s="276">
        <f t="shared" si="12"/>
        <v>0</v>
      </c>
      <c r="L57" s="277">
        <f t="shared" si="13"/>
        <v>0</v>
      </c>
      <c r="M57" s="277">
        <f t="shared" si="14"/>
        <v>0</v>
      </c>
      <c r="N57" s="278" t="s">
        <v>156</v>
      </c>
      <c r="O57" s="279"/>
      <c r="P57" s="261"/>
      <c r="Q57" s="280"/>
      <c r="R57" s="281"/>
      <c r="S57" s="282">
        <f t="shared" si="15"/>
        <v>0</v>
      </c>
      <c r="T57" s="283">
        <f t="shared" si="16"/>
        <v>0</v>
      </c>
      <c r="U57" s="283">
        <f t="shared" si="17"/>
        <v>0</v>
      </c>
      <c r="V57" s="284">
        <f t="shared" si="18"/>
        <v>0</v>
      </c>
      <c r="W57" s="284">
        <f t="shared" si="19"/>
        <v>0</v>
      </c>
      <c r="X57" s="285"/>
      <c r="Y57" s="267"/>
      <c r="Z57" s="171"/>
      <c r="AA57" s="171"/>
      <c r="AB57" s="171"/>
      <c r="AC57" s="171"/>
    </row>
    <row r="58" spans="1:29" x14ac:dyDescent="0.25">
      <c r="A58" s="167"/>
      <c r="B58" s="262"/>
      <c r="C58" s="295"/>
      <c r="D58" s="271"/>
      <c r="E58" s="293"/>
      <c r="F58" s="273"/>
      <c r="G58" s="259"/>
      <c r="H58" s="258">
        <f t="shared" si="10"/>
        <v>0</v>
      </c>
      <c r="I58" s="274">
        <f t="shared" si="11"/>
        <v>0</v>
      </c>
      <c r="J58" s="323"/>
      <c r="K58" s="257">
        <f t="shared" si="12"/>
        <v>0</v>
      </c>
      <c r="L58" s="258">
        <f t="shared" si="13"/>
        <v>0</v>
      </c>
      <c r="M58" s="258">
        <f t="shared" si="14"/>
        <v>0</v>
      </c>
      <c r="N58" s="259" t="s">
        <v>156</v>
      </c>
      <c r="O58" s="290"/>
      <c r="P58" s="261"/>
      <c r="Q58" s="291"/>
      <c r="R58" s="263"/>
      <c r="S58" s="264">
        <f t="shared" si="15"/>
        <v>0</v>
      </c>
      <c r="T58" s="264">
        <f t="shared" si="16"/>
        <v>0</v>
      </c>
      <c r="U58" s="264">
        <f t="shared" si="17"/>
        <v>0</v>
      </c>
      <c r="V58" s="265">
        <f t="shared" si="18"/>
        <v>0</v>
      </c>
      <c r="W58" s="265">
        <f t="shared" si="19"/>
        <v>0</v>
      </c>
      <c r="X58" s="285"/>
      <c r="Y58" s="267"/>
      <c r="Z58" s="171"/>
      <c r="AA58" s="171"/>
      <c r="AB58" s="171"/>
      <c r="AC58" s="171"/>
    </row>
    <row r="59" spans="1:29" x14ac:dyDescent="0.25">
      <c r="A59" s="167"/>
      <c r="B59" s="280"/>
      <c r="C59" s="181"/>
      <c r="D59" s="271"/>
      <c r="E59" s="287"/>
      <c r="F59" s="288"/>
      <c r="G59" s="281"/>
      <c r="H59" s="277">
        <f t="shared" si="10"/>
        <v>0</v>
      </c>
      <c r="I59" s="289">
        <f t="shared" si="11"/>
        <v>0</v>
      </c>
      <c r="J59" s="323"/>
      <c r="K59" s="276">
        <f t="shared" si="12"/>
        <v>0</v>
      </c>
      <c r="L59" s="277">
        <f t="shared" si="13"/>
        <v>0</v>
      </c>
      <c r="M59" s="277">
        <f t="shared" si="14"/>
        <v>0</v>
      </c>
      <c r="N59" s="278" t="s">
        <v>156</v>
      </c>
      <c r="O59" s="279"/>
      <c r="P59" s="261"/>
      <c r="Q59" s="280"/>
      <c r="R59" s="281"/>
      <c r="S59" s="282">
        <f t="shared" si="15"/>
        <v>0</v>
      </c>
      <c r="T59" s="283">
        <f t="shared" si="16"/>
        <v>0</v>
      </c>
      <c r="U59" s="283">
        <f t="shared" si="17"/>
        <v>0</v>
      </c>
      <c r="V59" s="284">
        <f t="shared" si="18"/>
        <v>0</v>
      </c>
      <c r="W59" s="284">
        <f t="shared" si="19"/>
        <v>0</v>
      </c>
      <c r="X59" s="285"/>
      <c r="Y59" s="267"/>
      <c r="Z59" s="171"/>
      <c r="AA59" s="171"/>
      <c r="AB59" s="171"/>
      <c r="AC59" s="171"/>
    </row>
    <row r="60" spans="1:29" x14ac:dyDescent="0.25">
      <c r="A60" s="167"/>
      <c r="B60" s="262"/>
      <c r="C60" s="295"/>
      <c r="D60" s="271"/>
      <c r="E60" s="293"/>
      <c r="F60" s="273"/>
      <c r="G60" s="259"/>
      <c r="H60" s="258">
        <f t="shared" si="10"/>
        <v>0</v>
      </c>
      <c r="I60" s="274">
        <f t="shared" si="11"/>
        <v>0</v>
      </c>
      <c r="J60" s="323"/>
      <c r="K60" s="257">
        <f t="shared" si="12"/>
        <v>0</v>
      </c>
      <c r="L60" s="258">
        <f t="shared" si="13"/>
        <v>0</v>
      </c>
      <c r="M60" s="258">
        <f t="shared" si="14"/>
        <v>0</v>
      </c>
      <c r="N60" s="259" t="s">
        <v>156</v>
      </c>
      <c r="O60" s="290"/>
      <c r="P60" s="261"/>
      <c r="Q60" s="291"/>
      <c r="R60" s="263"/>
      <c r="S60" s="264">
        <f t="shared" si="15"/>
        <v>0</v>
      </c>
      <c r="T60" s="264">
        <f t="shared" si="16"/>
        <v>0</v>
      </c>
      <c r="U60" s="264">
        <f t="shared" si="17"/>
        <v>0</v>
      </c>
      <c r="V60" s="265">
        <f t="shared" si="18"/>
        <v>0</v>
      </c>
      <c r="W60" s="265">
        <f t="shared" si="19"/>
        <v>0</v>
      </c>
      <c r="X60" s="285"/>
      <c r="Y60" s="267"/>
      <c r="Z60" s="171"/>
      <c r="AA60" s="171"/>
      <c r="AB60" s="171"/>
      <c r="AC60" s="171"/>
    </row>
    <row r="61" spans="1:29" x14ac:dyDescent="0.25">
      <c r="A61" s="167"/>
      <c r="B61" s="280"/>
      <c r="C61" s="181"/>
      <c r="D61" s="271"/>
      <c r="E61" s="287"/>
      <c r="F61" s="288"/>
      <c r="G61" s="281"/>
      <c r="H61" s="277">
        <f t="shared" si="10"/>
        <v>0</v>
      </c>
      <c r="I61" s="289">
        <f t="shared" si="11"/>
        <v>0</v>
      </c>
      <c r="J61" s="323"/>
      <c r="K61" s="276">
        <f t="shared" si="12"/>
        <v>0</v>
      </c>
      <c r="L61" s="277">
        <f t="shared" si="13"/>
        <v>0</v>
      </c>
      <c r="M61" s="277">
        <f t="shared" si="14"/>
        <v>0</v>
      </c>
      <c r="N61" s="278" t="s">
        <v>156</v>
      </c>
      <c r="O61" s="279"/>
      <c r="P61" s="261"/>
      <c r="Q61" s="280"/>
      <c r="R61" s="281"/>
      <c r="S61" s="282">
        <f t="shared" si="15"/>
        <v>0</v>
      </c>
      <c r="T61" s="283">
        <f t="shared" si="16"/>
        <v>0</v>
      </c>
      <c r="U61" s="283">
        <f t="shared" si="17"/>
        <v>0</v>
      </c>
      <c r="V61" s="284">
        <f t="shared" si="18"/>
        <v>0</v>
      </c>
      <c r="W61" s="284">
        <f t="shared" si="19"/>
        <v>0</v>
      </c>
      <c r="X61" s="285"/>
      <c r="Y61" s="267"/>
      <c r="Z61" s="171"/>
      <c r="AA61" s="171"/>
      <c r="AB61" s="171"/>
      <c r="AC61" s="171"/>
    </row>
    <row r="62" spans="1:29" x14ac:dyDescent="0.25">
      <c r="A62" s="167"/>
      <c r="B62" s="262"/>
      <c r="C62" s="295"/>
      <c r="D62" s="271"/>
      <c r="E62" s="293"/>
      <c r="F62" s="273"/>
      <c r="G62" s="259"/>
      <c r="H62" s="258">
        <f t="shared" si="10"/>
        <v>0</v>
      </c>
      <c r="I62" s="274">
        <f t="shared" si="11"/>
        <v>0</v>
      </c>
      <c r="J62" s="323"/>
      <c r="K62" s="257">
        <f t="shared" si="12"/>
        <v>0</v>
      </c>
      <c r="L62" s="258">
        <f t="shared" si="13"/>
        <v>0</v>
      </c>
      <c r="M62" s="258">
        <f t="shared" si="14"/>
        <v>0</v>
      </c>
      <c r="N62" s="259" t="s">
        <v>156</v>
      </c>
      <c r="O62" s="290"/>
      <c r="P62" s="261"/>
      <c r="Q62" s="291"/>
      <c r="R62" s="263"/>
      <c r="S62" s="264">
        <f t="shared" si="15"/>
        <v>0</v>
      </c>
      <c r="T62" s="264">
        <f t="shared" si="16"/>
        <v>0</v>
      </c>
      <c r="U62" s="264">
        <f t="shared" si="17"/>
        <v>0</v>
      </c>
      <c r="V62" s="265">
        <f t="shared" si="18"/>
        <v>0</v>
      </c>
      <c r="W62" s="265">
        <f t="shared" si="19"/>
        <v>0</v>
      </c>
      <c r="X62" s="285"/>
      <c r="Y62" s="267"/>
      <c r="Z62" s="171"/>
      <c r="AA62" s="171"/>
      <c r="AB62" s="171"/>
      <c r="AC62" s="171"/>
    </row>
    <row r="63" spans="1:29" x14ac:dyDescent="0.25">
      <c r="A63" s="167"/>
      <c r="B63" s="280"/>
      <c r="C63" s="181"/>
      <c r="D63" s="271"/>
      <c r="E63" s="287"/>
      <c r="F63" s="288"/>
      <c r="G63" s="281"/>
      <c r="H63" s="277">
        <f t="shared" si="10"/>
        <v>0</v>
      </c>
      <c r="I63" s="289">
        <f t="shared" si="11"/>
        <v>0</v>
      </c>
      <c r="J63" s="323"/>
      <c r="K63" s="276">
        <f t="shared" si="12"/>
        <v>0</v>
      </c>
      <c r="L63" s="277">
        <f t="shared" si="13"/>
        <v>0</v>
      </c>
      <c r="M63" s="277">
        <f t="shared" si="14"/>
        <v>0</v>
      </c>
      <c r="N63" s="278" t="s">
        <v>156</v>
      </c>
      <c r="O63" s="279"/>
      <c r="P63" s="261"/>
      <c r="Q63" s="280"/>
      <c r="R63" s="281"/>
      <c r="S63" s="282">
        <f t="shared" si="15"/>
        <v>0</v>
      </c>
      <c r="T63" s="283">
        <f t="shared" si="16"/>
        <v>0</v>
      </c>
      <c r="U63" s="283">
        <f t="shared" si="17"/>
        <v>0</v>
      </c>
      <c r="V63" s="284">
        <f t="shared" si="18"/>
        <v>0</v>
      </c>
      <c r="W63" s="284">
        <f t="shared" si="19"/>
        <v>0</v>
      </c>
      <c r="X63" s="285"/>
      <c r="Y63" s="267"/>
      <c r="Z63" s="171"/>
      <c r="AA63" s="171"/>
      <c r="AB63" s="171"/>
      <c r="AC63" s="171"/>
    </row>
    <row r="64" spans="1:29" x14ac:dyDescent="0.25">
      <c r="A64" s="167"/>
      <c r="B64" s="262"/>
      <c r="C64" s="295"/>
      <c r="D64" s="271"/>
      <c r="E64" s="293"/>
      <c r="F64" s="273"/>
      <c r="G64" s="259"/>
      <c r="H64" s="258">
        <f t="shared" si="10"/>
        <v>0</v>
      </c>
      <c r="I64" s="274">
        <f t="shared" si="11"/>
        <v>0</v>
      </c>
      <c r="J64" s="323"/>
      <c r="K64" s="257">
        <f t="shared" si="12"/>
        <v>0</v>
      </c>
      <c r="L64" s="258">
        <f t="shared" si="13"/>
        <v>0</v>
      </c>
      <c r="M64" s="258">
        <f t="shared" si="14"/>
        <v>0</v>
      </c>
      <c r="N64" s="259" t="s">
        <v>156</v>
      </c>
      <c r="O64" s="290"/>
      <c r="P64" s="261"/>
      <c r="Q64" s="291"/>
      <c r="R64" s="263"/>
      <c r="S64" s="264">
        <f t="shared" si="15"/>
        <v>0</v>
      </c>
      <c r="T64" s="264">
        <f t="shared" si="16"/>
        <v>0</v>
      </c>
      <c r="U64" s="264">
        <f t="shared" si="17"/>
        <v>0</v>
      </c>
      <c r="V64" s="265">
        <f t="shared" si="18"/>
        <v>0</v>
      </c>
      <c r="W64" s="265">
        <f t="shared" si="19"/>
        <v>0</v>
      </c>
      <c r="X64" s="285"/>
      <c r="Y64" s="267"/>
      <c r="Z64" s="171"/>
      <c r="AA64" s="171"/>
      <c r="AB64" s="171"/>
      <c r="AC64" s="171"/>
    </row>
    <row r="65" spans="1:29" x14ac:dyDescent="0.25">
      <c r="A65" s="167"/>
      <c r="B65" s="280"/>
      <c r="C65" s="181"/>
      <c r="D65" s="296"/>
      <c r="E65" s="287"/>
      <c r="F65" s="288"/>
      <c r="G65" s="281"/>
      <c r="H65" s="277">
        <f t="shared" si="10"/>
        <v>0</v>
      </c>
      <c r="I65" s="289">
        <f t="shared" si="11"/>
        <v>0</v>
      </c>
      <c r="J65" s="323"/>
      <c r="K65" s="276">
        <f t="shared" si="12"/>
        <v>0</v>
      </c>
      <c r="L65" s="277">
        <f t="shared" si="13"/>
        <v>0</v>
      </c>
      <c r="M65" s="277">
        <f t="shared" si="14"/>
        <v>0</v>
      </c>
      <c r="N65" s="278" t="s">
        <v>156</v>
      </c>
      <c r="O65" s="279"/>
      <c r="P65" s="261"/>
      <c r="Q65" s="280"/>
      <c r="R65" s="281"/>
      <c r="S65" s="282">
        <f t="shared" si="15"/>
        <v>0</v>
      </c>
      <c r="T65" s="283">
        <f t="shared" si="16"/>
        <v>0</v>
      </c>
      <c r="U65" s="283">
        <f t="shared" si="17"/>
        <v>0</v>
      </c>
      <c r="V65" s="284">
        <f t="shared" si="18"/>
        <v>0</v>
      </c>
      <c r="W65" s="284">
        <f t="shared" si="19"/>
        <v>0</v>
      </c>
      <c r="X65" s="285"/>
      <c r="Y65" s="267"/>
      <c r="Z65" s="171"/>
      <c r="AA65" s="171"/>
      <c r="AB65" s="171"/>
      <c r="AC65" s="171"/>
    </row>
    <row r="66" spans="1:29" x14ac:dyDescent="0.25">
      <c r="A66" s="167"/>
      <c r="B66" s="262"/>
      <c r="C66" s="295"/>
      <c r="D66" s="271"/>
      <c r="E66" s="293"/>
      <c r="F66" s="273"/>
      <c r="G66" s="259"/>
      <c r="H66" s="258">
        <f t="shared" si="10"/>
        <v>0</v>
      </c>
      <c r="I66" s="274">
        <f t="shared" si="11"/>
        <v>0</v>
      </c>
      <c r="J66" s="323"/>
      <c r="K66" s="257">
        <f t="shared" si="12"/>
        <v>0</v>
      </c>
      <c r="L66" s="258">
        <f t="shared" si="13"/>
        <v>0</v>
      </c>
      <c r="M66" s="258">
        <f t="shared" si="14"/>
        <v>0</v>
      </c>
      <c r="N66" s="259" t="s">
        <v>156</v>
      </c>
      <c r="O66" s="290"/>
      <c r="P66" s="261"/>
      <c r="Q66" s="291"/>
      <c r="R66" s="263"/>
      <c r="S66" s="264">
        <f t="shared" si="15"/>
        <v>0</v>
      </c>
      <c r="T66" s="264">
        <f t="shared" si="16"/>
        <v>0</v>
      </c>
      <c r="U66" s="264">
        <f t="shared" si="17"/>
        <v>0</v>
      </c>
      <c r="V66" s="265">
        <f t="shared" si="18"/>
        <v>0</v>
      </c>
      <c r="W66" s="265">
        <f t="shared" si="19"/>
        <v>0</v>
      </c>
      <c r="X66" s="285"/>
      <c r="Y66" s="267"/>
      <c r="Z66" s="171"/>
      <c r="AA66" s="171"/>
      <c r="AB66" s="171"/>
      <c r="AC66" s="171"/>
    </row>
    <row r="67" spans="1:29" x14ac:dyDescent="0.25">
      <c r="A67" s="167"/>
      <c r="B67" s="280"/>
      <c r="C67" s="181"/>
      <c r="D67" s="296"/>
      <c r="E67" s="287"/>
      <c r="F67" s="288"/>
      <c r="G67" s="281"/>
      <c r="H67" s="277">
        <f t="shared" si="10"/>
        <v>0</v>
      </c>
      <c r="I67" s="289">
        <f t="shared" si="11"/>
        <v>0</v>
      </c>
      <c r="J67" s="323"/>
      <c r="K67" s="276">
        <f t="shared" si="12"/>
        <v>0</v>
      </c>
      <c r="L67" s="277">
        <f t="shared" si="13"/>
        <v>0</v>
      </c>
      <c r="M67" s="277">
        <f t="shared" si="14"/>
        <v>0</v>
      </c>
      <c r="N67" s="278" t="s">
        <v>156</v>
      </c>
      <c r="O67" s="279"/>
      <c r="P67" s="261"/>
      <c r="Q67" s="280"/>
      <c r="R67" s="281"/>
      <c r="S67" s="282">
        <f t="shared" si="15"/>
        <v>0</v>
      </c>
      <c r="T67" s="283">
        <f t="shared" si="16"/>
        <v>0</v>
      </c>
      <c r="U67" s="283">
        <f t="shared" si="17"/>
        <v>0</v>
      </c>
      <c r="V67" s="284">
        <f t="shared" si="18"/>
        <v>0</v>
      </c>
      <c r="W67" s="284">
        <f t="shared" si="19"/>
        <v>0</v>
      </c>
      <c r="X67" s="285"/>
      <c r="Y67" s="267"/>
      <c r="Z67" s="171"/>
      <c r="AA67" s="171"/>
      <c r="AB67" s="171"/>
      <c r="AC67" s="171"/>
    </row>
    <row r="68" spans="1:29" x14ac:dyDescent="0.25">
      <c r="A68" s="167"/>
      <c r="B68" s="262"/>
      <c r="C68" s="295"/>
      <c r="D68" s="271"/>
      <c r="E68" s="293"/>
      <c r="F68" s="273"/>
      <c r="G68" s="259"/>
      <c r="H68" s="258">
        <f t="shared" si="10"/>
        <v>0</v>
      </c>
      <c r="I68" s="274">
        <f t="shared" si="11"/>
        <v>0</v>
      </c>
      <c r="J68" s="323"/>
      <c r="K68" s="257">
        <f t="shared" si="12"/>
        <v>0</v>
      </c>
      <c r="L68" s="258">
        <f t="shared" si="13"/>
        <v>0</v>
      </c>
      <c r="M68" s="258">
        <f t="shared" si="14"/>
        <v>0</v>
      </c>
      <c r="N68" s="259" t="s">
        <v>156</v>
      </c>
      <c r="O68" s="290"/>
      <c r="P68" s="261"/>
      <c r="Q68" s="291"/>
      <c r="R68" s="263"/>
      <c r="S68" s="264">
        <f t="shared" si="15"/>
        <v>0</v>
      </c>
      <c r="T68" s="264">
        <f t="shared" si="16"/>
        <v>0</v>
      </c>
      <c r="U68" s="264">
        <f t="shared" si="17"/>
        <v>0</v>
      </c>
      <c r="V68" s="265">
        <f t="shared" si="18"/>
        <v>0</v>
      </c>
      <c r="W68" s="265">
        <f t="shared" si="19"/>
        <v>0</v>
      </c>
      <c r="X68" s="285"/>
      <c r="Y68" s="267"/>
      <c r="Z68" s="171"/>
      <c r="AA68" s="171"/>
      <c r="AB68" s="171"/>
      <c r="AC68" s="171"/>
    </row>
    <row r="69" spans="1:29" x14ac:dyDescent="0.25">
      <c r="A69" s="167"/>
      <c r="B69" s="280"/>
      <c r="C69" s="181"/>
      <c r="D69" s="296"/>
      <c r="E69" s="287"/>
      <c r="F69" s="288"/>
      <c r="G69" s="281"/>
      <c r="H69" s="277">
        <f t="shared" si="10"/>
        <v>0</v>
      </c>
      <c r="I69" s="289">
        <f t="shared" si="11"/>
        <v>0</v>
      </c>
      <c r="J69" s="323"/>
      <c r="K69" s="276">
        <f t="shared" si="12"/>
        <v>0</v>
      </c>
      <c r="L69" s="277">
        <f t="shared" si="13"/>
        <v>0</v>
      </c>
      <c r="M69" s="277">
        <f t="shared" si="14"/>
        <v>0</v>
      </c>
      <c r="N69" s="278" t="s">
        <v>156</v>
      </c>
      <c r="O69" s="279"/>
      <c r="P69" s="261"/>
      <c r="Q69" s="280"/>
      <c r="R69" s="281"/>
      <c r="S69" s="282">
        <f t="shared" si="15"/>
        <v>0</v>
      </c>
      <c r="T69" s="283">
        <f t="shared" si="16"/>
        <v>0</v>
      </c>
      <c r="U69" s="283">
        <f t="shared" si="17"/>
        <v>0</v>
      </c>
      <c r="V69" s="284">
        <f t="shared" si="18"/>
        <v>0</v>
      </c>
      <c r="W69" s="284">
        <f t="shared" si="19"/>
        <v>0</v>
      </c>
      <c r="X69" s="285"/>
      <c r="Y69" s="267"/>
      <c r="Z69" s="171"/>
      <c r="AA69" s="171"/>
      <c r="AB69" s="171"/>
      <c r="AC69" s="171"/>
    </row>
    <row r="70" spans="1:29" x14ac:dyDescent="0.25">
      <c r="A70" s="167"/>
      <c r="B70" s="262"/>
      <c r="C70" s="295"/>
      <c r="D70" s="271"/>
      <c r="E70" s="293"/>
      <c r="F70" s="273"/>
      <c r="G70" s="259"/>
      <c r="H70" s="258">
        <f t="shared" si="10"/>
        <v>0</v>
      </c>
      <c r="I70" s="274">
        <f t="shared" si="11"/>
        <v>0</v>
      </c>
      <c r="J70" s="323"/>
      <c r="K70" s="257">
        <f t="shared" si="12"/>
        <v>0</v>
      </c>
      <c r="L70" s="258">
        <f t="shared" si="13"/>
        <v>0</v>
      </c>
      <c r="M70" s="258">
        <f t="shared" si="14"/>
        <v>0</v>
      </c>
      <c r="N70" s="259" t="s">
        <v>156</v>
      </c>
      <c r="O70" s="290"/>
      <c r="P70" s="261"/>
      <c r="Q70" s="291"/>
      <c r="R70" s="263"/>
      <c r="S70" s="264">
        <f t="shared" si="15"/>
        <v>0</v>
      </c>
      <c r="T70" s="264">
        <f t="shared" si="16"/>
        <v>0</v>
      </c>
      <c r="U70" s="264">
        <f t="shared" si="17"/>
        <v>0</v>
      </c>
      <c r="V70" s="265">
        <f t="shared" si="18"/>
        <v>0</v>
      </c>
      <c r="W70" s="265">
        <f t="shared" si="19"/>
        <v>0</v>
      </c>
      <c r="X70" s="285"/>
      <c r="Y70" s="267"/>
      <c r="Z70" s="171"/>
      <c r="AA70" s="171"/>
      <c r="AB70" s="171"/>
      <c r="AC70" s="171"/>
    </row>
    <row r="71" spans="1:29" x14ac:dyDescent="0.25">
      <c r="A71" s="167"/>
      <c r="B71" s="280"/>
      <c r="C71" s="181"/>
      <c r="D71" s="296"/>
      <c r="E71" s="287"/>
      <c r="F71" s="288"/>
      <c r="G71" s="281"/>
      <c r="H71" s="277">
        <f t="shared" si="10"/>
        <v>0</v>
      </c>
      <c r="I71" s="289">
        <f t="shared" si="11"/>
        <v>0</v>
      </c>
      <c r="J71" s="323"/>
      <c r="K71" s="276">
        <f t="shared" si="12"/>
        <v>0</v>
      </c>
      <c r="L71" s="277">
        <f t="shared" si="13"/>
        <v>0</v>
      </c>
      <c r="M71" s="277">
        <f t="shared" si="14"/>
        <v>0</v>
      </c>
      <c r="N71" s="278" t="s">
        <v>156</v>
      </c>
      <c r="O71" s="279"/>
      <c r="P71" s="261"/>
      <c r="Q71" s="280"/>
      <c r="R71" s="281"/>
      <c r="S71" s="282">
        <f t="shared" si="15"/>
        <v>0</v>
      </c>
      <c r="T71" s="283">
        <f t="shared" si="16"/>
        <v>0</v>
      </c>
      <c r="U71" s="283">
        <f t="shared" si="17"/>
        <v>0</v>
      </c>
      <c r="V71" s="284">
        <f t="shared" si="18"/>
        <v>0</v>
      </c>
      <c r="W71" s="284">
        <f t="shared" si="19"/>
        <v>0</v>
      </c>
      <c r="X71" s="285"/>
      <c r="Y71" s="267"/>
      <c r="Z71" s="171"/>
      <c r="AA71" s="171"/>
      <c r="AB71" s="171"/>
      <c r="AC71" s="171"/>
    </row>
    <row r="72" spans="1:29" x14ac:dyDescent="0.25">
      <c r="A72" s="167"/>
      <c r="B72" s="262"/>
      <c r="C72" s="295"/>
      <c r="D72" s="271"/>
      <c r="E72" s="293"/>
      <c r="F72" s="273"/>
      <c r="G72" s="259"/>
      <c r="H72" s="258">
        <f t="shared" si="10"/>
        <v>0</v>
      </c>
      <c r="I72" s="274">
        <f t="shared" si="11"/>
        <v>0</v>
      </c>
      <c r="J72" s="323"/>
      <c r="K72" s="257">
        <f t="shared" si="12"/>
        <v>0</v>
      </c>
      <c r="L72" s="258">
        <f t="shared" si="13"/>
        <v>0</v>
      </c>
      <c r="M72" s="258">
        <f t="shared" si="14"/>
        <v>0</v>
      </c>
      <c r="N72" s="259" t="s">
        <v>156</v>
      </c>
      <c r="O72" s="290"/>
      <c r="P72" s="261"/>
      <c r="Q72" s="291"/>
      <c r="R72" s="263"/>
      <c r="S72" s="264">
        <f t="shared" si="15"/>
        <v>0</v>
      </c>
      <c r="T72" s="264">
        <f t="shared" si="16"/>
        <v>0</v>
      </c>
      <c r="U72" s="264">
        <f t="shared" si="17"/>
        <v>0</v>
      </c>
      <c r="V72" s="265">
        <f t="shared" si="18"/>
        <v>0</v>
      </c>
      <c r="W72" s="265">
        <f t="shared" si="19"/>
        <v>0</v>
      </c>
      <c r="X72" s="285"/>
      <c r="Y72" s="267"/>
      <c r="Z72" s="171"/>
      <c r="AA72" s="171"/>
      <c r="AB72" s="171"/>
      <c r="AC72" s="171"/>
    </row>
    <row r="73" spans="1:29" x14ac:dyDescent="0.25">
      <c r="A73" s="167"/>
      <c r="B73" s="280"/>
      <c r="C73" s="181"/>
      <c r="D73" s="296"/>
      <c r="E73" s="287"/>
      <c r="F73" s="288"/>
      <c r="G73" s="281"/>
      <c r="H73" s="277">
        <f t="shared" si="10"/>
        <v>0</v>
      </c>
      <c r="I73" s="289">
        <f t="shared" si="11"/>
        <v>0</v>
      </c>
      <c r="J73" s="323"/>
      <c r="K73" s="276">
        <f t="shared" si="12"/>
        <v>0</v>
      </c>
      <c r="L73" s="277">
        <f t="shared" si="13"/>
        <v>0</v>
      </c>
      <c r="M73" s="277">
        <f t="shared" si="14"/>
        <v>0</v>
      </c>
      <c r="N73" s="278" t="s">
        <v>156</v>
      </c>
      <c r="O73" s="279"/>
      <c r="P73" s="261"/>
      <c r="Q73" s="280"/>
      <c r="R73" s="281"/>
      <c r="S73" s="282">
        <f t="shared" si="15"/>
        <v>0</v>
      </c>
      <c r="T73" s="283">
        <f t="shared" si="16"/>
        <v>0</v>
      </c>
      <c r="U73" s="283">
        <f t="shared" si="17"/>
        <v>0</v>
      </c>
      <c r="V73" s="284">
        <f t="shared" si="18"/>
        <v>0</v>
      </c>
      <c r="W73" s="284">
        <f t="shared" si="19"/>
        <v>0</v>
      </c>
      <c r="X73" s="285"/>
      <c r="Y73" s="267"/>
      <c r="Z73" s="171"/>
      <c r="AA73" s="171"/>
      <c r="AB73" s="171"/>
      <c r="AC73" s="171"/>
    </row>
    <row r="74" spans="1:29" x14ac:dyDescent="0.25">
      <c r="A74" s="167"/>
      <c r="B74" s="262"/>
      <c r="C74" s="295"/>
      <c r="D74" s="271"/>
      <c r="E74" s="293"/>
      <c r="F74" s="273"/>
      <c r="G74" s="259"/>
      <c r="H74" s="258">
        <f t="shared" si="10"/>
        <v>0</v>
      </c>
      <c r="I74" s="274">
        <f t="shared" si="11"/>
        <v>0</v>
      </c>
      <c r="J74" s="323"/>
      <c r="K74" s="257">
        <f t="shared" si="12"/>
        <v>0</v>
      </c>
      <c r="L74" s="258">
        <f t="shared" si="13"/>
        <v>0</v>
      </c>
      <c r="M74" s="258">
        <f t="shared" si="14"/>
        <v>0</v>
      </c>
      <c r="N74" s="259" t="s">
        <v>156</v>
      </c>
      <c r="O74" s="290"/>
      <c r="P74" s="261"/>
      <c r="Q74" s="291"/>
      <c r="R74" s="263"/>
      <c r="S74" s="264">
        <f t="shared" si="15"/>
        <v>0</v>
      </c>
      <c r="T74" s="264">
        <f t="shared" si="16"/>
        <v>0</v>
      </c>
      <c r="U74" s="264">
        <f t="shared" si="17"/>
        <v>0</v>
      </c>
      <c r="V74" s="265">
        <f t="shared" si="18"/>
        <v>0</v>
      </c>
      <c r="W74" s="265">
        <f t="shared" si="19"/>
        <v>0</v>
      </c>
      <c r="X74" s="285"/>
      <c r="Y74" s="267"/>
      <c r="Z74" s="171"/>
      <c r="AA74" s="171"/>
      <c r="AB74" s="171"/>
      <c r="AC74" s="171"/>
    </row>
    <row r="75" spans="1:29" x14ac:dyDescent="0.25">
      <c r="A75" s="167"/>
      <c r="B75" s="280"/>
      <c r="C75" s="181"/>
      <c r="D75" s="296"/>
      <c r="E75" s="287"/>
      <c r="F75" s="288"/>
      <c r="G75" s="281"/>
      <c r="H75" s="277">
        <f t="shared" si="10"/>
        <v>0</v>
      </c>
      <c r="I75" s="289">
        <f t="shared" si="11"/>
        <v>0</v>
      </c>
      <c r="J75" s="323"/>
      <c r="K75" s="276">
        <f t="shared" si="12"/>
        <v>0</v>
      </c>
      <c r="L75" s="277">
        <f t="shared" si="13"/>
        <v>0</v>
      </c>
      <c r="M75" s="277">
        <f t="shared" si="14"/>
        <v>0</v>
      </c>
      <c r="N75" s="278" t="s">
        <v>156</v>
      </c>
      <c r="O75" s="279"/>
      <c r="P75" s="261"/>
      <c r="Q75" s="280"/>
      <c r="R75" s="281"/>
      <c r="S75" s="282">
        <f t="shared" si="15"/>
        <v>0</v>
      </c>
      <c r="T75" s="283">
        <f t="shared" si="16"/>
        <v>0</v>
      </c>
      <c r="U75" s="283">
        <f t="shared" si="17"/>
        <v>0</v>
      </c>
      <c r="V75" s="284">
        <f t="shared" si="18"/>
        <v>0</v>
      </c>
      <c r="W75" s="284">
        <f t="shared" si="19"/>
        <v>0</v>
      </c>
      <c r="X75" s="285"/>
      <c r="Y75" s="267"/>
      <c r="Z75" s="171"/>
      <c r="AA75" s="171"/>
      <c r="AB75" s="171"/>
      <c r="AC75" s="171"/>
    </row>
    <row r="76" spans="1:29" x14ac:dyDescent="0.25">
      <c r="A76" s="167"/>
      <c r="B76" s="262"/>
      <c r="C76" s="295"/>
      <c r="D76" s="271"/>
      <c r="E76" s="293"/>
      <c r="F76" s="273"/>
      <c r="G76" s="259"/>
      <c r="H76" s="258">
        <f t="shared" si="10"/>
        <v>0</v>
      </c>
      <c r="I76" s="274">
        <f t="shared" si="11"/>
        <v>0</v>
      </c>
      <c r="J76" s="323"/>
      <c r="K76" s="257">
        <f t="shared" si="12"/>
        <v>0</v>
      </c>
      <c r="L76" s="258">
        <f t="shared" si="13"/>
        <v>0</v>
      </c>
      <c r="M76" s="258">
        <f t="shared" si="14"/>
        <v>0</v>
      </c>
      <c r="N76" s="259" t="s">
        <v>156</v>
      </c>
      <c r="O76" s="290"/>
      <c r="P76" s="261"/>
      <c r="Q76" s="291"/>
      <c r="R76" s="263"/>
      <c r="S76" s="264">
        <f t="shared" si="15"/>
        <v>0</v>
      </c>
      <c r="T76" s="264">
        <f t="shared" si="16"/>
        <v>0</v>
      </c>
      <c r="U76" s="264">
        <f t="shared" si="17"/>
        <v>0</v>
      </c>
      <c r="V76" s="265">
        <f t="shared" si="18"/>
        <v>0</v>
      </c>
      <c r="W76" s="265">
        <f t="shared" si="19"/>
        <v>0</v>
      </c>
      <c r="X76" s="285"/>
      <c r="Y76" s="267"/>
      <c r="Z76" s="171"/>
      <c r="AA76" s="171"/>
      <c r="AB76" s="171"/>
      <c r="AC76" s="171"/>
    </row>
    <row r="77" spans="1:29" x14ac:dyDescent="0.25">
      <c r="A77" s="167"/>
      <c r="B77" s="280"/>
      <c r="C77" s="181"/>
      <c r="D77" s="296"/>
      <c r="E77" s="287"/>
      <c r="F77" s="288"/>
      <c r="G77" s="281"/>
      <c r="H77" s="277">
        <f t="shared" si="10"/>
        <v>0</v>
      </c>
      <c r="I77" s="289">
        <f t="shared" si="11"/>
        <v>0</v>
      </c>
      <c r="J77" s="323"/>
      <c r="K77" s="276">
        <f t="shared" si="12"/>
        <v>0</v>
      </c>
      <c r="L77" s="277">
        <f t="shared" si="13"/>
        <v>0</v>
      </c>
      <c r="M77" s="277">
        <f t="shared" si="14"/>
        <v>0</v>
      </c>
      <c r="N77" s="278" t="s">
        <v>156</v>
      </c>
      <c r="O77" s="279"/>
      <c r="P77" s="261"/>
      <c r="Q77" s="280"/>
      <c r="R77" s="281"/>
      <c r="S77" s="282">
        <f t="shared" si="15"/>
        <v>0</v>
      </c>
      <c r="T77" s="283">
        <f t="shared" si="16"/>
        <v>0</v>
      </c>
      <c r="U77" s="283">
        <f t="shared" si="17"/>
        <v>0</v>
      </c>
      <c r="V77" s="284">
        <f t="shared" si="18"/>
        <v>0</v>
      </c>
      <c r="W77" s="284">
        <f t="shared" si="19"/>
        <v>0</v>
      </c>
      <c r="X77" s="285"/>
      <c r="Y77" s="267"/>
      <c r="Z77" s="171"/>
      <c r="AA77" s="171"/>
      <c r="AB77" s="171"/>
      <c r="AC77" s="171"/>
    </row>
    <row r="78" spans="1:29" x14ac:dyDescent="0.25">
      <c r="A78" s="167"/>
      <c r="B78" s="262"/>
      <c r="C78" s="295"/>
      <c r="D78" s="271"/>
      <c r="E78" s="293"/>
      <c r="F78" s="273"/>
      <c r="G78" s="259"/>
      <c r="H78" s="258">
        <f t="shared" si="10"/>
        <v>0</v>
      </c>
      <c r="I78" s="274">
        <f t="shared" si="11"/>
        <v>0</v>
      </c>
      <c r="J78" s="323"/>
      <c r="K78" s="257">
        <f t="shared" si="12"/>
        <v>0</v>
      </c>
      <c r="L78" s="258">
        <f t="shared" si="13"/>
        <v>0</v>
      </c>
      <c r="M78" s="258">
        <f t="shared" si="14"/>
        <v>0</v>
      </c>
      <c r="N78" s="259" t="s">
        <v>156</v>
      </c>
      <c r="O78" s="290"/>
      <c r="P78" s="261"/>
      <c r="Q78" s="291"/>
      <c r="R78" s="263"/>
      <c r="S78" s="264">
        <f t="shared" si="15"/>
        <v>0</v>
      </c>
      <c r="T78" s="264">
        <f t="shared" si="16"/>
        <v>0</v>
      </c>
      <c r="U78" s="264">
        <f t="shared" si="17"/>
        <v>0</v>
      </c>
      <c r="V78" s="265">
        <f t="shared" si="18"/>
        <v>0</v>
      </c>
      <c r="W78" s="265">
        <f t="shared" si="19"/>
        <v>0</v>
      </c>
      <c r="X78" s="285"/>
      <c r="Y78" s="267"/>
      <c r="Z78" s="171"/>
      <c r="AA78" s="171"/>
      <c r="AB78" s="171"/>
      <c r="AC78" s="171"/>
    </row>
    <row r="79" spans="1:29" x14ac:dyDescent="0.25">
      <c r="A79" s="167"/>
      <c r="B79" s="280"/>
      <c r="C79" s="181"/>
      <c r="D79" s="296"/>
      <c r="E79" s="287"/>
      <c r="F79" s="288"/>
      <c r="G79" s="281"/>
      <c r="H79" s="277">
        <f t="shared" si="10"/>
        <v>0</v>
      </c>
      <c r="I79" s="289">
        <f t="shared" si="11"/>
        <v>0</v>
      </c>
      <c r="J79" s="323"/>
      <c r="K79" s="276">
        <f t="shared" si="12"/>
        <v>0</v>
      </c>
      <c r="L79" s="277">
        <f t="shared" si="13"/>
        <v>0</v>
      </c>
      <c r="M79" s="277">
        <f t="shared" si="14"/>
        <v>0</v>
      </c>
      <c r="N79" s="278" t="s">
        <v>156</v>
      </c>
      <c r="O79" s="279"/>
      <c r="P79" s="261"/>
      <c r="Q79" s="280"/>
      <c r="R79" s="281"/>
      <c r="S79" s="282">
        <f t="shared" si="15"/>
        <v>0</v>
      </c>
      <c r="T79" s="283">
        <f t="shared" si="16"/>
        <v>0</v>
      </c>
      <c r="U79" s="283">
        <f t="shared" si="17"/>
        <v>0</v>
      </c>
      <c r="V79" s="284">
        <f t="shared" si="18"/>
        <v>0</v>
      </c>
      <c r="W79" s="284">
        <f t="shared" si="19"/>
        <v>0</v>
      </c>
      <c r="X79" s="285"/>
      <c r="Y79" s="267"/>
      <c r="Z79" s="171"/>
      <c r="AA79" s="171"/>
      <c r="AB79" s="171"/>
      <c r="AC79" s="171"/>
    </row>
    <row r="80" spans="1:29" x14ac:dyDescent="0.25">
      <c r="A80" s="167"/>
      <c r="B80" s="262"/>
      <c r="C80" s="295"/>
      <c r="D80" s="271"/>
      <c r="E80" s="293"/>
      <c r="F80" s="273"/>
      <c r="G80" s="259"/>
      <c r="H80" s="258">
        <f t="shared" si="10"/>
        <v>0</v>
      </c>
      <c r="I80" s="274">
        <f t="shared" si="11"/>
        <v>0</v>
      </c>
      <c r="J80" s="323"/>
      <c r="K80" s="257">
        <f t="shared" si="12"/>
        <v>0</v>
      </c>
      <c r="L80" s="258">
        <f t="shared" si="13"/>
        <v>0</v>
      </c>
      <c r="M80" s="258">
        <f t="shared" si="14"/>
        <v>0</v>
      </c>
      <c r="N80" s="259" t="s">
        <v>156</v>
      </c>
      <c r="O80" s="290"/>
      <c r="P80" s="261"/>
      <c r="Q80" s="291"/>
      <c r="R80" s="263"/>
      <c r="S80" s="264">
        <f t="shared" si="15"/>
        <v>0</v>
      </c>
      <c r="T80" s="264">
        <f t="shared" si="16"/>
        <v>0</v>
      </c>
      <c r="U80" s="264">
        <f t="shared" si="17"/>
        <v>0</v>
      </c>
      <c r="V80" s="265">
        <f t="shared" si="18"/>
        <v>0</v>
      </c>
      <c r="W80" s="265">
        <f t="shared" si="19"/>
        <v>0</v>
      </c>
      <c r="X80" s="285"/>
      <c r="Y80" s="267"/>
      <c r="Z80" s="171"/>
      <c r="AA80" s="171"/>
      <c r="AB80" s="171"/>
      <c r="AC80" s="171"/>
    </row>
    <row r="81" spans="1:25" ht="20.25" customHeight="1" x14ac:dyDescent="0.25">
      <c r="A81" s="297"/>
      <c r="B81" s="315"/>
      <c r="C81" s="315"/>
      <c r="D81" s="315"/>
      <c r="E81" s="316" t="s">
        <v>202</v>
      </c>
      <c r="F81" s="317">
        <f>SUM(F18:F80)</f>
        <v>120</v>
      </c>
      <c r="G81" s="318">
        <f>SUM(G18:G80)</f>
        <v>148525.50000000003</v>
      </c>
      <c r="H81" s="308">
        <f>SUM(H18:H80)</f>
        <v>107627.16</v>
      </c>
      <c r="I81" s="309">
        <f>SUM(I18:I80)</f>
        <v>111459.62000000002</v>
      </c>
      <c r="J81" s="324"/>
      <c r="K81" s="307">
        <f>SUM(K18:K80)</f>
        <v>120</v>
      </c>
      <c r="L81" s="308">
        <f>SUM(L18:L80)</f>
        <v>107627.16</v>
      </c>
      <c r="M81" s="309">
        <f>SUM(M18:M80)</f>
        <v>111459.62000000002</v>
      </c>
      <c r="N81" s="309"/>
      <c r="O81" s="309"/>
      <c r="P81" s="310"/>
      <c r="Q81" s="311"/>
      <c r="R81" s="308">
        <f>SUM(R18:R80)</f>
        <v>0</v>
      </c>
      <c r="S81" s="308">
        <f>SUM(S18:S80)</f>
        <v>0</v>
      </c>
      <c r="T81" s="309">
        <f>SUM(T18:T80)</f>
        <v>107627.16</v>
      </c>
      <c r="U81" s="309">
        <f>SUM(U18:U80)</f>
        <v>111459.62000000002</v>
      </c>
      <c r="V81" s="312"/>
      <c r="W81" s="312"/>
      <c r="X81" s="313"/>
      <c r="Y81" s="314"/>
    </row>
    <row r="83" spans="1:25" ht="15" customHeight="1" x14ac:dyDescent="0.25">
      <c r="V83" s="319"/>
    </row>
  </sheetData>
  <mergeCells count="80"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T9:T10"/>
    <mergeCell ref="U9:U10"/>
    <mergeCell ref="V9:V10"/>
    <mergeCell ref="W9:W10"/>
    <mergeCell ref="X9:X10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T1:X1"/>
    <mergeCell ref="B1:C1"/>
    <mergeCell ref="E1:H1"/>
    <mergeCell ref="I1:L1"/>
    <mergeCell ref="M1:P1"/>
    <mergeCell ref="Q1:S1"/>
  </mergeCells>
  <conditionalFormatting sqref="V9:V10">
    <cfRule type="expression" dxfId="27" priority="3" stopIfTrue="1">
      <formula>$V$9&gt;100%</formula>
    </cfRule>
    <cfRule type="expression" dxfId="26" priority="4">
      <formula>$V$9&lt;50%</formula>
    </cfRule>
  </conditionalFormatting>
  <conditionalFormatting sqref="W9:W10">
    <cfRule type="expression" dxfId="25" priority="1">
      <formula>$W$9&lt;50%</formula>
    </cfRule>
    <cfRule type="expression" dxfId="24" priority="2">
      <formula>$W$9&gt;50%</formula>
    </cfRule>
  </conditionalFormatting>
  <dataValidations count="7">
    <dataValidation type="list" allowBlank="1" showInputMessage="1" showErrorMessage="1" sqref="G2" xr:uid="{AF94545C-9D0E-4C51-83DF-76F3F350754E}">
      <formula1>$Z$34:$Z$48</formula1>
    </dataValidation>
    <dataValidation type="list" allowBlank="1" showInputMessage="1" showErrorMessage="1" sqref="N18:N80" xr:uid="{E2C4044D-65EB-4F5C-98A2-2724894051DD}">
      <formula1>$Z$31:$Z$32</formula1>
    </dataValidation>
    <dataValidation type="list" showInputMessage="1" showErrorMessage="1" sqref="E50:E80" xr:uid="{21CCF588-88D5-4185-80A7-EDF400D80EB8}">
      <formula1>$AA$18:$AA$29</formula1>
    </dataValidation>
    <dataValidation type="list" allowBlank="1" showInputMessage="1" showErrorMessage="1" sqref="J13" xr:uid="{DD969CBF-1E51-4EFE-99E3-56CAEE1ED8CB}">
      <formula1>$L$9:$L$9</formula1>
    </dataValidation>
    <dataValidation type="list" allowBlank="1" showInputMessage="1" showErrorMessage="1" sqref="I13" xr:uid="{2B605F7E-B8C6-4955-95BA-B7C03526891E}">
      <formula1>$Z$13:$Z$14</formula1>
    </dataValidation>
    <dataValidation type="list" allowBlank="1" showInputMessage="1" showErrorMessage="1" sqref="G17 R14 R17 L17" xr:uid="{449500EA-C0BC-45BB-9C16-C0A2F6E46439}">
      <formula1>$Z$11:$Z$12</formula1>
    </dataValidation>
    <dataValidation type="list" showInputMessage="1" showErrorMessage="1" sqref="E21:E49" xr:uid="{520859E2-014A-4C6B-9FCC-E5E02D6C0B00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4D1201-C85F-41D5-8238-633718E874D1}">
          <x14:formula1>
            <xm:f>'Product Type'!$A$1:$A$55</xm:f>
          </x14:formula1>
          <xm:sqref>D18:D63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A8DC-F954-4BE7-92D2-1EB44AC2E16D}">
  <sheetPr>
    <pageSetUpPr fitToPage="1"/>
  </sheetPr>
  <dimension ref="A1:AC83"/>
  <sheetViews>
    <sheetView zoomScale="85" zoomScaleNormal="85" workbookViewId="0">
      <selection activeCell="C51" sqref="C51:E5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16.28515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57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102962.37000000001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102962.37000000001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568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569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735">
        <f>IFERROR((Q2-Q3)/Q2,"")</f>
        <v>0</v>
      </c>
      <c r="R5" s="735"/>
      <c r="S5" s="736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 t="s">
        <v>570</v>
      </c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102962.37000000001</v>
      </c>
      <c r="R6" s="507"/>
      <c r="S6" s="508"/>
      <c r="T6" s="483" t="s">
        <v>97</v>
      </c>
      <c r="U6" s="485"/>
      <c r="V6" s="509"/>
      <c r="W6" s="510"/>
      <c r="X6" s="187"/>
      <c r="Y6" s="188"/>
      <c r="Z6" s="33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7"/>
      <c r="Y7" s="191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339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102962.37000000001</v>
      </c>
      <c r="V9" s="733">
        <f>IFERROR(((Q3-T9)/T9),0)</f>
        <v>0</v>
      </c>
      <c r="W9" s="733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339"/>
      <c r="M10" s="483" t="s">
        <v>112</v>
      </c>
      <c r="N10" s="484"/>
      <c r="O10" s="485"/>
      <c r="P10" s="119"/>
      <c r="Q10" s="487">
        <f>F81</f>
        <v>117</v>
      </c>
      <c r="R10" s="487"/>
      <c r="S10" s="488"/>
      <c r="T10" s="476"/>
      <c r="U10" s="476"/>
      <c r="V10" s="734"/>
      <c r="W10" s="734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732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 t="s">
        <v>559</v>
      </c>
      <c r="C18" s="5" t="s">
        <v>210</v>
      </c>
      <c r="D18" s="139" t="s">
        <v>510</v>
      </c>
      <c r="E18" s="333">
        <v>375</v>
      </c>
      <c r="F18" s="53">
        <v>1</v>
      </c>
      <c r="G18" s="340">
        <v>33.31</v>
      </c>
      <c r="H18" s="341">
        <f t="shared" ref="H18:H49" si="0">ROUND(IF($G$17="USD $", G18*$F$15,G18*$E$15),2)</f>
        <v>24.14</v>
      </c>
      <c r="I18" s="342">
        <f t="shared" ref="I18:I49" si="1">ROUND(IF($I$17=$H$17,F18*H18,F18*G18),2)</f>
        <v>24.14</v>
      </c>
      <c r="J18" s="343"/>
      <c r="K18" s="89">
        <f t="shared" ref="K18:K49" si="2">F18</f>
        <v>1</v>
      </c>
      <c r="L18" s="341">
        <f t="shared" ref="L18:L49" si="3">IFERROR(IF(N18="OEM DISC %",ROUND(IF($L$17=$G$17,G18*(1-O18),H18*(1-O18)),2),IF(N18="MARKUP %",ROUND(S18/K18*(1+O18),2))),0)</f>
        <v>24.14</v>
      </c>
      <c r="M18" s="341">
        <f t="shared" ref="M18:M49" si="4">ROUND((K18*L18),2)</f>
        <v>24.14</v>
      </c>
      <c r="N18" s="340" t="s">
        <v>156</v>
      </c>
      <c r="O18" s="36"/>
      <c r="P18" s="344"/>
      <c r="Q18" s="2"/>
      <c r="R18" s="345"/>
      <c r="S18" s="346">
        <f t="shared" ref="S18:S49" si="5">ROUND(IF($S$17=$R$17,R18,IF($S$17="USD $",R18*$E$15,R18*$F$15))*F18,2)</f>
        <v>0</v>
      </c>
      <c r="T18" s="346">
        <f t="shared" ref="T18:T49" si="6">IFERROR(ROUND(U18/F18,2),0)</f>
        <v>24.14</v>
      </c>
      <c r="U18" s="346">
        <f t="shared" ref="U18:U49" si="7">ROUND(M18-S18,2)</f>
        <v>24.14</v>
      </c>
      <c r="V18" s="347">
        <f t="shared" ref="V18:V49" si="8">IFERROR(((L18-(S18/K18))/(S18/K18)),0)</f>
        <v>0</v>
      </c>
      <c r="W18" s="347">
        <f t="shared" ref="W18:W49" si="9">IFERROR(((L18-(S18/K18))/L18),0)</f>
        <v>1</v>
      </c>
      <c r="X18" s="348"/>
      <c r="Y18" s="349"/>
      <c r="Z18" s="61"/>
      <c r="AA18" s="61">
        <v>250</v>
      </c>
      <c r="AB18" s="71"/>
      <c r="AC18" s="72"/>
    </row>
    <row r="19" spans="1:29" x14ac:dyDescent="0.25">
      <c r="A19" s="55"/>
      <c r="B19" s="1"/>
      <c r="C19" s="4"/>
      <c r="D19" s="139"/>
      <c r="E19" s="334">
        <v>375</v>
      </c>
      <c r="F19" s="54"/>
      <c r="G19" s="15"/>
      <c r="H19" s="350">
        <f t="shared" si="0"/>
        <v>0</v>
      </c>
      <c r="I19" s="351">
        <f t="shared" si="1"/>
        <v>0</v>
      </c>
      <c r="J19" s="352"/>
      <c r="K19" s="88">
        <f t="shared" si="2"/>
        <v>0</v>
      </c>
      <c r="L19" s="350">
        <f t="shared" si="3"/>
        <v>0</v>
      </c>
      <c r="M19" s="350">
        <f t="shared" si="4"/>
        <v>0</v>
      </c>
      <c r="N19" s="128" t="s">
        <v>156</v>
      </c>
      <c r="O19" s="16"/>
      <c r="P19" s="344"/>
      <c r="Q19" s="1"/>
      <c r="R19" s="15"/>
      <c r="S19" s="353">
        <f t="shared" si="5"/>
        <v>0</v>
      </c>
      <c r="T19" s="354">
        <f t="shared" si="6"/>
        <v>0</v>
      </c>
      <c r="U19" s="354">
        <f t="shared" si="7"/>
        <v>0</v>
      </c>
      <c r="V19" s="355">
        <f t="shared" si="8"/>
        <v>0</v>
      </c>
      <c r="W19" s="355">
        <f t="shared" si="9"/>
        <v>0</v>
      </c>
      <c r="X19" s="356"/>
      <c r="Y19" s="349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571</v>
      </c>
      <c r="C20" s="6" t="s">
        <v>211</v>
      </c>
      <c r="D20" s="139" t="s">
        <v>513</v>
      </c>
      <c r="E20" s="333">
        <v>375</v>
      </c>
      <c r="F20" s="53">
        <v>1</v>
      </c>
      <c r="G20" s="340">
        <v>73.400000000000006</v>
      </c>
      <c r="H20" s="341">
        <f t="shared" si="0"/>
        <v>53.19</v>
      </c>
      <c r="I20" s="342">
        <f t="shared" si="1"/>
        <v>53.19</v>
      </c>
      <c r="J20" s="352"/>
      <c r="K20" s="89">
        <f t="shared" si="2"/>
        <v>1</v>
      </c>
      <c r="L20" s="341">
        <f t="shared" si="3"/>
        <v>53.19</v>
      </c>
      <c r="M20" s="341">
        <f t="shared" si="4"/>
        <v>53.19</v>
      </c>
      <c r="N20" s="340" t="s">
        <v>156</v>
      </c>
      <c r="O20" s="12"/>
      <c r="P20" s="344"/>
      <c r="Q20" s="3"/>
      <c r="R20" s="345"/>
      <c r="S20" s="346">
        <f t="shared" si="5"/>
        <v>0</v>
      </c>
      <c r="T20" s="346">
        <f t="shared" si="6"/>
        <v>53.19</v>
      </c>
      <c r="U20" s="346">
        <f t="shared" si="7"/>
        <v>53.19</v>
      </c>
      <c r="V20" s="347">
        <f t="shared" si="8"/>
        <v>0</v>
      </c>
      <c r="W20" s="347">
        <f t="shared" si="9"/>
        <v>1</v>
      </c>
      <c r="X20" s="348"/>
      <c r="Y20" s="349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515</v>
      </c>
      <c r="C21" s="4" t="s">
        <v>516</v>
      </c>
      <c r="D21" s="139" t="s">
        <v>27</v>
      </c>
      <c r="E21" s="335">
        <v>500</v>
      </c>
      <c r="F21" s="54">
        <v>1</v>
      </c>
      <c r="G21" s="15">
        <v>75.459999999999994</v>
      </c>
      <c r="H21" s="350">
        <f t="shared" si="0"/>
        <v>54.68</v>
      </c>
      <c r="I21" s="351">
        <f t="shared" si="1"/>
        <v>54.68</v>
      </c>
      <c r="J21" s="352"/>
      <c r="K21" s="88">
        <f t="shared" si="2"/>
        <v>1</v>
      </c>
      <c r="L21" s="350">
        <f t="shared" si="3"/>
        <v>54.68</v>
      </c>
      <c r="M21" s="350">
        <f t="shared" si="4"/>
        <v>54.68</v>
      </c>
      <c r="N21" s="128" t="s">
        <v>156</v>
      </c>
      <c r="O21" s="16"/>
      <c r="P21" s="344"/>
      <c r="Q21" s="1"/>
      <c r="R21" s="15"/>
      <c r="S21" s="353">
        <f t="shared" si="5"/>
        <v>0</v>
      </c>
      <c r="T21" s="354">
        <f t="shared" si="6"/>
        <v>54.68</v>
      </c>
      <c r="U21" s="354">
        <f t="shared" si="7"/>
        <v>54.68</v>
      </c>
      <c r="V21" s="355">
        <f t="shared" si="8"/>
        <v>0</v>
      </c>
      <c r="W21" s="355">
        <f t="shared" si="9"/>
        <v>1</v>
      </c>
      <c r="X21" s="356"/>
      <c r="Y21" s="349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" t="s">
        <v>572</v>
      </c>
      <c r="C22" s="6" t="s">
        <v>166</v>
      </c>
      <c r="D22" s="139" t="s">
        <v>25</v>
      </c>
      <c r="E22" s="126">
        <v>1000</v>
      </c>
      <c r="F22" s="53">
        <v>1</v>
      </c>
      <c r="G22" s="340">
        <v>116.13</v>
      </c>
      <c r="H22" s="341">
        <f t="shared" si="0"/>
        <v>84.15</v>
      </c>
      <c r="I22" s="342">
        <f t="shared" si="1"/>
        <v>84.15</v>
      </c>
      <c r="J22" s="352"/>
      <c r="K22" s="89">
        <f t="shared" si="2"/>
        <v>1</v>
      </c>
      <c r="L22" s="341">
        <f t="shared" si="3"/>
        <v>84.15</v>
      </c>
      <c r="M22" s="341">
        <f t="shared" si="4"/>
        <v>84.15</v>
      </c>
      <c r="N22" s="340" t="s">
        <v>156</v>
      </c>
      <c r="O22" s="12"/>
      <c r="P22" s="344"/>
      <c r="Q22" s="3"/>
      <c r="R22" s="345"/>
      <c r="S22" s="346">
        <f t="shared" si="5"/>
        <v>0</v>
      </c>
      <c r="T22" s="346">
        <f t="shared" si="6"/>
        <v>84.15</v>
      </c>
      <c r="U22" s="346">
        <f t="shared" si="7"/>
        <v>84.15</v>
      </c>
      <c r="V22" s="347">
        <f t="shared" si="8"/>
        <v>0</v>
      </c>
      <c r="W22" s="347">
        <f t="shared" si="9"/>
        <v>1</v>
      </c>
      <c r="X22" s="348"/>
      <c r="Y22" s="349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573</v>
      </c>
      <c r="C23" s="4" t="s">
        <v>518</v>
      </c>
      <c r="D23" s="139" t="s">
        <v>25</v>
      </c>
      <c r="E23" s="125">
        <v>1000</v>
      </c>
      <c r="F23" s="54">
        <v>1</v>
      </c>
      <c r="G23" s="15">
        <v>146.56</v>
      </c>
      <c r="H23" s="350">
        <f t="shared" si="0"/>
        <v>106.2</v>
      </c>
      <c r="I23" s="351">
        <f t="shared" si="1"/>
        <v>106.2</v>
      </c>
      <c r="J23" s="352"/>
      <c r="K23" s="88">
        <f t="shared" si="2"/>
        <v>1</v>
      </c>
      <c r="L23" s="350">
        <f t="shared" si="3"/>
        <v>106.2</v>
      </c>
      <c r="M23" s="350">
        <f t="shared" si="4"/>
        <v>106.2</v>
      </c>
      <c r="N23" s="128" t="s">
        <v>156</v>
      </c>
      <c r="O23" s="16"/>
      <c r="P23" s="344"/>
      <c r="Q23" s="1"/>
      <c r="R23" s="15"/>
      <c r="S23" s="353">
        <f t="shared" si="5"/>
        <v>0</v>
      </c>
      <c r="T23" s="354">
        <f t="shared" si="6"/>
        <v>106.2</v>
      </c>
      <c r="U23" s="354">
        <f t="shared" si="7"/>
        <v>106.2</v>
      </c>
      <c r="V23" s="355">
        <f t="shared" si="8"/>
        <v>0</v>
      </c>
      <c r="W23" s="355">
        <f t="shared" si="9"/>
        <v>1</v>
      </c>
      <c r="X23" s="356"/>
      <c r="Y23" s="349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574</v>
      </c>
      <c r="C24" s="6" t="s">
        <v>170</v>
      </c>
      <c r="D24" s="139" t="s">
        <v>24</v>
      </c>
      <c r="E24" s="126">
        <v>1000</v>
      </c>
      <c r="F24" s="53">
        <v>1</v>
      </c>
      <c r="G24" s="340">
        <v>116.04</v>
      </c>
      <c r="H24" s="341">
        <f t="shared" si="0"/>
        <v>84.09</v>
      </c>
      <c r="I24" s="342">
        <f t="shared" si="1"/>
        <v>84.09</v>
      </c>
      <c r="J24" s="352"/>
      <c r="K24" s="89">
        <f t="shared" si="2"/>
        <v>1</v>
      </c>
      <c r="L24" s="341">
        <f t="shared" si="3"/>
        <v>84.09</v>
      </c>
      <c r="M24" s="341">
        <f t="shared" si="4"/>
        <v>84.09</v>
      </c>
      <c r="N24" s="340" t="s">
        <v>156</v>
      </c>
      <c r="O24" s="12"/>
      <c r="P24" s="344"/>
      <c r="Q24" s="3"/>
      <c r="R24" s="345"/>
      <c r="S24" s="346">
        <f t="shared" si="5"/>
        <v>0</v>
      </c>
      <c r="T24" s="346">
        <f t="shared" si="6"/>
        <v>84.09</v>
      </c>
      <c r="U24" s="346">
        <f t="shared" si="7"/>
        <v>84.09</v>
      </c>
      <c r="V24" s="347">
        <f t="shared" si="8"/>
        <v>0</v>
      </c>
      <c r="W24" s="347">
        <f t="shared" si="9"/>
        <v>1</v>
      </c>
      <c r="X24" s="348"/>
      <c r="Y24" s="349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/>
      <c r="C25" s="4"/>
      <c r="D25" s="139"/>
      <c r="E25" s="125"/>
      <c r="F25" s="54"/>
      <c r="G25" s="15">
        <v>0</v>
      </c>
      <c r="H25" s="350">
        <f t="shared" si="0"/>
        <v>0</v>
      </c>
      <c r="I25" s="351">
        <f t="shared" si="1"/>
        <v>0</v>
      </c>
      <c r="J25" s="352"/>
      <c r="K25" s="88">
        <f t="shared" si="2"/>
        <v>0</v>
      </c>
      <c r="L25" s="350">
        <f t="shared" si="3"/>
        <v>0</v>
      </c>
      <c r="M25" s="350">
        <f t="shared" si="4"/>
        <v>0</v>
      </c>
      <c r="N25" s="128" t="s">
        <v>156</v>
      </c>
      <c r="O25" s="16"/>
      <c r="P25" s="344"/>
      <c r="Q25" s="1"/>
      <c r="R25" s="15"/>
      <c r="S25" s="353">
        <f t="shared" si="5"/>
        <v>0</v>
      </c>
      <c r="T25" s="354">
        <f t="shared" si="6"/>
        <v>0</v>
      </c>
      <c r="U25" s="354">
        <f t="shared" si="7"/>
        <v>0</v>
      </c>
      <c r="V25" s="355">
        <f t="shared" si="8"/>
        <v>0</v>
      </c>
      <c r="W25" s="355">
        <f t="shared" si="9"/>
        <v>0</v>
      </c>
      <c r="X25" s="356"/>
      <c r="Y25" s="349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437</v>
      </c>
      <c r="C26" s="6" t="s">
        <v>220</v>
      </c>
      <c r="D26" s="139" t="s">
        <v>0</v>
      </c>
      <c r="E26" s="126" t="s">
        <v>176</v>
      </c>
      <c r="F26" s="53">
        <v>2</v>
      </c>
      <c r="G26" s="340">
        <v>728.94</v>
      </c>
      <c r="H26" s="341">
        <f t="shared" si="0"/>
        <v>528.22</v>
      </c>
      <c r="I26" s="342">
        <f t="shared" si="1"/>
        <v>1056.44</v>
      </c>
      <c r="J26" s="352"/>
      <c r="K26" s="89">
        <f t="shared" si="2"/>
        <v>2</v>
      </c>
      <c r="L26" s="341">
        <f t="shared" si="3"/>
        <v>528.22</v>
      </c>
      <c r="M26" s="341">
        <f t="shared" si="4"/>
        <v>1056.44</v>
      </c>
      <c r="N26" s="340" t="s">
        <v>156</v>
      </c>
      <c r="O26" s="12"/>
      <c r="P26" s="344"/>
      <c r="Q26" s="3"/>
      <c r="R26" s="345"/>
      <c r="S26" s="346">
        <f t="shared" si="5"/>
        <v>0</v>
      </c>
      <c r="T26" s="346">
        <f t="shared" si="6"/>
        <v>528.22</v>
      </c>
      <c r="U26" s="346">
        <f t="shared" si="7"/>
        <v>1056.44</v>
      </c>
      <c r="V26" s="347">
        <f t="shared" si="8"/>
        <v>0</v>
      </c>
      <c r="W26" s="347">
        <f t="shared" si="9"/>
        <v>1</v>
      </c>
      <c r="X26" s="348"/>
      <c r="Y26" s="349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 t="s">
        <v>560</v>
      </c>
      <c r="C27" s="4" t="s">
        <v>294</v>
      </c>
      <c r="D27" s="139" t="s">
        <v>39</v>
      </c>
      <c r="E27" s="125" t="s">
        <v>176</v>
      </c>
      <c r="F27" s="54">
        <v>1</v>
      </c>
      <c r="G27" s="15">
        <v>7080.32</v>
      </c>
      <c r="H27" s="350">
        <f t="shared" si="0"/>
        <v>5130.67</v>
      </c>
      <c r="I27" s="351">
        <f t="shared" si="1"/>
        <v>5130.67</v>
      </c>
      <c r="J27" s="352"/>
      <c r="K27" s="88">
        <f t="shared" si="2"/>
        <v>1</v>
      </c>
      <c r="L27" s="350">
        <f t="shared" si="3"/>
        <v>5130.67</v>
      </c>
      <c r="M27" s="350">
        <f t="shared" si="4"/>
        <v>5130.67</v>
      </c>
      <c r="N27" s="128" t="s">
        <v>156</v>
      </c>
      <c r="O27" s="16"/>
      <c r="P27" s="344"/>
      <c r="Q27" s="1"/>
      <c r="R27" s="15"/>
      <c r="S27" s="353">
        <f t="shared" si="5"/>
        <v>0</v>
      </c>
      <c r="T27" s="354">
        <f t="shared" si="6"/>
        <v>5130.67</v>
      </c>
      <c r="U27" s="354">
        <f t="shared" si="7"/>
        <v>5130.67</v>
      </c>
      <c r="V27" s="355">
        <f t="shared" si="8"/>
        <v>0</v>
      </c>
      <c r="W27" s="355">
        <f t="shared" si="9"/>
        <v>1</v>
      </c>
      <c r="X27" s="356"/>
      <c r="Y27" s="349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/>
      <c r="C28" s="6" t="s">
        <v>522</v>
      </c>
      <c r="D28" s="139" t="s">
        <v>41</v>
      </c>
      <c r="E28" s="126" t="s">
        <v>176</v>
      </c>
      <c r="F28" s="53">
        <v>6</v>
      </c>
      <c r="G28" s="340">
        <v>0</v>
      </c>
      <c r="H28" s="341">
        <f t="shared" si="0"/>
        <v>0</v>
      </c>
      <c r="I28" s="342">
        <f t="shared" si="1"/>
        <v>0</v>
      </c>
      <c r="J28" s="352"/>
      <c r="K28" s="89">
        <f t="shared" si="2"/>
        <v>6</v>
      </c>
      <c r="L28" s="341">
        <f t="shared" si="3"/>
        <v>0</v>
      </c>
      <c r="M28" s="341">
        <f t="shared" si="4"/>
        <v>0</v>
      </c>
      <c r="N28" s="340" t="s">
        <v>156</v>
      </c>
      <c r="O28" s="12"/>
      <c r="P28" s="344"/>
      <c r="Q28" s="3"/>
      <c r="R28" s="345"/>
      <c r="S28" s="346">
        <f t="shared" si="5"/>
        <v>0</v>
      </c>
      <c r="T28" s="346">
        <f t="shared" si="6"/>
        <v>0</v>
      </c>
      <c r="U28" s="346">
        <f t="shared" si="7"/>
        <v>0</v>
      </c>
      <c r="V28" s="347">
        <f t="shared" si="8"/>
        <v>0</v>
      </c>
      <c r="W28" s="347">
        <f t="shared" si="9"/>
        <v>0</v>
      </c>
      <c r="X28" s="348"/>
      <c r="Y28" s="349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/>
      <c r="C29" s="4"/>
      <c r="D29" s="139"/>
      <c r="E29" s="125"/>
      <c r="F29" s="54"/>
      <c r="G29" s="15">
        <v>0</v>
      </c>
      <c r="H29" s="350">
        <f t="shared" si="0"/>
        <v>0</v>
      </c>
      <c r="I29" s="351">
        <f t="shared" si="1"/>
        <v>0</v>
      </c>
      <c r="J29" s="352"/>
      <c r="K29" s="88">
        <f t="shared" si="2"/>
        <v>0</v>
      </c>
      <c r="L29" s="350">
        <f t="shared" si="3"/>
        <v>0</v>
      </c>
      <c r="M29" s="350">
        <f t="shared" si="4"/>
        <v>0</v>
      </c>
      <c r="N29" s="128" t="s">
        <v>156</v>
      </c>
      <c r="O29" s="16"/>
      <c r="P29" s="344"/>
      <c r="Q29" s="1"/>
      <c r="R29" s="15"/>
      <c r="S29" s="353">
        <f t="shared" si="5"/>
        <v>0</v>
      </c>
      <c r="T29" s="354">
        <f t="shared" si="6"/>
        <v>0</v>
      </c>
      <c r="U29" s="354">
        <f t="shared" si="7"/>
        <v>0</v>
      </c>
      <c r="V29" s="355">
        <f t="shared" si="8"/>
        <v>0</v>
      </c>
      <c r="W29" s="355">
        <f t="shared" si="9"/>
        <v>0</v>
      </c>
      <c r="X29" s="356"/>
      <c r="Y29" s="349"/>
      <c r="Z29" s="61" t="s">
        <v>178</v>
      </c>
      <c r="AA29" s="61"/>
      <c r="AB29" s="61"/>
      <c r="AC29" s="61"/>
    </row>
    <row r="30" spans="1:29" x14ac:dyDescent="0.25">
      <c r="A30" s="55"/>
      <c r="B30" s="2" t="s">
        <v>575</v>
      </c>
      <c r="C30" s="6" t="s">
        <v>576</v>
      </c>
      <c r="D30" s="139" t="s">
        <v>21</v>
      </c>
      <c r="E30" s="126" t="s">
        <v>176</v>
      </c>
      <c r="F30" s="53">
        <v>1</v>
      </c>
      <c r="G30" s="340">
        <v>0</v>
      </c>
      <c r="H30" s="341">
        <f t="shared" si="0"/>
        <v>0</v>
      </c>
      <c r="I30" s="342">
        <f t="shared" si="1"/>
        <v>0</v>
      </c>
      <c r="J30" s="352"/>
      <c r="K30" s="89">
        <f t="shared" si="2"/>
        <v>1</v>
      </c>
      <c r="L30" s="341">
        <f t="shared" si="3"/>
        <v>0</v>
      </c>
      <c r="M30" s="341">
        <f t="shared" si="4"/>
        <v>0</v>
      </c>
      <c r="N30" s="340" t="s">
        <v>156</v>
      </c>
      <c r="O30" s="12"/>
      <c r="P30" s="344"/>
      <c r="Q30" s="3"/>
      <c r="R30" s="345"/>
      <c r="S30" s="346">
        <f t="shared" si="5"/>
        <v>0</v>
      </c>
      <c r="T30" s="346">
        <f t="shared" si="6"/>
        <v>0</v>
      </c>
      <c r="U30" s="346">
        <f t="shared" si="7"/>
        <v>0</v>
      </c>
      <c r="V30" s="347">
        <f t="shared" si="8"/>
        <v>0</v>
      </c>
      <c r="W30" s="347">
        <f t="shared" si="9"/>
        <v>0</v>
      </c>
      <c r="X30" s="348"/>
      <c r="Y30" s="349"/>
      <c r="Z30" s="61"/>
      <c r="AA30" s="61"/>
      <c r="AB30" s="61"/>
      <c r="AC30" s="61"/>
    </row>
    <row r="31" spans="1:29" x14ac:dyDescent="0.25">
      <c r="A31" s="55"/>
      <c r="B31" s="357" t="s">
        <v>561</v>
      </c>
      <c r="C31" s="4" t="s">
        <v>224</v>
      </c>
      <c r="D31" s="139" t="s">
        <v>15</v>
      </c>
      <c r="E31" s="125" t="s">
        <v>176</v>
      </c>
      <c r="F31" s="54">
        <v>1</v>
      </c>
      <c r="G31" s="15">
        <v>6184.3</v>
      </c>
      <c r="H31" s="350">
        <f t="shared" si="0"/>
        <v>4481.38</v>
      </c>
      <c r="I31" s="351">
        <f t="shared" si="1"/>
        <v>4481.38</v>
      </c>
      <c r="J31" s="352"/>
      <c r="K31" s="88">
        <f t="shared" si="2"/>
        <v>1</v>
      </c>
      <c r="L31" s="350">
        <f t="shared" si="3"/>
        <v>4481.38</v>
      </c>
      <c r="M31" s="350">
        <f t="shared" si="4"/>
        <v>4481.38</v>
      </c>
      <c r="N31" s="128" t="s">
        <v>156</v>
      </c>
      <c r="O31" s="16"/>
      <c r="P31" s="344"/>
      <c r="Q31" s="1"/>
      <c r="R31" s="15"/>
      <c r="S31" s="353">
        <f t="shared" si="5"/>
        <v>0</v>
      </c>
      <c r="T31" s="354">
        <f t="shared" si="6"/>
        <v>4481.38</v>
      </c>
      <c r="U31" s="354">
        <f t="shared" si="7"/>
        <v>4481.38</v>
      </c>
      <c r="V31" s="355">
        <f t="shared" si="8"/>
        <v>0</v>
      </c>
      <c r="W31" s="355">
        <f t="shared" si="9"/>
        <v>1</v>
      </c>
      <c r="X31" s="356"/>
      <c r="Y31" s="349"/>
      <c r="Z31" s="61" t="s">
        <v>156</v>
      </c>
      <c r="AA31" s="61"/>
      <c r="AB31" s="61"/>
      <c r="AC31" s="61"/>
    </row>
    <row r="32" spans="1:29" x14ac:dyDescent="0.25">
      <c r="A32" s="55"/>
      <c r="B32" s="2" t="s">
        <v>562</v>
      </c>
      <c r="C32" s="6" t="s">
        <v>254</v>
      </c>
      <c r="D32" s="139" t="s">
        <v>16</v>
      </c>
      <c r="E32" s="126" t="s">
        <v>176</v>
      </c>
      <c r="F32" s="53">
        <v>1</v>
      </c>
      <c r="G32" s="340">
        <v>19424.52</v>
      </c>
      <c r="H32" s="341">
        <f t="shared" si="0"/>
        <v>14075.74</v>
      </c>
      <c r="I32" s="342">
        <f t="shared" si="1"/>
        <v>14075.74</v>
      </c>
      <c r="J32" s="352"/>
      <c r="K32" s="89">
        <f t="shared" si="2"/>
        <v>1</v>
      </c>
      <c r="L32" s="341">
        <f t="shared" si="3"/>
        <v>14075.74</v>
      </c>
      <c r="M32" s="341">
        <f t="shared" si="4"/>
        <v>14075.74</v>
      </c>
      <c r="N32" s="340" t="s">
        <v>156</v>
      </c>
      <c r="O32" s="12"/>
      <c r="P32" s="344"/>
      <c r="Q32" s="3"/>
      <c r="R32" s="345"/>
      <c r="S32" s="346">
        <f t="shared" si="5"/>
        <v>0</v>
      </c>
      <c r="T32" s="346">
        <f t="shared" si="6"/>
        <v>14075.74</v>
      </c>
      <c r="U32" s="346">
        <f t="shared" si="7"/>
        <v>14075.74</v>
      </c>
      <c r="V32" s="347">
        <f t="shared" si="8"/>
        <v>0</v>
      </c>
      <c r="W32" s="347">
        <f t="shared" si="9"/>
        <v>1</v>
      </c>
      <c r="X32" s="348"/>
      <c r="Y32" s="349"/>
      <c r="Z32" s="61" t="s">
        <v>180</v>
      </c>
      <c r="AA32" s="61"/>
      <c r="AB32" s="61"/>
      <c r="AC32" s="61"/>
    </row>
    <row r="33" spans="1:29" x14ac:dyDescent="0.25">
      <c r="A33" s="55"/>
      <c r="B33" s="1" t="s">
        <v>563</v>
      </c>
      <c r="C33" s="4" t="s">
        <v>205</v>
      </c>
      <c r="D33" s="139" t="s">
        <v>17</v>
      </c>
      <c r="E33" s="125" t="s">
        <v>176</v>
      </c>
      <c r="F33" s="54">
        <v>1</v>
      </c>
      <c r="G33" s="15">
        <v>11657.62</v>
      </c>
      <c r="H33" s="350">
        <f t="shared" si="0"/>
        <v>8447.5499999999993</v>
      </c>
      <c r="I33" s="351">
        <f t="shared" si="1"/>
        <v>8447.5499999999993</v>
      </c>
      <c r="J33" s="352"/>
      <c r="K33" s="88">
        <f t="shared" si="2"/>
        <v>1</v>
      </c>
      <c r="L33" s="350">
        <f t="shared" si="3"/>
        <v>8447.5499999999993</v>
      </c>
      <c r="M33" s="350">
        <f t="shared" si="4"/>
        <v>8447.5499999999993</v>
      </c>
      <c r="N33" s="128" t="s">
        <v>156</v>
      </c>
      <c r="O33" s="16"/>
      <c r="P33" s="344"/>
      <c r="Q33" s="1"/>
      <c r="R33" s="15"/>
      <c r="S33" s="353">
        <f t="shared" si="5"/>
        <v>0</v>
      </c>
      <c r="T33" s="354">
        <f t="shared" si="6"/>
        <v>8447.5499999999993</v>
      </c>
      <c r="U33" s="354">
        <f t="shared" si="7"/>
        <v>8447.5499999999993</v>
      </c>
      <c r="V33" s="355">
        <f t="shared" si="8"/>
        <v>0</v>
      </c>
      <c r="W33" s="355">
        <f t="shared" si="9"/>
        <v>1</v>
      </c>
      <c r="X33" s="356"/>
      <c r="Y33" s="349"/>
      <c r="Z33" s="61"/>
      <c r="AA33" s="61"/>
      <c r="AB33" s="61"/>
      <c r="AC33" s="61"/>
    </row>
    <row r="34" spans="1:29" x14ac:dyDescent="0.25">
      <c r="A34" s="55"/>
      <c r="B34" s="2" t="s">
        <v>564</v>
      </c>
      <c r="C34" s="6" t="s">
        <v>226</v>
      </c>
      <c r="D34" s="139" t="s">
        <v>23</v>
      </c>
      <c r="E34" s="126" t="s">
        <v>176</v>
      </c>
      <c r="F34" s="53">
        <v>1</v>
      </c>
      <c r="G34" s="340">
        <v>9956.42</v>
      </c>
      <c r="H34" s="341">
        <f t="shared" si="0"/>
        <v>7214.8</v>
      </c>
      <c r="I34" s="342">
        <f t="shared" si="1"/>
        <v>7214.8</v>
      </c>
      <c r="J34" s="352"/>
      <c r="K34" s="89">
        <f t="shared" si="2"/>
        <v>1</v>
      </c>
      <c r="L34" s="341">
        <f t="shared" si="3"/>
        <v>7214.8</v>
      </c>
      <c r="M34" s="341">
        <f t="shared" si="4"/>
        <v>7214.8</v>
      </c>
      <c r="N34" s="340" t="s">
        <v>156</v>
      </c>
      <c r="O34" s="12"/>
      <c r="P34" s="344"/>
      <c r="Q34" s="3"/>
      <c r="R34" s="345"/>
      <c r="S34" s="346">
        <f t="shared" si="5"/>
        <v>0</v>
      </c>
      <c r="T34" s="346">
        <f t="shared" si="6"/>
        <v>7214.8</v>
      </c>
      <c r="U34" s="346">
        <f t="shared" si="7"/>
        <v>7214.8</v>
      </c>
      <c r="V34" s="347">
        <f t="shared" si="8"/>
        <v>0</v>
      </c>
      <c r="W34" s="347">
        <f t="shared" si="9"/>
        <v>1</v>
      </c>
      <c r="X34" s="348"/>
      <c r="Y34" s="349"/>
      <c r="Z34" s="61" t="s">
        <v>56</v>
      </c>
      <c r="AA34" s="61"/>
      <c r="AB34" s="61"/>
      <c r="AC34" s="61"/>
    </row>
    <row r="35" spans="1:29" x14ac:dyDescent="0.25">
      <c r="A35" s="55"/>
      <c r="B35" s="1" t="s">
        <v>565</v>
      </c>
      <c r="C35" s="4" t="s">
        <v>530</v>
      </c>
      <c r="D35" s="139" t="s">
        <v>19</v>
      </c>
      <c r="E35" s="125" t="s">
        <v>176</v>
      </c>
      <c r="F35" s="54">
        <v>6</v>
      </c>
      <c r="G35" s="15">
        <v>598.11</v>
      </c>
      <c r="H35" s="350">
        <f t="shared" si="0"/>
        <v>433.41</v>
      </c>
      <c r="I35" s="351">
        <f t="shared" si="1"/>
        <v>2600.46</v>
      </c>
      <c r="J35" s="352"/>
      <c r="K35" s="88">
        <f t="shared" si="2"/>
        <v>6</v>
      </c>
      <c r="L35" s="350">
        <f t="shared" si="3"/>
        <v>433.41</v>
      </c>
      <c r="M35" s="350">
        <f t="shared" si="4"/>
        <v>2600.46</v>
      </c>
      <c r="N35" s="128" t="s">
        <v>156</v>
      </c>
      <c r="O35" s="16"/>
      <c r="P35" s="344"/>
      <c r="Q35" s="1"/>
      <c r="R35" s="15"/>
      <c r="S35" s="353">
        <f t="shared" si="5"/>
        <v>0</v>
      </c>
      <c r="T35" s="354">
        <f t="shared" si="6"/>
        <v>433.41</v>
      </c>
      <c r="U35" s="354">
        <f t="shared" si="7"/>
        <v>2600.46</v>
      </c>
      <c r="V35" s="355">
        <f t="shared" si="8"/>
        <v>0</v>
      </c>
      <c r="W35" s="355">
        <f t="shared" si="9"/>
        <v>1</v>
      </c>
      <c r="X35" s="356"/>
      <c r="Y35" s="349"/>
      <c r="Z35" s="61" t="s">
        <v>58</v>
      </c>
      <c r="AA35" s="61"/>
      <c r="AB35" s="61"/>
      <c r="AC35" s="61"/>
    </row>
    <row r="36" spans="1:29" x14ac:dyDescent="0.25">
      <c r="A36" s="55"/>
      <c r="B36" s="2"/>
      <c r="C36" s="6"/>
      <c r="D36" s="139"/>
      <c r="E36" s="126"/>
      <c r="F36" s="53"/>
      <c r="G36" s="340">
        <v>0</v>
      </c>
      <c r="H36" s="341">
        <f t="shared" si="0"/>
        <v>0</v>
      </c>
      <c r="I36" s="342">
        <f t="shared" si="1"/>
        <v>0</v>
      </c>
      <c r="J36" s="352"/>
      <c r="K36" s="89">
        <f t="shared" si="2"/>
        <v>0</v>
      </c>
      <c r="L36" s="341">
        <f t="shared" si="3"/>
        <v>0</v>
      </c>
      <c r="M36" s="341">
        <f t="shared" si="4"/>
        <v>0</v>
      </c>
      <c r="N36" s="340" t="s">
        <v>156</v>
      </c>
      <c r="O36" s="12"/>
      <c r="P36" s="344"/>
      <c r="Q36" s="3"/>
      <c r="R36" s="345"/>
      <c r="S36" s="346">
        <f t="shared" si="5"/>
        <v>0</v>
      </c>
      <c r="T36" s="346">
        <f t="shared" si="6"/>
        <v>0</v>
      </c>
      <c r="U36" s="346">
        <f t="shared" si="7"/>
        <v>0</v>
      </c>
      <c r="V36" s="347">
        <f t="shared" si="8"/>
        <v>0</v>
      </c>
      <c r="W36" s="347">
        <f t="shared" si="9"/>
        <v>0</v>
      </c>
      <c r="X36" s="348"/>
      <c r="Y36" s="349"/>
      <c r="Z36" s="61" t="s">
        <v>57</v>
      </c>
      <c r="AA36" s="61"/>
      <c r="AB36" s="61"/>
      <c r="AC36" s="61"/>
    </row>
    <row r="37" spans="1:29" x14ac:dyDescent="0.25">
      <c r="A37" s="55"/>
      <c r="B37" s="1" t="s">
        <v>531</v>
      </c>
      <c r="C37" s="4" t="s">
        <v>532</v>
      </c>
      <c r="D37" s="139"/>
      <c r="E37" s="125" t="s">
        <v>176</v>
      </c>
      <c r="F37" s="54">
        <v>1</v>
      </c>
      <c r="G37" s="15">
        <v>74400.399999999994</v>
      </c>
      <c r="H37" s="350">
        <f t="shared" si="0"/>
        <v>53913.33</v>
      </c>
      <c r="I37" s="351">
        <f t="shared" si="1"/>
        <v>53913.33</v>
      </c>
      <c r="J37" s="352"/>
      <c r="K37" s="88">
        <f t="shared" si="2"/>
        <v>1</v>
      </c>
      <c r="L37" s="350">
        <f t="shared" si="3"/>
        <v>53913.33</v>
      </c>
      <c r="M37" s="350">
        <f t="shared" si="4"/>
        <v>53913.33</v>
      </c>
      <c r="N37" s="128" t="s">
        <v>156</v>
      </c>
      <c r="O37" s="16"/>
      <c r="P37" s="344"/>
      <c r="Q37" s="1"/>
      <c r="R37" s="15"/>
      <c r="S37" s="353">
        <f t="shared" si="5"/>
        <v>0</v>
      </c>
      <c r="T37" s="354">
        <f t="shared" si="6"/>
        <v>53913.33</v>
      </c>
      <c r="U37" s="354">
        <f t="shared" si="7"/>
        <v>53913.33</v>
      </c>
      <c r="V37" s="355">
        <f t="shared" si="8"/>
        <v>0</v>
      </c>
      <c r="W37" s="355">
        <f t="shared" si="9"/>
        <v>1</v>
      </c>
      <c r="X37" s="356"/>
      <c r="Y37" s="349"/>
      <c r="Z37" s="61" t="s">
        <v>59</v>
      </c>
      <c r="AA37" s="61"/>
      <c r="AB37" s="61"/>
      <c r="AC37" s="61"/>
    </row>
    <row r="38" spans="1:29" x14ac:dyDescent="0.25">
      <c r="A38" s="55"/>
      <c r="B38" s="2" t="s">
        <v>577</v>
      </c>
      <c r="C38" s="6" t="s">
        <v>208</v>
      </c>
      <c r="D38" s="139" t="s">
        <v>9</v>
      </c>
      <c r="E38" s="126" t="s">
        <v>176</v>
      </c>
      <c r="F38" s="53">
        <v>2</v>
      </c>
      <c r="G38" s="340">
        <v>281.16000000000003</v>
      </c>
      <c r="H38" s="341">
        <f t="shared" si="0"/>
        <v>203.74</v>
      </c>
      <c r="I38" s="342">
        <f t="shared" si="1"/>
        <v>407.48</v>
      </c>
      <c r="J38" s="352"/>
      <c r="K38" s="89">
        <f t="shared" si="2"/>
        <v>2</v>
      </c>
      <c r="L38" s="341">
        <f t="shared" si="3"/>
        <v>203.74</v>
      </c>
      <c r="M38" s="341">
        <f t="shared" si="4"/>
        <v>407.48</v>
      </c>
      <c r="N38" s="340" t="s">
        <v>156</v>
      </c>
      <c r="O38" s="12"/>
      <c r="P38" s="344"/>
      <c r="Q38" s="3"/>
      <c r="R38" s="345"/>
      <c r="S38" s="346">
        <f t="shared" si="5"/>
        <v>0</v>
      </c>
      <c r="T38" s="346">
        <f t="shared" si="6"/>
        <v>203.74</v>
      </c>
      <c r="U38" s="346">
        <f t="shared" si="7"/>
        <v>407.48</v>
      </c>
      <c r="V38" s="347">
        <f t="shared" si="8"/>
        <v>0</v>
      </c>
      <c r="W38" s="347">
        <f t="shared" si="9"/>
        <v>1</v>
      </c>
      <c r="X38" s="356"/>
      <c r="Y38" s="349"/>
      <c r="Z38" s="61" t="s">
        <v>60</v>
      </c>
      <c r="AA38" s="61"/>
      <c r="AB38" s="61"/>
      <c r="AC38" s="61"/>
    </row>
    <row r="39" spans="1:29" x14ac:dyDescent="0.25">
      <c r="A39" s="55"/>
      <c r="B39" s="1" t="s">
        <v>534</v>
      </c>
      <c r="C39" s="4" t="s">
        <v>207</v>
      </c>
      <c r="D39" s="139" t="s">
        <v>10</v>
      </c>
      <c r="E39" s="125" t="s">
        <v>176</v>
      </c>
      <c r="F39" s="54">
        <v>28</v>
      </c>
      <c r="G39" s="15">
        <v>3.73</v>
      </c>
      <c r="H39" s="350">
        <f t="shared" si="0"/>
        <v>2.7</v>
      </c>
      <c r="I39" s="351">
        <f t="shared" si="1"/>
        <v>75.599999999999994</v>
      </c>
      <c r="J39" s="352"/>
      <c r="K39" s="88">
        <f t="shared" si="2"/>
        <v>28</v>
      </c>
      <c r="L39" s="350">
        <f t="shared" si="3"/>
        <v>2.7</v>
      </c>
      <c r="M39" s="350">
        <f t="shared" si="4"/>
        <v>75.599999999999994</v>
      </c>
      <c r="N39" s="128" t="s">
        <v>156</v>
      </c>
      <c r="O39" s="16"/>
      <c r="P39" s="344"/>
      <c r="Q39" s="1"/>
      <c r="R39" s="15"/>
      <c r="S39" s="353">
        <f t="shared" si="5"/>
        <v>0</v>
      </c>
      <c r="T39" s="354">
        <f t="shared" si="6"/>
        <v>2.7</v>
      </c>
      <c r="U39" s="354">
        <f t="shared" si="7"/>
        <v>75.599999999999994</v>
      </c>
      <c r="V39" s="355">
        <f t="shared" si="8"/>
        <v>0</v>
      </c>
      <c r="W39" s="355">
        <f t="shared" si="9"/>
        <v>1</v>
      </c>
      <c r="X39" s="356"/>
      <c r="Y39" s="349"/>
      <c r="Z39" s="61" t="s">
        <v>61</v>
      </c>
      <c r="AA39" s="61"/>
      <c r="AB39" s="61"/>
      <c r="AC39" s="61"/>
    </row>
    <row r="40" spans="1:29" x14ac:dyDescent="0.25">
      <c r="A40" s="55"/>
      <c r="B40" s="2" t="s">
        <v>535</v>
      </c>
      <c r="C40" s="6" t="s">
        <v>232</v>
      </c>
      <c r="D40" s="139" t="s">
        <v>10</v>
      </c>
      <c r="E40" s="126" t="s">
        <v>176</v>
      </c>
      <c r="F40" s="53">
        <v>38</v>
      </c>
      <c r="G40" s="340">
        <v>3.55</v>
      </c>
      <c r="H40" s="341">
        <f t="shared" si="0"/>
        <v>2.57</v>
      </c>
      <c r="I40" s="342">
        <f t="shared" si="1"/>
        <v>97.66</v>
      </c>
      <c r="J40" s="352"/>
      <c r="K40" s="89">
        <f t="shared" si="2"/>
        <v>38</v>
      </c>
      <c r="L40" s="341">
        <f t="shared" si="3"/>
        <v>2.57</v>
      </c>
      <c r="M40" s="341">
        <f t="shared" si="4"/>
        <v>97.66</v>
      </c>
      <c r="N40" s="340" t="s">
        <v>156</v>
      </c>
      <c r="O40" s="12"/>
      <c r="P40" s="344"/>
      <c r="Q40" s="3"/>
      <c r="R40" s="345"/>
      <c r="S40" s="346">
        <f t="shared" si="5"/>
        <v>0</v>
      </c>
      <c r="T40" s="346">
        <f t="shared" si="6"/>
        <v>2.57</v>
      </c>
      <c r="U40" s="346">
        <f t="shared" si="7"/>
        <v>97.66</v>
      </c>
      <c r="V40" s="347">
        <f t="shared" si="8"/>
        <v>0</v>
      </c>
      <c r="W40" s="347">
        <f t="shared" si="9"/>
        <v>1</v>
      </c>
      <c r="X40" s="356"/>
      <c r="Y40" s="349"/>
      <c r="Z40" s="61" t="s">
        <v>62</v>
      </c>
      <c r="AA40" s="61"/>
      <c r="AB40" s="61"/>
      <c r="AC40" s="61"/>
    </row>
    <row r="41" spans="1:29" x14ac:dyDescent="0.25">
      <c r="A41" s="55"/>
      <c r="B41" s="1" t="s">
        <v>536</v>
      </c>
      <c r="C41" s="4" t="s">
        <v>206</v>
      </c>
      <c r="D41" s="139" t="s">
        <v>7</v>
      </c>
      <c r="E41" s="125" t="s">
        <v>176</v>
      </c>
      <c r="F41" s="54">
        <v>2</v>
      </c>
      <c r="G41" s="15">
        <v>137.86000000000001</v>
      </c>
      <c r="H41" s="350">
        <f t="shared" si="0"/>
        <v>99.9</v>
      </c>
      <c r="I41" s="351">
        <f t="shared" si="1"/>
        <v>199.8</v>
      </c>
      <c r="J41" s="352"/>
      <c r="K41" s="88">
        <f t="shared" si="2"/>
        <v>2</v>
      </c>
      <c r="L41" s="350">
        <f t="shared" si="3"/>
        <v>99.9</v>
      </c>
      <c r="M41" s="350">
        <f t="shared" si="4"/>
        <v>199.8</v>
      </c>
      <c r="N41" s="128" t="s">
        <v>156</v>
      </c>
      <c r="O41" s="16"/>
      <c r="P41" s="344"/>
      <c r="Q41" s="1"/>
      <c r="R41" s="15"/>
      <c r="S41" s="353">
        <f t="shared" si="5"/>
        <v>0</v>
      </c>
      <c r="T41" s="354">
        <f t="shared" si="6"/>
        <v>99.9</v>
      </c>
      <c r="U41" s="354">
        <f t="shared" si="7"/>
        <v>199.8</v>
      </c>
      <c r="V41" s="355">
        <f t="shared" si="8"/>
        <v>0</v>
      </c>
      <c r="W41" s="355">
        <f t="shared" si="9"/>
        <v>1</v>
      </c>
      <c r="X41" s="356"/>
      <c r="Y41" s="349"/>
      <c r="Z41" s="61" t="s">
        <v>63</v>
      </c>
      <c r="AA41" s="61"/>
      <c r="AB41" s="61"/>
      <c r="AC41" s="61"/>
    </row>
    <row r="42" spans="1:29" x14ac:dyDescent="0.25">
      <c r="A42" s="55"/>
      <c r="B42" s="2" t="s">
        <v>537</v>
      </c>
      <c r="C42" s="6" t="s">
        <v>207</v>
      </c>
      <c r="D42" s="139" t="s">
        <v>538</v>
      </c>
      <c r="E42" s="126" t="s">
        <v>176</v>
      </c>
      <c r="F42" s="53">
        <v>10</v>
      </c>
      <c r="G42" s="340">
        <v>2.98</v>
      </c>
      <c r="H42" s="341">
        <f t="shared" si="0"/>
        <v>2.16</v>
      </c>
      <c r="I42" s="342">
        <f t="shared" si="1"/>
        <v>21.6</v>
      </c>
      <c r="J42" s="352"/>
      <c r="K42" s="89">
        <f t="shared" si="2"/>
        <v>10</v>
      </c>
      <c r="L42" s="341">
        <f t="shared" si="3"/>
        <v>2.16</v>
      </c>
      <c r="M42" s="341">
        <f t="shared" si="4"/>
        <v>21.6</v>
      </c>
      <c r="N42" s="340" t="s">
        <v>156</v>
      </c>
      <c r="O42" s="12"/>
      <c r="P42" s="344"/>
      <c r="Q42" s="3"/>
      <c r="R42" s="345"/>
      <c r="S42" s="346">
        <f t="shared" si="5"/>
        <v>0</v>
      </c>
      <c r="T42" s="346">
        <f t="shared" si="6"/>
        <v>2.16</v>
      </c>
      <c r="U42" s="346">
        <f t="shared" si="7"/>
        <v>21.6</v>
      </c>
      <c r="V42" s="347">
        <f t="shared" si="8"/>
        <v>0</v>
      </c>
      <c r="W42" s="347">
        <f t="shared" si="9"/>
        <v>1</v>
      </c>
      <c r="X42" s="356"/>
      <c r="Y42" s="349"/>
      <c r="Z42" s="61" t="s">
        <v>189</v>
      </c>
      <c r="AA42" s="61"/>
      <c r="AB42" s="61"/>
      <c r="AC42" s="61"/>
    </row>
    <row r="43" spans="1:29" x14ac:dyDescent="0.25">
      <c r="A43" s="55"/>
      <c r="B43" s="1"/>
      <c r="C43" s="4"/>
      <c r="D43" s="139"/>
      <c r="E43" s="125"/>
      <c r="F43" s="54"/>
      <c r="G43" s="15">
        <v>0</v>
      </c>
      <c r="H43" s="350">
        <f t="shared" si="0"/>
        <v>0</v>
      </c>
      <c r="I43" s="351">
        <f t="shared" si="1"/>
        <v>0</v>
      </c>
      <c r="J43" s="352"/>
      <c r="K43" s="88">
        <f t="shared" si="2"/>
        <v>0</v>
      </c>
      <c r="L43" s="350">
        <f t="shared" si="3"/>
        <v>0</v>
      </c>
      <c r="M43" s="350">
        <f t="shared" si="4"/>
        <v>0</v>
      </c>
      <c r="N43" s="128" t="s">
        <v>156</v>
      </c>
      <c r="O43" s="16"/>
      <c r="P43" s="344"/>
      <c r="Q43" s="1"/>
      <c r="R43" s="15"/>
      <c r="S43" s="353">
        <f t="shared" si="5"/>
        <v>0</v>
      </c>
      <c r="T43" s="354">
        <f t="shared" si="6"/>
        <v>0</v>
      </c>
      <c r="U43" s="354">
        <f t="shared" si="7"/>
        <v>0</v>
      </c>
      <c r="V43" s="355">
        <f t="shared" si="8"/>
        <v>0</v>
      </c>
      <c r="W43" s="355">
        <f t="shared" si="9"/>
        <v>0</v>
      </c>
      <c r="X43" s="356"/>
      <c r="Y43" s="349"/>
      <c r="Z43" s="61" t="s">
        <v>64</v>
      </c>
      <c r="AA43" s="61"/>
      <c r="AB43" s="61"/>
      <c r="AC43" s="61"/>
    </row>
    <row r="44" spans="1:29" x14ac:dyDescent="0.25">
      <c r="A44" s="55"/>
      <c r="B44" s="2" t="s">
        <v>539</v>
      </c>
      <c r="C44" s="6" t="s">
        <v>540</v>
      </c>
      <c r="D44" s="139" t="s">
        <v>33</v>
      </c>
      <c r="E44" s="126" t="s">
        <v>176</v>
      </c>
      <c r="F44" s="53">
        <v>1</v>
      </c>
      <c r="G44" s="340">
        <v>888.65</v>
      </c>
      <c r="H44" s="341">
        <f t="shared" si="0"/>
        <v>643.95000000000005</v>
      </c>
      <c r="I44" s="342">
        <f t="shared" si="1"/>
        <v>643.95000000000005</v>
      </c>
      <c r="J44" s="352"/>
      <c r="K44" s="89">
        <f t="shared" si="2"/>
        <v>1</v>
      </c>
      <c r="L44" s="341">
        <f t="shared" si="3"/>
        <v>643.95000000000005</v>
      </c>
      <c r="M44" s="341">
        <f t="shared" si="4"/>
        <v>643.95000000000005</v>
      </c>
      <c r="N44" s="340" t="s">
        <v>156</v>
      </c>
      <c r="O44" s="12"/>
      <c r="P44" s="344"/>
      <c r="Q44" s="3"/>
      <c r="R44" s="345"/>
      <c r="S44" s="346">
        <f t="shared" si="5"/>
        <v>0</v>
      </c>
      <c r="T44" s="346">
        <f t="shared" si="6"/>
        <v>643.95000000000005</v>
      </c>
      <c r="U44" s="346">
        <f t="shared" si="7"/>
        <v>643.95000000000005</v>
      </c>
      <c r="V44" s="347">
        <f t="shared" si="8"/>
        <v>0</v>
      </c>
      <c r="W44" s="347">
        <f t="shared" si="9"/>
        <v>1</v>
      </c>
      <c r="X44" s="356"/>
      <c r="Y44" s="349"/>
      <c r="Z44" s="61" t="s">
        <v>191</v>
      </c>
      <c r="AA44" s="61"/>
      <c r="AB44" s="61"/>
      <c r="AC44" s="61"/>
    </row>
    <row r="45" spans="1:29" x14ac:dyDescent="0.25">
      <c r="A45" s="55"/>
      <c r="B45" s="1" t="s">
        <v>541</v>
      </c>
      <c r="C45" s="4" t="s">
        <v>542</v>
      </c>
      <c r="D45" s="139" t="s">
        <v>35</v>
      </c>
      <c r="E45" s="125" t="s">
        <v>176</v>
      </c>
      <c r="F45" s="54">
        <v>1</v>
      </c>
      <c r="G45" s="15">
        <v>103.21</v>
      </c>
      <c r="H45" s="350">
        <f t="shared" si="0"/>
        <v>74.790000000000006</v>
      </c>
      <c r="I45" s="351">
        <f t="shared" si="1"/>
        <v>74.790000000000006</v>
      </c>
      <c r="J45" s="352"/>
      <c r="K45" s="88">
        <f t="shared" si="2"/>
        <v>1</v>
      </c>
      <c r="L45" s="350">
        <f t="shared" si="3"/>
        <v>74.790000000000006</v>
      </c>
      <c r="M45" s="350">
        <f t="shared" si="4"/>
        <v>74.790000000000006</v>
      </c>
      <c r="N45" s="128" t="s">
        <v>156</v>
      </c>
      <c r="O45" s="16"/>
      <c r="P45" s="344"/>
      <c r="Q45" s="1"/>
      <c r="R45" s="15"/>
      <c r="S45" s="353">
        <f t="shared" si="5"/>
        <v>0</v>
      </c>
      <c r="T45" s="354">
        <f t="shared" si="6"/>
        <v>74.790000000000006</v>
      </c>
      <c r="U45" s="354">
        <f t="shared" si="7"/>
        <v>74.790000000000006</v>
      </c>
      <c r="V45" s="355">
        <f t="shared" si="8"/>
        <v>0</v>
      </c>
      <c r="W45" s="355">
        <f t="shared" si="9"/>
        <v>1</v>
      </c>
      <c r="X45" s="356"/>
      <c r="Y45" s="349"/>
      <c r="Z45" s="61" t="s">
        <v>193</v>
      </c>
      <c r="AA45" s="61"/>
      <c r="AB45" s="61"/>
      <c r="AC45" s="61"/>
    </row>
    <row r="46" spans="1:29" x14ac:dyDescent="0.25">
      <c r="A46" s="55"/>
      <c r="B46" s="2" t="s">
        <v>543</v>
      </c>
      <c r="C46" s="6" t="s">
        <v>544</v>
      </c>
      <c r="D46" s="139" t="s">
        <v>36</v>
      </c>
      <c r="E46" s="126" t="s">
        <v>176</v>
      </c>
      <c r="F46" s="53">
        <v>2</v>
      </c>
      <c r="G46" s="340">
        <v>7.45</v>
      </c>
      <c r="H46" s="341">
        <f t="shared" si="0"/>
        <v>5.4</v>
      </c>
      <c r="I46" s="342">
        <f t="shared" si="1"/>
        <v>10.8</v>
      </c>
      <c r="J46" s="352"/>
      <c r="K46" s="89">
        <f t="shared" si="2"/>
        <v>2</v>
      </c>
      <c r="L46" s="341">
        <f t="shared" si="3"/>
        <v>5.4</v>
      </c>
      <c r="M46" s="341">
        <f t="shared" si="4"/>
        <v>10.8</v>
      </c>
      <c r="N46" s="340" t="s">
        <v>156</v>
      </c>
      <c r="O46" s="12"/>
      <c r="P46" s="344"/>
      <c r="Q46" s="3"/>
      <c r="R46" s="345"/>
      <c r="S46" s="346">
        <f t="shared" si="5"/>
        <v>0</v>
      </c>
      <c r="T46" s="346">
        <f t="shared" si="6"/>
        <v>5.4</v>
      </c>
      <c r="U46" s="346">
        <f t="shared" si="7"/>
        <v>10.8</v>
      </c>
      <c r="V46" s="347">
        <f t="shared" si="8"/>
        <v>0</v>
      </c>
      <c r="W46" s="347">
        <f t="shared" si="9"/>
        <v>1</v>
      </c>
      <c r="X46" s="356"/>
      <c r="Y46" s="349"/>
      <c r="Z46" s="61" t="s">
        <v>65</v>
      </c>
      <c r="AA46" s="61"/>
      <c r="AB46" s="61"/>
      <c r="AC46" s="61"/>
    </row>
    <row r="47" spans="1:29" x14ac:dyDescent="0.25">
      <c r="A47" s="55"/>
      <c r="B47" s="1" t="s">
        <v>545</v>
      </c>
      <c r="C47" s="4" t="s">
        <v>546</v>
      </c>
      <c r="D47" s="139" t="s">
        <v>34</v>
      </c>
      <c r="E47" s="125" t="s">
        <v>176</v>
      </c>
      <c r="F47" s="54">
        <v>1</v>
      </c>
      <c r="G47" s="15">
        <v>16.59</v>
      </c>
      <c r="H47" s="350">
        <f t="shared" si="0"/>
        <v>12.02</v>
      </c>
      <c r="I47" s="351">
        <f t="shared" si="1"/>
        <v>12.02</v>
      </c>
      <c r="J47" s="352"/>
      <c r="K47" s="88">
        <f t="shared" si="2"/>
        <v>1</v>
      </c>
      <c r="L47" s="350">
        <f t="shared" si="3"/>
        <v>12.02</v>
      </c>
      <c r="M47" s="350">
        <f t="shared" si="4"/>
        <v>12.02</v>
      </c>
      <c r="N47" s="128" t="s">
        <v>156</v>
      </c>
      <c r="O47" s="16"/>
      <c r="P47" s="344"/>
      <c r="Q47" s="1"/>
      <c r="R47" s="15"/>
      <c r="S47" s="353">
        <f t="shared" si="5"/>
        <v>0</v>
      </c>
      <c r="T47" s="354">
        <f t="shared" si="6"/>
        <v>12.02</v>
      </c>
      <c r="U47" s="354">
        <f t="shared" si="7"/>
        <v>12.02</v>
      </c>
      <c r="V47" s="355">
        <f t="shared" si="8"/>
        <v>0</v>
      </c>
      <c r="W47" s="355">
        <f t="shared" si="9"/>
        <v>1</v>
      </c>
      <c r="X47" s="356"/>
      <c r="Y47" s="349"/>
      <c r="Z47" s="61" t="s">
        <v>66</v>
      </c>
      <c r="AA47" s="61"/>
      <c r="AB47" s="61"/>
      <c r="AC47" s="61"/>
    </row>
    <row r="48" spans="1:29" x14ac:dyDescent="0.25">
      <c r="A48" s="55"/>
      <c r="B48" s="2" t="s">
        <v>547</v>
      </c>
      <c r="C48" s="6" t="s">
        <v>548</v>
      </c>
      <c r="D48" s="139" t="s">
        <v>34</v>
      </c>
      <c r="E48" s="126" t="s">
        <v>176</v>
      </c>
      <c r="F48" s="53">
        <v>1</v>
      </c>
      <c r="G48" s="340">
        <v>16.02</v>
      </c>
      <c r="H48" s="341">
        <f t="shared" si="0"/>
        <v>11.61</v>
      </c>
      <c r="I48" s="342">
        <f t="shared" si="1"/>
        <v>11.61</v>
      </c>
      <c r="J48" s="352"/>
      <c r="K48" s="89">
        <f t="shared" si="2"/>
        <v>1</v>
      </c>
      <c r="L48" s="341">
        <f t="shared" si="3"/>
        <v>11.61</v>
      </c>
      <c r="M48" s="341">
        <f t="shared" si="4"/>
        <v>11.61</v>
      </c>
      <c r="N48" s="340" t="s">
        <v>156</v>
      </c>
      <c r="O48" s="12"/>
      <c r="P48" s="344"/>
      <c r="Q48" s="3"/>
      <c r="R48" s="345"/>
      <c r="S48" s="346">
        <f t="shared" si="5"/>
        <v>0</v>
      </c>
      <c r="T48" s="346">
        <f t="shared" si="6"/>
        <v>11.61</v>
      </c>
      <c r="U48" s="346">
        <f t="shared" si="7"/>
        <v>11.61</v>
      </c>
      <c r="V48" s="347">
        <f t="shared" si="8"/>
        <v>0</v>
      </c>
      <c r="W48" s="347">
        <f t="shared" si="9"/>
        <v>1</v>
      </c>
      <c r="X48" s="356"/>
      <c r="Y48" s="349"/>
      <c r="Z48" s="61" t="s">
        <v>196</v>
      </c>
      <c r="AA48" s="61"/>
      <c r="AB48" s="61"/>
      <c r="AC48" s="61"/>
    </row>
    <row r="49" spans="1:29" x14ac:dyDescent="0.25">
      <c r="A49" s="55"/>
      <c r="B49" s="1" t="s">
        <v>549</v>
      </c>
      <c r="C49" s="4" t="s">
        <v>550</v>
      </c>
      <c r="D49" s="139" t="s">
        <v>36</v>
      </c>
      <c r="E49" s="125" t="s">
        <v>176</v>
      </c>
      <c r="F49" s="54">
        <v>1</v>
      </c>
      <c r="G49" s="15">
        <v>203.26</v>
      </c>
      <c r="H49" s="350">
        <f t="shared" si="0"/>
        <v>147.29</v>
      </c>
      <c r="I49" s="351">
        <f t="shared" si="1"/>
        <v>147.29</v>
      </c>
      <c r="J49" s="352"/>
      <c r="K49" s="88">
        <f t="shared" si="2"/>
        <v>1</v>
      </c>
      <c r="L49" s="350">
        <f t="shared" si="3"/>
        <v>147.29</v>
      </c>
      <c r="M49" s="350">
        <f t="shared" si="4"/>
        <v>147.29</v>
      </c>
      <c r="N49" s="128" t="s">
        <v>156</v>
      </c>
      <c r="O49" s="16"/>
      <c r="P49" s="344"/>
      <c r="Q49" s="1"/>
      <c r="R49" s="15"/>
      <c r="S49" s="353">
        <f t="shared" si="5"/>
        <v>0</v>
      </c>
      <c r="T49" s="354">
        <f t="shared" si="6"/>
        <v>147.29</v>
      </c>
      <c r="U49" s="354">
        <f t="shared" si="7"/>
        <v>147.29</v>
      </c>
      <c r="V49" s="355">
        <f t="shared" si="8"/>
        <v>0</v>
      </c>
      <c r="W49" s="355">
        <f t="shared" si="9"/>
        <v>1</v>
      </c>
      <c r="X49" s="356"/>
      <c r="Y49" s="349"/>
      <c r="Z49" s="61"/>
      <c r="AA49" s="61"/>
      <c r="AB49" s="61"/>
      <c r="AC49" s="61"/>
    </row>
    <row r="50" spans="1:29" x14ac:dyDescent="0.25">
      <c r="A50" s="55"/>
      <c r="B50" s="2"/>
      <c r="C50" s="6"/>
      <c r="D50" s="139"/>
      <c r="E50" s="126"/>
      <c r="F50" s="53"/>
      <c r="G50" s="340">
        <v>0</v>
      </c>
      <c r="H50" s="341">
        <f t="shared" ref="H50:H80" si="10">ROUND(IF($G$17="USD $", G50*$F$15,G50*$E$15),2)</f>
        <v>0</v>
      </c>
      <c r="I50" s="342">
        <f t="shared" ref="I50:I80" si="11">ROUND(IF($I$17=$H$17,F50*H50,F50*G50),2)</f>
        <v>0</v>
      </c>
      <c r="J50" s="352"/>
      <c r="K50" s="89">
        <f t="shared" ref="K50:K80" si="12">F50</f>
        <v>0</v>
      </c>
      <c r="L50" s="341">
        <f t="shared" ref="L50:L80" si="13">IFERROR(IF(N50="OEM DISC %",ROUND(IF($L$17=$G$17,G50*(1-O50),H50*(1-O50)),2),IF(N50="MARKUP %",ROUND(S50/K50*(1+O50),2))),0)</f>
        <v>0</v>
      </c>
      <c r="M50" s="341">
        <f t="shared" ref="M50:M80" si="14">ROUND((K50*L50),2)</f>
        <v>0</v>
      </c>
      <c r="N50" s="340" t="s">
        <v>156</v>
      </c>
      <c r="O50" s="12"/>
      <c r="P50" s="344"/>
      <c r="Q50" s="3"/>
      <c r="R50" s="345"/>
      <c r="S50" s="346">
        <f t="shared" ref="S50:S80" si="15">ROUND(IF($S$17=$R$17,R50,IF($S$17="USD $",R50*$E$15,R50*$F$15))*F50,2)</f>
        <v>0</v>
      </c>
      <c r="T50" s="346">
        <f t="shared" ref="T50:T80" si="16">IFERROR(ROUND(U50/F50,2),0)</f>
        <v>0</v>
      </c>
      <c r="U50" s="346">
        <f t="shared" ref="U50:U80" si="17">ROUND(M50-S50,2)</f>
        <v>0</v>
      </c>
      <c r="V50" s="347">
        <f t="shared" ref="V50:V80" si="18">IFERROR(((L50-(S50/K50))/(S50/K50)),0)</f>
        <v>0</v>
      </c>
      <c r="W50" s="347">
        <f t="shared" ref="W50:W80" si="19">IFERROR(((L50-(S50/K50))/L50),0)</f>
        <v>0</v>
      </c>
      <c r="X50" s="356"/>
      <c r="Y50" s="349"/>
      <c r="Z50" s="61"/>
      <c r="AA50" s="61"/>
      <c r="AB50" s="61"/>
      <c r="AC50" s="61"/>
    </row>
    <row r="51" spans="1:29" x14ac:dyDescent="0.25">
      <c r="A51" s="55"/>
      <c r="B51" s="1" t="s">
        <v>469</v>
      </c>
      <c r="C51" s="4" t="s">
        <v>197</v>
      </c>
      <c r="D51" s="139" t="s">
        <v>22</v>
      </c>
      <c r="E51" s="125" t="s">
        <v>176</v>
      </c>
      <c r="F51" s="54">
        <v>1</v>
      </c>
      <c r="G51" s="15">
        <v>2538.87</v>
      </c>
      <c r="H51" s="350">
        <f t="shared" si="10"/>
        <v>1839.76</v>
      </c>
      <c r="I51" s="351">
        <f t="shared" si="11"/>
        <v>1839.76</v>
      </c>
      <c r="J51" s="352"/>
      <c r="K51" s="88">
        <f t="shared" si="12"/>
        <v>1</v>
      </c>
      <c r="L51" s="350">
        <f t="shared" si="13"/>
        <v>1839.76</v>
      </c>
      <c r="M51" s="350">
        <f t="shared" si="14"/>
        <v>1839.76</v>
      </c>
      <c r="N51" s="128" t="s">
        <v>156</v>
      </c>
      <c r="O51" s="16"/>
      <c r="P51" s="344"/>
      <c r="Q51" s="1"/>
      <c r="R51" s="15"/>
      <c r="S51" s="353">
        <f t="shared" si="15"/>
        <v>0</v>
      </c>
      <c r="T51" s="354">
        <f t="shared" si="16"/>
        <v>1839.76</v>
      </c>
      <c r="U51" s="354">
        <f t="shared" si="17"/>
        <v>1839.76</v>
      </c>
      <c r="V51" s="355">
        <f t="shared" si="18"/>
        <v>0</v>
      </c>
      <c r="W51" s="355">
        <f t="shared" si="19"/>
        <v>1</v>
      </c>
      <c r="X51" s="356"/>
      <c r="Y51" s="349"/>
      <c r="Z51" s="61"/>
      <c r="AA51" s="61"/>
      <c r="AB51" s="61"/>
      <c r="AC51" s="61"/>
    </row>
    <row r="52" spans="1:29" x14ac:dyDescent="0.25">
      <c r="A52" s="55"/>
      <c r="B52" s="358" t="s">
        <v>470</v>
      </c>
      <c r="C52" s="6" t="s">
        <v>198</v>
      </c>
      <c r="D52" s="139" t="s">
        <v>199</v>
      </c>
      <c r="E52" s="126" t="s">
        <v>176</v>
      </c>
      <c r="F52" s="53">
        <v>1</v>
      </c>
      <c r="G52" s="340">
        <v>2011.45</v>
      </c>
      <c r="H52" s="341">
        <f t="shared" si="10"/>
        <v>1457.57</v>
      </c>
      <c r="I52" s="342">
        <f t="shared" si="11"/>
        <v>1457.57</v>
      </c>
      <c r="J52" s="352"/>
      <c r="K52" s="89">
        <f t="shared" si="12"/>
        <v>1</v>
      </c>
      <c r="L52" s="341">
        <f t="shared" si="13"/>
        <v>1457.57</v>
      </c>
      <c r="M52" s="341">
        <f t="shared" si="14"/>
        <v>1457.57</v>
      </c>
      <c r="N52" s="340" t="s">
        <v>156</v>
      </c>
      <c r="O52" s="12"/>
      <c r="P52" s="344"/>
      <c r="Q52" s="3"/>
      <c r="R52" s="345"/>
      <c r="S52" s="346">
        <f t="shared" si="15"/>
        <v>0</v>
      </c>
      <c r="T52" s="346">
        <f t="shared" si="16"/>
        <v>1457.57</v>
      </c>
      <c r="U52" s="346">
        <f t="shared" si="17"/>
        <v>1457.57</v>
      </c>
      <c r="V52" s="347">
        <f t="shared" si="18"/>
        <v>0</v>
      </c>
      <c r="W52" s="347">
        <f t="shared" si="19"/>
        <v>1</v>
      </c>
      <c r="X52" s="356"/>
      <c r="Y52" s="349"/>
      <c r="Z52" s="61"/>
      <c r="AA52" s="61"/>
      <c r="AB52" s="61"/>
      <c r="AC52" s="61"/>
    </row>
    <row r="53" spans="1:29" x14ac:dyDescent="0.25">
      <c r="A53" s="55"/>
      <c r="B53" s="1" t="s">
        <v>567</v>
      </c>
      <c r="C53" s="4" t="s">
        <v>200</v>
      </c>
      <c r="D53" s="139" t="s">
        <v>18</v>
      </c>
      <c r="E53" s="125" t="s">
        <v>176</v>
      </c>
      <c r="F53" s="54">
        <v>1</v>
      </c>
      <c r="G53" s="15">
        <v>877.16</v>
      </c>
      <c r="H53" s="350">
        <f t="shared" si="10"/>
        <v>635.62</v>
      </c>
      <c r="I53" s="351">
        <f t="shared" si="11"/>
        <v>635.62</v>
      </c>
      <c r="J53" s="352"/>
      <c r="K53" s="88">
        <f t="shared" si="12"/>
        <v>1</v>
      </c>
      <c r="L53" s="350">
        <f t="shared" si="13"/>
        <v>635.62</v>
      </c>
      <c r="M53" s="350">
        <f t="shared" si="14"/>
        <v>635.62</v>
      </c>
      <c r="N53" s="128" t="s">
        <v>156</v>
      </c>
      <c r="O53" s="16"/>
      <c r="P53" s="344"/>
      <c r="Q53" s="1"/>
      <c r="R53" s="15"/>
      <c r="S53" s="353">
        <f t="shared" si="15"/>
        <v>0</v>
      </c>
      <c r="T53" s="354">
        <f t="shared" si="16"/>
        <v>635.62</v>
      </c>
      <c r="U53" s="354">
        <f t="shared" si="17"/>
        <v>635.62</v>
      </c>
      <c r="V53" s="355">
        <f t="shared" si="18"/>
        <v>0</v>
      </c>
      <c r="W53" s="355">
        <f t="shared" si="19"/>
        <v>1</v>
      </c>
      <c r="X53" s="356"/>
      <c r="Y53" s="349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340"/>
      <c r="H54" s="341">
        <f t="shared" si="10"/>
        <v>0</v>
      </c>
      <c r="I54" s="342">
        <f t="shared" si="11"/>
        <v>0</v>
      </c>
      <c r="J54" s="352"/>
      <c r="K54" s="89">
        <f t="shared" si="12"/>
        <v>0</v>
      </c>
      <c r="L54" s="341">
        <f t="shared" si="13"/>
        <v>0</v>
      </c>
      <c r="M54" s="341">
        <f t="shared" si="14"/>
        <v>0</v>
      </c>
      <c r="N54" s="340" t="s">
        <v>156</v>
      </c>
      <c r="O54" s="12"/>
      <c r="P54" s="344"/>
      <c r="Q54" s="3"/>
      <c r="R54" s="345"/>
      <c r="S54" s="346">
        <f t="shared" si="15"/>
        <v>0</v>
      </c>
      <c r="T54" s="346">
        <f t="shared" si="16"/>
        <v>0</v>
      </c>
      <c r="U54" s="346">
        <f t="shared" si="17"/>
        <v>0</v>
      </c>
      <c r="V54" s="347">
        <f t="shared" si="18"/>
        <v>0</v>
      </c>
      <c r="W54" s="347">
        <f t="shared" si="19"/>
        <v>0</v>
      </c>
      <c r="X54" s="356"/>
      <c r="Y54" s="349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50">
        <f t="shared" si="10"/>
        <v>0</v>
      </c>
      <c r="I55" s="351">
        <f t="shared" si="11"/>
        <v>0</v>
      </c>
      <c r="J55" s="352"/>
      <c r="K55" s="88">
        <f t="shared" si="12"/>
        <v>0</v>
      </c>
      <c r="L55" s="350">
        <f t="shared" si="13"/>
        <v>0</v>
      </c>
      <c r="M55" s="350">
        <f t="shared" si="14"/>
        <v>0</v>
      </c>
      <c r="N55" s="128" t="s">
        <v>156</v>
      </c>
      <c r="O55" s="16"/>
      <c r="P55" s="344"/>
      <c r="Q55" s="1"/>
      <c r="R55" s="15"/>
      <c r="S55" s="353">
        <f t="shared" si="15"/>
        <v>0</v>
      </c>
      <c r="T55" s="354">
        <f t="shared" si="16"/>
        <v>0</v>
      </c>
      <c r="U55" s="354">
        <f t="shared" si="17"/>
        <v>0</v>
      </c>
      <c r="V55" s="355">
        <f t="shared" si="18"/>
        <v>0</v>
      </c>
      <c r="W55" s="355">
        <f t="shared" si="19"/>
        <v>0</v>
      </c>
      <c r="X55" s="356"/>
      <c r="Y55" s="349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340"/>
      <c r="H56" s="341">
        <f t="shared" si="10"/>
        <v>0</v>
      </c>
      <c r="I56" s="342">
        <f t="shared" si="11"/>
        <v>0</v>
      </c>
      <c r="J56" s="352"/>
      <c r="K56" s="89">
        <f t="shared" si="12"/>
        <v>0</v>
      </c>
      <c r="L56" s="341">
        <f t="shared" si="13"/>
        <v>0</v>
      </c>
      <c r="M56" s="341">
        <f t="shared" si="14"/>
        <v>0</v>
      </c>
      <c r="N56" s="340" t="s">
        <v>156</v>
      </c>
      <c r="O56" s="12"/>
      <c r="P56" s="344"/>
      <c r="Q56" s="3"/>
      <c r="R56" s="345"/>
      <c r="S56" s="346">
        <f t="shared" si="15"/>
        <v>0</v>
      </c>
      <c r="T56" s="346">
        <f t="shared" si="16"/>
        <v>0</v>
      </c>
      <c r="U56" s="346">
        <f t="shared" si="17"/>
        <v>0</v>
      </c>
      <c r="V56" s="347">
        <f t="shared" si="18"/>
        <v>0</v>
      </c>
      <c r="W56" s="347">
        <f t="shared" si="19"/>
        <v>0</v>
      </c>
      <c r="X56" s="356"/>
      <c r="Y56" s="349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50">
        <f t="shared" si="10"/>
        <v>0</v>
      </c>
      <c r="I57" s="351">
        <f t="shared" si="11"/>
        <v>0</v>
      </c>
      <c r="J57" s="352"/>
      <c r="K57" s="88">
        <f t="shared" si="12"/>
        <v>0</v>
      </c>
      <c r="L57" s="350">
        <f t="shared" si="13"/>
        <v>0</v>
      </c>
      <c r="M57" s="350">
        <f t="shared" si="14"/>
        <v>0</v>
      </c>
      <c r="N57" s="128" t="s">
        <v>156</v>
      </c>
      <c r="O57" s="16"/>
      <c r="P57" s="344"/>
      <c r="Q57" s="1"/>
      <c r="R57" s="15"/>
      <c r="S57" s="353">
        <f t="shared" si="15"/>
        <v>0</v>
      </c>
      <c r="T57" s="354">
        <f t="shared" si="16"/>
        <v>0</v>
      </c>
      <c r="U57" s="354">
        <f t="shared" si="17"/>
        <v>0</v>
      </c>
      <c r="V57" s="355">
        <f t="shared" si="18"/>
        <v>0</v>
      </c>
      <c r="W57" s="355">
        <f t="shared" si="19"/>
        <v>0</v>
      </c>
      <c r="X57" s="356"/>
      <c r="Y57" s="349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340"/>
      <c r="H58" s="341">
        <f t="shared" si="10"/>
        <v>0</v>
      </c>
      <c r="I58" s="342">
        <f t="shared" si="11"/>
        <v>0</v>
      </c>
      <c r="J58" s="352"/>
      <c r="K58" s="89">
        <f t="shared" si="12"/>
        <v>0</v>
      </c>
      <c r="L58" s="341">
        <f t="shared" si="13"/>
        <v>0</v>
      </c>
      <c r="M58" s="341">
        <f t="shared" si="14"/>
        <v>0</v>
      </c>
      <c r="N58" s="340" t="s">
        <v>156</v>
      </c>
      <c r="O58" s="12"/>
      <c r="P58" s="344"/>
      <c r="Q58" s="3"/>
      <c r="R58" s="345"/>
      <c r="S58" s="346">
        <f t="shared" si="15"/>
        <v>0</v>
      </c>
      <c r="T58" s="346">
        <f t="shared" si="16"/>
        <v>0</v>
      </c>
      <c r="U58" s="346">
        <f t="shared" si="17"/>
        <v>0</v>
      </c>
      <c r="V58" s="347">
        <f t="shared" si="18"/>
        <v>0</v>
      </c>
      <c r="W58" s="347">
        <f t="shared" si="19"/>
        <v>0</v>
      </c>
      <c r="X58" s="356"/>
      <c r="Y58" s="349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50">
        <f t="shared" si="10"/>
        <v>0</v>
      </c>
      <c r="I59" s="351">
        <f t="shared" si="11"/>
        <v>0</v>
      </c>
      <c r="J59" s="352"/>
      <c r="K59" s="88">
        <f t="shared" si="12"/>
        <v>0</v>
      </c>
      <c r="L59" s="350">
        <f t="shared" si="13"/>
        <v>0</v>
      </c>
      <c r="M59" s="350">
        <f t="shared" si="14"/>
        <v>0</v>
      </c>
      <c r="N59" s="128" t="s">
        <v>156</v>
      </c>
      <c r="O59" s="16"/>
      <c r="P59" s="344"/>
      <c r="Q59" s="1"/>
      <c r="R59" s="15"/>
      <c r="S59" s="353">
        <f t="shared" si="15"/>
        <v>0</v>
      </c>
      <c r="T59" s="354">
        <f t="shared" si="16"/>
        <v>0</v>
      </c>
      <c r="U59" s="354">
        <f t="shared" si="17"/>
        <v>0</v>
      </c>
      <c r="V59" s="355">
        <f t="shared" si="18"/>
        <v>0</v>
      </c>
      <c r="W59" s="355">
        <f t="shared" si="19"/>
        <v>0</v>
      </c>
      <c r="X59" s="356"/>
      <c r="Y59" s="349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340"/>
      <c r="H60" s="341">
        <f t="shared" si="10"/>
        <v>0</v>
      </c>
      <c r="I60" s="342">
        <f t="shared" si="11"/>
        <v>0</v>
      </c>
      <c r="J60" s="352"/>
      <c r="K60" s="89">
        <f t="shared" si="12"/>
        <v>0</v>
      </c>
      <c r="L60" s="341">
        <f t="shared" si="13"/>
        <v>0</v>
      </c>
      <c r="M60" s="341">
        <f t="shared" si="14"/>
        <v>0</v>
      </c>
      <c r="N60" s="340" t="s">
        <v>156</v>
      </c>
      <c r="O60" s="12"/>
      <c r="P60" s="344"/>
      <c r="Q60" s="3"/>
      <c r="R60" s="345"/>
      <c r="S60" s="346">
        <f t="shared" si="15"/>
        <v>0</v>
      </c>
      <c r="T60" s="346">
        <f t="shared" si="16"/>
        <v>0</v>
      </c>
      <c r="U60" s="346">
        <f t="shared" si="17"/>
        <v>0</v>
      </c>
      <c r="V60" s="347">
        <f t="shared" si="18"/>
        <v>0</v>
      </c>
      <c r="W60" s="347">
        <f t="shared" si="19"/>
        <v>0</v>
      </c>
      <c r="X60" s="356"/>
      <c r="Y60" s="349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50">
        <f t="shared" si="10"/>
        <v>0</v>
      </c>
      <c r="I61" s="351">
        <f t="shared" si="11"/>
        <v>0</v>
      </c>
      <c r="J61" s="352"/>
      <c r="K61" s="88">
        <f t="shared" si="12"/>
        <v>0</v>
      </c>
      <c r="L61" s="350">
        <f t="shared" si="13"/>
        <v>0</v>
      </c>
      <c r="M61" s="350">
        <f t="shared" si="14"/>
        <v>0</v>
      </c>
      <c r="N61" s="128" t="s">
        <v>156</v>
      </c>
      <c r="O61" s="16"/>
      <c r="P61" s="344"/>
      <c r="Q61" s="1"/>
      <c r="R61" s="15"/>
      <c r="S61" s="353">
        <f t="shared" si="15"/>
        <v>0</v>
      </c>
      <c r="T61" s="354">
        <f t="shared" si="16"/>
        <v>0</v>
      </c>
      <c r="U61" s="354">
        <f t="shared" si="17"/>
        <v>0</v>
      </c>
      <c r="V61" s="355">
        <f t="shared" si="18"/>
        <v>0</v>
      </c>
      <c r="W61" s="355">
        <f t="shared" si="19"/>
        <v>0</v>
      </c>
      <c r="X61" s="356"/>
      <c r="Y61" s="349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340"/>
      <c r="H62" s="341">
        <f t="shared" si="10"/>
        <v>0</v>
      </c>
      <c r="I62" s="342">
        <f t="shared" si="11"/>
        <v>0</v>
      </c>
      <c r="J62" s="352"/>
      <c r="K62" s="89">
        <f t="shared" si="12"/>
        <v>0</v>
      </c>
      <c r="L62" s="341">
        <f t="shared" si="13"/>
        <v>0</v>
      </c>
      <c r="M62" s="341">
        <f t="shared" si="14"/>
        <v>0</v>
      </c>
      <c r="N62" s="340" t="s">
        <v>156</v>
      </c>
      <c r="O62" s="12"/>
      <c r="P62" s="344"/>
      <c r="Q62" s="3"/>
      <c r="R62" s="345"/>
      <c r="S62" s="346">
        <f t="shared" si="15"/>
        <v>0</v>
      </c>
      <c r="T62" s="346">
        <f t="shared" si="16"/>
        <v>0</v>
      </c>
      <c r="U62" s="346">
        <f t="shared" si="17"/>
        <v>0</v>
      </c>
      <c r="V62" s="347">
        <f t="shared" si="18"/>
        <v>0</v>
      </c>
      <c r="W62" s="347">
        <f t="shared" si="19"/>
        <v>0</v>
      </c>
      <c r="X62" s="356"/>
      <c r="Y62" s="349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50">
        <f t="shared" si="10"/>
        <v>0</v>
      </c>
      <c r="I63" s="351">
        <f t="shared" si="11"/>
        <v>0</v>
      </c>
      <c r="J63" s="352"/>
      <c r="K63" s="88">
        <f t="shared" si="12"/>
        <v>0</v>
      </c>
      <c r="L63" s="350">
        <f t="shared" si="13"/>
        <v>0</v>
      </c>
      <c r="M63" s="350">
        <f t="shared" si="14"/>
        <v>0</v>
      </c>
      <c r="N63" s="128" t="s">
        <v>156</v>
      </c>
      <c r="O63" s="16"/>
      <c r="P63" s="344"/>
      <c r="Q63" s="1"/>
      <c r="R63" s="15"/>
      <c r="S63" s="353">
        <f t="shared" si="15"/>
        <v>0</v>
      </c>
      <c r="T63" s="354">
        <f t="shared" si="16"/>
        <v>0</v>
      </c>
      <c r="U63" s="354">
        <f t="shared" si="17"/>
        <v>0</v>
      </c>
      <c r="V63" s="355">
        <f t="shared" si="18"/>
        <v>0</v>
      </c>
      <c r="W63" s="355">
        <f t="shared" si="19"/>
        <v>0</v>
      </c>
      <c r="X63" s="356"/>
      <c r="Y63" s="349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340"/>
      <c r="H64" s="341">
        <f t="shared" si="10"/>
        <v>0</v>
      </c>
      <c r="I64" s="342">
        <f t="shared" si="11"/>
        <v>0</v>
      </c>
      <c r="J64" s="352"/>
      <c r="K64" s="89">
        <f t="shared" si="12"/>
        <v>0</v>
      </c>
      <c r="L64" s="341">
        <f t="shared" si="13"/>
        <v>0</v>
      </c>
      <c r="M64" s="341">
        <f t="shared" si="14"/>
        <v>0</v>
      </c>
      <c r="N64" s="340" t="s">
        <v>156</v>
      </c>
      <c r="O64" s="12"/>
      <c r="P64" s="344"/>
      <c r="Q64" s="3"/>
      <c r="R64" s="345"/>
      <c r="S64" s="346">
        <f t="shared" si="15"/>
        <v>0</v>
      </c>
      <c r="T64" s="346">
        <f t="shared" si="16"/>
        <v>0</v>
      </c>
      <c r="U64" s="346">
        <f t="shared" si="17"/>
        <v>0</v>
      </c>
      <c r="V64" s="347">
        <f t="shared" si="18"/>
        <v>0</v>
      </c>
      <c r="W64" s="347">
        <f t="shared" si="19"/>
        <v>0</v>
      </c>
      <c r="X64" s="356"/>
      <c r="Y64" s="349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50">
        <f t="shared" si="10"/>
        <v>0</v>
      </c>
      <c r="I65" s="351">
        <f t="shared" si="11"/>
        <v>0</v>
      </c>
      <c r="J65" s="352"/>
      <c r="K65" s="88">
        <f t="shared" si="12"/>
        <v>0</v>
      </c>
      <c r="L65" s="350">
        <f t="shared" si="13"/>
        <v>0</v>
      </c>
      <c r="M65" s="350">
        <f t="shared" si="14"/>
        <v>0</v>
      </c>
      <c r="N65" s="128" t="s">
        <v>156</v>
      </c>
      <c r="O65" s="16"/>
      <c r="P65" s="344"/>
      <c r="Q65" s="1"/>
      <c r="R65" s="15"/>
      <c r="S65" s="353">
        <f t="shared" si="15"/>
        <v>0</v>
      </c>
      <c r="T65" s="354">
        <f t="shared" si="16"/>
        <v>0</v>
      </c>
      <c r="U65" s="354">
        <f t="shared" si="17"/>
        <v>0</v>
      </c>
      <c r="V65" s="355">
        <f t="shared" si="18"/>
        <v>0</v>
      </c>
      <c r="W65" s="355">
        <f t="shared" si="19"/>
        <v>0</v>
      </c>
      <c r="X65" s="356"/>
      <c r="Y65" s="349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340"/>
      <c r="H66" s="341">
        <f t="shared" si="10"/>
        <v>0</v>
      </c>
      <c r="I66" s="342">
        <f t="shared" si="11"/>
        <v>0</v>
      </c>
      <c r="J66" s="352"/>
      <c r="K66" s="89">
        <f t="shared" si="12"/>
        <v>0</v>
      </c>
      <c r="L66" s="341">
        <f t="shared" si="13"/>
        <v>0</v>
      </c>
      <c r="M66" s="341">
        <f t="shared" si="14"/>
        <v>0</v>
      </c>
      <c r="N66" s="340" t="s">
        <v>156</v>
      </c>
      <c r="O66" s="12"/>
      <c r="P66" s="344"/>
      <c r="Q66" s="3"/>
      <c r="R66" s="345"/>
      <c r="S66" s="346">
        <f t="shared" si="15"/>
        <v>0</v>
      </c>
      <c r="T66" s="346">
        <f t="shared" si="16"/>
        <v>0</v>
      </c>
      <c r="U66" s="346">
        <f t="shared" si="17"/>
        <v>0</v>
      </c>
      <c r="V66" s="347">
        <f t="shared" si="18"/>
        <v>0</v>
      </c>
      <c r="W66" s="347">
        <f t="shared" si="19"/>
        <v>0</v>
      </c>
      <c r="X66" s="356"/>
      <c r="Y66" s="349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50">
        <f t="shared" si="10"/>
        <v>0</v>
      </c>
      <c r="I67" s="351">
        <f t="shared" si="11"/>
        <v>0</v>
      </c>
      <c r="J67" s="352"/>
      <c r="K67" s="88">
        <f t="shared" si="12"/>
        <v>0</v>
      </c>
      <c r="L67" s="350">
        <f t="shared" si="13"/>
        <v>0</v>
      </c>
      <c r="M67" s="350">
        <f t="shared" si="14"/>
        <v>0</v>
      </c>
      <c r="N67" s="128" t="s">
        <v>156</v>
      </c>
      <c r="O67" s="16"/>
      <c r="P67" s="344"/>
      <c r="Q67" s="1"/>
      <c r="R67" s="15"/>
      <c r="S67" s="353">
        <f t="shared" si="15"/>
        <v>0</v>
      </c>
      <c r="T67" s="354">
        <f t="shared" si="16"/>
        <v>0</v>
      </c>
      <c r="U67" s="354">
        <f t="shared" si="17"/>
        <v>0</v>
      </c>
      <c r="V67" s="355">
        <f t="shared" si="18"/>
        <v>0</v>
      </c>
      <c r="W67" s="355">
        <f t="shared" si="19"/>
        <v>0</v>
      </c>
      <c r="X67" s="356"/>
      <c r="Y67" s="349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340"/>
      <c r="H68" s="341">
        <f t="shared" si="10"/>
        <v>0</v>
      </c>
      <c r="I68" s="342">
        <f t="shared" si="11"/>
        <v>0</v>
      </c>
      <c r="J68" s="352"/>
      <c r="K68" s="89">
        <f t="shared" si="12"/>
        <v>0</v>
      </c>
      <c r="L68" s="341">
        <f t="shared" si="13"/>
        <v>0</v>
      </c>
      <c r="M68" s="341">
        <f t="shared" si="14"/>
        <v>0</v>
      </c>
      <c r="N68" s="340" t="s">
        <v>156</v>
      </c>
      <c r="O68" s="12"/>
      <c r="P68" s="344"/>
      <c r="Q68" s="3"/>
      <c r="R68" s="345"/>
      <c r="S68" s="346">
        <f t="shared" si="15"/>
        <v>0</v>
      </c>
      <c r="T68" s="346">
        <f t="shared" si="16"/>
        <v>0</v>
      </c>
      <c r="U68" s="346">
        <f t="shared" si="17"/>
        <v>0</v>
      </c>
      <c r="V68" s="347">
        <f t="shared" si="18"/>
        <v>0</v>
      </c>
      <c r="W68" s="347">
        <f t="shared" si="19"/>
        <v>0</v>
      </c>
      <c r="X68" s="356"/>
      <c r="Y68" s="349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50">
        <f t="shared" si="10"/>
        <v>0</v>
      </c>
      <c r="I69" s="351">
        <f t="shared" si="11"/>
        <v>0</v>
      </c>
      <c r="J69" s="352"/>
      <c r="K69" s="88">
        <f t="shared" si="12"/>
        <v>0</v>
      </c>
      <c r="L69" s="350">
        <f t="shared" si="13"/>
        <v>0</v>
      </c>
      <c r="M69" s="350">
        <f t="shared" si="14"/>
        <v>0</v>
      </c>
      <c r="N69" s="128" t="s">
        <v>156</v>
      </c>
      <c r="O69" s="16"/>
      <c r="P69" s="344"/>
      <c r="Q69" s="1"/>
      <c r="R69" s="15"/>
      <c r="S69" s="353">
        <f t="shared" si="15"/>
        <v>0</v>
      </c>
      <c r="T69" s="354">
        <f t="shared" si="16"/>
        <v>0</v>
      </c>
      <c r="U69" s="354">
        <f t="shared" si="17"/>
        <v>0</v>
      </c>
      <c r="V69" s="355">
        <f t="shared" si="18"/>
        <v>0</v>
      </c>
      <c r="W69" s="355">
        <f t="shared" si="19"/>
        <v>0</v>
      </c>
      <c r="X69" s="356"/>
      <c r="Y69" s="349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340"/>
      <c r="H70" s="341">
        <f t="shared" si="10"/>
        <v>0</v>
      </c>
      <c r="I70" s="342">
        <f t="shared" si="11"/>
        <v>0</v>
      </c>
      <c r="J70" s="352"/>
      <c r="K70" s="89">
        <f t="shared" si="12"/>
        <v>0</v>
      </c>
      <c r="L70" s="341">
        <f t="shared" si="13"/>
        <v>0</v>
      </c>
      <c r="M70" s="341">
        <f t="shared" si="14"/>
        <v>0</v>
      </c>
      <c r="N70" s="340" t="s">
        <v>156</v>
      </c>
      <c r="O70" s="12"/>
      <c r="P70" s="344"/>
      <c r="Q70" s="3"/>
      <c r="R70" s="345"/>
      <c r="S70" s="346">
        <f t="shared" si="15"/>
        <v>0</v>
      </c>
      <c r="T70" s="346">
        <f t="shared" si="16"/>
        <v>0</v>
      </c>
      <c r="U70" s="346">
        <f t="shared" si="17"/>
        <v>0</v>
      </c>
      <c r="V70" s="347">
        <f t="shared" si="18"/>
        <v>0</v>
      </c>
      <c r="W70" s="347">
        <f t="shared" si="19"/>
        <v>0</v>
      </c>
      <c r="X70" s="356"/>
      <c r="Y70" s="349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50">
        <f t="shared" si="10"/>
        <v>0</v>
      </c>
      <c r="I71" s="351">
        <f t="shared" si="11"/>
        <v>0</v>
      </c>
      <c r="J71" s="352"/>
      <c r="K71" s="88">
        <f t="shared" si="12"/>
        <v>0</v>
      </c>
      <c r="L71" s="350">
        <f t="shared" si="13"/>
        <v>0</v>
      </c>
      <c r="M71" s="350">
        <f t="shared" si="14"/>
        <v>0</v>
      </c>
      <c r="N71" s="128" t="s">
        <v>156</v>
      </c>
      <c r="O71" s="16"/>
      <c r="P71" s="344"/>
      <c r="Q71" s="1"/>
      <c r="R71" s="15"/>
      <c r="S71" s="353">
        <f t="shared" si="15"/>
        <v>0</v>
      </c>
      <c r="T71" s="354">
        <f t="shared" si="16"/>
        <v>0</v>
      </c>
      <c r="U71" s="354">
        <f t="shared" si="17"/>
        <v>0</v>
      </c>
      <c r="V71" s="355">
        <f t="shared" si="18"/>
        <v>0</v>
      </c>
      <c r="W71" s="355">
        <f t="shared" si="19"/>
        <v>0</v>
      </c>
      <c r="X71" s="356"/>
      <c r="Y71" s="349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340"/>
      <c r="H72" s="341">
        <f t="shared" si="10"/>
        <v>0</v>
      </c>
      <c r="I72" s="342">
        <f t="shared" si="11"/>
        <v>0</v>
      </c>
      <c r="J72" s="352"/>
      <c r="K72" s="89">
        <f t="shared" si="12"/>
        <v>0</v>
      </c>
      <c r="L72" s="341">
        <f t="shared" si="13"/>
        <v>0</v>
      </c>
      <c r="M72" s="341">
        <f t="shared" si="14"/>
        <v>0</v>
      </c>
      <c r="N72" s="340" t="s">
        <v>156</v>
      </c>
      <c r="O72" s="12"/>
      <c r="P72" s="344"/>
      <c r="Q72" s="3"/>
      <c r="R72" s="345"/>
      <c r="S72" s="346">
        <f t="shared" si="15"/>
        <v>0</v>
      </c>
      <c r="T72" s="346">
        <f t="shared" si="16"/>
        <v>0</v>
      </c>
      <c r="U72" s="346">
        <f t="shared" si="17"/>
        <v>0</v>
      </c>
      <c r="V72" s="347">
        <f t="shared" si="18"/>
        <v>0</v>
      </c>
      <c r="W72" s="347">
        <f t="shared" si="19"/>
        <v>0</v>
      </c>
      <c r="X72" s="356"/>
      <c r="Y72" s="349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50">
        <f t="shared" si="10"/>
        <v>0</v>
      </c>
      <c r="I73" s="351">
        <f t="shared" si="11"/>
        <v>0</v>
      </c>
      <c r="J73" s="352"/>
      <c r="K73" s="88">
        <f t="shared" si="12"/>
        <v>0</v>
      </c>
      <c r="L73" s="350">
        <f t="shared" si="13"/>
        <v>0</v>
      </c>
      <c r="M73" s="350">
        <f t="shared" si="14"/>
        <v>0</v>
      </c>
      <c r="N73" s="128" t="s">
        <v>156</v>
      </c>
      <c r="O73" s="16"/>
      <c r="P73" s="344"/>
      <c r="Q73" s="1"/>
      <c r="R73" s="15"/>
      <c r="S73" s="353">
        <f t="shared" si="15"/>
        <v>0</v>
      </c>
      <c r="T73" s="354">
        <f t="shared" si="16"/>
        <v>0</v>
      </c>
      <c r="U73" s="354">
        <f t="shared" si="17"/>
        <v>0</v>
      </c>
      <c r="V73" s="355">
        <f t="shared" si="18"/>
        <v>0</v>
      </c>
      <c r="W73" s="355">
        <f t="shared" si="19"/>
        <v>0</v>
      </c>
      <c r="X73" s="356"/>
      <c r="Y73" s="349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340"/>
      <c r="H74" s="341">
        <f t="shared" si="10"/>
        <v>0</v>
      </c>
      <c r="I74" s="342">
        <f t="shared" si="11"/>
        <v>0</v>
      </c>
      <c r="J74" s="352"/>
      <c r="K74" s="89">
        <f t="shared" si="12"/>
        <v>0</v>
      </c>
      <c r="L74" s="341">
        <f t="shared" si="13"/>
        <v>0</v>
      </c>
      <c r="M74" s="341">
        <f t="shared" si="14"/>
        <v>0</v>
      </c>
      <c r="N74" s="340" t="s">
        <v>156</v>
      </c>
      <c r="O74" s="12"/>
      <c r="P74" s="344"/>
      <c r="Q74" s="3"/>
      <c r="R74" s="345"/>
      <c r="S74" s="346">
        <f t="shared" si="15"/>
        <v>0</v>
      </c>
      <c r="T74" s="346">
        <f t="shared" si="16"/>
        <v>0</v>
      </c>
      <c r="U74" s="346">
        <f t="shared" si="17"/>
        <v>0</v>
      </c>
      <c r="V74" s="347">
        <f t="shared" si="18"/>
        <v>0</v>
      </c>
      <c r="W74" s="347">
        <f t="shared" si="19"/>
        <v>0</v>
      </c>
      <c r="X74" s="356"/>
      <c r="Y74" s="349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50">
        <f t="shared" si="10"/>
        <v>0</v>
      </c>
      <c r="I75" s="351">
        <f t="shared" si="11"/>
        <v>0</v>
      </c>
      <c r="J75" s="352"/>
      <c r="K75" s="88">
        <f t="shared" si="12"/>
        <v>0</v>
      </c>
      <c r="L75" s="350">
        <f t="shared" si="13"/>
        <v>0</v>
      </c>
      <c r="M75" s="350">
        <f t="shared" si="14"/>
        <v>0</v>
      </c>
      <c r="N75" s="128" t="s">
        <v>156</v>
      </c>
      <c r="O75" s="16"/>
      <c r="P75" s="344"/>
      <c r="Q75" s="1"/>
      <c r="R75" s="15"/>
      <c r="S75" s="353">
        <f t="shared" si="15"/>
        <v>0</v>
      </c>
      <c r="T75" s="354">
        <f t="shared" si="16"/>
        <v>0</v>
      </c>
      <c r="U75" s="354">
        <f t="shared" si="17"/>
        <v>0</v>
      </c>
      <c r="V75" s="355">
        <f t="shared" si="18"/>
        <v>0</v>
      </c>
      <c r="W75" s="355">
        <f t="shared" si="19"/>
        <v>0</v>
      </c>
      <c r="X75" s="356"/>
      <c r="Y75" s="349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340"/>
      <c r="H76" s="341">
        <f t="shared" si="10"/>
        <v>0</v>
      </c>
      <c r="I76" s="342">
        <f t="shared" si="11"/>
        <v>0</v>
      </c>
      <c r="J76" s="352"/>
      <c r="K76" s="89">
        <f t="shared" si="12"/>
        <v>0</v>
      </c>
      <c r="L76" s="341">
        <f t="shared" si="13"/>
        <v>0</v>
      </c>
      <c r="M76" s="341">
        <f t="shared" si="14"/>
        <v>0</v>
      </c>
      <c r="N76" s="340" t="s">
        <v>156</v>
      </c>
      <c r="O76" s="12"/>
      <c r="P76" s="344"/>
      <c r="Q76" s="3"/>
      <c r="R76" s="345"/>
      <c r="S76" s="346">
        <f t="shared" si="15"/>
        <v>0</v>
      </c>
      <c r="T76" s="346">
        <f t="shared" si="16"/>
        <v>0</v>
      </c>
      <c r="U76" s="346">
        <f t="shared" si="17"/>
        <v>0</v>
      </c>
      <c r="V76" s="347">
        <f t="shared" si="18"/>
        <v>0</v>
      </c>
      <c r="W76" s="347">
        <f t="shared" si="19"/>
        <v>0</v>
      </c>
      <c r="X76" s="356"/>
      <c r="Y76" s="349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50">
        <f t="shared" si="10"/>
        <v>0</v>
      </c>
      <c r="I77" s="351">
        <f t="shared" si="11"/>
        <v>0</v>
      </c>
      <c r="J77" s="352"/>
      <c r="K77" s="88">
        <f t="shared" si="12"/>
        <v>0</v>
      </c>
      <c r="L77" s="350">
        <f t="shared" si="13"/>
        <v>0</v>
      </c>
      <c r="M77" s="350">
        <f t="shared" si="14"/>
        <v>0</v>
      </c>
      <c r="N77" s="128" t="s">
        <v>156</v>
      </c>
      <c r="O77" s="16"/>
      <c r="P77" s="344"/>
      <c r="Q77" s="1"/>
      <c r="R77" s="15"/>
      <c r="S77" s="353">
        <f t="shared" si="15"/>
        <v>0</v>
      </c>
      <c r="T77" s="354">
        <f t="shared" si="16"/>
        <v>0</v>
      </c>
      <c r="U77" s="354">
        <f t="shared" si="17"/>
        <v>0</v>
      </c>
      <c r="V77" s="355">
        <f t="shared" si="18"/>
        <v>0</v>
      </c>
      <c r="W77" s="355">
        <f t="shared" si="19"/>
        <v>0</v>
      </c>
      <c r="X77" s="356"/>
      <c r="Y77" s="349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340"/>
      <c r="H78" s="341">
        <f t="shared" si="10"/>
        <v>0</v>
      </c>
      <c r="I78" s="342">
        <f t="shared" si="11"/>
        <v>0</v>
      </c>
      <c r="J78" s="352"/>
      <c r="K78" s="89">
        <f t="shared" si="12"/>
        <v>0</v>
      </c>
      <c r="L78" s="341">
        <f t="shared" si="13"/>
        <v>0</v>
      </c>
      <c r="M78" s="341">
        <f t="shared" si="14"/>
        <v>0</v>
      </c>
      <c r="N78" s="340" t="s">
        <v>156</v>
      </c>
      <c r="O78" s="12"/>
      <c r="P78" s="344"/>
      <c r="Q78" s="3"/>
      <c r="R78" s="345"/>
      <c r="S78" s="346">
        <f t="shared" si="15"/>
        <v>0</v>
      </c>
      <c r="T78" s="346">
        <f t="shared" si="16"/>
        <v>0</v>
      </c>
      <c r="U78" s="346">
        <f t="shared" si="17"/>
        <v>0</v>
      </c>
      <c r="V78" s="347">
        <f t="shared" si="18"/>
        <v>0</v>
      </c>
      <c r="W78" s="347">
        <f t="shared" si="19"/>
        <v>0</v>
      </c>
      <c r="X78" s="356"/>
      <c r="Y78" s="349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50">
        <f t="shared" si="10"/>
        <v>0</v>
      </c>
      <c r="I79" s="351">
        <f t="shared" si="11"/>
        <v>0</v>
      </c>
      <c r="J79" s="352"/>
      <c r="K79" s="88">
        <f t="shared" si="12"/>
        <v>0</v>
      </c>
      <c r="L79" s="350">
        <f t="shared" si="13"/>
        <v>0</v>
      </c>
      <c r="M79" s="350">
        <f t="shared" si="14"/>
        <v>0</v>
      </c>
      <c r="N79" s="128" t="s">
        <v>156</v>
      </c>
      <c r="O79" s="16"/>
      <c r="P79" s="344"/>
      <c r="Q79" s="1"/>
      <c r="R79" s="15"/>
      <c r="S79" s="353">
        <f t="shared" si="15"/>
        <v>0</v>
      </c>
      <c r="T79" s="354">
        <f t="shared" si="16"/>
        <v>0</v>
      </c>
      <c r="U79" s="354">
        <f t="shared" si="17"/>
        <v>0</v>
      </c>
      <c r="V79" s="355">
        <f t="shared" si="18"/>
        <v>0</v>
      </c>
      <c r="W79" s="355">
        <f t="shared" si="19"/>
        <v>0</v>
      </c>
      <c r="X79" s="356"/>
      <c r="Y79" s="349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340"/>
      <c r="H80" s="341">
        <f t="shared" si="10"/>
        <v>0</v>
      </c>
      <c r="I80" s="342">
        <f t="shared" si="11"/>
        <v>0</v>
      </c>
      <c r="J80" s="352"/>
      <c r="K80" s="89">
        <f t="shared" si="12"/>
        <v>0</v>
      </c>
      <c r="L80" s="341">
        <f t="shared" si="13"/>
        <v>0</v>
      </c>
      <c r="M80" s="341">
        <f t="shared" si="14"/>
        <v>0</v>
      </c>
      <c r="N80" s="340" t="s">
        <v>156</v>
      </c>
      <c r="O80" s="12"/>
      <c r="P80" s="344"/>
      <c r="Q80" s="3"/>
      <c r="R80" s="345"/>
      <c r="S80" s="346">
        <f t="shared" si="15"/>
        <v>0</v>
      </c>
      <c r="T80" s="346">
        <f t="shared" si="16"/>
        <v>0</v>
      </c>
      <c r="U80" s="346">
        <f t="shared" si="17"/>
        <v>0</v>
      </c>
      <c r="V80" s="347">
        <f t="shared" si="18"/>
        <v>0</v>
      </c>
      <c r="W80" s="347">
        <f t="shared" si="19"/>
        <v>0</v>
      </c>
      <c r="X80" s="356"/>
      <c r="Y80" s="349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117</v>
      </c>
      <c r="G81" s="359">
        <f>SUM(G18:G80)</f>
        <v>137683.47</v>
      </c>
      <c r="H81" s="79">
        <f>SUM(H18:H80)</f>
        <v>99770.62999999999</v>
      </c>
      <c r="I81" s="80">
        <f>SUM(I18:I80)</f>
        <v>102962.37000000001</v>
      </c>
      <c r="J81" s="81"/>
      <c r="K81" s="82">
        <f>SUM(K18:K80)</f>
        <v>117</v>
      </c>
      <c r="L81" s="79">
        <f>SUM(L18:L80)</f>
        <v>99770.62999999999</v>
      </c>
      <c r="M81" s="80">
        <f>SUM(M18:M80)</f>
        <v>102962.37000000001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99770.62999999999</v>
      </c>
      <c r="U81" s="80">
        <f>SUM(U18:U80)</f>
        <v>102962.37000000001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23" priority="3" stopIfTrue="1">
      <formula>$V$9&gt;100%</formula>
    </cfRule>
    <cfRule type="expression" dxfId="22" priority="4">
      <formula>$V$9&lt;50%</formula>
    </cfRule>
  </conditionalFormatting>
  <conditionalFormatting sqref="W9:W10">
    <cfRule type="expression" dxfId="21" priority="1">
      <formula>$W$9&lt;50%</formula>
    </cfRule>
    <cfRule type="expression" dxfId="20" priority="2">
      <formula>$W$9&gt;50%</formula>
    </cfRule>
  </conditionalFormatting>
  <dataValidations count="7">
    <dataValidation type="list" showInputMessage="1" showErrorMessage="1" sqref="E21:E49" xr:uid="{9CB7E3CF-4FF3-44ED-BC01-926FD0FC54BE}">
      <formula1>$Z$18:$Z$29</formula1>
    </dataValidation>
    <dataValidation type="list" allowBlank="1" showInputMessage="1" showErrorMessage="1" sqref="G17 R14 R17 L17" xr:uid="{E4F13FC5-7BD6-4C58-BB8B-3480E592127C}">
      <formula1>$Z$11:$Z$12</formula1>
    </dataValidation>
    <dataValidation type="list" allowBlank="1" showInputMessage="1" showErrorMessage="1" sqref="I13" xr:uid="{44512552-1A9E-4F00-8155-232E95D75329}">
      <formula1>$Z$13:$Z$14</formula1>
    </dataValidation>
    <dataValidation type="list" allowBlank="1" showInputMessage="1" showErrorMessage="1" sqref="J13" xr:uid="{98FCBA28-9199-4423-98EE-D74F5DFC90D3}">
      <formula1>$L$9:$L$9</formula1>
    </dataValidation>
    <dataValidation type="list" showInputMessage="1" showErrorMessage="1" sqref="E50:E80" xr:uid="{C0A915B4-BD06-472A-B3D1-CE68ADE4AF22}">
      <formula1>$AA$18:$AA$29</formula1>
    </dataValidation>
    <dataValidation type="list" allowBlank="1" showInputMessage="1" showErrorMessage="1" sqref="N18:N80" xr:uid="{A0D72D83-56A9-401D-B201-43C2C693FBD1}">
      <formula1>$Z$31:$Z$32</formula1>
    </dataValidation>
    <dataValidation type="list" allowBlank="1" showInputMessage="1" showErrorMessage="1" sqref="G2" xr:uid="{DADA9A56-7EC9-4071-841B-27201368AA1C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2B0EAC-9157-407F-9090-C427C5B1A2C5}">
          <x14:formula1>
            <xm:f>'Product Type'!$A$1:$A$55</xm:f>
          </x14:formula1>
          <xm:sqref>D18:D63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8E5B-7678-4F2E-A26C-9673EE37D309}">
  <sheetPr>
    <pageSetUpPr fitToPage="1"/>
  </sheetPr>
  <dimension ref="A1:AC83"/>
  <sheetViews>
    <sheetView topLeftCell="A13" zoomScale="85" zoomScaleNormal="85" workbookViewId="0">
      <selection activeCell="C51" sqref="C51:E5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16.28515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57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105383.11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105383.11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578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579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735">
        <f>IFERROR((Q2-Q3)/Q2,"")</f>
        <v>0</v>
      </c>
      <c r="R5" s="735"/>
      <c r="S5" s="736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 t="s">
        <v>580</v>
      </c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105383.11</v>
      </c>
      <c r="R6" s="507"/>
      <c r="S6" s="508"/>
      <c r="T6" s="483" t="s">
        <v>97</v>
      </c>
      <c r="U6" s="485"/>
      <c r="V6" s="509"/>
      <c r="W6" s="510"/>
      <c r="X6" s="187"/>
      <c r="Y6" s="188"/>
      <c r="Z6" s="33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 t="s">
        <v>581</v>
      </c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7"/>
      <c r="Y7" s="191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339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105383.11</v>
      </c>
      <c r="V9" s="733">
        <f>IFERROR(((Q3-T9)/T9),0)</f>
        <v>0</v>
      </c>
      <c r="W9" s="733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339"/>
      <c r="M10" s="483" t="s">
        <v>112</v>
      </c>
      <c r="N10" s="484"/>
      <c r="O10" s="485"/>
      <c r="P10" s="119"/>
      <c r="Q10" s="487">
        <f>F81</f>
        <v>119</v>
      </c>
      <c r="R10" s="487"/>
      <c r="S10" s="488"/>
      <c r="T10" s="476"/>
      <c r="U10" s="476"/>
      <c r="V10" s="734"/>
      <c r="W10" s="734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732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 t="s">
        <v>582</v>
      </c>
      <c r="C18" s="5" t="s">
        <v>210</v>
      </c>
      <c r="D18" s="139" t="s">
        <v>510</v>
      </c>
      <c r="E18" s="333">
        <v>375</v>
      </c>
      <c r="F18" s="53">
        <v>1</v>
      </c>
      <c r="G18" s="340">
        <v>149.79</v>
      </c>
      <c r="H18" s="341">
        <f t="shared" ref="H18:H49" si="0">ROUND(IF($G$17="USD $", G18*$F$15,G18*$E$15),2)</f>
        <v>108.54</v>
      </c>
      <c r="I18" s="342">
        <f t="shared" ref="I18:I49" si="1">ROUND(IF($I$17=$H$17,F18*H18,F18*G18),2)</f>
        <v>108.54</v>
      </c>
      <c r="J18" s="343"/>
      <c r="K18" s="89">
        <f t="shared" ref="K18:K49" si="2">F18</f>
        <v>1</v>
      </c>
      <c r="L18" s="341">
        <f t="shared" ref="L18:L49" si="3">IFERROR(IF(N18="OEM DISC %",ROUND(IF($L$17=$G$17,G18*(1-O18),H18*(1-O18)),2),IF(N18="MARKUP %",ROUND(S18/K18*(1+O18),2))),0)</f>
        <v>108.54</v>
      </c>
      <c r="M18" s="341">
        <f t="shared" ref="M18:M49" si="4">ROUND((K18*L18),2)</f>
        <v>108.54</v>
      </c>
      <c r="N18" s="340" t="s">
        <v>156</v>
      </c>
      <c r="O18" s="36"/>
      <c r="P18" s="344"/>
      <c r="Q18" s="2"/>
      <c r="R18" s="345"/>
      <c r="S18" s="346">
        <f t="shared" ref="S18:S49" si="5">ROUND(IF($S$17=$R$17,R18,IF($S$17="USD $",R18*$E$15,R18*$F$15))*F18,2)</f>
        <v>0</v>
      </c>
      <c r="T18" s="346">
        <f t="shared" ref="T18:T49" si="6">IFERROR(ROUND(U18/F18,2),0)</f>
        <v>108.54</v>
      </c>
      <c r="U18" s="346">
        <f t="shared" ref="U18:U49" si="7">ROUND(M18-S18,2)</f>
        <v>108.54</v>
      </c>
      <c r="V18" s="347">
        <f t="shared" ref="V18:V49" si="8">IFERROR(((L18-(S18/K18))/(S18/K18)),0)</f>
        <v>0</v>
      </c>
      <c r="W18" s="347">
        <f t="shared" ref="W18:W49" si="9">IFERROR(((L18-(S18/K18))/L18),0)</f>
        <v>1</v>
      </c>
      <c r="X18" s="348"/>
      <c r="Y18" s="349"/>
      <c r="Z18" s="61"/>
      <c r="AA18" s="61">
        <v>250</v>
      </c>
      <c r="AB18" s="71"/>
      <c r="AC18" s="72"/>
    </row>
    <row r="19" spans="1:29" x14ac:dyDescent="0.25">
      <c r="A19" s="55"/>
      <c r="B19" s="1" t="s">
        <v>475</v>
      </c>
      <c r="C19" s="4" t="s">
        <v>287</v>
      </c>
      <c r="D19" s="139" t="s">
        <v>28</v>
      </c>
      <c r="E19" s="334">
        <v>375</v>
      </c>
      <c r="F19" s="54">
        <v>1</v>
      </c>
      <c r="G19" s="15">
        <v>85.26</v>
      </c>
      <c r="H19" s="350">
        <f t="shared" si="0"/>
        <v>61.78</v>
      </c>
      <c r="I19" s="351">
        <f t="shared" si="1"/>
        <v>61.78</v>
      </c>
      <c r="J19" s="352"/>
      <c r="K19" s="88">
        <f t="shared" si="2"/>
        <v>1</v>
      </c>
      <c r="L19" s="350">
        <f t="shared" si="3"/>
        <v>61.78</v>
      </c>
      <c r="M19" s="350">
        <f t="shared" si="4"/>
        <v>61.78</v>
      </c>
      <c r="N19" s="128" t="s">
        <v>156</v>
      </c>
      <c r="O19" s="16"/>
      <c r="P19" s="344"/>
      <c r="Q19" s="1"/>
      <c r="R19" s="15"/>
      <c r="S19" s="353">
        <f t="shared" si="5"/>
        <v>0</v>
      </c>
      <c r="T19" s="354">
        <f t="shared" si="6"/>
        <v>61.78</v>
      </c>
      <c r="U19" s="354">
        <f t="shared" si="7"/>
        <v>61.78</v>
      </c>
      <c r="V19" s="355">
        <f t="shared" si="8"/>
        <v>0</v>
      </c>
      <c r="W19" s="355">
        <f t="shared" si="9"/>
        <v>1</v>
      </c>
      <c r="X19" s="356"/>
      <c r="Y19" s="349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571</v>
      </c>
      <c r="C20" s="6" t="s">
        <v>211</v>
      </c>
      <c r="D20" s="139" t="s">
        <v>513</v>
      </c>
      <c r="E20" s="333">
        <v>375</v>
      </c>
      <c r="F20" s="53">
        <v>1</v>
      </c>
      <c r="G20" s="340">
        <v>73.400000000000006</v>
      </c>
      <c r="H20" s="341">
        <f t="shared" si="0"/>
        <v>53.19</v>
      </c>
      <c r="I20" s="342">
        <f t="shared" si="1"/>
        <v>53.19</v>
      </c>
      <c r="J20" s="352"/>
      <c r="K20" s="89">
        <f t="shared" si="2"/>
        <v>1</v>
      </c>
      <c r="L20" s="341">
        <f t="shared" si="3"/>
        <v>53.19</v>
      </c>
      <c r="M20" s="341">
        <f t="shared" si="4"/>
        <v>53.19</v>
      </c>
      <c r="N20" s="340" t="s">
        <v>156</v>
      </c>
      <c r="O20" s="12"/>
      <c r="P20" s="344"/>
      <c r="Q20" s="3"/>
      <c r="R20" s="345"/>
      <c r="S20" s="346">
        <f t="shared" si="5"/>
        <v>0</v>
      </c>
      <c r="T20" s="346">
        <f t="shared" si="6"/>
        <v>53.19</v>
      </c>
      <c r="U20" s="346">
        <f t="shared" si="7"/>
        <v>53.19</v>
      </c>
      <c r="V20" s="347">
        <f t="shared" si="8"/>
        <v>0</v>
      </c>
      <c r="W20" s="347">
        <f t="shared" si="9"/>
        <v>1</v>
      </c>
      <c r="X20" s="348"/>
      <c r="Y20" s="349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583</v>
      </c>
      <c r="C21" s="4" t="s">
        <v>516</v>
      </c>
      <c r="D21" s="139" t="s">
        <v>27</v>
      </c>
      <c r="E21" s="335">
        <v>500</v>
      </c>
      <c r="F21" s="54">
        <v>1</v>
      </c>
      <c r="G21" s="15">
        <v>254.39</v>
      </c>
      <c r="H21" s="350">
        <f t="shared" si="0"/>
        <v>184.34</v>
      </c>
      <c r="I21" s="351">
        <f t="shared" si="1"/>
        <v>184.34</v>
      </c>
      <c r="J21" s="352"/>
      <c r="K21" s="88">
        <f t="shared" si="2"/>
        <v>1</v>
      </c>
      <c r="L21" s="350">
        <f t="shared" si="3"/>
        <v>184.34</v>
      </c>
      <c r="M21" s="350">
        <f t="shared" si="4"/>
        <v>184.34</v>
      </c>
      <c r="N21" s="128" t="s">
        <v>156</v>
      </c>
      <c r="O21" s="16"/>
      <c r="P21" s="344"/>
      <c r="Q21" s="1"/>
      <c r="R21" s="15"/>
      <c r="S21" s="353">
        <f t="shared" si="5"/>
        <v>0</v>
      </c>
      <c r="T21" s="354">
        <f t="shared" si="6"/>
        <v>184.34</v>
      </c>
      <c r="U21" s="354">
        <f t="shared" si="7"/>
        <v>184.34</v>
      </c>
      <c r="V21" s="355">
        <f t="shared" si="8"/>
        <v>0</v>
      </c>
      <c r="W21" s="355">
        <f t="shared" si="9"/>
        <v>1</v>
      </c>
      <c r="X21" s="356"/>
      <c r="Y21" s="349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" t="s">
        <v>584</v>
      </c>
      <c r="C22" s="6" t="s">
        <v>166</v>
      </c>
      <c r="D22" s="139" t="s">
        <v>25</v>
      </c>
      <c r="E22" s="126">
        <v>1000</v>
      </c>
      <c r="F22" s="53">
        <v>1</v>
      </c>
      <c r="G22" s="340">
        <v>221.31</v>
      </c>
      <c r="H22" s="341">
        <f t="shared" si="0"/>
        <v>160.37</v>
      </c>
      <c r="I22" s="342">
        <f t="shared" si="1"/>
        <v>160.37</v>
      </c>
      <c r="J22" s="352"/>
      <c r="K22" s="89">
        <f t="shared" si="2"/>
        <v>1</v>
      </c>
      <c r="L22" s="341">
        <f t="shared" si="3"/>
        <v>160.37</v>
      </c>
      <c r="M22" s="341">
        <f t="shared" si="4"/>
        <v>160.37</v>
      </c>
      <c r="N22" s="340" t="s">
        <v>156</v>
      </c>
      <c r="O22" s="12"/>
      <c r="P22" s="344"/>
      <c r="Q22" s="3"/>
      <c r="R22" s="345"/>
      <c r="S22" s="346">
        <f t="shared" si="5"/>
        <v>0</v>
      </c>
      <c r="T22" s="346">
        <f t="shared" si="6"/>
        <v>160.37</v>
      </c>
      <c r="U22" s="346">
        <f t="shared" si="7"/>
        <v>160.37</v>
      </c>
      <c r="V22" s="347">
        <f t="shared" si="8"/>
        <v>0</v>
      </c>
      <c r="W22" s="347">
        <f t="shared" si="9"/>
        <v>1</v>
      </c>
      <c r="X22" s="348"/>
      <c r="Y22" s="349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585</v>
      </c>
      <c r="C23" s="4" t="s">
        <v>518</v>
      </c>
      <c r="D23" s="139" t="s">
        <v>25</v>
      </c>
      <c r="E23" s="125">
        <v>1000</v>
      </c>
      <c r="F23" s="54">
        <v>1</v>
      </c>
      <c r="G23" s="15">
        <v>121</v>
      </c>
      <c r="H23" s="350">
        <f t="shared" si="0"/>
        <v>87.68</v>
      </c>
      <c r="I23" s="351">
        <f t="shared" si="1"/>
        <v>87.68</v>
      </c>
      <c r="J23" s="352"/>
      <c r="K23" s="88">
        <f t="shared" si="2"/>
        <v>1</v>
      </c>
      <c r="L23" s="350">
        <f t="shared" si="3"/>
        <v>87.68</v>
      </c>
      <c r="M23" s="350">
        <f t="shared" si="4"/>
        <v>87.68</v>
      </c>
      <c r="N23" s="128" t="s">
        <v>156</v>
      </c>
      <c r="O23" s="16"/>
      <c r="P23" s="344"/>
      <c r="Q23" s="1"/>
      <c r="R23" s="15"/>
      <c r="S23" s="353">
        <f t="shared" si="5"/>
        <v>0</v>
      </c>
      <c r="T23" s="354">
        <f t="shared" si="6"/>
        <v>87.68</v>
      </c>
      <c r="U23" s="354">
        <f t="shared" si="7"/>
        <v>87.68</v>
      </c>
      <c r="V23" s="355">
        <f t="shared" si="8"/>
        <v>0</v>
      </c>
      <c r="W23" s="355">
        <f t="shared" si="9"/>
        <v>1</v>
      </c>
      <c r="X23" s="356"/>
      <c r="Y23" s="349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586</v>
      </c>
      <c r="C24" s="6" t="s">
        <v>170</v>
      </c>
      <c r="D24" s="139" t="s">
        <v>24</v>
      </c>
      <c r="E24" s="126">
        <v>1000</v>
      </c>
      <c r="F24" s="53">
        <v>1</v>
      </c>
      <c r="G24" s="340">
        <v>116.04</v>
      </c>
      <c r="H24" s="341">
        <f t="shared" si="0"/>
        <v>84.09</v>
      </c>
      <c r="I24" s="342">
        <f t="shared" si="1"/>
        <v>84.09</v>
      </c>
      <c r="J24" s="352"/>
      <c r="K24" s="89">
        <f t="shared" si="2"/>
        <v>1</v>
      </c>
      <c r="L24" s="341">
        <f t="shared" si="3"/>
        <v>84.09</v>
      </c>
      <c r="M24" s="341">
        <f t="shared" si="4"/>
        <v>84.09</v>
      </c>
      <c r="N24" s="340" t="s">
        <v>156</v>
      </c>
      <c r="O24" s="12"/>
      <c r="P24" s="344"/>
      <c r="Q24" s="3"/>
      <c r="R24" s="345"/>
      <c r="S24" s="346">
        <f t="shared" si="5"/>
        <v>0</v>
      </c>
      <c r="T24" s="346">
        <f t="shared" si="6"/>
        <v>84.09</v>
      </c>
      <c r="U24" s="346">
        <f t="shared" si="7"/>
        <v>84.09</v>
      </c>
      <c r="V24" s="347">
        <f t="shared" si="8"/>
        <v>0</v>
      </c>
      <c r="W24" s="347">
        <f t="shared" si="9"/>
        <v>1</v>
      </c>
      <c r="X24" s="348"/>
      <c r="Y24" s="349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 t="s">
        <v>587</v>
      </c>
      <c r="C25" s="4" t="s">
        <v>170</v>
      </c>
      <c r="D25" s="139" t="s">
        <v>24</v>
      </c>
      <c r="E25" s="126">
        <v>1000</v>
      </c>
      <c r="F25" s="54">
        <v>1</v>
      </c>
      <c r="G25" s="15">
        <v>77.14</v>
      </c>
      <c r="H25" s="350">
        <f t="shared" si="0"/>
        <v>55.9</v>
      </c>
      <c r="I25" s="351">
        <f t="shared" si="1"/>
        <v>55.9</v>
      </c>
      <c r="J25" s="352"/>
      <c r="K25" s="88">
        <f t="shared" si="2"/>
        <v>1</v>
      </c>
      <c r="L25" s="350">
        <f t="shared" si="3"/>
        <v>55.9</v>
      </c>
      <c r="M25" s="350">
        <f t="shared" si="4"/>
        <v>55.9</v>
      </c>
      <c r="N25" s="128" t="s">
        <v>156</v>
      </c>
      <c r="O25" s="16"/>
      <c r="P25" s="344"/>
      <c r="Q25" s="1"/>
      <c r="R25" s="15"/>
      <c r="S25" s="353">
        <f t="shared" si="5"/>
        <v>0</v>
      </c>
      <c r="T25" s="354">
        <f t="shared" si="6"/>
        <v>55.9</v>
      </c>
      <c r="U25" s="354">
        <f t="shared" si="7"/>
        <v>55.9</v>
      </c>
      <c r="V25" s="355">
        <f t="shared" si="8"/>
        <v>0</v>
      </c>
      <c r="W25" s="355">
        <f t="shared" si="9"/>
        <v>1</v>
      </c>
      <c r="X25" s="356"/>
      <c r="Y25" s="349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437</v>
      </c>
      <c r="C26" s="6" t="s">
        <v>220</v>
      </c>
      <c r="D26" s="139" t="s">
        <v>0</v>
      </c>
      <c r="E26" s="126" t="s">
        <v>176</v>
      </c>
      <c r="F26" s="53">
        <v>2</v>
      </c>
      <c r="G26" s="340">
        <v>728.94</v>
      </c>
      <c r="H26" s="341">
        <f t="shared" si="0"/>
        <v>528.22</v>
      </c>
      <c r="I26" s="342">
        <f t="shared" si="1"/>
        <v>1056.44</v>
      </c>
      <c r="J26" s="352"/>
      <c r="K26" s="89">
        <f t="shared" si="2"/>
        <v>2</v>
      </c>
      <c r="L26" s="341">
        <f t="shared" si="3"/>
        <v>528.22</v>
      </c>
      <c r="M26" s="341">
        <f t="shared" si="4"/>
        <v>1056.44</v>
      </c>
      <c r="N26" s="340" t="s">
        <v>156</v>
      </c>
      <c r="O26" s="12"/>
      <c r="P26" s="344"/>
      <c r="Q26" s="3"/>
      <c r="R26" s="345"/>
      <c r="S26" s="346">
        <f t="shared" si="5"/>
        <v>0</v>
      </c>
      <c r="T26" s="346">
        <f t="shared" si="6"/>
        <v>528.22</v>
      </c>
      <c r="U26" s="346">
        <f t="shared" si="7"/>
        <v>1056.44</v>
      </c>
      <c r="V26" s="347">
        <f t="shared" si="8"/>
        <v>0</v>
      </c>
      <c r="W26" s="347">
        <f t="shared" si="9"/>
        <v>1</v>
      </c>
      <c r="X26" s="348"/>
      <c r="Y26" s="349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 t="s">
        <v>588</v>
      </c>
      <c r="C27" s="4" t="s">
        <v>294</v>
      </c>
      <c r="D27" s="139" t="s">
        <v>39</v>
      </c>
      <c r="E27" s="125" t="s">
        <v>176</v>
      </c>
      <c r="F27" s="54">
        <v>1</v>
      </c>
      <c r="G27" s="15">
        <v>7091.46</v>
      </c>
      <c r="H27" s="350">
        <f t="shared" si="0"/>
        <v>5138.74</v>
      </c>
      <c r="I27" s="351">
        <f t="shared" si="1"/>
        <v>5138.74</v>
      </c>
      <c r="J27" s="352"/>
      <c r="K27" s="88">
        <f t="shared" si="2"/>
        <v>1</v>
      </c>
      <c r="L27" s="350">
        <f t="shared" si="3"/>
        <v>5138.74</v>
      </c>
      <c r="M27" s="350">
        <f t="shared" si="4"/>
        <v>5138.74</v>
      </c>
      <c r="N27" s="128" t="s">
        <v>156</v>
      </c>
      <c r="O27" s="16"/>
      <c r="P27" s="344"/>
      <c r="Q27" s="1"/>
      <c r="R27" s="15"/>
      <c r="S27" s="353">
        <f t="shared" si="5"/>
        <v>0</v>
      </c>
      <c r="T27" s="354">
        <f t="shared" si="6"/>
        <v>5138.74</v>
      </c>
      <c r="U27" s="354">
        <f t="shared" si="7"/>
        <v>5138.74</v>
      </c>
      <c r="V27" s="355">
        <f t="shared" si="8"/>
        <v>0</v>
      </c>
      <c r="W27" s="355">
        <f t="shared" si="9"/>
        <v>1</v>
      </c>
      <c r="X27" s="356"/>
      <c r="Y27" s="349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/>
      <c r="C28" s="6" t="s">
        <v>522</v>
      </c>
      <c r="D28" s="139" t="s">
        <v>41</v>
      </c>
      <c r="E28" s="126" t="s">
        <v>176</v>
      </c>
      <c r="F28" s="53">
        <v>6</v>
      </c>
      <c r="G28" s="340">
        <v>0</v>
      </c>
      <c r="H28" s="341">
        <f t="shared" si="0"/>
        <v>0</v>
      </c>
      <c r="I28" s="342">
        <f t="shared" si="1"/>
        <v>0</v>
      </c>
      <c r="J28" s="352"/>
      <c r="K28" s="89">
        <f t="shared" si="2"/>
        <v>6</v>
      </c>
      <c r="L28" s="341">
        <f t="shared" si="3"/>
        <v>0</v>
      </c>
      <c r="M28" s="341">
        <f t="shared" si="4"/>
        <v>0</v>
      </c>
      <c r="N28" s="340" t="s">
        <v>156</v>
      </c>
      <c r="O28" s="12"/>
      <c r="P28" s="344"/>
      <c r="Q28" s="3"/>
      <c r="R28" s="345"/>
      <c r="S28" s="346">
        <f t="shared" si="5"/>
        <v>0</v>
      </c>
      <c r="T28" s="346">
        <f t="shared" si="6"/>
        <v>0</v>
      </c>
      <c r="U28" s="346">
        <f t="shared" si="7"/>
        <v>0</v>
      </c>
      <c r="V28" s="347">
        <f t="shared" si="8"/>
        <v>0</v>
      </c>
      <c r="W28" s="347">
        <f t="shared" si="9"/>
        <v>0</v>
      </c>
      <c r="X28" s="348"/>
      <c r="Y28" s="349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/>
      <c r="C29" s="4"/>
      <c r="D29" s="139"/>
      <c r="E29" s="125"/>
      <c r="F29" s="54"/>
      <c r="G29" s="15">
        <v>0</v>
      </c>
      <c r="H29" s="350">
        <f t="shared" si="0"/>
        <v>0</v>
      </c>
      <c r="I29" s="351">
        <f t="shared" si="1"/>
        <v>0</v>
      </c>
      <c r="J29" s="352"/>
      <c r="K29" s="88">
        <f t="shared" si="2"/>
        <v>0</v>
      </c>
      <c r="L29" s="350">
        <f t="shared" si="3"/>
        <v>0</v>
      </c>
      <c r="M29" s="350">
        <f t="shared" si="4"/>
        <v>0</v>
      </c>
      <c r="N29" s="128" t="s">
        <v>156</v>
      </c>
      <c r="O29" s="16"/>
      <c r="P29" s="344"/>
      <c r="Q29" s="1"/>
      <c r="R29" s="15"/>
      <c r="S29" s="353">
        <f t="shared" si="5"/>
        <v>0</v>
      </c>
      <c r="T29" s="354">
        <f t="shared" si="6"/>
        <v>0</v>
      </c>
      <c r="U29" s="354">
        <f t="shared" si="7"/>
        <v>0</v>
      </c>
      <c r="V29" s="355">
        <f t="shared" si="8"/>
        <v>0</v>
      </c>
      <c r="W29" s="355">
        <f t="shared" si="9"/>
        <v>0</v>
      </c>
      <c r="X29" s="356"/>
      <c r="Y29" s="349"/>
      <c r="Z29" s="61" t="s">
        <v>178</v>
      </c>
      <c r="AA29" s="61"/>
      <c r="AB29" s="61"/>
      <c r="AC29" s="61"/>
    </row>
    <row r="30" spans="1:29" x14ac:dyDescent="0.25">
      <c r="A30" s="55"/>
      <c r="B30" s="2" t="s">
        <v>589</v>
      </c>
      <c r="C30" s="6" t="s">
        <v>576</v>
      </c>
      <c r="D30" s="139" t="s">
        <v>21</v>
      </c>
      <c r="E30" s="126" t="s">
        <v>176</v>
      </c>
      <c r="F30" s="53">
        <v>1</v>
      </c>
      <c r="G30" s="340">
        <v>15207.95</v>
      </c>
      <c r="H30" s="341">
        <f t="shared" si="0"/>
        <v>11020.25</v>
      </c>
      <c r="I30" s="342">
        <f t="shared" si="1"/>
        <v>11020.25</v>
      </c>
      <c r="J30" s="352"/>
      <c r="K30" s="89">
        <f t="shared" si="2"/>
        <v>1</v>
      </c>
      <c r="L30" s="341">
        <f t="shared" si="3"/>
        <v>11020.25</v>
      </c>
      <c r="M30" s="341">
        <f t="shared" si="4"/>
        <v>11020.25</v>
      </c>
      <c r="N30" s="340" t="s">
        <v>156</v>
      </c>
      <c r="O30" s="12"/>
      <c r="P30" s="344"/>
      <c r="Q30" s="3"/>
      <c r="R30" s="345"/>
      <c r="S30" s="346">
        <f t="shared" si="5"/>
        <v>0</v>
      </c>
      <c r="T30" s="346">
        <f t="shared" si="6"/>
        <v>11020.25</v>
      </c>
      <c r="U30" s="346">
        <f t="shared" si="7"/>
        <v>11020.25</v>
      </c>
      <c r="V30" s="347">
        <f t="shared" si="8"/>
        <v>0</v>
      </c>
      <c r="W30" s="347">
        <f t="shared" si="9"/>
        <v>1</v>
      </c>
      <c r="X30" s="348"/>
      <c r="Y30" s="349"/>
      <c r="Z30" s="61"/>
      <c r="AA30" s="61"/>
      <c r="AB30" s="61"/>
      <c r="AC30" s="61"/>
    </row>
    <row r="31" spans="1:29" x14ac:dyDescent="0.25">
      <c r="A31" s="55"/>
      <c r="B31" s="357" t="s">
        <v>590</v>
      </c>
      <c r="C31" s="4" t="s">
        <v>224</v>
      </c>
      <c r="D31" s="139" t="s">
        <v>15</v>
      </c>
      <c r="E31" s="125" t="s">
        <v>176</v>
      </c>
      <c r="F31" s="54">
        <v>1</v>
      </c>
      <c r="G31" s="15">
        <v>6866.55</v>
      </c>
      <c r="H31" s="350">
        <f t="shared" si="0"/>
        <v>4975.76</v>
      </c>
      <c r="I31" s="351">
        <f t="shared" si="1"/>
        <v>4975.76</v>
      </c>
      <c r="J31" s="352"/>
      <c r="K31" s="88">
        <f t="shared" si="2"/>
        <v>1</v>
      </c>
      <c r="L31" s="350">
        <f t="shared" si="3"/>
        <v>4975.76</v>
      </c>
      <c r="M31" s="350">
        <f t="shared" si="4"/>
        <v>4975.76</v>
      </c>
      <c r="N31" s="128" t="s">
        <v>156</v>
      </c>
      <c r="O31" s="16"/>
      <c r="P31" s="344"/>
      <c r="Q31" s="1"/>
      <c r="R31" s="15"/>
      <c r="S31" s="353">
        <f t="shared" si="5"/>
        <v>0</v>
      </c>
      <c r="T31" s="354">
        <f t="shared" si="6"/>
        <v>4975.76</v>
      </c>
      <c r="U31" s="354">
        <f t="shared" si="7"/>
        <v>4975.76</v>
      </c>
      <c r="V31" s="355">
        <f t="shared" si="8"/>
        <v>0</v>
      </c>
      <c r="W31" s="355">
        <f t="shared" si="9"/>
        <v>1</v>
      </c>
      <c r="X31" s="356"/>
      <c r="Y31" s="349"/>
      <c r="Z31" s="61" t="s">
        <v>156</v>
      </c>
      <c r="AA31" s="61"/>
      <c r="AB31" s="61"/>
      <c r="AC31" s="61"/>
    </row>
    <row r="32" spans="1:29" x14ac:dyDescent="0.25">
      <c r="A32" s="55"/>
      <c r="B32" s="2" t="s">
        <v>591</v>
      </c>
      <c r="C32" s="6" t="s">
        <v>254</v>
      </c>
      <c r="D32" s="139" t="s">
        <v>16</v>
      </c>
      <c r="E32" s="126" t="s">
        <v>176</v>
      </c>
      <c r="F32" s="53">
        <v>1</v>
      </c>
      <c r="G32" s="340">
        <v>20090.07</v>
      </c>
      <c r="H32" s="341">
        <f t="shared" si="0"/>
        <v>14558.02</v>
      </c>
      <c r="I32" s="342">
        <f t="shared" si="1"/>
        <v>14558.02</v>
      </c>
      <c r="J32" s="352"/>
      <c r="K32" s="89">
        <f t="shared" si="2"/>
        <v>1</v>
      </c>
      <c r="L32" s="341">
        <f t="shared" si="3"/>
        <v>14558.02</v>
      </c>
      <c r="M32" s="341">
        <f t="shared" si="4"/>
        <v>14558.02</v>
      </c>
      <c r="N32" s="340" t="s">
        <v>156</v>
      </c>
      <c r="O32" s="12"/>
      <c r="P32" s="344"/>
      <c r="Q32" s="3"/>
      <c r="R32" s="345"/>
      <c r="S32" s="346">
        <f t="shared" si="5"/>
        <v>0</v>
      </c>
      <c r="T32" s="346">
        <f t="shared" si="6"/>
        <v>14558.02</v>
      </c>
      <c r="U32" s="346">
        <f t="shared" si="7"/>
        <v>14558.02</v>
      </c>
      <c r="V32" s="347">
        <f t="shared" si="8"/>
        <v>0</v>
      </c>
      <c r="W32" s="347">
        <f t="shared" si="9"/>
        <v>1</v>
      </c>
      <c r="X32" s="348"/>
      <c r="Y32" s="349"/>
      <c r="Z32" s="61" t="s">
        <v>180</v>
      </c>
      <c r="AA32" s="61"/>
      <c r="AB32" s="61"/>
      <c r="AC32" s="61"/>
    </row>
    <row r="33" spans="1:29" x14ac:dyDescent="0.25">
      <c r="A33" s="55"/>
      <c r="B33" s="1" t="s">
        <v>592</v>
      </c>
      <c r="C33" s="4" t="s">
        <v>205</v>
      </c>
      <c r="D33" s="139" t="s">
        <v>17</v>
      </c>
      <c r="E33" s="125" t="s">
        <v>176</v>
      </c>
      <c r="F33" s="54">
        <v>1</v>
      </c>
      <c r="G33" s="15">
        <v>11657.62</v>
      </c>
      <c r="H33" s="350">
        <f t="shared" si="0"/>
        <v>8447.5499999999993</v>
      </c>
      <c r="I33" s="351">
        <f t="shared" si="1"/>
        <v>8447.5499999999993</v>
      </c>
      <c r="J33" s="352"/>
      <c r="K33" s="88">
        <f t="shared" si="2"/>
        <v>1</v>
      </c>
      <c r="L33" s="350">
        <f t="shared" si="3"/>
        <v>8447.5499999999993</v>
      </c>
      <c r="M33" s="350">
        <f t="shared" si="4"/>
        <v>8447.5499999999993</v>
      </c>
      <c r="N33" s="128" t="s">
        <v>156</v>
      </c>
      <c r="O33" s="16"/>
      <c r="P33" s="344"/>
      <c r="Q33" s="1"/>
      <c r="R33" s="15"/>
      <c r="S33" s="353">
        <f t="shared" si="5"/>
        <v>0</v>
      </c>
      <c r="T33" s="354">
        <f t="shared" si="6"/>
        <v>8447.5499999999993</v>
      </c>
      <c r="U33" s="354">
        <f t="shared" si="7"/>
        <v>8447.5499999999993</v>
      </c>
      <c r="V33" s="355">
        <f t="shared" si="8"/>
        <v>0</v>
      </c>
      <c r="W33" s="355">
        <f t="shared" si="9"/>
        <v>1</v>
      </c>
      <c r="X33" s="356"/>
      <c r="Y33" s="349"/>
      <c r="Z33" s="61"/>
      <c r="AA33" s="61"/>
      <c r="AB33" s="61"/>
      <c r="AC33" s="61"/>
    </row>
    <row r="34" spans="1:29" x14ac:dyDescent="0.25">
      <c r="A34" s="55"/>
      <c r="B34" s="2" t="s">
        <v>593</v>
      </c>
      <c r="C34" s="6" t="s">
        <v>226</v>
      </c>
      <c r="D34" s="139" t="s">
        <v>23</v>
      </c>
      <c r="E34" s="126" t="s">
        <v>176</v>
      </c>
      <c r="F34" s="53">
        <v>1</v>
      </c>
      <c r="G34" s="340">
        <v>9995.92</v>
      </c>
      <c r="H34" s="341">
        <f t="shared" si="0"/>
        <v>7243.42</v>
      </c>
      <c r="I34" s="342">
        <f t="shared" si="1"/>
        <v>7243.42</v>
      </c>
      <c r="J34" s="352"/>
      <c r="K34" s="89">
        <f t="shared" si="2"/>
        <v>1</v>
      </c>
      <c r="L34" s="341">
        <f t="shared" si="3"/>
        <v>7243.42</v>
      </c>
      <c r="M34" s="341">
        <f t="shared" si="4"/>
        <v>7243.42</v>
      </c>
      <c r="N34" s="340" t="s">
        <v>156</v>
      </c>
      <c r="O34" s="12"/>
      <c r="P34" s="344"/>
      <c r="Q34" s="3"/>
      <c r="R34" s="345"/>
      <c r="S34" s="346">
        <f t="shared" si="5"/>
        <v>0</v>
      </c>
      <c r="T34" s="346">
        <f t="shared" si="6"/>
        <v>7243.42</v>
      </c>
      <c r="U34" s="346">
        <f t="shared" si="7"/>
        <v>7243.42</v>
      </c>
      <c r="V34" s="347">
        <f t="shared" si="8"/>
        <v>0</v>
      </c>
      <c r="W34" s="347">
        <f t="shared" si="9"/>
        <v>1</v>
      </c>
      <c r="X34" s="348"/>
      <c r="Y34" s="349"/>
      <c r="Z34" s="61" t="s">
        <v>56</v>
      </c>
      <c r="AA34" s="61"/>
      <c r="AB34" s="61"/>
      <c r="AC34" s="61"/>
    </row>
    <row r="35" spans="1:29" x14ac:dyDescent="0.25">
      <c r="A35" s="55"/>
      <c r="B35" s="1" t="s">
        <v>594</v>
      </c>
      <c r="C35" s="4" t="s">
        <v>530</v>
      </c>
      <c r="D35" s="139" t="s">
        <v>19</v>
      </c>
      <c r="E35" s="125" t="s">
        <v>176</v>
      </c>
      <c r="F35" s="54">
        <v>6</v>
      </c>
      <c r="G35" s="15">
        <v>2296.15</v>
      </c>
      <c r="H35" s="350">
        <f t="shared" si="0"/>
        <v>1663.88</v>
      </c>
      <c r="I35" s="351">
        <f t="shared" si="1"/>
        <v>9983.2800000000007</v>
      </c>
      <c r="J35" s="352"/>
      <c r="K35" s="88">
        <f t="shared" si="2"/>
        <v>6</v>
      </c>
      <c r="L35" s="350">
        <f t="shared" si="3"/>
        <v>1663.88</v>
      </c>
      <c r="M35" s="350">
        <f t="shared" si="4"/>
        <v>9983.2800000000007</v>
      </c>
      <c r="N35" s="128" t="s">
        <v>156</v>
      </c>
      <c r="O35" s="16"/>
      <c r="P35" s="344"/>
      <c r="Q35" s="1"/>
      <c r="R35" s="15"/>
      <c r="S35" s="353">
        <f t="shared" si="5"/>
        <v>0</v>
      </c>
      <c r="T35" s="354">
        <f t="shared" si="6"/>
        <v>1663.88</v>
      </c>
      <c r="U35" s="354">
        <f t="shared" si="7"/>
        <v>9983.2800000000007</v>
      </c>
      <c r="V35" s="355">
        <f t="shared" si="8"/>
        <v>0</v>
      </c>
      <c r="W35" s="355">
        <f t="shared" si="9"/>
        <v>1</v>
      </c>
      <c r="X35" s="356"/>
      <c r="Y35" s="349"/>
      <c r="Z35" s="61" t="s">
        <v>58</v>
      </c>
      <c r="AA35" s="61"/>
      <c r="AB35" s="61"/>
      <c r="AC35" s="61"/>
    </row>
    <row r="36" spans="1:29" x14ac:dyDescent="0.25">
      <c r="A36" s="55"/>
      <c r="B36" s="2"/>
      <c r="C36" s="6"/>
      <c r="D36" s="139"/>
      <c r="E36" s="126"/>
      <c r="F36" s="53"/>
      <c r="G36" s="340">
        <v>0</v>
      </c>
      <c r="H36" s="341">
        <f t="shared" si="0"/>
        <v>0</v>
      </c>
      <c r="I36" s="342">
        <f t="shared" si="1"/>
        <v>0</v>
      </c>
      <c r="J36" s="352"/>
      <c r="K36" s="89">
        <f t="shared" si="2"/>
        <v>0</v>
      </c>
      <c r="L36" s="341">
        <f t="shared" si="3"/>
        <v>0</v>
      </c>
      <c r="M36" s="341">
        <f t="shared" si="4"/>
        <v>0</v>
      </c>
      <c r="N36" s="340" t="s">
        <v>156</v>
      </c>
      <c r="O36" s="12"/>
      <c r="P36" s="344"/>
      <c r="Q36" s="3"/>
      <c r="R36" s="345"/>
      <c r="S36" s="346">
        <f t="shared" si="5"/>
        <v>0</v>
      </c>
      <c r="T36" s="346">
        <f t="shared" si="6"/>
        <v>0</v>
      </c>
      <c r="U36" s="346">
        <f t="shared" si="7"/>
        <v>0</v>
      </c>
      <c r="V36" s="347">
        <f t="shared" si="8"/>
        <v>0</v>
      </c>
      <c r="W36" s="347">
        <f t="shared" si="9"/>
        <v>0</v>
      </c>
      <c r="X36" s="348"/>
      <c r="Y36" s="349"/>
      <c r="Z36" s="61" t="s">
        <v>57</v>
      </c>
      <c r="AA36" s="61"/>
      <c r="AB36" s="61"/>
      <c r="AC36" s="61"/>
    </row>
    <row r="37" spans="1:29" x14ac:dyDescent="0.25">
      <c r="A37" s="55"/>
      <c r="B37" s="1" t="s">
        <v>595</v>
      </c>
      <c r="C37" s="4" t="s">
        <v>532</v>
      </c>
      <c r="D37" s="139"/>
      <c r="E37" s="125" t="s">
        <v>176</v>
      </c>
      <c r="F37" s="54">
        <v>1</v>
      </c>
      <c r="G37" s="15">
        <v>48903.360000000001</v>
      </c>
      <c r="H37" s="350">
        <f t="shared" si="0"/>
        <v>35437.22</v>
      </c>
      <c r="I37" s="351">
        <f t="shared" si="1"/>
        <v>35437.22</v>
      </c>
      <c r="J37" s="352"/>
      <c r="K37" s="88">
        <f t="shared" si="2"/>
        <v>1</v>
      </c>
      <c r="L37" s="350">
        <f t="shared" si="3"/>
        <v>35437.22</v>
      </c>
      <c r="M37" s="350">
        <f t="shared" si="4"/>
        <v>35437.22</v>
      </c>
      <c r="N37" s="128" t="s">
        <v>156</v>
      </c>
      <c r="O37" s="16"/>
      <c r="P37" s="344"/>
      <c r="Q37" s="1"/>
      <c r="R37" s="15"/>
      <c r="S37" s="353">
        <f t="shared" si="5"/>
        <v>0</v>
      </c>
      <c r="T37" s="354">
        <f t="shared" si="6"/>
        <v>35437.22</v>
      </c>
      <c r="U37" s="354">
        <f t="shared" si="7"/>
        <v>35437.22</v>
      </c>
      <c r="V37" s="355">
        <f t="shared" si="8"/>
        <v>0</v>
      </c>
      <c r="W37" s="355">
        <f t="shared" si="9"/>
        <v>1</v>
      </c>
      <c r="X37" s="356"/>
      <c r="Y37" s="349"/>
      <c r="Z37" s="61" t="s">
        <v>59</v>
      </c>
      <c r="AA37" s="61"/>
      <c r="AB37" s="61"/>
      <c r="AC37" s="61"/>
    </row>
    <row r="38" spans="1:29" x14ac:dyDescent="0.25">
      <c r="A38" s="55"/>
      <c r="B38" s="2" t="s">
        <v>596</v>
      </c>
      <c r="C38" s="6" t="s">
        <v>208</v>
      </c>
      <c r="D38" s="139" t="s">
        <v>9</v>
      </c>
      <c r="E38" s="126" t="s">
        <v>176</v>
      </c>
      <c r="F38" s="53">
        <v>2</v>
      </c>
      <c r="G38" s="340">
        <v>508.23</v>
      </c>
      <c r="H38" s="341">
        <f t="shared" si="0"/>
        <v>368.28</v>
      </c>
      <c r="I38" s="342">
        <f t="shared" si="1"/>
        <v>736.56</v>
      </c>
      <c r="J38" s="352"/>
      <c r="K38" s="89">
        <f t="shared" si="2"/>
        <v>2</v>
      </c>
      <c r="L38" s="341">
        <f t="shared" si="3"/>
        <v>368.28</v>
      </c>
      <c r="M38" s="341">
        <f t="shared" si="4"/>
        <v>736.56</v>
      </c>
      <c r="N38" s="340" t="s">
        <v>156</v>
      </c>
      <c r="O38" s="12"/>
      <c r="P38" s="344"/>
      <c r="Q38" s="3"/>
      <c r="R38" s="345"/>
      <c r="S38" s="346">
        <f t="shared" si="5"/>
        <v>0</v>
      </c>
      <c r="T38" s="346">
        <f t="shared" si="6"/>
        <v>368.28</v>
      </c>
      <c r="U38" s="346">
        <f t="shared" si="7"/>
        <v>736.56</v>
      </c>
      <c r="V38" s="347">
        <f t="shared" si="8"/>
        <v>0</v>
      </c>
      <c r="W38" s="347">
        <f t="shared" si="9"/>
        <v>1</v>
      </c>
      <c r="X38" s="356"/>
      <c r="Y38" s="349"/>
      <c r="Z38" s="61" t="s">
        <v>60</v>
      </c>
      <c r="AA38" s="61"/>
      <c r="AB38" s="61"/>
      <c r="AC38" s="61"/>
    </row>
    <row r="39" spans="1:29" x14ac:dyDescent="0.25">
      <c r="A39" s="55"/>
      <c r="B39" s="1" t="s">
        <v>537</v>
      </c>
      <c r="C39" s="4" t="s">
        <v>207</v>
      </c>
      <c r="D39" s="139" t="s">
        <v>10</v>
      </c>
      <c r="E39" s="125" t="s">
        <v>176</v>
      </c>
      <c r="F39" s="54">
        <v>28</v>
      </c>
      <c r="G39" s="15">
        <v>4.46</v>
      </c>
      <c r="H39" s="350">
        <f t="shared" si="0"/>
        <v>3.23</v>
      </c>
      <c r="I39" s="351">
        <f t="shared" si="1"/>
        <v>90.44</v>
      </c>
      <c r="J39" s="352"/>
      <c r="K39" s="88">
        <f t="shared" si="2"/>
        <v>28</v>
      </c>
      <c r="L39" s="350">
        <f t="shared" si="3"/>
        <v>3.23</v>
      </c>
      <c r="M39" s="350">
        <f t="shared" si="4"/>
        <v>90.44</v>
      </c>
      <c r="N39" s="128" t="s">
        <v>156</v>
      </c>
      <c r="O39" s="16"/>
      <c r="P39" s="344"/>
      <c r="Q39" s="1"/>
      <c r="R39" s="15"/>
      <c r="S39" s="353">
        <f t="shared" si="5"/>
        <v>0</v>
      </c>
      <c r="T39" s="354">
        <f t="shared" si="6"/>
        <v>3.23</v>
      </c>
      <c r="U39" s="354">
        <f t="shared" si="7"/>
        <v>90.44</v>
      </c>
      <c r="V39" s="355">
        <f t="shared" si="8"/>
        <v>0</v>
      </c>
      <c r="W39" s="355">
        <f t="shared" si="9"/>
        <v>1</v>
      </c>
      <c r="X39" s="356"/>
      <c r="Y39" s="349"/>
      <c r="Z39" s="61" t="s">
        <v>61</v>
      </c>
      <c r="AA39" s="61"/>
      <c r="AB39" s="61"/>
      <c r="AC39" s="61"/>
    </row>
    <row r="40" spans="1:29" x14ac:dyDescent="0.25">
      <c r="A40" s="55"/>
      <c r="B40" s="2" t="s">
        <v>535</v>
      </c>
      <c r="C40" s="6" t="s">
        <v>232</v>
      </c>
      <c r="D40" s="139" t="s">
        <v>10</v>
      </c>
      <c r="E40" s="126" t="s">
        <v>176</v>
      </c>
      <c r="F40" s="53">
        <v>38</v>
      </c>
      <c r="G40" s="340">
        <v>3.55</v>
      </c>
      <c r="H40" s="341">
        <f t="shared" si="0"/>
        <v>2.57</v>
      </c>
      <c r="I40" s="342">
        <f t="shared" si="1"/>
        <v>97.66</v>
      </c>
      <c r="J40" s="352"/>
      <c r="K40" s="89">
        <f t="shared" si="2"/>
        <v>38</v>
      </c>
      <c r="L40" s="341">
        <f t="shared" si="3"/>
        <v>2.57</v>
      </c>
      <c r="M40" s="341">
        <f t="shared" si="4"/>
        <v>97.66</v>
      </c>
      <c r="N40" s="340" t="s">
        <v>156</v>
      </c>
      <c r="O40" s="12"/>
      <c r="P40" s="344"/>
      <c r="Q40" s="3"/>
      <c r="R40" s="345"/>
      <c r="S40" s="346">
        <f t="shared" si="5"/>
        <v>0</v>
      </c>
      <c r="T40" s="346">
        <f t="shared" si="6"/>
        <v>2.57</v>
      </c>
      <c r="U40" s="346">
        <f t="shared" si="7"/>
        <v>97.66</v>
      </c>
      <c r="V40" s="347">
        <f t="shared" si="8"/>
        <v>0</v>
      </c>
      <c r="W40" s="347">
        <f t="shared" si="9"/>
        <v>1</v>
      </c>
      <c r="X40" s="356"/>
      <c r="Y40" s="349"/>
      <c r="Z40" s="61" t="s">
        <v>62</v>
      </c>
      <c r="AA40" s="61"/>
      <c r="AB40" s="61"/>
      <c r="AC40" s="61"/>
    </row>
    <row r="41" spans="1:29" x14ac:dyDescent="0.25">
      <c r="A41" s="55"/>
      <c r="B41" s="1" t="s">
        <v>536</v>
      </c>
      <c r="C41" s="4" t="s">
        <v>206</v>
      </c>
      <c r="D41" s="139" t="s">
        <v>7</v>
      </c>
      <c r="E41" s="125" t="s">
        <v>176</v>
      </c>
      <c r="F41" s="54">
        <v>2</v>
      </c>
      <c r="G41" s="15">
        <v>227.93</v>
      </c>
      <c r="H41" s="350">
        <f t="shared" si="0"/>
        <v>165.17</v>
      </c>
      <c r="I41" s="351">
        <f t="shared" si="1"/>
        <v>330.34</v>
      </c>
      <c r="J41" s="352"/>
      <c r="K41" s="88">
        <f t="shared" si="2"/>
        <v>2</v>
      </c>
      <c r="L41" s="350">
        <f t="shared" si="3"/>
        <v>165.17</v>
      </c>
      <c r="M41" s="350">
        <f t="shared" si="4"/>
        <v>330.34</v>
      </c>
      <c r="N41" s="128" t="s">
        <v>156</v>
      </c>
      <c r="O41" s="16"/>
      <c r="P41" s="344"/>
      <c r="Q41" s="1"/>
      <c r="R41" s="15"/>
      <c r="S41" s="353">
        <f t="shared" si="5"/>
        <v>0</v>
      </c>
      <c r="T41" s="354">
        <f t="shared" si="6"/>
        <v>165.17</v>
      </c>
      <c r="U41" s="354">
        <f t="shared" si="7"/>
        <v>330.34</v>
      </c>
      <c r="V41" s="355">
        <f t="shared" si="8"/>
        <v>0</v>
      </c>
      <c r="W41" s="355">
        <f t="shared" si="9"/>
        <v>1</v>
      </c>
      <c r="X41" s="356"/>
      <c r="Y41" s="349"/>
      <c r="Z41" s="61" t="s">
        <v>63</v>
      </c>
      <c r="AA41" s="61"/>
      <c r="AB41" s="61"/>
      <c r="AC41" s="61"/>
    </row>
    <row r="42" spans="1:29" x14ac:dyDescent="0.25">
      <c r="A42" s="55"/>
      <c r="B42" s="2" t="s">
        <v>537</v>
      </c>
      <c r="C42" s="6" t="s">
        <v>207</v>
      </c>
      <c r="D42" s="139" t="s">
        <v>538</v>
      </c>
      <c r="E42" s="126" t="s">
        <v>176</v>
      </c>
      <c r="F42" s="53">
        <v>10</v>
      </c>
      <c r="G42" s="340">
        <v>2.98</v>
      </c>
      <c r="H42" s="341">
        <f t="shared" si="0"/>
        <v>2.16</v>
      </c>
      <c r="I42" s="342">
        <f t="shared" si="1"/>
        <v>21.6</v>
      </c>
      <c r="J42" s="352"/>
      <c r="K42" s="89">
        <f t="shared" si="2"/>
        <v>10</v>
      </c>
      <c r="L42" s="341">
        <f t="shared" si="3"/>
        <v>2.16</v>
      </c>
      <c r="M42" s="341">
        <f t="shared" si="4"/>
        <v>21.6</v>
      </c>
      <c r="N42" s="340" t="s">
        <v>156</v>
      </c>
      <c r="O42" s="12"/>
      <c r="P42" s="344"/>
      <c r="Q42" s="3"/>
      <c r="R42" s="345"/>
      <c r="S42" s="346">
        <f t="shared" si="5"/>
        <v>0</v>
      </c>
      <c r="T42" s="346">
        <f t="shared" si="6"/>
        <v>2.16</v>
      </c>
      <c r="U42" s="346">
        <f t="shared" si="7"/>
        <v>21.6</v>
      </c>
      <c r="V42" s="347">
        <f t="shared" si="8"/>
        <v>0</v>
      </c>
      <c r="W42" s="347">
        <f t="shared" si="9"/>
        <v>1</v>
      </c>
      <c r="X42" s="356"/>
      <c r="Y42" s="349"/>
      <c r="Z42" s="61" t="s">
        <v>189</v>
      </c>
      <c r="AA42" s="61"/>
      <c r="AB42" s="61"/>
      <c r="AC42" s="61"/>
    </row>
    <row r="43" spans="1:29" x14ac:dyDescent="0.25">
      <c r="A43" s="55"/>
      <c r="B43" s="1"/>
      <c r="C43" s="4"/>
      <c r="D43" s="139"/>
      <c r="E43" s="125"/>
      <c r="F43" s="54"/>
      <c r="G43" s="15">
        <v>0</v>
      </c>
      <c r="H43" s="350">
        <f t="shared" si="0"/>
        <v>0</v>
      </c>
      <c r="I43" s="351">
        <f t="shared" si="1"/>
        <v>0</v>
      </c>
      <c r="J43" s="352"/>
      <c r="K43" s="88">
        <f t="shared" si="2"/>
        <v>0</v>
      </c>
      <c r="L43" s="350">
        <f t="shared" si="3"/>
        <v>0</v>
      </c>
      <c r="M43" s="350">
        <f t="shared" si="4"/>
        <v>0</v>
      </c>
      <c r="N43" s="128" t="s">
        <v>156</v>
      </c>
      <c r="O43" s="16"/>
      <c r="P43" s="344"/>
      <c r="Q43" s="1"/>
      <c r="R43" s="15"/>
      <c r="S43" s="353">
        <f t="shared" si="5"/>
        <v>0</v>
      </c>
      <c r="T43" s="354">
        <f t="shared" si="6"/>
        <v>0</v>
      </c>
      <c r="U43" s="354">
        <f t="shared" si="7"/>
        <v>0</v>
      </c>
      <c r="V43" s="355">
        <f t="shared" si="8"/>
        <v>0</v>
      </c>
      <c r="W43" s="355">
        <f t="shared" si="9"/>
        <v>0</v>
      </c>
      <c r="X43" s="356"/>
      <c r="Y43" s="349"/>
      <c r="Z43" s="61" t="s">
        <v>64</v>
      </c>
      <c r="AA43" s="61"/>
      <c r="AB43" s="61"/>
      <c r="AC43" s="61"/>
    </row>
    <row r="44" spans="1:29" x14ac:dyDescent="0.25">
      <c r="A44" s="55"/>
      <c r="B44" s="2" t="s">
        <v>539</v>
      </c>
      <c r="C44" s="6" t="s">
        <v>540</v>
      </c>
      <c r="D44" s="139" t="s">
        <v>33</v>
      </c>
      <c r="E44" s="126" t="s">
        <v>176</v>
      </c>
      <c r="F44" s="53">
        <v>1</v>
      </c>
      <c r="G44" s="340">
        <v>888.65</v>
      </c>
      <c r="H44" s="341">
        <f t="shared" si="0"/>
        <v>643.95000000000005</v>
      </c>
      <c r="I44" s="342">
        <f t="shared" si="1"/>
        <v>643.95000000000005</v>
      </c>
      <c r="J44" s="352"/>
      <c r="K44" s="89">
        <f t="shared" si="2"/>
        <v>1</v>
      </c>
      <c r="L44" s="341">
        <f t="shared" si="3"/>
        <v>643.95000000000005</v>
      </c>
      <c r="M44" s="341">
        <f t="shared" si="4"/>
        <v>643.95000000000005</v>
      </c>
      <c r="N44" s="340" t="s">
        <v>156</v>
      </c>
      <c r="O44" s="12"/>
      <c r="P44" s="344"/>
      <c r="Q44" s="3"/>
      <c r="R44" s="345"/>
      <c r="S44" s="346">
        <f t="shared" si="5"/>
        <v>0</v>
      </c>
      <c r="T44" s="346">
        <f t="shared" si="6"/>
        <v>643.95000000000005</v>
      </c>
      <c r="U44" s="346">
        <f t="shared" si="7"/>
        <v>643.95000000000005</v>
      </c>
      <c r="V44" s="347">
        <f t="shared" si="8"/>
        <v>0</v>
      </c>
      <c r="W44" s="347">
        <f t="shared" si="9"/>
        <v>1</v>
      </c>
      <c r="X44" s="356"/>
      <c r="Y44" s="349"/>
      <c r="Z44" s="61" t="s">
        <v>191</v>
      </c>
      <c r="AA44" s="61"/>
      <c r="AB44" s="61"/>
      <c r="AC44" s="61"/>
    </row>
    <row r="45" spans="1:29" x14ac:dyDescent="0.25">
      <c r="A45" s="55"/>
      <c r="B45" s="1" t="s">
        <v>541</v>
      </c>
      <c r="C45" s="4" t="s">
        <v>542</v>
      </c>
      <c r="D45" s="139" t="s">
        <v>35</v>
      </c>
      <c r="E45" s="125" t="s">
        <v>176</v>
      </c>
      <c r="F45" s="54">
        <v>1</v>
      </c>
      <c r="G45" s="15">
        <v>103.21</v>
      </c>
      <c r="H45" s="350">
        <f t="shared" si="0"/>
        <v>74.790000000000006</v>
      </c>
      <c r="I45" s="351">
        <f t="shared" si="1"/>
        <v>74.790000000000006</v>
      </c>
      <c r="J45" s="352"/>
      <c r="K45" s="88">
        <f t="shared" si="2"/>
        <v>1</v>
      </c>
      <c r="L45" s="350">
        <f t="shared" si="3"/>
        <v>74.790000000000006</v>
      </c>
      <c r="M45" s="350">
        <f t="shared" si="4"/>
        <v>74.790000000000006</v>
      </c>
      <c r="N45" s="128" t="s">
        <v>156</v>
      </c>
      <c r="O45" s="16"/>
      <c r="P45" s="344"/>
      <c r="Q45" s="1"/>
      <c r="R45" s="15"/>
      <c r="S45" s="353">
        <f t="shared" si="5"/>
        <v>0</v>
      </c>
      <c r="T45" s="354">
        <f t="shared" si="6"/>
        <v>74.790000000000006</v>
      </c>
      <c r="U45" s="354">
        <f t="shared" si="7"/>
        <v>74.790000000000006</v>
      </c>
      <c r="V45" s="355">
        <f t="shared" si="8"/>
        <v>0</v>
      </c>
      <c r="W45" s="355">
        <f t="shared" si="9"/>
        <v>1</v>
      </c>
      <c r="X45" s="356"/>
      <c r="Y45" s="349"/>
      <c r="Z45" s="61" t="s">
        <v>193</v>
      </c>
      <c r="AA45" s="61"/>
      <c r="AB45" s="61"/>
      <c r="AC45" s="61"/>
    </row>
    <row r="46" spans="1:29" x14ac:dyDescent="0.25">
      <c r="A46" s="55"/>
      <c r="B46" s="2" t="s">
        <v>543</v>
      </c>
      <c r="C46" s="6" t="s">
        <v>544</v>
      </c>
      <c r="D46" s="139" t="s">
        <v>36</v>
      </c>
      <c r="E46" s="126" t="s">
        <v>176</v>
      </c>
      <c r="F46" s="53">
        <v>2</v>
      </c>
      <c r="G46" s="340">
        <v>7.45</v>
      </c>
      <c r="H46" s="341">
        <f t="shared" si="0"/>
        <v>5.4</v>
      </c>
      <c r="I46" s="342">
        <f t="shared" si="1"/>
        <v>10.8</v>
      </c>
      <c r="J46" s="352"/>
      <c r="K46" s="89">
        <f t="shared" si="2"/>
        <v>2</v>
      </c>
      <c r="L46" s="341">
        <f t="shared" si="3"/>
        <v>5.4</v>
      </c>
      <c r="M46" s="341">
        <f t="shared" si="4"/>
        <v>10.8</v>
      </c>
      <c r="N46" s="340" t="s">
        <v>156</v>
      </c>
      <c r="O46" s="12"/>
      <c r="P46" s="344"/>
      <c r="Q46" s="3"/>
      <c r="R46" s="345"/>
      <c r="S46" s="346">
        <f t="shared" si="5"/>
        <v>0</v>
      </c>
      <c r="T46" s="346">
        <f t="shared" si="6"/>
        <v>5.4</v>
      </c>
      <c r="U46" s="346">
        <f t="shared" si="7"/>
        <v>10.8</v>
      </c>
      <c r="V46" s="347">
        <f t="shared" si="8"/>
        <v>0</v>
      </c>
      <c r="W46" s="347">
        <f t="shared" si="9"/>
        <v>1</v>
      </c>
      <c r="X46" s="356"/>
      <c r="Y46" s="349"/>
      <c r="Z46" s="61" t="s">
        <v>65</v>
      </c>
      <c r="AA46" s="61"/>
      <c r="AB46" s="61"/>
      <c r="AC46" s="61"/>
    </row>
    <row r="47" spans="1:29" x14ac:dyDescent="0.25">
      <c r="A47" s="55"/>
      <c r="B47" s="1" t="s">
        <v>545</v>
      </c>
      <c r="C47" s="4" t="s">
        <v>546</v>
      </c>
      <c r="D47" s="139" t="s">
        <v>34</v>
      </c>
      <c r="E47" s="125" t="s">
        <v>176</v>
      </c>
      <c r="F47" s="54">
        <v>1</v>
      </c>
      <c r="G47" s="15">
        <v>16.59</v>
      </c>
      <c r="H47" s="350">
        <f t="shared" si="0"/>
        <v>12.02</v>
      </c>
      <c r="I47" s="351">
        <f t="shared" si="1"/>
        <v>12.02</v>
      </c>
      <c r="J47" s="352"/>
      <c r="K47" s="88">
        <f t="shared" si="2"/>
        <v>1</v>
      </c>
      <c r="L47" s="350">
        <f t="shared" si="3"/>
        <v>12.02</v>
      </c>
      <c r="M47" s="350">
        <f t="shared" si="4"/>
        <v>12.02</v>
      </c>
      <c r="N47" s="128" t="s">
        <v>156</v>
      </c>
      <c r="O47" s="16"/>
      <c r="P47" s="344"/>
      <c r="Q47" s="1"/>
      <c r="R47" s="15"/>
      <c r="S47" s="353">
        <f t="shared" si="5"/>
        <v>0</v>
      </c>
      <c r="T47" s="354">
        <f t="shared" si="6"/>
        <v>12.02</v>
      </c>
      <c r="U47" s="354">
        <f t="shared" si="7"/>
        <v>12.02</v>
      </c>
      <c r="V47" s="355">
        <f t="shared" si="8"/>
        <v>0</v>
      </c>
      <c r="W47" s="355">
        <f t="shared" si="9"/>
        <v>1</v>
      </c>
      <c r="X47" s="356"/>
      <c r="Y47" s="349"/>
      <c r="Z47" s="61" t="s">
        <v>66</v>
      </c>
      <c r="AA47" s="61"/>
      <c r="AB47" s="61"/>
      <c r="AC47" s="61"/>
    </row>
    <row r="48" spans="1:29" x14ac:dyDescent="0.25">
      <c r="A48" s="55"/>
      <c r="B48" s="2" t="s">
        <v>547</v>
      </c>
      <c r="C48" s="6" t="s">
        <v>548</v>
      </c>
      <c r="D48" s="139" t="s">
        <v>34</v>
      </c>
      <c r="E48" s="126" t="s">
        <v>176</v>
      </c>
      <c r="F48" s="53">
        <v>1</v>
      </c>
      <c r="G48" s="340">
        <v>16.02</v>
      </c>
      <c r="H48" s="341">
        <f t="shared" si="0"/>
        <v>11.61</v>
      </c>
      <c r="I48" s="342">
        <f t="shared" si="1"/>
        <v>11.61</v>
      </c>
      <c r="J48" s="352"/>
      <c r="K48" s="89">
        <f t="shared" si="2"/>
        <v>1</v>
      </c>
      <c r="L48" s="341">
        <f t="shared" si="3"/>
        <v>11.61</v>
      </c>
      <c r="M48" s="341">
        <f t="shared" si="4"/>
        <v>11.61</v>
      </c>
      <c r="N48" s="340" t="s">
        <v>156</v>
      </c>
      <c r="O48" s="12"/>
      <c r="P48" s="344"/>
      <c r="Q48" s="3"/>
      <c r="R48" s="345"/>
      <c r="S48" s="346">
        <f t="shared" si="5"/>
        <v>0</v>
      </c>
      <c r="T48" s="346">
        <f t="shared" si="6"/>
        <v>11.61</v>
      </c>
      <c r="U48" s="346">
        <f t="shared" si="7"/>
        <v>11.61</v>
      </c>
      <c r="V48" s="347">
        <f t="shared" si="8"/>
        <v>0</v>
      </c>
      <c r="W48" s="347">
        <f t="shared" si="9"/>
        <v>1</v>
      </c>
      <c r="X48" s="356"/>
      <c r="Y48" s="349"/>
      <c r="Z48" s="61" t="s">
        <v>196</v>
      </c>
      <c r="AA48" s="61"/>
      <c r="AB48" s="61"/>
      <c r="AC48" s="61"/>
    </row>
    <row r="49" spans="1:29" x14ac:dyDescent="0.25">
      <c r="A49" s="55"/>
      <c r="B49" s="1" t="s">
        <v>549</v>
      </c>
      <c r="C49" s="4" t="s">
        <v>550</v>
      </c>
      <c r="D49" s="139" t="s">
        <v>36</v>
      </c>
      <c r="E49" s="125" t="s">
        <v>176</v>
      </c>
      <c r="F49" s="54">
        <v>1</v>
      </c>
      <c r="G49" s="15">
        <v>203.26</v>
      </c>
      <c r="H49" s="350">
        <f t="shared" si="0"/>
        <v>147.29</v>
      </c>
      <c r="I49" s="351">
        <f t="shared" si="1"/>
        <v>147.29</v>
      </c>
      <c r="J49" s="352"/>
      <c r="K49" s="88">
        <f t="shared" si="2"/>
        <v>1</v>
      </c>
      <c r="L49" s="350">
        <f t="shared" si="3"/>
        <v>147.29</v>
      </c>
      <c r="M49" s="350">
        <f t="shared" si="4"/>
        <v>147.29</v>
      </c>
      <c r="N49" s="128" t="s">
        <v>156</v>
      </c>
      <c r="O49" s="16"/>
      <c r="P49" s="344"/>
      <c r="Q49" s="1"/>
      <c r="R49" s="15"/>
      <c r="S49" s="353">
        <f t="shared" si="5"/>
        <v>0</v>
      </c>
      <c r="T49" s="354">
        <f t="shared" si="6"/>
        <v>147.29</v>
      </c>
      <c r="U49" s="354">
        <f t="shared" si="7"/>
        <v>147.29</v>
      </c>
      <c r="V49" s="355">
        <f t="shared" si="8"/>
        <v>0</v>
      </c>
      <c r="W49" s="355">
        <f t="shared" si="9"/>
        <v>1</v>
      </c>
      <c r="X49" s="356"/>
      <c r="Y49" s="349"/>
      <c r="Z49" s="61"/>
      <c r="AA49" s="61"/>
      <c r="AB49" s="61"/>
      <c r="AC49" s="61"/>
    </row>
    <row r="50" spans="1:29" x14ac:dyDescent="0.25">
      <c r="A50" s="55"/>
      <c r="B50" s="2"/>
      <c r="C50" s="6"/>
      <c r="D50" s="139"/>
      <c r="E50" s="126"/>
      <c r="F50" s="53"/>
      <c r="G50" s="340">
        <v>0</v>
      </c>
      <c r="H50" s="341">
        <f t="shared" ref="H50:H80" si="10">ROUND(IF($G$17="USD $", G50*$F$15,G50*$E$15),2)</f>
        <v>0</v>
      </c>
      <c r="I50" s="342">
        <f t="shared" ref="I50:I80" si="11">ROUND(IF($I$17=$H$17,F50*H50,F50*G50),2)</f>
        <v>0</v>
      </c>
      <c r="J50" s="352"/>
      <c r="K50" s="89">
        <f t="shared" ref="K50:K80" si="12">F50</f>
        <v>0</v>
      </c>
      <c r="L50" s="341">
        <f t="shared" ref="L50:L80" si="13">IFERROR(IF(N50="OEM DISC %",ROUND(IF($L$17=$G$17,G50*(1-O50),H50*(1-O50)),2),IF(N50="MARKUP %",ROUND(S50/K50*(1+O50),2))),0)</f>
        <v>0</v>
      </c>
      <c r="M50" s="341">
        <f t="shared" ref="M50:M80" si="14">ROUND((K50*L50),2)</f>
        <v>0</v>
      </c>
      <c r="N50" s="340" t="s">
        <v>156</v>
      </c>
      <c r="O50" s="12"/>
      <c r="P50" s="344"/>
      <c r="Q50" s="3"/>
      <c r="R50" s="345"/>
      <c r="S50" s="346">
        <f t="shared" ref="S50:S80" si="15">ROUND(IF($S$17=$R$17,R50,IF($S$17="USD $",R50*$E$15,R50*$F$15))*F50,2)</f>
        <v>0</v>
      </c>
      <c r="T50" s="346">
        <f t="shared" ref="T50:T80" si="16">IFERROR(ROUND(U50/F50,2),0)</f>
        <v>0</v>
      </c>
      <c r="U50" s="346">
        <f t="shared" ref="U50:U80" si="17">ROUND(M50-S50,2)</f>
        <v>0</v>
      </c>
      <c r="V50" s="347">
        <f t="shared" ref="V50:V80" si="18">IFERROR(((L50-(S50/K50))/(S50/K50)),0)</f>
        <v>0</v>
      </c>
      <c r="W50" s="347">
        <f t="shared" ref="W50:W80" si="19">IFERROR(((L50-(S50/K50))/L50),0)</f>
        <v>0</v>
      </c>
      <c r="X50" s="356"/>
      <c r="Y50" s="349"/>
      <c r="Z50" s="61"/>
      <c r="AA50" s="61"/>
      <c r="AB50" s="61"/>
      <c r="AC50" s="61"/>
    </row>
    <row r="51" spans="1:29" x14ac:dyDescent="0.25">
      <c r="A51" s="55"/>
      <c r="B51" s="1" t="s">
        <v>597</v>
      </c>
      <c r="C51" s="4" t="s">
        <v>197</v>
      </c>
      <c r="D51" s="139" t="s">
        <v>22</v>
      </c>
      <c r="E51" s="125" t="s">
        <v>176</v>
      </c>
      <c r="F51" s="54">
        <v>1</v>
      </c>
      <c r="G51" s="15">
        <v>2929.12</v>
      </c>
      <c r="H51" s="350">
        <f t="shared" si="10"/>
        <v>2122.5500000000002</v>
      </c>
      <c r="I51" s="351">
        <f t="shared" si="11"/>
        <v>2122.5500000000002</v>
      </c>
      <c r="J51" s="352"/>
      <c r="K51" s="88">
        <f t="shared" si="12"/>
        <v>1</v>
      </c>
      <c r="L51" s="350">
        <f t="shared" si="13"/>
        <v>2122.5500000000002</v>
      </c>
      <c r="M51" s="350">
        <f t="shared" si="14"/>
        <v>2122.5500000000002</v>
      </c>
      <c r="N51" s="128" t="s">
        <v>156</v>
      </c>
      <c r="O51" s="16"/>
      <c r="P51" s="344"/>
      <c r="Q51" s="1"/>
      <c r="R51" s="15"/>
      <c r="S51" s="353">
        <f t="shared" si="15"/>
        <v>0</v>
      </c>
      <c r="T51" s="354">
        <f t="shared" si="16"/>
        <v>2122.5500000000002</v>
      </c>
      <c r="U51" s="354">
        <f t="shared" si="17"/>
        <v>2122.5500000000002</v>
      </c>
      <c r="V51" s="355">
        <f t="shared" si="18"/>
        <v>0</v>
      </c>
      <c r="W51" s="355">
        <f t="shared" si="19"/>
        <v>1</v>
      </c>
      <c r="X51" s="356"/>
      <c r="Y51" s="349"/>
      <c r="Z51" s="61"/>
      <c r="AA51" s="61"/>
      <c r="AB51" s="61"/>
      <c r="AC51" s="61"/>
    </row>
    <row r="52" spans="1:29" x14ac:dyDescent="0.25">
      <c r="A52" s="55"/>
      <c r="B52" s="358" t="s">
        <v>598</v>
      </c>
      <c r="C52" s="6" t="s">
        <v>198</v>
      </c>
      <c r="D52" s="139" t="s">
        <v>199</v>
      </c>
      <c r="E52" s="126" t="s">
        <v>176</v>
      </c>
      <c r="F52" s="53">
        <v>1</v>
      </c>
      <c r="G52" s="340">
        <v>2571.4499999999998</v>
      </c>
      <c r="H52" s="341">
        <f t="shared" si="10"/>
        <v>1863.37</v>
      </c>
      <c r="I52" s="342">
        <f t="shared" si="11"/>
        <v>1863.37</v>
      </c>
      <c r="J52" s="352"/>
      <c r="K52" s="89">
        <f t="shared" si="12"/>
        <v>1</v>
      </c>
      <c r="L52" s="341">
        <f t="shared" si="13"/>
        <v>1863.37</v>
      </c>
      <c r="M52" s="341">
        <f t="shared" si="14"/>
        <v>1863.37</v>
      </c>
      <c r="N52" s="340" t="s">
        <v>156</v>
      </c>
      <c r="O52" s="12"/>
      <c r="P52" s="344"/>
      <c r="Q52" s="3"/>
      <c r="R52" s="345"/>
      <c r="S52" s="346">
        <f t="shared" si="15"/>
        <v>0</v>
      </c>
      <c r="T52" s="346">
        <f t="shared" si="16"/>
        <v>1863.37</v>
      </c>
      <c r="U52" s="346">
        <f t="shared" si="17"/>
        <v>1863.37</v>
      </c>
      <c r="V52" s="347">
        <f t="shared" si="18"/>
        <v>0</v>
      </c>
      <c r="W52" s="347">
        <f t="shared" si="19"/>
        <v>1</v>
      </c>
      <c r="X52" s="356"/>
      <c r="Y52" s="349"/>
      <c r="Z52" s="61"/>
      <c r="AA52" s="61"/>
      <c r="AB52" s="61"/>
      <c r="AC52" s="61"/>
    </row>
    <row r="53" spans="1:29" x14ac:dyDescent="0.25">
      <c r="A53" s="55"/>
      <c r="B53" s="1" t="s">
        <v>599</v>
      </c>
      <c r="C53" s="4" t="s">
        <v>200</v>
      </c>
      <c r="D53" s="139" t="s">
        <v>18</v>
      </c>
      <c r="E53" s="125" t="s">
        <v>176</v>
      </c>
      <c r="F53" s="54">
        <v>1</v>
      </c>
      <c r="G53" s="15">
        <v>777.71</v>
      </c>
      <c r="H53" s="350">
        <f t="shared" si="10"/>
        <v>563.55999999999995</v>
      </c>
      <c r="I53" s="351">
        <f t="shared" si="11"/>
        <v>563.55999999999995</v>
      </c>
      <c r="J53" s="352"/>
      <c r="K53" s="88">
        <f t="shared" si="12"/>
        <v>1</v>
      </c>
      <c r="L53" s="350">
        <f t="shared" si="13"/>
        <v>563.55999999999995</v>
      </c>
      <c r="M53" s="350">
        <f t="shared" si="14"/>
        <v>563.55999999999995</v>
      </c>
      <c r="N53" s="128" t="s">
        <v>156</v>
      </c>
      <c r="O53" s="16"/>
      <c r="P53" s="344"/>
      <c r="Q53" s="1"/>
      <c r="R53" s="15"/>
      <c r="S53" s="353">
        <f t="shared" si="15"/>
        <v>0</v>
      </c>
      <c r="T53" s="354">
        <f t="shared" si="16"/>
        <v>563.55999999999995</v>
      </c>
      <c r="U53" s="354">
        <f t="shared" si="17"/>
        <v>563.55999999999995</v>
      </c>
      <c r="V53" s="355">
        <f t="shared" si="18"/>
        <v>0</v>
      </c>
      <c r="W53" s="355">
        <f t="shared" si="19"/>
        <v>1</v>
      </c>
      <c r="X53" s="356"/>
      <c r="Y53" s="349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340"/>
      <c r="H54" s="341">
        <f t="shared" si="10"/>
        <v>0</v>
      </c>
      <c r="I54" s="342">
        <f t="shared" si="11"/>
        <v>0</v>
      </c>
      <c r="J54" s="352"/>
      <c r="K54" s="89">
        <f t="shared" si="12"/>
        <v>0</v>
      </c>
      <c r="L54" s="341">
        <f t="shared" si="13"/>
        <v>0</v>
      </c>
      <c r="M54" s="341">
        <f t="shared" si="14"/>
        <v>0</v>
      </c>
      <c r="N54" s="340" t="s">
        <v>156</v>
      </c>
      <c r="O54" s="12"/>
      <c r="P54" s="344"/>
      <c r="Q54" s="3"/>
      <c r="R54" s="345"/>
      <c r="S54" s="346">
        <f t="shared" si="15"/>
        <v>0</v>
      </c>
      <c r="T54" s="346">
        <f t="shared" si="16"/>
        <v>0</v>
      </c>
      <c r="U54" s="346">
        <f t="shared" si="17"/>
        <v>0</v>
      </c>
      <c r="V54" s="347">
        <f t="shared" si="18"/>
        <v>0</v>
      </c>
      <c r="W54" s="347">
        <f t="shared" si="19"/>
        <v>0</v>
      </c>
      <c r="X54" s="356"/>
      <c r="Y54" s="349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50">
        <f t="shared" si="10"/>
        <v>0</v>
      </c>
      <c r="I55" s="351">
        <f t="shared" si="11"/>
        <v>0</v>
      </c>
      <c r="J55" s="352"/>
      <c r="K55" s="88">
        <f t="shared" si="12"/>
        <v>0</v>
      </c>
      <c r="L55" s="350">
        <f t="shared" si="13"/>
        <v>0</v>
      </c>
      <c r="M55" s="350">
        <f t="shared" si="14"/>
        <v>0</v>
      </c>
      <c r="N55" s="128" t="s">
        <v>156</v>
      </c>
      <c r="O55" s="16"/>
      <c r="P55" s="344"/>
      <c r="Q55" s="1"/>
      <c r="R55" s="15"/>
      <c r="S55" s="353">
        <f t="shared" si="15"/>
        <v>0</v>
      </c>
      <c r="T55" s="354">
        <f t="shared" si="16"/>
        <v>0</v>
      </c>
      <c r="U55" s="354">
        <f t="shared" si="17"/>
        <v>0</v>
      </c>
      <c r="V55" s="355">
        <f t="shared" si="18"/>
        <v>0</v>
      </c>
      <c r="W55" s="355">
        <f t="shared" si="19"/>
        <v>0</v>
      </c>
      <c r="X55" s="356"/>
      <c r="Y55" s="349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340"/>
      <c r="H56" s="341">
        <f t="shared" si="10"/>
        <v>0</v>
      </c>
      <c r="I56" s="342">
        <f t="shared" si="11"/>
        <v>0</v>
      </c>
      <c r="J56" s="352"/>
      <c r="K56" s="89">
        <f t="shared" si="12"/>
        <v>0</v>
      </c>
      <c r="L56" s="341">
        <f t="shared" si="13"/>
        <v>0</v>
      </c>
      <c r="M56" s="341">
        <f t="shared" si="14"/>
        <v>0</v>
      </c>
      <c r="N56" s="340" t="s">
        <v>156</v>
      </c>
      <c r="O56" s="12"/>
      <c r="P56" s="344"/>
      <c r="Q56" s="3"/>
      <c r="R56" s="345"/>
      <c r="S56" s="346">
        <f t="shared" si="15"/>
        <v>0</v>
      </c>
      <c r="T56" s="346">
        <f t="shared" si="16"/>
        <v>0</v>
      </c>
      <c r="U56" s="346">
        <f t="shared" si="17"/>
        <v>0</v>
      </c>
      <c r="V56" s="347">
        <f t="shared" si="18"/>
        <v>0</v>
      </c>
      <c r="W56" s="347">
        <f t="shared" si="19"/>
        <v>0</v>
      </c>
      <c r="X56" s="356"/>
      <c r="Y56" s="349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50">
        <f t="shared" si="10"/>
        <v>0</v>
      </c>
      <c r="I57" s="351">
        <f t="shared" si="11"/>
        <v>0</v>
      </c>
      <c r="J57" s="352"/>
      <c r="K57" s="88">
        <f t="shared" si="12"/>
        <v>0</v>
      </c>
      <c r="L57" s="350">
        <f t="shared" si="13"/>
        <v>0</v>
      </c>
      <c r="M57" s="350">
        <f t="shared" si="14"/>
        <v>0</v>
      </c>
      <c r="N57" s="128" t="s">
        <v>156</v>
      </c>
      <c r="O57" s="16"/>
      <c r="P57" s="344"/>
      <c r="Q57" s="1"/>
      <c r="R57" s="15"/>
      <c r="S57" s="353">
        <f t="shared" si="15"/>
        <v>0</v>
      </c>
      <c r="T57" s="354">
        <f t="shared" si="16"/>
        <v>0</v>
      </c>
      <c r="U57" s="354">
        <f t="shared" si="17"/>
        <v>0</v>
      </c>
      <c r="V57" s="355">
        <f t="shared" si="18"/>
        <v>0</v>
      </c>
      <c r="W57" s="355">
        <f t="shared" si="19"/>
        <v>0</v>
      </c>
      <c r="X57" s="356"/>
      <c r="Y57" s="349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340"/>
      <c r="H58" s="341">
        <f t="shared" si="10"/>
        <v>0</v>
      </c>
      <c r="I58" s="342">
        <f t="shared" si="11"/>
        <v>0</v>
      </c>
      <c r="J58" s="352"/>
      <c r="K58" s="89">
        <f t="shared" si="12"/>
        <v>0</v>
      </c>
      <c r="L58" s="341">
        <f t="shared" si="13"/>
        <v>0</v>
      </c>
      <c r="M58" s="341">
        <f t="shared" si="14"/>
        <v>0</v>
      </c>
      <c r="N58" s="340" t="s">
        <v>156</v>
      </c>
      <c r="O58" s="12"/>
      <c r="P58" s="344"/>
      <c r="Q58" s="3"/>
      <c r="R58" s="345"/>
      <c r="S58" s="346">
        <f t="shared" si="15"/>
        <v>0</v>
      </c>
      <c r="T58" s="346">
        <f t="shared" si="16"/>
        <v>0</v>
      </c>
      <c r="U58" s="346">
        <f t="shared" si="17"/>
        <v>0</v>
      </c>
      <c r="V58" s="347">
        <f t="shared" si="18"/>
        <v>0</v>
      </c>
      <c r="W58" s="347">
        <f t="shared" si="19"/>
        <v>0</v>
      </c>
      <c r="X58" s="356"/>
      <c r="Y58" s="349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50">
        <f t="shared" si="10"/>
        <v>0</v>
      </c>
      <c r="I59" s="351">
        <f t="shared" si="11"/>
        <v>0</v>
      </c>
      <c r="J59" s="352"/>
      <c r="K59" s="88">
        <f t="shared" si="12"/>
        <v>0</v>
      </c>
      <c r="L59" s="350">
        <f t="shared" si="13"/>
        <v>0</v>
      </c>
      <c r="M59" s="350">
        <f t="shared" si="14"/>
        <v>0</v>
      </c>
      <c r="N59" s="128" t="s">
        <v>156</v>
      </c>
      <c r="O59" s="16"/>
      <c r="P59" s="344"/>
      <c r="Q59" s="1"/>
      <c r="R59" s="15"/>
      <c r="S59" s="353">
        <f t="shared" si="15"/>
        <v>0</v>
      </c>
      <c r="T59" s="354">
        <f t="shared" si="16"/>
        <v>0</v>
      </c>
      <c r="U59" s="354">
        <f t="shared" si="17"/>
        <v>0</v>
      </c>
      <c r="V59" s="355">
        <f t="shared" si="18"/>
        <v>0</v>
      </c>
      <c r="W59" s="355">
        <f t="shared" si="19"/>
        <v>0</v>
      </c>
      <c r="X59" s="356"/>
      <c r="Y59" s="349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340"/>
      <c r="H60" s="341">
        <f t="shared" si="10"/>
        <v>0</v>
      </c>
      <c r="I60" s="342">
        <f t="shared" si="11"/>
        <v>0</v>
      </c>
      <c r="J60" s="352"/>
      <c r="K60" s="89">
        <f t="shared" si="12"/>
        <v>0</v>
      </c>
      <c r="L60" s="341">
        <f t="shared" si="13"/>
        <v>0</v>
      </c>
      <c r="M60" s="341">
        <f t="shared" si="14"/>
        <v>0</v>
      </c>
      <c r="N60" s="340" t="s">
        <v>156</v>
      </c>
      <c r="O60" s="12"/>
      <c r="P60" s="344"/>
      <c r="Q60" s="3"/>
      <c r="R60" s="345"/>
      <c r="S60" s="346">
        <f t="shared" si="15"/>
        <v>0</v>
      </c>
      <c r="T60" s="346">
        <f t="shared" si="16"/>
        <v>0</v>
      </c>
      <c r="U60" s="346">
        <f t="shared" si="17"/>
        <v>0</v>
      </c>
      <c r="V60" s="347">
        <f t="shared" si="18"/>
        <v>0</v>
      </c>
      <c r="W60" s="347">
        <f t="shared" si="19"/>
        <v>0</v>
      </c>
      <c r="X60" s="356"/>
      <c r="Y60" s="349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50">
        <f t="shared" si="10"/>
        <v>0</v>
      </c>
      <c r="I61" s="351">
        <f t="shared" si="11"/>
        <v>0</v>
      </c>
      <c r="J61" s="352"/>
      <c r="K61" s="88">
        <f t="shared" si="12"/>
        <v>0</v>
      </c>
      <c r="L61" s="350">
        <f t="shared" si="13"/>
        <v>0</v>
      </c>
      <c r="M61" s="350">
        <f t="shared" si="14"/>
        <v>0</v>
      </c>
      <c r="N61" s="128" t="s">
        <v>156</v>
      </c>
      <c r="O61" s="16"/>
      <c r="P61" s="344"/>
      <c r="Q61" s="1"/>
      <c r="R61" s="15"/>
      <c r="S61" s="353">
        <f t="shared" si="15"/>
        <v>0</v>
      </c>
      <c r="T61" s="354">
        <f t="shared" si="16"/>
        <v>0</v>
      </c>
      <c r="U61" s="354">
        <f t="shared" si="17"/>
        <v>0</v>
      </c>
      <c r="V61" s="355">
        <f t="shared" si="18"/>
        <v>0</v>
      </c>
      <c r="W61" s="355">
        <f t="shared" si="19"/>
        <v>0</v>
      </c>
      <c r="X61" s="356"/>
      <c r="Y61" s="349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340"/>
      <c r="H62" s="341">
        <f t="shared" si="10"/>
        <v>0</v>
      </c>
      <c r="I62" s="342">
        <f t="shared" si="11"/>
        <v>0</v>
      </c>
      <c r="J62" s="352"/>
      <c r="K62" s="89">
        <f t="shared" si="12"/>
        <v>0</v>
      </c>
      <c r="L62" s="341">
        <f t="shared" si="13"/>
        <v>0</v>
      </c>
      <c r="M62" s="341">
        <f t="shared" si="14"/>
        <v>0</v>
      </c>
      <c r="N62" s="340" t="s">
        <v>156</v>
      </c>
      <c r="O62" s="12"/>
      <c r="P62" s="344"/>
      <c r="Q62" s="3"/>
      <c r="R62" s="345"/>
      <c r="S62" s="346">
        <f t="shared" si="15"/>
        <v>0</v>
      </c>
      <c r="T62" s="346">
        <f t="shared" si="16"/>
        <v>0</v>
      </c>
      <c r="U62" s="346">
        <f t="shared" si="17"/>
        <v>0</v>
      </c>
      <c r="V62" s="347">
        <f t="shared" si="18"/>
        <v>0</v>
      </c>
      <c r="W62" s="347">
        <f t="shared" si="19"/>
        <v>0</v>
      </c>
      <c r="X62" s="356"/>
      <c r="Y62" s="349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50">
        <f t="shared" si="10"/>
        <v>0</v>
      </c>
      <c r="I63" s="351">
        <f t="shared" si="11"/>
        <v>0</v>
      </c>
      <c r="J63" s="352"/>
      <c r="K63" s="88">
        <f t="shared" si="12"/>
        <v>0</v>
      </c>
      <c r="L63" s="350">
        <f t="shared" si="13"/>
        <v>0</v>
      </c>
      <c r="M63" s="350">
        <f t="shared" si="14"/>
        <v>0</v>
      </c>
      <c r="N63" s="128" t="s">
        <v>156</v>
      </c>
      <c r="O63" s="16"/>
      <c r="P63" s="344"/>
      <c r="Q63" s="1"/>
      <c r="R63" s="15"/>
      <c r="S63" s="353">
        <f t="shared" si="15"/>
        <v>0</v>
      </c>
      <c r="T63" s="354">
        <f t="shared" si="16"/>
        <v>0</v>
      </c>
      <c r="U63" s="354">
        <f t="shared" si="17"/>
        <v>0</v>
      </c>
      <c r="V63" s="355">
        <f t="shared" si="18"/>
        <v>0</v>
      </c>
      <c r="W63" s="355">
        <f t="shared" si="19"/>
        <v>0</v>
      </c>
      <c r="X63" s="356"/>
      <c r="Y63" s="349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340"/>
      <c r="H64" s="341">
        <f t="shared" si="10"/>
        <v>0</v>
      </c>
      <c r="I64" s="342">
        <f t="shared" si="11"/>
        <v>0</v>
      </c>
      <c r="J64" s="352"/>
      <c r="K64" s="89">
        <f t="shared" si="12"/>
        <v>0</v>
      </c>
      <c r="L64" s="341">
        <f t="shared" si="13"/>
        <v>0</v>
      </c>
      <c r="M64" s="341">
        <f t="shared" si="14"/>
        <v>0</v>
      </c>
      <c r="N64" s="340" t="s">
        <v>156</v>
      </c>
      <c r="O64" s="12"/>
      <c r="P64" s="344"/>
      <c r="Q64" s="3"/>
      <c r="R64" s="345"/>
      <c r="S64" s="346">
        <f t="shared" si="15"/>
        <v>0</v>
      </c>
      <c r="T64" s="346">
        <f t="shared" si="16"/>
        <v>0</v>
      </c>
      <c r="U64" s="346">
        <f t="shared" si="17"/>
        <v>0</v>
      </c>
      <c r="V64" s="347">
        <f t="shared" si="18"/>
        <v>0</v>
      </c>
      <c r="W64" s="347">
        <f t="shared" si="19"/>
        <v>0</v>
      </c>
      <c r="X64" s="356"/>
      <c r="Y64" s="349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50">
        <f t="shared" si="10"/>
        <v>0</v>
      </c>
      <c r="I65" s="351">
        <f t="shared" si="11"/>
        <v>0</v>
      </c>
      <c r="J65" s="352"/>
      <c r="K65" s="88">
        <f t="shared" si="12"/>
        <v>0</v>
      </c>
      <c r="L65" s="350">
        <f t="shared" si="13"/>
        <v>0</v>
      </c>
      <c r="M65" s="350">
        <f t="shared" si="14"/>
        <v>0</v>
      </c>
      <c r="N65" s="128" t="s">
        <v>156</v>
      </c>
      <c r="O65" s="16"/>
      <c r="P65" s="344"/>
      <c r="Q65" s="1"/>
      <c r="R65" s="15"/>
      <c r="S65" s="353">
        <f t="shared" si="15"/>
        <v>0</v>
      </c>
      <c r="T65" s="354">
        <f t="shared" si="16"/>
        <v>0</v>
      </c>
      <c r="U65" s="354">
        <f t="shared" si="17"/>
        <v>0</v>
      </c>
      <c r="V65" s="355">
        <f t="shared" si="18"/>
        <v>0</v>
      </c>
      <c r="W65" s="355">
        <f t="shared" si="19"/>
        <v>0</v>
      </c>
      <c r="X65" s="356"/>
      <c r="Y65" s="349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340"/>
      <c r="H66" s="341">
        <f t="shared" si="10"/>
        <v>0</v>
      </c>
      <c r="I66" s="342">
        <f t="shared" si="11"/>
        <v>0</v>
      </c>
      <c r="J66" s="352"/>
      <c r="K66" s="89">
        <f t="shared" si="12"/>
        <v>0</v>
      </c>
      <c r="L66" s="341">
        <f t="shared" si="13"/>
        <v>0</v>
      </c>
      <c r="M66" s="341">
        <f t="shared" si="14"/>
        <v>0</v>
      </c>
      <c r="N66" s="340" t="s">
        <v>156</v>
      </c>
      <c r="O66" s="12"/>
      <c r="P66" s="344"/>
      <c r="Q66" s="3"/>
      <c r="R66" s="345"/>
      <c r="S66" s="346">
        <f t="shared" si="15"/>
        <v>0</v>
      </c>
      <c r="T66" s="346">
        <f t="shared" si="16"/>
        <v>0</v>
      </c>
      <c r="U66" s="346">
        <f t="shared" si="17"/>
        <v>0</v>
      </c>
      <c r="V66" s="347">
        <f t="shared" si="18"/>
        <v>0</v>
      </c>
      <c r="W66" s="347">
        <f t="shared" si="19"/>
        <v>0</v>
      </c>
      <c r="X66" s="356"/>
      <c r="Y66" s="349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50">
        <f t="shared" si="10"/>
        <v>0</v>
      </c>
      <c r="I67" s="351">
        <f t="shared" si="11"/>
        <v>0</v>
      </c>
      <c r="J67" s="352"/>
      <c r="K67" s="88">
        <f t="shared" si="12"/>
        <v>0</v>
      </c>
      <c r="L67" s="350">
        <f t="shared" si="13"/>
        <v>0</v>
      </c>
      <c r="M67" s="350">
        <f t="shared" si="14"/>
        <v>0</v>
      </c>
      <c r="N67" s="128" t="s">
        <v>156</v>
      </c>
      <c r="O67" s="16"/>
      <c r="P67" s="344"/>
      <c r="Q67" s="1"/>
      <c r="R67" s="15"/>
      <c r="S67" s="353">
        <f t="shared" si="15"/>
        <v>0</v>
      </c>
      <c r="T67" s="354">
        <f t="shared" si="16"/>
        <v>0</v>
      </c>
      <c r="U67" s="354">
        <f t="shared" si="17"/>
        <v>0</v>
      </c>
      <c r="V67" s="355">
        <f t="shared" si="18"/>
        <v>0</v>
      </c>
      <c r="W67" s="355">
        <f t="shared" si="19"/>
        <v>0</v>
      </c>
      <c r="X67" s="356"/>
      <c r="Y67" s="349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340"/>
      <c r="H68" s="341">
        <f t="shared" si="10"/>
        <v>0</v>
      </c>
      <c r="I68" s="342">
        <f t="shared" si="11"/>
        <v>0</v>
      </c>
      <c r="J68" s="352"/>
      <c r="K68" s="89">
        <f t="shared" si="12"/>
        <v>0</v>
      </c>
      <c r="L68" s="341">
        <f t="shared" si="13"/>
        <v>0</v>
      </c>
      <c r="M68" s="341">
        <f t="shared" si="14"/>
        <v>0</v>
      </c>
      <c r="N68" s="340" t="s">
        <v>156</v>
      </c>
      <c r="O68" s="12"/>
      <c r="P68" s="344"/>
      <c r="Q68" s="3"/>
      <c r="R68" s="345"/>
      <c r="S68" s="346">
        <f t="shared" si="15"/>
        <v>0</v>
      </c>
      <c r="T68" s="346">
        <f t="shared" si="16"/>
        <v>0</v>
      </c>
      <c r="U68" s="346">
        <f t="shared" si="17"/>
        <v>0</v>
      </c>
      <c r="V68" s="347">
        <f t="shared" si="18"/>
        <v>0</v>
      </c>
      <c r="W68" s="347">
        <f t="shared" si="19"/>
        <v>0</v>
      </c>
      <c r="X68" s="356"/>
      <c r="Y68" s="349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50">
        <f t="shared" si="10"/>
        <v>0</v>
      </c>
      <c r="I69" s="351">
        <f t="shared" si="11"/>
        <v>0</v>
      </c>
      <c r="J69" s="352"/>
      <c r="K69" s="88">
        <f t="shared" si="12"/>
        <v>0</v>
      </c>
      <c r="L69" s="350">
        <f t="shared" si="13"/>
        <v>0</v>
      </c>
      <c r="M69" s="350">
        <f t="shared" si="14"/>
        <v>0</v>
      </c>
      <c r="N69" s="128" t="s">
        <v>156</v>
      </c>
      <c r="O69" s="16"/>
      <c r="P69" s="344"/>
      <c r="Q69" s="1"/>
      <c r="R69" s="15"/>
      <c r="S69" s="353">
        <f t="shared" si="15"/>
        <v>0</v>
      </c>
      <c r="T69" s="354">
        <f t="shared" si="16"/>
        <v>0</v>
      </c>
      <c r="U69" s="354">
        <f t="shared" si="17"/>
        <v>0</v>
      </c>
      <c r="V69" s="355">
        <f t="shared" si="18"/>
        <v>0</v>
      </c>
      <c r="W69" s="355">
        <f t="shared" si="19"/>
        <v>0</v>
      </c>
      <c r="X69" s="356"/>
      <c r="Y69" s="349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340"/>
      <c r="H70" s="341">
        <f t="shared" si="10"/>
        <v>0</v>
      </c>
      <c r="I70" s="342">
        <f t="shared" si="11"/>
        <v>0</v>
      </c>
      <c r="J70" s="352"/>
      <c r="K70" s="89">
        <f t="shared" si="12"/>
        <v>0</v>
      </c>
      <c r="L70" s="341">
        <f t="shared" si="13"/>
        <v>0</v>
      </c>
      <c r="M70" s="341">
        <f t="shared" si="14"/>
        <v>0</v>
      </c>
      <c r="N70" s="340" t="s">
        <v>156</v>
      </c>
      <c r="O70" s="12"/>
      <c r="P70" s="344"/>
      <c r="Q70" s="3"/>
      <c r="R70" s="345"/>
      <c r="S70" s="346">
        <f t="shared" si="15"/>
        <v>0</v>
      </c>
      <c r="T70" s="346">
        <f t="shared" si="16"/>
        <v>0</v>
      </c>
      <c r="U70" s="346">
        <f t="shared" si="17"/>
        <v>0</v>
      </c>
      <c r="V70" s="347">
        <f t="shared" si="18"/>
        <v>0</v>
      </c>
      <c r="W70" s="347">
        <f t="shared" si="19"/>
        <v>0</v>
      </c>
      <c r="X70" s="356"/>
      <c r="Y70" s="349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50">
        <f t="shared" si="10"/>
        <v>0</v>
      </c>
      <c r="I71" s="351">
        <f t="shared" si="11"/>
        <v>0</v>
      </c>
      <c r="J71" s="352"/>
      <c r="K71" s="88">
        <f t="shared" si="12"/>
        <v>0</v>
      </c>
      <c r="L71" s="350">
        <f t="shared" si="13"/>
        <v>0</v>
      </c>
      <c r="M71" s="350">
        <f t="shared" si="14"/>
        <v>0</v>
      </c>
      <c r="N71" s="128" t="s">
        <v>156</v>
      </c>
      <c r="O71" s="16"/>
      <c r="P71" s="344"/>
      <c r="Q71" s="1"/>
      <c r="R71" s="15"/>
      <c r="S71" s="353">
        <f t="shared" si="15"/>
        <v>0</v>
      </c>
      <c r="T71" s="354">
        <f t="shared" si="16"/>
        <v>0</v>
      </c>
      <c r="U71" s="354">
        <f t="shared" si="17"/>
        <v>0</v>
      </c>
      <c r="V71" s="355">
        <f t="shared" si="18"/>
        <v>0</v>
      </c>
      <c r="W71" s="355">
        <f t="shared" si="19"/>
        <v>0</v>
      </c>
      <c r="X71" s="356"/>
      <c r="Y71" s="349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340"/>
      <c r="H72" s="341">
        <f t="shared" si="10"/>
        <v>0</v>
      </c>
      <c r="I72" s="342">
        <f t="shared" si="11"/>
        <v>0</v>
      </c>
      <c r="J72" s="352"/>
      <c r="K72" s="89">
        <f t="shared" si="12"/>
        <v>0</v>
      </c>
      <c r="L72" s="341">
        <f t="shared" si="13"/>
        <v>0</v>
      </c>
      <c r="M72" s="341">
        <f t="shared" si="14"/>
        <v>0</v>
      </c>
      <c r="N72" s="340" t="s">
        <v>156</v>
      </c>
      <c r="O72" s="12"/>
      <c r="P72" s="344"/>
      <c r="Q72" s="3"/>
      <c r="R72" s="345"/>
      <c r="S72" s="346">
        <f t="shared" si="15"/>
        <v>0</v>
      </c>
      <c r="T72" s="346">
        <f t="shared" si="16"/>
        <v>0</v>
      </c>
      <c r="U72" s="346">
        <f t="shared" si="17"/>
        <v>0</v>
      </c>
      <c r="V72" s="347">
        <f t="shared" si="18"/>
        <v>0</v>
      </c>
      <c r="W72" s="347">
        <f t="shared" si="19"/>
        <v>0</v>
      </c>
      <c r="X72" s="356"/>
      <c r="Y72" s="349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50">
        <f t="shared" si="10"/>
        <v>0</v>
      </c>
      <c r="I73" s="351">
        <f t="shared" si="11"/>
        <v>0</v>
      </c>
      <c r="J73" s="352"/>
      <c r="K73" s="88">
        <f t="shared" si="12"/>
        <v>0</v>
      </c>
      <c r="L73" s="350">
        <f t="shared" si="13"/>
        <v>0</v>
      </c>
      <c r="M73" s="350">
        <f t="shared" si="14"/>
        <v>0</v>
      </c>
      <c r="N73" s="128" t="s">
        <v>156</v>
      </c>
      <c r="O73" s="16"/>
      <c r="P73" s="344"/>
      <c r="Q73" s="1"/>
      <c r="R73" s="15"/>
      <c r="S73" s="353">
        <f t="shared" si="15"/>
        <v>0</v>
      </c>
      <c r="T73" s="354">
        <f t="shared" si="16"/>
        <v>0</v>
      </c>
      <c r="U73" s="354">
        <f t="shared" si="17"/>
        <v>0</v>
      </c>
      <c r="V73" s="355">
        <f t="shared" si="18"/>
        <v>0</v>
      </c>
      <c r="W73" s="355">
        <f t="shared" si="19"/>
        <v>0</v>
      </c>
      <c r="X73" s="356"/>
      <c r="Y73" s="349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340"/>
      <c r="H74" s="341">
        <f t="shared" si="10"/>
        <v>0</v>
      </c>
      <c r="I74" s="342">
        <f t="shared" si="11"/>
        <v>0</v>
      </c>
      <c r="J74" s="352"/>
      <c r="K74" s="89">
        <f t="shared" si="12"/>
        <v>0</v>
      </c>
      <c r="L74" s="341">
        <f t="shared" si="13"/>
        <v>0</v>
      </c>
      <c r="M74" s="341">
        <f t="shared" si="14"/>
        <v>0</v>
      </c>
      <c r="N74" s="340" t="s">
        <v>156</v>
      </c>
      <c r="O74" s="12"/>
      <c r="P74" s="344"/>
      <c r="Q74" s="3"/>
      <c r="R74" s="345"/>
      <c r="S74" s="346">
        <f t="shared" si="15"/>
        <v>0</v>
      </c>
      <c r="T74" s="346">
        <f t="shared" si="16"/>
        <v>0</v>
      </c>
      <c r="U74" s="346">
        <f t="shared" si="17"/>
        <v>0</v>
      </c>
      <c r="V74" s="347">
        <f t="shared" si="18"/>
        <v>0</v>
      </c>
      <c r="W74" s="347">
        <f t="shared" si="19"/>
        <v>0</v>
      </c>
      <c r="X74" s="356"/>
      <c r="Y74" s="349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50">
        <f t="shared" si="10"/>
        <v>0</v>
      </c>
      <c r="I75" s="351">
        <f t="shared" si="11"/>
        <v>0</v>
      </c>
      <c r="J75" s="352"/>
      <c r="K75" s="88">
        <f t="shared" si="12"/>
        <v>0</v>
      </c>
      <c r="L75" s="350">
        <f t="shared" si="13"/>
        <v>0</v>
      </c>
      <c r="M75" s="350">
        <f t="shared" si="14"/>
        <v>0</v>
      </c>
      <c r="N75" s="128" t="s">
        <v>156</v>
      </c>
      <c r="O75" s="16"/>
      <c r="P75" s="344"/>
      <c r="Q75" s="1"/>
      <c r="R75" s="15"/>
      <c r="S75" s="353">
        <f t="shared" si="15"/>
        <v>0</v>
      </c>
      <c r="T75" s="354">
        <f t="shared" si="16"/>
        <v>0</v>
      </c>
      <c r="U75" s="354">
        <f t="shared" si="17"/>
        <v>0</v>
      </c>
      <c r="V75" s="355">
        <f t="shared" si="18"/>
        <v>0</v>
      </c>
      <c r="W75" s="355">
        <f t="shared" si="19"/>
        <v>0</v>
      </c>
      <c r="X75" s="356"/>
      <c r="Y75" s="349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340"/>
      <c r="H76" s="341">
        <f t="shared" si="10"/>
        <v>0</v>
      </c>
      <c r="I76" s="342">
        <f t="shared" si="11"/>
        <v>0</v>
      </c>
      <c r="J76" s="352"/>
      <c r="K76" s="89">
        <f t="shared" si="12"/>
        <v>0</v>
      </c>
      <c r="L76" s="341">
        <f t="shared" si="13"/>
        <v>0</v>
      </c>
      <c r="M76" s="341">
        <f t="shared" si="14"/>
        <v>0</v>
      </c>
      <c r="N76" s="340" t="s">
        <v>156</v>
      </c>
      <c r="O76" s="12"/>
      <c r="P76" s="344"/>
      <c r="Q76" s="3"/>
      <c r="R76" s="345"/>
      <c r="S76" s="346">
        <f t="shared" si="15"/>
        <v>0</v>
      </c>
      <c r="T76" s="346">
        <f t="shared" si="16"/>
        <v>0</v>
      </c>
      <c r="U76" s="346">
        <f t="shared" si="17"/>
        <v>0</v>
      </c>
      <c r="V76" s="347">
        <f t="shared" si="18"/>
        <v>0</v>
      </c>
      <c r="W76" s="347">
        <f t="shared" si="19"/>
        <v>0</v>
      </c>
      <c r="X76" s="356"/>
      <c r="Y76" s="349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50">
        <f t="shared" si="10"/>
        <v>0</v>
      </c>
      <c r="I77" s="351">
        <f t="shared" si="11"/>
        <v>0</v>
      </c>
      <c r="J77" s="352"/>
      <c r="K77" s="88">
        <f t="shared" si="12"/>
        <v>0</v>
      </c>
      <c r="L77" s="350">
        <f t="shared" si="13"/>
        <v>0</v>
      </c>
      <c r="M77" s="350">
        <f t="shared" si="14"/>
        <v>0</v>
      </c>
      <c r="N77" s="128" t="s">
        <v>156</v>
      </c>
      <c r="O77" s="16"/>
      <c r="P77" s="344"/>
      <c r="Q77" s="1"/>
      <c r="R77" s="15"/>
      <c r="S77" s="353">
        <f t="shared" si="15"/>
        <v>0</v>
      </c>
      <c r="T77" s="354">
        <f t="shared" si="16"/>
        <v>0</v>
      </c>
      <c r="U77" s="354">
        <f t="shared" si="17"/>
        <v>0</v>
      </c>
      <c r="V77" s="355">
        <f t="shared" si="18"/>
        <v>0</v>
      </c>
      <c r="W77" s="355">
        <f t="shared" si="19"/>
        <v>0</v>
      </c>
      <c r="X77" s="356"/>
      <c r="Y77" s="349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340"/>
      <c r="H78" s="341">
        <f t="shared" si="10"/>
        <v>0</v>
      </c>
      <c r="I78" s="342">
        <f t="shared" si="11"/>
        <v>0</v>
      </c>
      <c r="J78" s="352"/>
      <c r="K78" s="89">
        <f t="shared" si="12"/>
        <v>0</v>
      </c>
      <c r="L78" s="341">
        <f t="shared" si="13"/>
        <v>0</v>
      </c>
      <c r="M78" s="341">
        <f t="shared" si="14"/>
        <v>0</v>
      </c>
      <c r="N78" s="340" t="s">
        <v>156</v>
      </c>
      <c r="O78" s="12"/>
      <c r="P78" s="344"/>
      <c r="Q78" s="3"/>
      <c r="R78" s="345"/>
      <c r="S78" s="346">
        <f t="shared" si="15"/>
        <v>0</v>
      </c>
      <c r="T78" s="346">
        <f t="shared" si="16"/>
        <v>0</v>
      </c>
      <c r="U78" s="346">
        <f t="shared" si="17"/>
        <v>0</v>
      </c>
      <c r="V78" s="347">
        <f t="shared" si="18"/>
        <v>0</v>
      </c>
      <c r="W78" s="347">
        <f t="shared" si="19"/>
        <v>0</v>
      </c>
      <c r="X78" s="356"/>
      <c r="Y78" s="349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50">
        <f t="shared" si="10"/>
        <v>0</v>
      </c>
      <c r="I79" s="351">
        <f t="shared" si="11"/>
        <v>0</v>
      </c>
      <c r="J79" s="352"/>
      <c r="K79" s="88">
        <f t="shared" si="12"/>
        <v>0</v>
      </c>
      <c r="L79" s="350">
        <f t="shared" si="13"/>
        <v>0</v>
      </c>
      <c r="M79" s="350">
        <f t="shared" si="14"/>
        <v>0</v>
      </c>
      <c r="N79" s="128" t="s">
        <v>156</v>
      </c>
      <c r="O79" s="16"/>
      <c r="P79" s="344"/>
      <c r="Q79" s="1"/>
      <c r="R79" s="15"/>
      <c r="S79" s="353">
        <f t="shared" si="15"/>
        <v>0</v>
      </c>
      <c r="T79" s="354">
        <f t="shared" si="16"/>
        <v>0</v>
      </c>
      <c r="U79" s="354">
        <f t="shared" si="17"/>
        <v>0</v>
      </c>
      <c r="V79" s="355">
        <f t="shared" si="18"/>
        <v>0</v>
      </c>
      <c r="W79" s="355">
        <f t="shared" si="19"/>
        <v>0</v>
      </c>
      <c r="X79" s="356"/>
      <c r="Y79" s="349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340"/>
      <c r="H80" s="341">
        <f t="shared" si="10"/>
        <v>0</v>
      </c>
      <c r="I80" s="342">
        <f t="shared" si="11"/>
        <v>0</v>
      </c>
      <c r="J80" s="352"/>
      <c r="K80" s="89">
        <f t="shared" si="12"/>
        <v>0</v>
      </c>
      <c r="L80" s="341">
        <f t="shared" si="13"/>
        <v>0</v>
      </c>
      <c r="M80" s="341">
        <f t="shared" si="14"/>
        <v>0</v>
      </c>
      <c r="N80" s="340" t="s">
        <v>156</v>
      </c>
      <c r="O80" s="12"/>
      <c r="P80" s="344"/>
      <c r="Q80" s="3"/>
      <c r="R80" s="345"/>
      <c r="S80" s="346">
        <f t="shared" si="15"/>
        <v>0</v>
      </c>
      <c r="T80" s="346">
        <f t="shared" si="16"/>
        <v>0</v>
      </c>
      <c r="U80" s="346">
        <f t="shared" si="17"/>
        <v>0</v>
      </c>
      <c r="V80" s="347">
        <f t="shared" si="18"/>
        <v>0</v>
      </c>
      <c r="W80" s="347">
        <f t="shared" si="19"/>
        <v>0</v>
      </c>
      <c r="X80" s="356"/>
      <c r="Y80" s="349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119</v>
      </c>
      <c r="G81" s="359">
        <f>SUM(G18:G80)</f>
        <v>132196.96</v>
      </c>
      <c r="H81" s="79">
        <f>SUM(H18:H80)</f>
        <v>95794.9</v>
      </c>
      <c r="I81" s="80">
        <f>SUM(I18:I80)</f>
        <v>105383.11</v>
      </c>
      <c r="J81" s="81"/>
      <c r="K81" s="82">
        <f>SUM(K18:K80)</f>
        <v>119</v>
      </c>
      <c r="L81" s="79">
        <f>SUM(L18:L80)</f>
        <v>95794.9</v>
      </c>
      <c r="M81" s="80">
        <f>SUM(M18:M80)</f>
        <v>105383.11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95794.9</v>
      </c>
      <c r="U81" s="80">
        <f>SUM(U18:U80)</f>
        <v>105383.11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19" priority="3" stopIfTrue="1">
      <formula>$V$9&gt;100%</formula>
    </cfRule>
    <cfRule type="expression" dxfId="18" priority="4">
      <formula>$V$9&lt;50%</formula>
    </cfRule>
  </conditionalFormatting>
  <conditionalFormatting sqref="W9:W10">
    <cfRule type="expression" dxfId="17" priority="1">
      <formula>$W$9&lt;50%</formula>
    </cfRule>
    <cfRule type="expression" dxfId="16" priority="2">
      <formula>$W$9&gt;50%</formula>
    </cfRule>
  </conditionalFormatting>
  <dataValidations count="7">
    <dataValidation type="list" allowBlank="1" showInputMessage="1" showErrorMessage="1" sqref="G2" xr:uid="{1FA6C9C6-02D5-425F-8C24-10AB9B41077E}">
      <formula1>$Z$34:$Z$48</formula1>
    </dataValidation>
    <dataValidation type="list" allowBlank="1" showInputMessage="1" showErrorMessage="1" sqref="N18:N80" xr:uid="{F47126CE-2104-4E65-B267-2321EFA2B482}">
      <formula1>$Z$31:$Z$32</formula1>
    </dataValidation>
    <dataValidation type="list" showInputMessage="1" showErrorMessage="1" sqref="E50:E80" xr:uid="{F5BDAC66-9681-4D91-BE5E-17EFD93B32C5}">
      <formula1>$AA$18:$AA$29</formula1>
    </dataValidation>
    <dataValidation type="list" allowBlank="1" showInputMessage="1" showErrorMessage="1" sqref="J13" xr:uid="{276B6D91-D766-416C-B636-33E8070930E3}">
      <formula1>$L$9:$L$9</formula1>
    </dataValidation>
    <dataValidation type="list" allowBlank="1" showInputMessage="1" showErrorMessage="1" sqref="I13" xr:uid="{C451B4E2-98A3-49BE-A852-06A63C6F00F3}">
      <formula1>$Z$13:$Z$14</formula1>
    </dataValidation>
    <dataValidation type="list" allowBlank="1" showInputMessage="1" showErrorMessage="1" sqref="G17 R14 R17 L17" xr:uid="{5D379DE4-9F85-4B55-A5B4-FA1B8E7010F7}">
      <formula1>$Z$11:$Z$12</formula1>
    </dataValidation>
    <dataValidation type="list" showInputMessage="1" showErrorMessage="1" sqref="E21:E49" xr:uid="{F82702A5-1211-4605-85FF-6318BC5C3DC7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957DD9-D221-454A-B645-7FA9CB85FA7C}">
          <x14:formula1>
            <xm:f>'Product Type'!$A$1:$A$55</xm:f>
          </x14:formula1>
          <xm:sqref>D18:D63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66C-2120-45C6-AAB9-FA2398F96C6A}">
  <sheetPr>
    <pageSetUpPr fitToPage="1"/>
  </sheetPr>
  <dimension ref="A1:AC83"/>
  <sheetViews>
    <sheetView topLeftCell="A13" zoomScale="85" zoomScaleNormal="85" workbookViewId="0">
      <selection activeCell="C51" sqref="C51:E5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16.28515625" style="58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58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117874.50999999998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117874.50999999998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600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601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735">
        <f>IFERROR((Q2-Q3)/Q2,"")</f>
        <v>0</v>
      </c>
      <c r="R5" s="735"/>
      <c r="S5" s="736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 t="s">
        <v>602</v>
      </c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117874.50999999998</v>
      </c>
      <c r="R6" s="507"/>
      <c r="S6" s="508"/>
      <c r="T6" s="483" t="s">
        <v>97</v>
      </c>
      <c r="U6" s="485"/>
      <c r="V6" s="509"/>
      <c r="W6" s="510"/>
      <c r="X6" s="187"/>
      <c r="Y6" s="188"/>
      <c r="Z6" s="33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 t="s">
        <v>603</v>
      </c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7"/>
      <c r="Y7" s="191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339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117874.50999999998</v>
      </c>
      <c r="V9" s="733">
        <f>IFERROR(((Q3-T9)/T9),0)</f>
        <v>0</v>
      </c>
      <c r="W9" s="733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339"/>
      <c r="M10" s="483" t="s">
        <v>112</v>
      </c>
      <c r="N10" s="484"/>
      <c r="O10" s="485"/>
      <c r="P10" s="119"/>
      <c r="Q10" s="487">
        <f>F81</f>
        <v>1145</v>
      </c>
      <c r="R10" s="487"/>
      <c r="S10" s="488"/>
      <c r="T10" s="476"/>
      <c r="U10" s="476"/>
      <c r="V10" s="734"/>
      <c r="W10" s="734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732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 t="s">
        <v>431</v>
      </c>
      <c r="C18" s="5" t="s">
        <v>157</v>
      </c>
      <c r="D18" s="139" t="s">
        <v>510</v>
      </c>
      <c r="E18" s="333">
        <v>375</v>
      </c>
      <c r="F18" s="53">
        <v>1</v>
      </c>
      <c r="G18" s="340">
        <v>43.91</v>
      </c>
      <c r="H18" s="341">
        <f t="shared" ref="H18:H49" si="0">ROUND(IF($G$17="USD $", G18*$F$15,G18*$E$15),2)</f>
        <v>31.82</v>
      </c>
      <c r="I18" s="342">
        <f t="shared" ref="I18:I49" si="1">ROUND(IF($I$17=$H$17,F18*H18,F18*G18),2)</f>
        <v>31.82</v>
      </c>
      <c r="J18" s="343"/>
      <c r="K18" s="89">
        <f t="shared" ref="K18:K49" si="2">F18</f>
        <v>1</v>
      </c>
      <c r="L18" s="341">
        <f t="shared" ref="L18:L49" si="3">IFERROR(IF(N18="OEM DISC %",ROUND(IF($L$17=$G$17,G18*(1-O18),H18*(1-O18)),2),IF(N18="MARKUP %",ROUND(S18/K18*(1+O18),2))),0)</f>
        <v>31.82</v>
      </c>
      <c r="M18" s="341">
        <f t="shared" ref="M18:M49" si="4">ROUND((K18*L18),2)</f>
        <v>31.82</v>
      </c>
      <c r="N18" s="340" t="s">
        <v>156</v>
      </c>
      <c r="O18" s="36"/>
      <c r="P18" s="344"/>
      <c r="Q18" s="2"/>
      <c r="R18" s="345"/>
      <c r="S18" s="346">
        <f t="shared" ref="S18:S49" si="5">ROUND(IF($S$17=$R$17,R18,IF($S$17="USD $",R18*$E$15,R18*$F$15))*F18,2)</f>
        <v>0</v>
      </c>
      <c r="T18" s="346">
        <f t="shared" ref="T18:T49" si="6">IFERROR(ROUND(U18/F18,2),0)</f>
        <v>31.82</v>
      </c>
      <c r="U18" s="346">
        <f t="shared" ref="U18:U49" si="7">ROUND(M18-S18,2)</f>
        <v>31.82</v>
      </c>
      <c r="V18" s="347">
        <f t="shared" ref="V18:V49" si="8">IFERROR(((L18-(S18/K18))/(S18/K18)),0)</f>
        <v>0</v>
      </c>
      <c r="W18" s="347">
        <f t="shared" ref="W18:W49" si="9">IFERROR(((L18-(S18/K18))/L18),0)</f>
        <v>1</v>
      </c>
      <c r="X18" s="348"/>
      <c r="Y18" s="349"/>
      <c r="Z18" s="61"/>
      <c r="AA18" s="61">
        <v>250</v>
      </c>
      <c r="AB18" s="71"/>
      <c r="AC18" s="72"/>
    </row>
    <row r="19" spans="1:29" x14ac:dyDescent="0.25">
      <c r="A19" s="55"/>
      <c r="B19" s="1" t="s">
        <v>514</v>
      </c>
      <c r="C19" s="4" t="s">
        <v>159</v>
      </c>
      <c r="D19" s="139" t="s">
        <v>28</v>
      </c>
      <c r="E19" s="334">
        <v>375</v>
      </c>
      <c r="F19" s="54">
        <v>1</v>
      </c>
      <c r="G19" s="15">
        <v>67.14</v>
      </c>
      <c r="H19" s="350">
        <f t="shared" si="0"/>
        <v>48.65</v>
      </c>
      <c r="I19" s="351">
        <f t="shared" si="1"/>
        <v>48.65</v>
      </c>
      <c r="J19" s="352"/>
      <c r="K19" s="88">
        <f t="shared" si="2"/>
        <v>1</v>
      </c>
      <c r="L19" s="350">
        <f t="shared" si="3"/>
        <v>48.65</v>
      </c>
      <c r="M19" s="350">
        <f t="shared" si="4"/>
        <v>48.65</v>
      </c>
      <c r="N19" s="128" t="s">
        <v>156</v>
      </c>
      <c r="O19" s="16"/>
      <c r="P19" s="344"/>
      <c r="Q19" s="1"/>
      <c r="R19" s="15"/>
      <c r="S19" s="353">
        <f t="shared" si="5"/>
        <v>0</v>
      </c>
      <c r="T19" s="354">
        <f t="shared" si="6"/>
        <v>48.65</v>
      </c>
      <c r="U19" s="354">
        <f t="shared" si="7"/>
        <v>48.65</v>
      </c>
      <c r="V19" s="355">
        <f t="shared" si="8"/>
        <v>0</v>
      </c>
      <c r="W19" s="355">
        <f t="shared" si="9"/>
        <v>1</v>
      </c>
      <c r="X19" s="356"/>
      <c r="Y19" s="349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475</v>
      </c>
      <c r="C20" s="6" t="s">
        <v>161</v>
      </c>
      <c r="D20" s="139" t="s">
        <v>513</v>
      </c>
      <c r="E20" s="333">
        <v>375</v>
      </c>
      <c r="F20" s="53">
        <v>1</v>
      </c>
      <c r="G20" s="340">
        <v>85.26</v>
      </c>
      <c r="H20" s="341">
        <f t="shared" si="0"/>
        <v>61.78</v>
      </c>
      <c r="I20" s="342">
        <f t="shared" si="1"/>
        <v>61.78</v>
      </c>
      <c r="J20" s="352"/>
      <c r="K20" s="89">
        <f t="shared" si="2"/>
        <v>1</v>
      </c>
      <c r="L20" s="341">
        <f t="shared" si="3"/>
        <v>61.78</v>
      </c>
      <c r="M20" s="341">
        <f t="shared" si="4"/>
        <v>61.78</v>
      </c>
      <c r="N20" s="340" t="s">
        <v>156</v>
      </c>
      <c r="O20" s="12"/>
      <c r="P20" s="344"/>
      <c r="Q20" s="3"/>
      <c r="R20" s="345"/>
      <c r="S20" s="346">
        <f t="shared" si="5"/>
        <v>0</v>
      </c>
      <c r="T20" s="346">
        <f t="shared" si="6"/>
        <v>61.78</v>
      </c>
      <c r="U20" s="346">
        <f t="shared" si="7"/>
        <v>61.78</v>
      </c>
      <c r="V20" s="347">
        <f t="shared" si="8"/>
        <v>0</v>
      </c>
      <c r="W20" s="347">
        <f t="shared" si="9"/>
        <v>1</v>
      </c>
      <c r="X20" s="348"/>
      <c r="Y20" s="349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476</v>
      </c>
      <c r="C21" s="4" t="s">
        <v>163</v>
      </c>
      <c r="D21" s="139" t="s">
        <v>27</v>
      </c>
      <c r="E21" s="335">
        <v>500</v>
      </c>
      <c r="F21" s="54">
        <v>1</v>
      </c>
      <c r="G21" s="15">
        <v>106.14</v>
      </c>
      <c r="H21" s="350">
        <f t="shared" si="0"/>
        <v>76.91</v>
      </c>
      <c r="I21" s="351">
        <f t="shared" si="1"/>
        <v>76.91</v>
      </c>
      <c r="J21" s="352"/>
      <c r="K21" s="88">
        <f t="shared" si="2"/>
        <v>1</v>
      </c>
      <c r="L21" s="350">
        <f t="shared" si="3"/>
        <v>76.91</v>
      </c>
      <c r="M21" s="350">
        <f t="shared" si="4"/>
        <v>76.91</v>
      </c>
      <c r="N21" s="128" t="s">
        <v>156</v>
      </c>
      <c r="O21" s="16"/>
      <c r="P21" s="344"/>
      <c r="Q21" s="1"/>
      <c r="R21" s="15"/>
      <c r="S21" s="353">
        <f t="shared" si="5"/>
        <v>0</v>
      </c>
      <c r="T21" s="354">
        <f t="shared" si="6"/>
        <v>76.91</v>
      </c>
      <c r="U21" s="354">
        <f t="shared" si="7"/>
        <v>76.91</v>
      </c>
      <c r="V21" s="355">
        <f t="shared" si="8"/>
        <v>0</v>
      </c>
      <c r="W21" s="355">
        <f t="shared" si="9"/>
        <v>1</v>
      </c>
      <c r="X21" s="356"/>
      <c r="Y21" s="349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" t="s">
        <v>393</v>
      </c>
      <c r="C22" s="6" t="s">
        <v>604</v>
      </c>
      <c r="D22" s="139" t="s">
        <v>30</v>
      </c>
      <c r="E22" s="373">
        <v>500</v>
      </c>
      <c r="F22" s="53">
        <v>1</v>
      </c>
      <c r="G22" s="340">
        <v>101.65</v>
      </c>
      <c r="H22" s="341">
        <f t="shared" si="0"/>
        <v>73.66</v>
      </c>
      <c r="I22" s="342">
        <f t="shared" si="1"/>
        <v>73.66</v>
      </c>
      <c r="J22" s="352"/>
      <c r="K22" s="89">
        <f t="shared" si="2"/>
        <v>1</v>
      </c>
      <c r="L22" s="341">
        <f t="shared" si="3"/>
        <v>73.66</v>
      </c>
      <c r="M22" s="341">
        <f t="shared" si="4"/>
        <v>73.66</v>
      </c>
      <c r="N22" s="340" t="s">
        <v>156</v>
      </c>
      <c r="O22" s="12"/>
      <c r="P22" s="344"/>
      <c r="Q22" s="3"/>
      <c r="R22" s="345"/>
      <c r="S22" s="346">
        <f t="shared" si="5"/>
        <v>0</v>
      </c>
      <c r="T22" s="346">
        <f t="shared" si="6"/>
        <v>73.66</v>
      </c>
      <c r="U22" s="346">
        <f t="shared" si="7"/>
        <v>73.66</v>
      </c>
      <c r="V22" s="347">
        <f t="shared" si="8"/>
        <v>0</v>
      </c>
      <c r="W22" s="347">
        <f t="shared" si="9"/>
        <v>1</v>
      </c>
      <c r="X22" s="348"/>
      <c r="Y22" s="349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477</v>
      </c>
      <c r="C23" s="4" t="s">
        <v>166</v>
      </c>
      <c r="D23" s="139" t="s">
        <v>25</v>
      </c>
      <c r="E23" s="335">
        <v>500</v>
      </c>
      <c r="F23" s="54">
        <v>1</v>
      </c>
      <c r="G23" s="15">
        <v>165.14</v>
      </c>
      <c r="H23" s="350">
        <f t="shared" si="0"/>
        <v>119.67</v>
      </c>
      <c r="I23" s="351">
        <f t="shared" si="1"/>
        <v>119.67</v>
      </c>
      <c r="J23" s="352"/>
      <c r="K23" s="88">
        <f t="shared" si="2"/>
        <v>1</v>
      </c>
      <c r="L23" s="350">
        <f t="shared" si="3"/>
        <v>119.67</v>
      </c>
      <c r="M23" s="350">
        <f t="shared" si="4"/>
        <v>119.67</v>
      </c>
      <c r="N23" s="128" t="s">
        <v>156</v>
      </c>
      <c r="O23" s="16"/>
      <c r="P23" s="344"/>
      <c r="Q23" s="1"/>
      <c r="R23" s="15"/>
      <c r="S23" s="353">
        <f t="shared" si="5"/>
        <v>0</v>
      </c>
      <c r="T23" s="354">
        <f t="shared" si="6"/>
        <v>119.67</v>
      </c>
      <c r="U23" s="354">
        <f t="shared" si="7"/>
        <v>119.67</v>
      </c>
      <c r="V23" s="355">
        <f t="shared" si="8"/>
        <v>0</v>
      </c>
      <c r="W23" s="355">
        <f t="shared" si="9"/>
        <v>1</v>
      </c>
      <c r="X23" s="356"/>
      <c r="Y23" s="349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478</v>
      </c>
      <c r="C24" s="6" t="s">
        <v>168</v>
      </c>
      <c r="D24" s="139" t="s">
        <v>25</v>
      </c>
      <c r="E24" s="373">
        <v>500</v>
      </c>
      <c r="F24" s="53">
        <v>1</v>
      </c>
      <c r="G24" s="340">
        <v>116.8</v>
      </c>
      <c r="H24" s="341">
        <f t="shared" si="0"/>
        <v>84.64</v>
      </c>
      <c r="I24" s="342">
        <f t="shared" si="1"/>
        <v>84.64</v>
      </c>
      <c r="J24" s="352"/>
      <c r="K24" s="89">
        <f t="shared" si="2"/>
        <v>1</v>
      </c>
      <c r="L24" s="341">
        <f t="shared" si="3"/>
        <v>84.64</v>
      </c>
      <c r="M24" s="341">
        <f t="shared" si="4"/>
        <v>84.64</v>
      </c>
      <c r="N24" s="340" t="s">
        <v>156</v>
      </c>
      <c r="O24" s="12"/>
      <c r="P24" s="344"/>
      <c r="Q24" s="3"/>
      <c r="R24" s="345"/>
      <c r="S24" s="346">
        <f t="shared" si="5"/>
        <v>0</v>
      </c>
      <c r="T24" s="346">
        <f t="shared" si="6"/>
        <v>84.64</v>
      </c>
      <c r="U24" s="346">
        <f t="shared" si="7"/>
        <v>84.64</v>
      </c>
      <c r="V24" s="347">
        <f t="shared" si="8"/>
        <v>0</v>
      </c>
      <c r="W24" s="347">
        <f t="shared" si="9"/>
        <v>1</v>
      </c>
      <c r="X24" s="348"/>
      <c r="Y24" s="349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 t="s">
        <v>605</v>
      </c>
      <c r="C25" s="4" t="s">
        <v>170</v>
      </c>
      <c r="D25" s="139" t="s">
        <v>24</v>
      </c>
      <c r="E25" s="335">
        <v>500</v>
      </c>
      <c r="F25" s="54">
        <v>1</v>
      </c>
      <c r="G25" s="15">
        <v>100.74</v>
      </c>
      <c r="H25" s="350">
        <f t="shared" si="0"/>
        <v>73</v>
      </c>
      <c r="I25" s="351">
        <f t="shared" si="1"/>
        <v>73</v>
      </c>
      <c r="J25" s="352"/>
      <c r="K25" s="88">
        <f t="shared" si="2"/>
        <v>1</v>
      </c>
      <c r="L25" s="350">
        <f t="shared" si="3"/>
        <v>73</v>
      </c>
      <c r="M25" s="350">
        <f t="shared" si="4"/>
        <v>73</v>
      </c>
      <c r="N25" s="128" t="s">
        <v>156</v>
      </c>
      <c r="O25" s="16"/>
      <c r="P25" s="344"/>
      <c r="Q25" s="1"/>
      <c r="R25" s="15"/>
      <c r="S25" s="353">
        <f t="shared" si="5"/>
        <v>0</v>
      </c>
      <c r="T25" s="354">
        <f t="shared" si="6"/>
        <v>73</v>
      </c>
      <c r="U25" s="354">
        <f t="shared" si="7"/>
        <v>73</v>
      </c>
      <c r="V25" s="355">
        <f t="shared" si="8"/>
        <v>0</v>
      </c>
      <c r="W25" s="355">
        <f t="shared" si="9"/>
        <v>1</v>
      </c>
      <c r="X25" s="356"/>
      <c r="Y25" s="349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606</v>
      </c>
      <c r="C26" s="6" t="s">
        <v>172</v>
      </c>
      <c r="D26" s="139" t="s">
        <v>0</v>
      </c>
      <c r="E26" s="126" t="s">
        <v>176</v>
      </c>
      <c r="F26" s="53">
        <v>2</v>
      </c>
      <c r="G26" s="340">
        <v>453.47</v>
      </c>
      <c r="H26" s="341">
        <f t="shared" si="0"/>
        <v>328.6</v>
      </c>
      <c r="I26" s="342">
        <f t="shared" si="1"/>
        <v>657.2</v>
      </c>
      <c r="J26" s="352"/>
      <c r="K26" s="89">
        <f t="shared" si="2"/>
        <v>2</v>
      </c>
      <c r="L26" s="341">
        <f t="shared" si="3"/>
        <v>328.6</v>
      </c>
      <c r="M26" s="341">
        <f t="shared" si="4"/>
        <v>657.2</v>
      </c>
      <c r="N26" s="340" t="s">
        <v>156</v>
      </c>
      <c r="O26" s="12"/>
      <c r="P26" s="344"/>
      <c r="Q26" s="3"/>
      <c r="R26" s="345"/>
      <c r="S26" s="346">
        <f t="shared" si="5"/>
        <v>0</v>
      </c>
      <c r="T26" s="346">
        <f t="shared" si="6"/>
        <v>328.6</v>
      </c>
      <c r="U26" s="346">
        <f t="shared" si="7"/>
        <v>657.2</v>
      </c>
      <c r="V26" s="347">
        <f t="shared" si="8"/>
        <v>0</v>
      </c>
      <c r="W26" s="347">
        <f t="shared" si="9"/>
        <v>1</v>
      </c>
      <c r="X26" s="348"/>
      <c r="Y26" s="349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 t="s">
        <v>607</v>
      </c>
      <c r="C27" s="4" t="s">
        <v>174</v>
      </c>
      <c r="D27" s="139" t="s">
        <v>39</v>
      </c>
      <c r="E27" s="125" t="s">
        <v>176</v>
      </c>
      <c r="F27" s="54">
        <v>1</v>
      </c>
      <c r="G27" s="15">
        <v>2512.81</v>
      </c>
      <c r="H27" s="350">
        <f t="shared" si="0"/>
        <v>1820.88</v>
      </c>
      <c r="I27" s="351">
        <f t="shared" si="1"/>
        <v>1820.88</v>
      </c>
      <c r="J27" s="352"/>
      <c r="K27" s="88">
        <f t="shared" si="2"/>
        <v>1</v>
      </c>
      <c r="L27" s="350">
        <f t="shared" si="3"/>
        <v>1820.88</v>
      </c>
      <c r="M27" s="350">
        <f t="shared" si="4"/>
        <v>1820.88</v>
      </c>
      <c r="N27" s="128" t="s">
        <v>156</v>
      </c>
      <c r="O27" s="16"/>
      <c r="P27" s="344"/>
      <c r="Q27" s="1"/>
      <c r="R27" s="15"/>
      <c r="S27" s="353">
        <f t="shared" si="5"/>
        <v>0</v>
      </c>
      <c r="T27" s="354">
        <f t="shared" si="6"/>
        <v>1820.88</v>
      </c>
      <c r="U27" s="354">
        <f t="shared" si="7"/>
        <v>1820.88</v>
      </c>
      <c r="V27" s="355">
        <f t="shared" si="8"/>
        <v>0</v>
      </c>
      <c r="W27" s="355">
        <f t="shared" si="9"/>
        <v>1</v>
      </c>
      <c r="X27" s="356"/>
      <c r="Y27" s="349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 t="s">
        <v>503</v>
      </c>
      <c r="C28" s="6" t="s">
        <v>177</v>
      </c>
      <c r="D28" s="139" t="s">
        <v>19</v>
      </c>
      <c r="E28" s="126" t="s">
        <v>176</v>
      </c>
      <c r="F28" s="53">
        <v>6</v>
      </c>
      <c r="G28" s="340">
        <v>2167.2800000000002</v>
      </c>
      <c r="H28" s="341">
        <f t="shared" si="0"/>
        <v>1570.49</v>
      </c>
      <c r="I28" s="342">
        <f t="shared" si="1"/>
        <v>9422.94</v>
      </c>
      <c r="J28" s="352"/>
      <c r="K28" s="89">
        <f t="shared" si="2"/>
        <v>6</v>
      </c>
      <c r="L28" s="341">
        <f t="shared" si="3"/>
        <v>1570.49</v>
      </c>
      <c r="M28" s="341">
        <f t="shared" si="4"/>
        <v>9422.94</v>
      </c>
      <c r="N28" s="340" t="s">
        <v>156</v>
      </c>
      <c r="O28" s="12"/>
      <c r="P28" s="344"/>
      <c r="Q28" s="3"/>
      <c r="R28" s="345"/>
      <c r="S28" s="346">
        <f t="shared" si="5"/>
        <v>0</v>
      </c>
      <c r="T28" s="346">
        <f t="shared" si="6"/>
        <v>1570.49</v>
      </c>
      <c r="U28" s="346">
        <f t="shared" si="7"/>
        <v>9422.94</v>
      </c>
      <c r="V28" s="347">
        <f t="shared" si="8"/>
        <v>0</v>
      </c>
      <c r="W28" s="347">
        <f t="shared" si="9"/>
        <v>1</v>
      </c>
      <c r="X28" s="348"/>
      <c r="Y28" s="349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 t="s">
        <v>500</v>
      </c>
      <c r="C29" s="4" t="s">
        <v>224</v>
      </c>
      <c r="D29" s="139" t="s">
        <v>15</v>
      </c>
      <c r="E29" s="126" t="s">
        <v>176</v>
      </c>
      <c r="F29" s="54">
        <v>1</v>
      </c>
      <c r="G29" s="15">
        <v>3856.8</v>
      </c>
      <c r="H29" s="350">
        <f t="shared" si="0"/>
        <v>2794.78</v>
      </c>
      <c r="I29" s="351">
        <f t="shared" si="1"/>
        <v>2794.78</v>
      </c>
      <c r="J29" s="352"/>
      <c r="K29" s="88">
        <f t="shared" si="2"/>
        <v>1</v>
      </c>
      <c r="L29" s="350">
        <f t="shared" si="3"/>
        <v>2794.78</v>
      </c>
      <c r="M29" s="350">
        <f t="shared" si="4"/>
        <v>2794.78</v>
      </c>
      <c r="N29" s="128" t="s">
        <v>156</v>
      </c>
      <c r="O29" s="16"/>
      <c r="P29" s="344"/>
      <c r="Q29" s="1"/>
      <c r="R29" s="15"/>
      <c r="S29" s="353">
        <f t="shared" si="5"/>
        <v>0</v>
      </c>
      <c r="T29" s="354">
        <f t="shared" si="6"/>
        <v>2794.78</v>
      </c>
      <c r="U29" s="354">
        <f t="shared" si="7"/>
        <v>2794.78</v>
      </c>
      <c r="V29" s="355">
        <f t="shared" si="8"/>
        <v>0</v>
      </c>
      <c r="W29" s="355">
        <f t="shared" si="9"/>
        <v>1</v>
      </c>
      <c r="X29" s="356"/>
      <c r="Y29" s="349"/>
      <c r="Z29" s="61" t="s">
        <v>178</v>
      </c>
      <c r="AA29" s="61"/>
      <c r="AB29" s="61"/>
      <c r="AC29" s="61"/>
    </row>
    <row r="30" spans="1:29" x14ac:dyDescent="0.25">
      <c r="A30" s="55"/>
      <c r="B30" s="2" t="s">
        <v>501</v>
      </c>
      <c r="C30" s="6" t="s">
        <v>254</v>
      </c>
      <c r="D30" s="139" t="s">
        <v>16</v>
      </c>
      <c r="E30" s="126" t="s">
        <v>176</v>
      </c>
      <c r="F30" s="53">
        <v>1</v>
      </c>
      <c r="G30" s="340">
        <v>15072.15</v>
      </c>
      <c r="H30" s="341">
        <f t="shared" si="0"/>
        <v>10921.85</v>
      </c>
      <c r="I30" s="342">
        <f t="shared" si="1"/>
        <v>10921.85</v>
      </c>
      <c r="J30" s="352"/>
      <c r="K30" s="89">
        <f t="shared" si="2"/>
        <v>1</v>
      </c>
      <c r="L30" s="341">
        <f t="shared" si="3"/>
        <v>10921.85</v>
      </c>
      <c r="M30" s="341">
        <f t="shared" si="4"/>
        <v>10921.85</v>
      </c>
      <c r="N30" s="340" t="s">
        <v>156</v>
      </c>
      <c r="O30" s="12"/>
      <c r="P30" s="344"/>
      <c r="Q30" s="3"/>
      <c r="R30" s="345"/>
      <c r="S30" s="346">
        <f t="shared" si="5"/>
        <v>0</v>
      </c>
      <c r="T30" s="346">
        <f t="shared" si="6"/>
        <v>10921.85</v>
      </c>
      <c r="U30" s="346">
        <f t="shared" si="7"/>
        <v>10921.85</v>
      </c>
      <c r="V30" s="347">
        <f t="shared" si="8"/>
        <v>0</v>
      </c>
      <c r="W30" s="347">
        <f t="shared" si="9"/>
        <v>1</v>
      </c>
      <c r="X30" s="348"/>
      <c r="Y30" s="349"/>
      <c r="Z30" s="61"/>
      <c r="AA30" s="61"/>
      <c r="AB30" s="61"/>
      <c r="AC30" s="61"/>
    </row>
    <row r="31" spans="1:29" x14ac:dyDescent="0.25">
      <c r="A31" s="55"/>
      <c r="B31" s="357"/>
      <c r="C31" s="4"/>
      <c r="D31" s="139"/>
      <c r="E31" s="125" t="s">
        <v>176</v>
      </c>
      <c r="F31" s="54"/>
      <c r="G31" s="15">
        <v>0</v>
      </c>
      <c r="H31" s="350">
        <f t="shared" si="0"/>
        <v>0</v>
      </c>
      <c r="I31" s="351">
        <f t="shared" si="1"/>
        <v>0</v>
      </c>
      <c r="J31" s="352"/>
      <c r="K31" s="88">
        <f t="shared" si="2"/>
        <v>0</v>
      </c>
      <c r="L31" s="350">
        <f t="shared" si="3"/>
        <v>0</v>
      </c>
      <c r="M31" s="350">
        <f t="shared" si="4"/>
        <v>0</v>
      </c>
      <c r="N31" s="128" t="s">
        <v>156</v>
      </c>
      <c r="O31" s="16"/>
      <c r="P31" s="344"/>
      <c r="Q31" s="1"/>
      <c r="R31" s="15"/>
      <c r="S31" s="353">
        <f t="shared" si="5"/>
        <v>0</v>
      </c>
      <c r="T31" s="354">
        <f t="shared" si="6"/>
        <v>0</v>
      </c>
      <c r="U31" s="354">
        <f t="shared" si="7"/>
        <v>0</v>
      </c>
      <c r="V31" s="355">
        <f t="shared" si="8"/>
        <v>0</v>
      </c>
      <c r="W31" s="355">
        <f t="shared" si="9"/>
        <v>0</v>
      </c>
      <c r="X31" s="356"/>
      <c r="Y31" s="349"/>
      <c r="Z31" s="61" t="s">
        <v>156</v>
      </c>
      <c r="AA31" s="61"/>
      <c r="AB31" s="61"/>
      <c r="AC31" s="61"/>
    </row>
    <row r="32" spans="1:29" x14ac:dyDescent="0.25">
      <c r="A32" s="55"/>
      <c r="B32" s="2" t="s">
        <v>608</v>
      </c>
      <c r="C32" s="4" t="s">
        <v>609</v>
      </c>
      <c r="D32" s="139" t="s">
        <v>23</v>
      </c>
      <c r="E32" s="126" t="s">
        <v>176</v>
      </c>
      <c r="F32" s="53">
        <v>1</v>
      </c>
      <c r="G32" s="340">
        <v>6819.08</v>
      </c>
      <c r="H32" s="341">
        <f t="shared" si="0"/>
        <v>4941.3599999999997</v>
      </c>
      <c r="I32" s="342">
        <f t="shared" si="1"/>
        <v>4941.3599999999997</v>
      </c>
      <c r="J32" s="352"/>
      <c r="K32" s="89">
        <f t="shared" si="2"/>
        <v>1</v>
      </c>
      <c r="L32" s="341">
        <f t="shared" si="3"/>
        <v>4941.3599999999997</v>
      </c>
      <c r="M32" s="341">
        <f t="shared" si="4"/>
        <v>4941.3599999999997</v>
      </c>
      <c r="N32" s="340" t="s">
        <v>156</v>
      </c>
      <c r="O32" s="12"/>
      <c r="P32" s="344"/>
      <c r="Q32" s="3"/>
      <c r="R32" s="345"/>
      <c r="S32" s="346">
        <f t="shared" si="5"/>
        <v>0</v>
      </c>
      <c r="T32" s="346">
        <f t="shared" si="6"/>
        <v>4941.3599999999997</v>
      </c>
      <c r="U32" s="346">
        <f t="shared" si="7"/>
        <v>4941.3599999999997</v>
      </c>
      <c r="V32" s="347">
        <f t="shared" si="8"/>
        <v>0</v>
      </c>
      <c r="W32" s="347">
        <f t="shared" si="9"/>
        <v>1</v>
      </c>
      <c r="X32" s="348"/>
      <c r="Y32" s="349"/>
      <c r="Z32" s="61" t="s">
        <v>180</v>
      </c>
      <c r="AA32" s="61"/>
      <c r="AB32" s="61"/>
      <c r="AC32" s="61"/>
    </row>
    <row r="33" spans="1:29" x14ac:dyDescent="0.25">
      <c r="A33" s="55"/>
      <c r="B33" s="1"/>
      <c r="C33" s="6"/>
      <c r="D33" s="139"/>
      <c r="E33" s="125"/>
      <c r="F33" s="54"/>
      <c r="G33" s="15">
        <v>0</v>
      </c>
      <c r="H33" s="350">
        <f t="shared" si="0"/>
        <v>0</v>
      </c>
      <c r="I33" s="351">
        <f t="shared" si="1"/>
        <v>0</v>
      </c>
      <c r="J33" s="352"/>
      <c r="K33" s="88">
        <f t="shared" si="2"/>
        <v>0</v>
      </c>
      <c r="L33" s="350">
        <f t="shared" si="3"/>
        <v>0</v>
      </c>
      <c r="M33" s="350">
        <f t="shared" si="4"/>
        <v>0</v>
      </c>
      <c r="N33" s="128" t="s">
        <v>156</v>
      </c>
      <c r="O33" s="16"/>
      <c r="P33" s="344"/>
      <c r="Q33" s="1"/>
      <c r="R33" s="15"/>
      <c r="S33" s="353">
        <f t="shared" si="5"/>
        <v>0</v>
      </c>
      <c r="T33" s="354">
        <f t="shared" si="6"/>
        <v>0</v>
      </c>
      <c r="U33" s="354">
        <f t="shared" si="7"/>
        <v>0</v>
      </c>
      <c r="V33" s="355">
        <f t="shared" si="8"/>
        <v>0</v>
      </c>
      <c r="W33" s="355">
        <f t="shared" si="9"/>
        <v>0</v>
      </c>
      <c r="X33" s="356"/>
      <c r="Y33" s="349"/>
      <c r="Z33" s="61"/>
      <c r="AA33" s="61"/>
      <c r="AB33" s="61"/>
      <c r="AC33" s="61"/>
    </row>
    <row r="34" spans="1:29" x14ac:dyDescent="0.25">
      <c r="A34" s="55"/>
      <c r="B34" s="2"/>
      <c r="C34" s="4"/>
      <c r="D34" s="139"/>
      <c r="E34" s="126"/>
      <c r="F34" s="53"/>
      <c r="G34" s="340">
        <v>0</v>
      </c>
      <c r="H34" s="341">
        <f t="shared" si="0"/>
        <v>0</v>
      </c>
      <c r="I34" s="342">
        <f t="shared" si="1"/>
        <v>0</v>
      </c>
      <c r="J34" s="352"/>
      <c r="K34" s="89">
        <f t="shared" si="2"/>
        <v>0</v>
      </c>
      <c r="L34" s="341">
        <f t="shared" si="3"/>
        <v>0</v>
      </c>
      <c r="M34" s="341">
        <f t="shared" si="4"/>
        <v>0</v>
      </c>
      <c r="N34" s="340" t="s">
        <v>156</v>
      </c>
      <c r="O34" s="12"/>
      <c r="P34" s="344"/>
      <c r="Q34" s="3"/>
      <c r="R34" s="345"/>
      <c r="S34" s="346">
        <f t="shared" si="5"/>
        <v>0</v>
      </c>
      <c r="T34" s="346">
        <f t="shared" si="6"/>
        <v>0</v>
      </c>
      <c r="U34" s="346">
        <f t="shared" si="7"/>
        <v>0</v>
      </c>
      <c r="V34" s="347">
        <f t="shared" si="8"/>
        <v>0</v>
      </c>
      <c r="W34" s="347">
        <f t="shared" si="9"/>
        <v>0</v>
      </c>
      <c r="X34" s="348"/>
      <c r="Y34" s="349"/>
      <c r="Z34" s="61" t="s">
        <v>56</v>
      </c>
      <c r="AA34" s="61"/>
      <c r="AB34" s="61"/>
      <c r="AC34" s="61"/>
    </row>
    <row r="35" spans="1:29" x14ac:dyDescent="0.25">
      <c r="A35" s="55"/>
      <c r="B35" s="1" t="s">
        <v>610</v>
      </c>
      <c r="C35" s="6" t="s">
        <v>181</v>
      </c>
      <c r="D35" s="139" t="s">
        <v>49</v>
      </c>
      <c r="E35" s="125" t="s">
        <v>176</v>
      </c>
      <c r="F35" s="54">
        <v>2</v>
      </c>
      <c r="G35" s="15">
        <v>2226.96</v>
      </c>
      <c r="H35" s="350">
        <f t="shared" si="0"/>
        <v>1613.74</v>
      </c>
      <c r="I35" s="351">
        <f t="shared" si="1"/>
        <v>3227.48</v>
      </c>
      <c r="J35" s="352"/>
      <c r="K35" s="88">
        <f t="shared" si="2"/>
        <v>2</v>
      </c>
      <c r="L35" s="350">
        <f t="shared" si="3"/>
        <v>1613.74</v>
      </c>
      <c r="M35" s="350">
        <f t="shared" si="4"/>
        <v>3227.48</v>
      </c>
      <c r="N35" s="128" t="s">
        <v>156</v>
      </c>
      <c r="O35" s="16"/>
      <c r="P35" s="344"/>
      <c r="Q35" s="1"/>
      <c r="R35" s="15"/>
      <c r="S35" s="353">
        <f t="shared" si="5"/>
        <v>0</v>
      </c>
      <c r="T35" s="354">
        <f t="shared" si="6"/>
        <v>1613.74</v>
      </c>
      <c r="U35" s="354">
        <f t="shared" si="7"/>
        <v>3227.48</v>
      </c>
      <c r="V35" s="355">
        <f t="shared" si="8"/>
        <v>0</v>
      </c>
      <c r="W35" s="355">
        <f t="shared" si="9"/>
        <v>1</v>
      </c>
      <c r="X35" s="356"/>
      <c r="Y35" s="349"/>
      <c r="Z35" s="61" t="s">
        <v>58</v>
      </c>
      <c r="AA35" s="61"/>
      <c r="AB35" s="61"/>
      <c r="AC35" s="61"/>
    </row>
    <row r="36" spans="1:29" x14ac:dyDescent="0.25">
      <c r="A36" s="55"/>
      <c r="B36" s="2" t="s">
        <v>611</v>
      </c>
      <c r="C36" s="4" t="s">
        <v>182</v>
      </c>
      <c r="D36" s="139" t="s">
        <v>49</v>
      </c>
      <c r="E36" s="125" t="s">
        <v>176</v>
      </c>
      <c r="F36" s="53">
        <v>32</v>
      </c>
      <c r="G36" s="340">
        <v>20.8</v>
      </c>
      <c r="H36" s="341">
        <f t="shared" si="0"/>
        <v>15.07</v>
      </c>
      <c r="I36" s="342">
        <f t="shared" si="1"/>
        <v>482.24</v>
      </c>
      <c r="J36" s="352"/>
      <c r="K36" s="89">
        <f t="shared" si="2"/>
        <v>32</v>
      </c>
      <c r="L36" s="341">
        <f t="shared" si="3"/>
        <v>15.07</v>
      </c>
      <c r="M36" s="341">
        <f t="shared" si="4"/>
        <v>482.24</v>
      </c>
      <c r="N36" s="340" t="s">
        <v>156</v>
      </c>
      <c r="O36" s="12"/>
      <c r="P36" s="344"/>
      <c r="Q36" s="3"/>
      <c r="R36" s="345"/>
      <c r="S36" s="346">
        <f t="shared" si="5"/>
        <v>0</v>
      </c>
      <c r="T36" s="346">
        <f t="shared" si="6"/>
        <v>15.07</v>
      </c>
      <c r="U36" s="346">
        <f t="shared" si="7"/>
        <v>482.24</v>
      </c>
      <c r="V36" s="347">
        <f t="shared" si="8"/>
        <v>0</v>
      </c>
      <c r="W36" s="347">
        <f t="shared" si="9"/>
        <v>1</v>
      </c>
      <c r="X36" s="348"/>
      <c r="Y36" s="349"/>
      <c r="Z36" s="61" t="s">
        <v>57</v>
      </c>
      <c r="AA36" s="61"/>
      <c r="AB36" s="61"/>
      <c r="AC36" s="61"/>
    </row>
    <row r="37" spans="1:29" x14ac:dyDescent="0.25">
      <c r="A37" s="55"/>
      <c r="B37" s="1"/>
      <c r="C37" s="6"/>
      <c r="D37" s="139"/>
      <c r="E37" s="125"/>
      <c r="F37" s="54"/>
      <c r="G37" s="15">
        <v>0</v>
      </c>
      <c r="H37" s="350">
        <f t="shared" si="0"/>
        <v>0</v>
      </c>
      <c r="I37" s="351">
        <f t="shared" si="1"/>
        <v>0</v>
      </c>
      <c r="J37" s="352"/>
      <c r="K37" s="88">
        <f t="shared" si="2"/>
        <v>0</v>
      </c>
      <c r="L37" s="350">
        <f t="shared" si="3"/>
        <v>0</v>
      </c>
      <c r="M37" s="350">
        <f t="shared" si="4"/>
        <v>0</v>
      </c>
      <c r="N37" s="128" t="s">
        <v>156</v>
      </c>
      <c r="O37" s="16"/>
      <c r="P37" s="344"/>
      <c r="Q37" s="1"/>
      <c r="R37" s="15"/>
      <c r="S37" s="353">
        <f t="shared" si="5"/>
        <v>0</v>
      </c>
      <c r="T37" s="354">
        <f t="shared" si="6"/>
        <v>0</v>
      </c>
      <c r="U37" s="354">
        <f t="shared" si="7"/>
        <v>0</v>
      </c>
      <c r="V37" s="355">
        <f t="shared" si="8"/>
        <v>0</v>
      </c>
      <c r="W37" s="355">
        <f t="shared" si="9"/>
        <v>0</v>
      </c>
      <c r="X37" s="356"/>
      <c r="Y37" s="349"/>
      <c r="Z37" s="61" t="s">
        <v>59</v>
      </c>
      <c r="AA37" s="61"/>
      <c r="AB37" s="61"/>
      <c r="AC37" s="61"/>
    </row>
    <row r="38" spans="1:29" x14ac:dyDescent="0.25">
      <c r="A38" s="55"/>
      <c r="B38" s="2" t="s">
        <v>400</v>
      </c>
      <c r="C38" s="4" t="s">
        <v>184</v>
      </c>
      <c r="D38" s="139" t="s">
        <v>47</v>
      </c>
      <c r="E38" s="126" t="s">
        <v>176</v>
      </c>
      <c r="F38" s="53">
        <v>2</v>
      </c>
      <c r="G38" s="340">
        <v>2827.79</v>
      </c>
      <c r="H38" s="341">
        <f t="shared" si="0"/>
        <v>2049.12</v>
      </c>
      <c r="I38" s="342">
        <f t="shared" si="1"/>
        <v>4098.24</v>
      </c>
      <c r="J38" s="352"/>
      <c r="K38" s="89">
        <f t="shared" si="2"/>
        <v>2</v>
      </c>
      <c r="L38" s="341">
        <f t="shared" si="3"/>
        <v>2049.12</v>
      </c>
      <c r="M38" s="341">
        <f t="shared" si="4"/>
        <v>4098.24</v>
      </c>
      <c r="N38" s="340" t="s">
        <v>156</v>
      </c>
      <c r="O38" s="12"/>
      <c r="P38" s="344"/>
      <c r="Q38" s="3"/>
      <c r="R38" s="345"/>
      <c r="S38" s="346">
        <f t="shared" si="5"/>
        <v>0</v>
      </c>
      <c r="T38" s="346">
        <f t="shared" si="6"/>
        <v>2049.12</v>
      </c>
      <c r="U38" s="346">
        <f t="shared" si="7"/>
        <v>4098.24</v>
      </c>
      <c r="V38" s="347">
        <f t="shared" si="8"/>
        <v>0</v>
      </c>
      <c r="W38" s="347">
        <f t="shared" si="9"/>
        <v>1</v>
      </c>
      <c r="X38" s="356"/>
      <c r="Y38" s="349"/>
      <c r="Z38" s="61" t="s">
        <v>60</v>
      </c>
      <c r="AA38" s="61"/>
      <c r="AB38" s="61"/>
      <c r="AC38" s="61"/>
    </row>
    <row r="39" spans="1:29" x14ac:dyDescent="0.25">
      <c r="A39" s="55"/>
      <c r="B39" s="1" t="s">
        <v>402</v>
      </c>
      <c r="C39" s="6" t="s">
        <v>185</v>
      </c>
      <c r="D39" s="139" t="s">
        <v>48</v>
      </c>
      <c r="E39" s="125" t="s">
        <v>176</v>
      </c>
      <c r="F39" s="54">
        <v>4</v>
      </c>
      <c r="G39" s="15">
        <v>14.2</v>
      </c>
      <c r="H39" s="350">
        <f t="shared" si="0"/>
        <v>10.29</v>
      </c>
      <c r="I39" s="351">
        <f t="shared" si="1"/>
        <v>41.16</v>
      </c>
      <c r="J39" s="352"/>
      <c r="K39" s="88">
        <f t="shared" si="2"/>
        <v>4</v>
      </c>
      <c r="L39" s="350">
        <f t="shared" si="3"/>
        <v>10.29</v>
      </c>
      <c r="M39" s="350">
        <f t="shared" si="4"/>
        <v>41.16</v>
      </c>
      <c r="N39" s="128" t="s">
        <v>156</v>
      </c>
      <c r="O39" s="16"/>
      <c r="P39" s="344"/>
      <c r="Q39" s="1"/>
      <c r="R39" s="15"/>
      <c r="S39" s="353">
        <f t="shared" si="5"/>
        <v>0</v>
      </c>
      <c r="T39" s="354">
        <f t="shared" si="6"/>
        <v>10.29</v>
      </c>
      <c r="U39" s="354">
        <f t="shared" si="7"/>
        <v>41.16</v>
      </c>
      <c r="V39" s="355">
        <f t="shared" si="8"/>
        <v>0</v>
      </c>
      <c r="W39" s="355">
        <f t="shared" si="9"/>
        <v>1</v>
      </c>
      <c r="X39" s="356"/>
      <c r="Y39" s="349"/>
      <c r="Z39" s="61" t="s">
        <v>61</v>
      </c>
      <c r="AA39" s="61"/>
      <c r="AB39" s="61"/>
      <c r="AC39" s="61"/>
    </row>
    <row r="40" spans="1:29" x14ac:dyDescent="0.25">
      <c r="A40" s="55"/>
      <c r="B40" s="2" t="s">
        <v>612</v>
      </c>
      <c r="C40" s="4" t="s">
        <v>186</v>
      </c>
      <c r="D40" s="139" t="s">
        <v>43</v>
      </c>
      <c r="E40" s="126" t="s">
        <v>176</v>
      </c>
      <c r="F40" s="53">
        <v>4</v>
      </c>
      <c r="G40" s="340">
        <v>983.71</v>
      </c>
      <c r="H40" s="341">
        <f t="shared" si="0"/>
        <v>712.83</v>
      </c>
      <c r="I40" s="342">
        <f t="shared" si="1"/>
        <v>2851.32</v>
      </c>
      <c r="J40" s="352"/>
      <c r="K40" s="89">
        <f t="shared" si="2"/>
        <v>4</v>
      </c>
      <c r="L40" s="341">
        <f t="shared" si="3"/>
        <v>712.83</v>
      </c>
      <c r="M40" s="341">
        <f t="shared" si="4"/>
        <v>2851.32</v>
      </c>
      <c r="N40" s="340" t="s">
        <v>156</v>
      </c>
      <c r="O40" s="12"/>
      <c r="P40" s="344"/>
      <c r="Q40" s="3"/>
      <c r="R40" s="345"/>
      <c r="S40" s="346">
        <f t="shared" si="5"/>
        <v>0</v>
      </c>
      <c r="T40" s="346">
        <f t="shared" si="6"/>
        <v>712.83</v>
      </c>
      <c r="U40" s="346">
        <f t="shared" si="7"/>
        <v>2851.32</v>
      </c>
      <c r="V40" s="347">
        <f t="shared" si="8"/>
        <v>0</v>
      </c>
      <c r="W40" s="347">
        <f t="shared" si="9"/>
        <v>1</v>
      </c>
      <c r="X40" s="356"/>
      <c r="Y40" s="349"/>
      <c r="Z40" s="61" t="s">
        <v>62</v>
      </c>
      <c r="AA40" s="61"/>
      <c r="AB40" s="61"/>
      <c r="AC40" s="61"/>
    </row>
    <row r="41" spans="1:29" x14ac:dyDescent="0.25">
      <c r="A41" s="55"/>
      <c r="B41" s="1" t="s">
        <v>613</v>
      </c>
      <c r="C41" s="6" t="s">
        <v>188</v>
      </c>
      <c r="D41" s="139" t="s">
        <v>44</v>
      </c>
      <c r="E41" s="125" t="s">
        <v>176</v>
      </c>
      <c r="F41" s="54">
        <v>72</v>
      </c>
      <c r="G41" s="15">
        <v>34.51</v>
      </c>
      <c r="H41" s="350">
        <f t="shared" si="0"/>
        <v>25.01</v>
      </c>
      <c r="I41" s="351">
        <f t="shared" si="1"/>
        <v>1800.72</v>
      </c>
      <c r="J41" s="352"/>
      <c r="K41" s="88">
        <f t="shared" si="2"/>
        <v>72</v>
      </c>
      <c r="L41" s="350">
        <f t="shared" si="3"/>
        <v>25.01</v>
      </c>
      <c r="M41" s="350">
        <f t="shared" si="4"/>
        <v>1800.72</v>
      </c>
      <c r="N41" s="128" t="s">
        <v>156</v>
      </c>
      <c r="O41" s="16"/>
      <c r="P41" s="344"/>
      <c r="Q41" s="1"/>
      <c r="R41" s="15"/>
      <c r="S41" s="353">
        <f t="shared" si="5"/>
        <v>0</v>
      </c>
      <c r="T41" s="354">
        <f t="shared" si="6"/>
        <v>25.01</v>
      </c>
      <c r="U41" s="354">
        <f t="shared" si="7"/>
        <v>1800.72</v>
      </c>
      <c r="V41" s="355">
        <f t="shared" si="8"/>
        <v>0</v>
      </c>
      <c r="W41" s="355">
        <f t="shared" si="9"/>
        <v>1</v>
      </c>
      <c r="X41" s="356"/>
      <c r="Y41" s="349"/>
      <c r="Z41" s="61" t="s">
        <v>63</v>
      </c>
      <c r="AA41" s="61"/>
      <c r="AB41" s="61"/>
      <c r="AC41" s="61"/>
    </row>
    <row r="42" spans="1:29" x14ac:dyDescent="0.25">
      <c r="A42" s="55"/>
      <c r="B42" s="2" t="s">
        <v>407</v>
      </c>
      <c r="C42" s="4" t="s">
        <v>614</v>
      </c>
      <c r="D42" s="139" t="s">
        <v>43</v>
      </c>
      <c r="E42" s="126" t="s">
        <v>176</v>
      </c>
      <c r="F42" s="53">
        <v>18</v>
      </c>
      <c r="G42" s="340">
        <v>1343.53</v>
      </c>
      <c r="H42" s="341">
        <f t="shared" si="0"/>
        <v>973.57</v>
      </c>
      <c r="I42" s="342">
        <f t="shared" si="1"/>
        <v>17524.259999999998</v>
      </c>
      <c r="J42" s="352"/>
      <c r="K42" s="89">
        <f t="shared" si="2"/>
        <v>18</v>
      </c>
      <c r="L42" s="341">
        <f t="shared" si="3"/>
        <v>973.57</v>
      </c>
      <c r="M42" s="341">
        <f t="shared" si="4"/>
        <v>17524.259999999998</v>
      </c>
      <c r="N42" s="340" t="s">
        <v>156</v>
      </c>
      <c r="O42" s="12"/>
      <c r="P42" s="344"/>
      <c r="Q42" s="3"/>
      <c r="R42" s="345"/>
      <c r="S42" s="346">
        <f t="shared" si="5"/>
        <v>0</v>
      </c>
      <c r="T42" s="346">
        <f t="shared" si="6"/>
        <v>973.57</v>
      </c>
      <c r="U42" s="346">
        <f t="shared" si="7"/>
        <v>17524.259999999998</v>
      </c>
      <c r="V42" s="347">
        <f t="shared" si="8"/>
        <v>0</v>
      </c>
      <c r="W42" s="347">
        <f t="shared" si="9"/>
        <v>1</v>
      </c>
      <c r="X42" s="356"/>
      <c r="Y42" s="349"/>
      <c r="Z42" s="61" t="s">
        <v>189</v>
      </c>
      <c r="AA42" s="61"/>
      <c r="AB42" s="61"/>
      <c r="AC42" s="61"/>
    </row>
    <row r="43" spans="1:29" x14ac:dyDescent="0.25">
      <c r="A43" s="55"/>
      <c r="B43" s="1" t="s">
        <v>615</v>
      </c>
      <c r="C43" s="6" t="s">
        <v>616</v>
      </c>
      <c r="D43" s="139" t="s">
        <v>44</v>
      </c>
      <c r="E43" s="125" t="s">
        <v>176</v>
      </c>
      <c r="F43" s="54">
        <v>16</v>
      </c>
      <c r="G43" s="15">
        <v>31.73</v>
      </c>
      <c r="H43" s="350">
        <f t="shared" si="0"/>
        <v>22.99</v>
      </c>
      <c r="I43" s="351">
        <f t="shared" si="1"/>
        <v>367.84</v>
      </c>
      <c r="J43" s="352"/>
      <c r="K43" s="88">
        <f t="shared" si="2"/>
        <v>16</v>
      </c>
      <c r="L43" s="350">
        <f t="shared" si="3"/>
        <v>22.99</v>
      </c>
      <c r="M43" s="350">
        <f t="shared" si="4"/>
        <v>367.84</v>
      </c>
      <c r="N43" s="128" t="s">
        <v>156</v>
      </c>
      <c r="O43" s="16"/>
      <c r="P43" s="344"/>
      <c r="Q43" s="1"/>
      <c r="R43" s="15"/>
      <c r="S43" s="353">
        <f t="shared" si="5"/>
        <v>0</v>
      </c>
      <c r="T43" s="354">
        <f t="shared" si="6"/>
        <v>22.99</v>
      </c>
      <c r="U43" s="354">
        <f t="shared" si="7"/>
        <v>367.84</v>
      </c>
      <c r="V43" s="355">
        <f t="shared" si="8"/>
        <v>0</v>
      </c>
      <c r="W43" s="355">
        <f t="shared" si="9"/>
        <v>1</v>
      </c>
      <c r="X43" s="356"/>
      <c r="Y43" s="349"/>
      <c r="Z43" s="61" t="s">
        <v>64</v>
      </c>
      <c r="AA43" s="61"/>
      <c r="AB43" s="61"/>
      <c r="AC43" s="61"/>
    </row>
    <row r="44" spans="1:29" x14ac:dyDescent="0.25">
      <c r="A44" s="55"/>
      <c r="B44" s="2" t="s">
        <v>617</v>
      </c>
      <c r="C44" s="4" t="s">
        <v>183</v>
      </c>
      <c r="D44" s="139" t="s">
        <v>44</v>
      </c>
      <c r="E44" s="126" t="s">
        <v>176</v>
      </c>
      <c r="F44" s="53">
        <v>88</v>
      </c>
      <c r="G44" s="340">
        <v>4.8899999999999997</v>
      </c>
      <c r="H44" s="341">
        <f t="shared" si="0"/>
        <v>3.54</v>
      </c>
      <c r="I44" s="342">
        <f t="shared" si="1"/>
        <v>311.52</v>
      </c>
      <c r="J44" s="352"/>
      <c r="K44" s="89">
        <f t="shared" si="2"/>
        <v>88</v>
      </c>
      <c r="L44" s="341">
        <f t="shared" si="3"/>
        <v>3.54</v>
      </c>
      <c r="M44" s="341">
        <f t="shared" si="4"/>
        <v>311.52</v>
      </c>
      <c r="N44" s="340" t="s">
        <v>156</v>
      </c>
      <c r="O44" s="12"/>
      <c r="P44" s="344"/>
      <c r="Q44" s="3"/>
      <c r="R44" s="345"/>
      <c r="S44" s="346">
        <f t="shared" si="5"/>
        <v>0</v>
      </c>
      <c r="T44" s="346">
        <f t="shared" si="6"/>
        <v>3.54</v>
      </c>
      <c r="U44" s="346">
        <f t="shared" si="7"/>
        <v>311.52</v>
      </c>
      <c r="V44" s="347">
        <f t="shared" si="8"/>
        <v>0</v>
      </c>
      <c r="W44" s="347">
        <f t="shared" si="9"/>
        <v>1</v>
      </c>
      <c r="X44" s="356"/>
      <c r="Y44" s="349"/>
      <c r="Z44" s="61" t="s">
        <v>191</v>
      </c>
      <c r="AA44" s="61"/>
      <c r="AB44" s="61"/>
      <c r="AC44" s="61"/>
    </row>
    <row r="45" spans="1:29" x14ac:dyDescent="0.25">
      <c r="A45" s="55"/>
      <c r="B45" s="1"/>
      <c r="C45" s="6"/>
      <c r="D45" s="139"/>
      <c r="E45" s="125" t="s">
        <v>176</v>
      </c>
      <c r="F45" s="54"/>
      <c r="G45" s="15">
        <v>0</v>
      </c>
      <c r="H45" s="350">
        <f t="shared" si="0"/>
        <v>0</v>
      </c>
      <c r="I45" s="351">
        <f t="shared" si="1"/>
        <v>0</v>
      </c>
      <c r="J45" s="352"/>
      <c r="K45" s="88">
        <f t="shared" si="2"/>
        <v>0</v>
      </c>
      <c r="L45" s="350">
        <f t="shared" si="3"/>
        <v>0</v>
      </c>
      <c r="M45" s="350">
        <f t="shared" si="4"/>
        <v>0</v>
      </c>
      <c r="N45" s="128" t="s">
        <v>156</v>
      </c>
      <c r="O45" s="16"/>
      <c r="P45" s="344"/>
      <c r="Q45" s="1"/>
      <c r="R45" s="15"/>
      <c r="S45" s="353">
        <f t="shared" si="5"/>
        <v>0</v>
      </c>
      <c r="T45" s="354">
        <f t="shared" si="6"/>
        <v>0</v>
      </c>
      <c r="U45" s="354">
        <f t="shared" si="7"/>
        <v>0</v>
      </c>
      <c r="V45" s="355">
        <f t="shared" si="8"/>
        <v>0</v>
      </c>
      <c r="W45" s="355">
        <f t="shared" si="9"/>
        <v>0</v>
      </c>
      <c r="X45" s="356"/>
      <c r="Y45" s="349"/>
      <c r="Z45" s="61" t="s">
        <v>193</v>
      </c>
      <c r="AA45" s="61"/>
      <c r="AB45" s="61"/>
      <c r="AC45" s="61"/>
    </row>
    <row r="46" spans="1:29" x14ac:dyDescent="0.25">
      <c r="A46" s="55"/>
      <c r="B46" s="2" t="s">
        <v>618</v>
      </c>
      <c r="C46" s="4" t="s">
        <v>190</v>
      </c>
      <c r="D46" s="139" t="s">
        <v>51</v>
      </c>
      <c r="E46" s="126" t="s">
        <v>176</v>
      </c>
      <c r="F46" s="53">
        <v>2</v>
      </c>
      <c r="G46" s="374">
        <v>19561.310000000001</v>
      </c>
      <c r="H46" s="341">
        <f t="shared" si="0"/>
        <v>14174.86</v>
      </c>
      <c r="I46" s="342">
        <f t="shared" si="1"/>
        <v>28349.72</v>
      </c>
      <c r="J46" s="352"/>
      <c r="K46" s="89">
        <f t="shared" si="2"/>
        <v>2</v>
      </c>
      <c r="L46" s="341">
        <f t="shared" si="3"/>
        <v>14174.86</v>
      </c>
      <c r="M46" s="341">
        <f t="shared" si="4"/>
        <v>28349.72</v>
      </c>
      <c r="N46" s="340" t="s">
        <v>156</v>
      </c>
      <c r="O46" s="12"/>
      <c r="P46" s="344"/>
      <c r="Q46" s="3"/>
      <c r="R46" s="345"/>
      <c r="S46" s="346">
        <f t="shared" si="5"/>
        <v>0</v>
      </c>
      <c r="T46" s="346">
        <f t="shared" si="6"/>
        <v>14174.86</v>
      </c>
      <c r="U46" s="346">
        <f t="shared" si="7"/>
        <v>28349.72</v>
      </c>
      <c r="V46" s="347">
        <f t="shared" si="8"/>
        <v>0</v>
      </c>
      <c r="W46" s="347">
        <f t="shared" si="9"/>
        <v>1</v>
      </c>
      <c r="X46" s="356"/>
      <c r="Y46" s="349"/>
      <c r="Z46" s="61" t="s">
        <v>65</v>
      </c>
      <c r="AA46" s="61"/>
      <c r="AB46" s="61"/>
      <c r="AC46" s="61"/>
    </row>
    <row r="47" spans="1:29" x14ac:dyDescent="0.25">
      <c r="A47" s="55"/>
      <c r="B47" s="1" t="s">
        <v>411</v>
      </c>
      <c r="C47" s="6" t="s">
        <v>192</v>
      </c>
      <c r="D47" s="139" t="s">
        <v>53</v>
      </c>
      <c r="E47" s="125" t="s">
        <v>176</v>
      </c>
      <c r="F47" s="54">
        <v>98</v>
      </c>
      <c r="G47" s="15">
        <v>265.79000000000002</v>
      </c>
      <c r="H47" s="350">
        <f t="shared" si="0"/>
        <v>192.6</v>
      </c>
      <c r="I47" s="351">
        <f t="shared" si="1"/>
        <v>18874.8</v>
      </c>
      <c r="J47" s="352"/>
      <c r="K47" s="88">
        <f t="shared" si="2"/>
        <v>98</v>
      </c>
      <c r="L47" s="350">
        <f t="shared" si="3"/>
        <v>192.6</v>
      </c>
      <c r="M47" s="350">
        <f t="shared" si="4"/>
        <v>18874.8</v>
      </c>
      <c r="N47" s="128" t="s">
        <v>156</v>
      </c>
      <c r="O47" s="16"/>
      <c r="P47" s="344"/>
      <c r="Q47" s="1"/>
      <c r="R47" s="15"/>
      <c r="S47" s="353">
        <f t="shared" si="5"/>
        <v>0</v>
      </c>
      <c r="T47" s="354">
        <f t="shared" si="6"/>
        <v>192.6</v>
      </c>
      <c r="U47" s="354">
        <f t="shared" si="7"/>
        <v>18874.8</v>
      </c>
      <c r="V47" s="355">
        <f t="shared" si="8"/>
        <v>0</v>
      </c>
      <c r="W47" s="355">
        <f t="shared" si="9"/>
        <v>1</v>
      </c>
      <c r="X47" s="356"/>
      <c r="Y47" s="349"/>
      <c r="Z47" s="61" t="s">
        <v>66</v>
      </c>
      <c r="AA47" s="61"/>
      <c r="AB47" s="61"/>
      <c r="AC47" s="61"/>
    </row>
    <row r="48" spans="1:29" x14ac:dyDescent="0.25">
      <c r="A48" s="55"/>
      <c r="B48" s="2" t="s">
        <v>412</v>
      </c>
      <c r="C48" s="4" t="s">
        <v>194</v>
      </c>
      <c r="D48" s="139" t="s">
        <v>54</v>
      </c>
      <c r="E48" s="126" t="s">
        <v>176</v>
      </c>
      <c r="F48" s="53">
        <v>392</v>
      </c>
      <c r="G48" s="340">
        <v>10.63</v>
      </c>
      <c r="H48" s="341">
        <f t="shared" si="0"/>
        <v>7.7</v>
      </c>
      <c r="I48" s="342">
        <f t="shared" si="1"/>
        <v>3018.4</v>
      </c>
      <c r="J48" s="352"/>
      <c r="K48" s="89">
        <f t="shared" si="2"/>
        <v>392</v>
      </c>
      <c r="L48" s="341">
        <f t="shared" si="3"/>
        <v>7.7</v>
      </c>
      <c r="M48" s="341">
        <f t="shared" si="4"/>
        <v>3018.4</v>
      </c>
      <c r="N48" s="340" t="s">
        <v>156</v>
      </c>
      <c r="O48" s="12"/>
      <c r="P48" s="344"/>
      <c r="Q48" s="3"/>
      <c r="R48" s="345"/>
      <c r="S48" s="346">
        <f t="shared" si="5"/>
        <v>0</v>
      </c>
      <c r="T48" s="346">
        <f t="shared" si="6"/>
        <v>7.7</v>
      </c>
      <c r="U48" s="346">
        <f t="shared" si="7"/>
        <v>3018.4</v>
      </c>
      <c r="V48" s="347">
        <f t="shared" si="8"/>
        <v>0</v>
      </c>
      <c r="W48" s="347">
        <f t="shared" si="9"/>
        <v>1</v>
      </c>
      <c r="X48" s="356"/>
      <c r="Y48" s="349"/>
      <c r="Z48" s="61" t="s">
        <v>196</v>
      </c>
      <c r="AA48" s="61"/>
      <c r="AB48" s="61"/>
      <c r="AC48" s="61"/>
    </row>
    <row r="49" spans="1:29" x14ac:dyDescent="0.25">
      <c r="A49" s="55"/>
      <c r="B49" s="1" t="s">
        <v>413</v>
      </c>
      <c r="C49" s="6" t="s">
        <v>195</v>
      </c>
      <c r="D49" s="139" t="s">
        <v>54</v>
      </c>
      <c r="E49" s="125" t="s">
        <v>176</v>
      </c>
      <c r="F49" s="54">
        <v>392</v>
      </c>
      <c r="G49" s="15">
        <v>4.62</v>
      </c>
      <c r="H49" s="350">
        <f t="shared" si="0"/>
        <v>3.35</v>
      </c>
      <c r="I49" s="351">
        <f t="shared" si="1"/>
        <v>1313.2</v>
      </c>
      <c r="J49" s="352"/>
      <c r="K49" s="88">
        <f t="shared" si="2"/>
        <v>392</v>
      </c>
      <c r="L49" s="350">
        <f t="shared" si="3"/>
        <v>3.35</v>
      </c>
      <c r="M49" s="350">
        <f t="shared" si="4"/>
        <v>1313.2</v>
      </c>
      <c r="N49" s="128" t="s">
        <v>156</v>
      </c>
      <c r="O49" s="16"/>
      <c r="P49" s="344"/>
      <c r="Q49" s="1"/>
      <c r="R49" s="15"/>
      <c r="S49" s="353">
        <f t="shared" si="5"/>
        <v>0</v>
      </c>
      <c r="T49" s="354">
        <f t="shared" si="6"/>
        <v>3.35</v>
      </c>
      <c r="U49" s="354">
        <f t="shared" si="7"/>
        <v>1313.2</v>
      </c>
      <c r="V49" s="355">
        <f t="shared" si="8"/>
        <v>0</v>
      </c>
      <c r="W49" s="355">
        <f t="shared" si="9"/>
        <v>1</v>
      </c>
      <c r="X49" s="356"/>
      <c r="Y49" s="349"/>
      <c r="Z49" s="61"/>
      <c r="AA49" s="61"/>
      <c r="AB49" s="61"/>
      <c r="AC49" s="61"/>
    </row>
    <row r="50" spans="1:29" x14ac:dyDescent="0.25">
      <c r="A50" s="55"/>
      <c r="B50" s="2"/>
      <c r="C50" s="4"/>
      <c r="D50" s="139"/>
      <c r="E50" s="126"/>
      <c r="F50" s="53"/>
      <c r="G50" s="340">
        <v>0</v>
      </c>
      <c r="H50" s="341">
        <f t="shared" ref="H50:H80" si="10">ROUND(IF($G$17="USD $", G50*$F$15,G50*$E$15),2)</f>
        <v>0</v>
      </c>
      <c r="I50" s="342">
        <f t="shared" ref="I50:I80" si="11">ROUND(IF($I$17=$H$17,F50*H50,F50*G50),2)</f>
        <v>0</v>
      </c>
      <c r="J50" s="352"/>
      <c r="K50" s="89">
        <f t="shared" ref="K50:K80" si="12">F50</f>
        <v>0</v>
      </c>
      <c r="L50" s="341">
        <f t="shared" ref="L50:L80" si="13">IFERROR(IF(N50="OEM DISC %",ROUND(IF($L$17=$G$17,G50*(1-O50),H50*(1-O50)),2),IF(N50="MARKUP %",ROUND(S50/K50*(1+O50),2))),0)</f>
        <v>0</v>
      </c>
      <c r="M50" s="341">
        <f t="shared" ref="M50:M80" si="14">ROUND((K50*L50),2)</f>
        <v>0</v>
      </c>
      <c r="N50" s="340" t="s">
        <v>156</v>
      </c>
      <c r="O50" s="12"/>
      <c r="P50" s="344"/>
      <c r="Q50" s="3"/>
      <c r="R50" s="345"/>
      <c r="S50" s="346">
        <f t="shared" ref="S50:S80" si="15">ROUND(IF($S$17=$R$17,R50,IF($S$17="USD $",R50*$E$15,R50*$F$15))*F50,2)</f>
        <v>0</v>
      </c>
      <c r="T50" s="346">
        <f t="shared" ref="T50:T80" si="16">IFERROR(ROUND(U50/F50,2),0)</f>
        <v>0</v>
      </c>
      <c r="U50" s="346">
        <f t="shared" ref="U50:U80" si="17">ROUND(M50-S50,2)</f>
        <v>0</v>
      </c>
      <c r="V50" s="347">
        <f t="shared" ref="V50:V80" si="18">IFERROR(((L50-(S50/K50))/(S50/K50)),0)</f>
        <v>0</v>
      </c>
      <c r="W50" s="347">
        <f t="shared" ref="W50:W80" si="19">IFERROR(((L50-(S50/K50))/L50),0)</f>
        <v>0</v>
      </c>
      <c r="X50" s="356"/>
      <c r="Y50" s="349"/>
      <c r="Z50" s="61"/>
      <c r="AA50" s="61"/>
      <c r="AB50" s="61"/>
      <c r="AC50" s="61"/>
    </row>
    <row r="51" spans="1:29" x14ac:dyDescent="0.25">
      <c r="A51" s="55"/>
      <c r="B51" s="1" t="s">
        <v>494</v>
      </c>
      <c r="C51" s="6" t="s">
        <v>197</v>
      </c>
      <c r="D51" s="139" t="s">
        <v>22</v>
      </c>
      <c r="E51" s="125" t="s">
        <v>176</v>
      </c>
      <c r="F51" s="54">
        <v>1</v>
      </c>
      <c r="G51" s="15">
        <v>2626.13</v>
      </c>
      <c r="H51" s="350">
        <f t="shared" si="10"/>
        <v>1902.99</v>
      </c>
      <c r="I51" s="351">
        <f t="shared" si="11"/>
        <v>1902.99</v>
      </c>
      <c r="J51" s="352"/>
      <c r="K51" s="88">
        <f t="shared" si="12"/>
        <v>1</v>
      </c>
      <c r="L51" s="350">
        <f t="shared" si="13"/>
        <v>1902.99</v>
      </c>
      <c r="M51" s="350">
        <f t="shared" si="14"/>
        <v>1902.99</v>
      </c>
      <c r="N51" s="128" t="s">
        <v>156</v>
      </c>
      <c r="O51" s="16"/>
      <c r="P51" s="344"/>
      <c r="Q51" s="1"/>
      <c r="R51" s="15"/>
      <c r="S51" s="353">
        <f t="shared" si="15"/>
        <v>0</v>
      </c>
      <c r="T51" s="354">
        <f t="shared" si="16"/>
        <v>1902.99</v>
      </c>
      <c r="U51" s="354">
        <f t="shared" si="17"/>
        <v>1902.99</v>
      </c>
      <c r="V51" s="355">
        <f t="shared" si="18"/>
        <v>0</v>
      </c>
      <c r="W51" s="355">
        <f t="shared" si="19"/>
        <v>1</v>
      </c>
      <c r="X51" s="356"/>
      <c r="Y51" s="349"/>
      <c r="Z51" s="61"/>
      <c r="AA51" s="61"/>
      <c r="AB51" s="61"/>
      <c r="AC51" s="61"/>
    </row>
    <row r="52" spans="1:29" x14ac:dyDescent="0.25">
      <c r="A52" s="55"/>
      <c r="B52" s="358" t="s">
        <v>495</v>
      </c>
      <c r="C52" s="4" t="s">
        <v>198</v>
      </c>
      <c r="D52" s="139" t="s">
        <v>199</v>
      </c>
      <c r="E52" s="126" t="s">
        <v>176</v>
      </c>
      <c r="F52" s="53">
        <v>1</v>
      </c>
      <c r="G52" s="340">
        <v>3005.42</v>
      </c>
      <c r="H52" s="341">
        <f t="shared" si="10"/>
        <v>2177.84</v>
      </c>
      <c r="I52" s="342">
        <f t="shared" si="11"/>
        <v>2177.84</v>
      </c>
      <c r="J52" s="352"/>
      <c r="K52" s="89">
        <f t="shared" si="12"/>
        <v>1</v>
      </c>
      <c r="L52" s="341">
        <f t="shared" si="13"/>
        <v>2177.84</v>
      </c>
      <c r="M52" s="341">
        <f t="shared" si="14"/>
        <v>2177.84</v>
      </c>
      <c r="N52" s="340" t="s">
        <v>156</v>
      </c>
      <c r="O52" s="12"/>
      <c r="P52" s="344"/>
      <c r="Q52" s="3"/>
      <c r="R52" s="345"/>
      <c r="S52" s="346">
        <f t="shared" si="15"/>
        <v>0</v>
      </c>
      <c r="T52" s="346">
        <f t="shared" si="16"/>
        <v>2177.84</v>
      </c>
      <c r="U52" s="346">
        <f t="shared" si="17"/>
        <v>2177.84</v>
      </c>
      <c r="V52" s="347">
        <f t="shared" si="18"/>
        <v>0</v>
      </c>
      <c r="W52" s="347">
        <f t="shared" si="19"/>
        <v>1</v>
      </c>
      <c r="X52" s="356"/>
      <c r="Y52" s="349"/>
      <c r="Z52" s="61"/>
      <c r="AA52" s="61"/>
      <c r="AB52" s="61"/>
      <c r="AC52" s="61"/>
    </row>
    <row r="53" spans="1:29" x14ac:dyDescent="0.25">
      <c r="A53" s="55"/>
      <c r="B53" s="1" t="s">
        <v>619</v>
      </c>
      <c r="C53" s="6" t="s">
        <v>200</v>
      </c>
      <c r="D53" s="139" t="s">
        <v>18</v>
      </c>
      <c r="E53" s="125" t="s">
        <v>176</v>
      </c>
      <c r="F53" s="54">
        <v>1</v>
      </c>
      <c r="G53" s="15">
        <v>557.02</v>
      </c>
      <c r="H53" s="350">
        <f t="shared" si="10"/>
        <v>403.64</v>
      </c>
      <c r="I53" s="351">
        <f t="shared" si="11"/>
        <v>403.64</v>
      </c>
      <c r="J53" s="352"/>
      <c r="K53" s="88">
        <f t="shared" si="12"/>
        <v>1</v>
      </c>
      <c r="L53" s="350">
        <f t="shared" si="13"/>
        <v>403.64</v>
      </c>
      <c r="M53" s="350">
        <f t="shared" si="14"/>
        <v>403.64</v>
      </c>
      <c r="N53" s="128" t="s">
        <v>156</v>
      </c>
      <c r="O53" s="16"/>
      <c r="P53" s="344"/>
      <c r="Q53" s="1"/>
      <c r="R53" s="15"/>
      <c r="S53" s="353">
        <f t="shared" si="15"/>
        <v>0</v>
      </c>
      <c r="T53" s="354">
        <f t="shared" si="16"/>
        <v>403.64</v>
      </c>
      <c r="U53" s="354">
        <f t="shared" si="17"/>
        <v>403.64</v>
      </c>
      <c r="V53" s="355">
        <f t="shared" si="18"/>
        <v>0</v>
      </c>
      <c r="W53" s="355">
        <f t="shared" si="19"/>
        <v>1</v>
      </c>
      <c r="X53" s="356"/>
      <c r="Y53" s="349"/>
      <c r="Z53" s="61"/>
      <c r="AA53" s="61"/>
      <c r="AB53" s="61"/>
      <c r="AC53" s="61"/>
    </row>
    <row r="54" spans="1:29" x14ac:dyDescent="0.25">
      <c r="A54" s="55"/>
      <c r="B54" s="2"/>
      <c r="C54" s="4"/>
      <c r="D54" s="139"/>
      <c r="E54" s="126"/>
      <c r="F54" s="53"/>
      <c r="G54" s="340"/>
      <c r="H54" s="341">
        <f t="shared" si="10"/>
        <v>0</v>
      </c>
      <c r="I54" s="342">
        <f t="shared" si="11"/>
        <v>0</v>
      </c>
      <c r="J54" s="352"/>
      <c r="K54" s="89">
        <f t="shared" si="12"/>
        <v>0</v>
      </c>
      <c r="L54" s="341">
        <f t="shared" si="13"/>
        <v>0</v>
      </c>
      <c r="M54" s="341">
        <f t="shared" si="14"/>
        <v>0</v>
      </c>
      <c r="N54" s="340" t="s">
        <v>156</v>
      </c>
      <c r="O54" s="12"/>
      <c r="P54" s="344"/>
      <c r="Q54" s="3"/>
      <c r="R54" s="345"/>
      <c r="S54" s="346">
        <f t="shared" si="15"/>
        <v>0</v>
      </c>
      <c r="T54" s="346">
        <f t="shared" si="16"/>
        <v>0</v>
      </c>
      <c r="U54" s="346">
        <f t="shared" si="17"/>
        <v>0</v>
      </c>
      <c r="V54" s="347">
        <f t="shared" si="18"/>
        <v>0</v>
      </c>
      <c r="W54" s="347">
        <f t="shared" si="19"/>
        <v>0</v>
      </c>
      <c r="X54" s="356"/>
      <c r="Y54" s="349"/>
      <c r="Z54" s="61"/>
      <c r="AA54" s="61"/>
      <c r="AB54" s="61"/>
      <c r="AC54" s="61"/>
    </row>
    <row r="55" spans="1:29" x14ac:dyDescent="0.25">
      <c r="A55" s="55"/>
      <c r="B55" s="1"/>
      <c r="C55" s="6"/>
      <c r="D55" s="139"/>
      <c r="E55" s="125"/>
      <c r="F55" s="54"/>
      <c r="G55" s="15"/>
      <c r="H55" s="350">
        <f t="shared" si="10"/>
        <v>0</v>
      </c>
      <c r="I55" s="351">
        <f t="shared" si="11"/>
        <v>0</v>
      </c>
      <c r="J55" s="352"/>
      <c r="K55" s="88">
        <f t="shared" si="12"/>
        <v>0</v>
      </c>
      <c r="L55" s="350">
        <f t="shared" si="13"/>
        <v>0</v>
      </c>
      <c r="M55" s="350">
        <f t="shared" si="14"/>
        <v>0</v>
      </c>
      <c r="N55" s="128" t="s">
        <v>156</v>
      </c>
      <c r="O55" s="16"/>
      <c r="P55" s="344"/>
      <c r="Q55" s="1"/>
      <c r="R55" s="15"/>
      <c r="S55" s="353">
        <f t="shared" si="15"/>
        <v>0</v>
      </c>
      <c r="T55" s="354">
        <f t="shared" si="16"/>
        <v>0</v>
      </c>
      <c r="U55" s="354">
        <f t="shared" si="17"/>
        <v>0</v>
      </c>
      <c r="V55" s="355">
        <f t="shared" si="18"/>
        <v>0</v>
      </c>
      <c r="W55" s="355">
        <f t="shared" si="19"/>
        <v>0</v>
      </c>
      <c r="X55" s="356"/>
      <c r="Y55" s="349"/>
      <c r="Z55" s="61"/>
      <c r="AA55" s="61"/>
      <c r="AB55" s="61"/>
      <c r="AC55" s="61"/>
    </row>
    <row r="56" spans="1:29" x14ac:dyDescent="0.25">
      <c r="A56" s="55"/>
      <c r="B56" s="2"/>
      <c r="C56" s="4"/>
      <c r="D56" s="139"/>
      <c r="E56" s="126"/>
      <c r="F56" s="53"/>
      <c r="G56" s="340"/>
      <c r="H56" s="341">
        <f t="shared" si="10"/>
        <v>0</v>
      </c>
      <c r="I56" s="342">
        <f t="shared" si="11"/>
        <v>0</v>
      </c>
      <c r="J56" s="352"/>
      <c r="K56" s="89">
        <f t="shared" si="12"/>
        <v>0</v>
      </c>
      <c r="L56" s="341">
        <f t="shared" si="13"/>
        <v>0</v>
      </c>
      <c r="M56" s="341">
        <f t="shared" si="14"/>
        <v>0</v>
      </c>
      <c r="N56" s="340" t="s">
        <v>156</v>
      </c>
      <c r="O56" s="12"/>
      <c r="P56" s="344"/>
      <c r="Q56" s="3"/>
      <c r="R56" s="345"/>
      <c r="S56" s="346">
        <f t="shared" si="15"/>
        <v>0</v>
      </c>
      <c r="T56" s="346">
        <f t="shared" si="16"/>
        <v>0</v>
      </c>
      <c r="U56" s="346">
        <f t="shared" si="17"/>
        <v>0</v>
      </c>
      <c r="V56" s="347">
        <f t="shared" si="18"/>
        <v>0</v>
      </c>
      <c r="W56" s="347">
        <f t="shared" si="19"/>
        <v>0</v>
      </c>
      <c r="X56" s="356"/>
      <c r="Y56" s="349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50">
        <f t="shared" si="10"/>
        <v>0</v>
      </c>
      <c r="I57" s="351">
        <f t="shared" si="11"/>
        <v>0</v>
      </c>
      <c r="J57" s="352"/>
      <c r="K57" s="88">
        <f t="shared" si="12"/>
        <v>0</v>
      </c>
      <c r="L57" s="350">
        <f t="shared" si="13"/>
        <v>0</v>
      </c>
      <c r="M57" s="350">
        <f t="shared" si="14"/>
        <v>0</v>
      </c>
      <c r="N57" s="128" t="s">
        <v>156</v>
      </c>
      <c r="O57" s="16"/>
      <c r="P57" s="344"/>
      <c r="Q57" s="1"/>
      <c r="R57" s="15"/>
      <c r="S57" s="353">
        <f t="shared" si="15"/>
        <v>0</v>
      </c>
      <c r="T57" s="354">
        <f t="shared" si="16"/>
        <v>0</v>
      </c>
      <c r="U57" s="354">
        <f t="shared" si="17"/>
        <v>0</v>
      </c>
      <c r="V57" s="355">
        <f t="shared" si="18"/>
        <v>0</v>
      </c>
      <c r="W57" s="355">
        <f t="shared" si="19"/>
        <v>0</v>
      </c>
      <c r="X57" s="356"/>
      <c r="Y57" s="349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340"/>
      <c r="H58" s="341">
        <f t="shared" si="10"/>
        <v>0</v>
      </c>
      <c r="I58" s="342">
        <f t="shared" si="11"/>
        <v>0</v>
      </c>
      <c r="J58" s="352"/>
      <c r="K58" s="89">
        <f t="shared" si="12"/>
        <v>0</v>
      </c>
      <c r="L58" s="341">
        <f t="shared" si="13"/>
        <v>0</v>
      </c>
      <c r="M58" s="341">
        <f t="shared" si="14"/>
        <v>0</v>
      </c>
      <c r="N58" s="340" t="s">
        <v>156</v>
      </c>
      <c r="O58" s="12"/>
      <c r="P58" s="344"/>
      <c r="Q58" s="3"/>
      <c r="R58" s="345"/>
      <c r="S58" s="346">
        <f t="shared" si="15"/>
        <v>0</v>
      </c>
      <c r="T58" s="346">
        <f t="shared" si="16"/>
        <v>0</v>
      </c>
      <c r="U58" s="346">
        <f t="shared" si="17"/>
        <v>0</v>
      </c>
      <c r="V58" s="347">
        <f t="shared" si="18"/>
        <v>0</v>
      </c>
      <c r="W58" s="347">
        <f t="shared" si="19"/>
        <v>0</v>
      </c>
      <c r="X58" s="356"/>
      <c r="Y58" s="349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50">
        <f t="shared" si="10"/>
        <v>0</v>
      </c>
      <c r="I59" s="351">
        <f t="shared" si="11"/>
        <v>0</v>
      </c>
      <c r="J59" s="352"/>
      <c r="K59" s="88">
        <f t="shared" si="12"/>
        <v>0</v>
      </c>
      <c r="L59" s="350">
        <f t="shared" si="13"/>
        <v>0</v>
      </c>
      <c r="M59" s="350">
        <f t="shared" si="14"/>
        <v>0</v>
      </c>
      <c r="N59" s="128" t="s">
        <v>156</v>
      </c>
      <c r="O59" s="16"/>
      <c r="P59" s="344"/>
      <c r="Q59" s="1"/>
      <c r="R59" s="15"/>
      <c r="S59" s="353">
        <f t="shared" si="15"/>
        <v>0</v>
      </c>
      <c r="T59" s="354">
        <f t="shared" si="16"/>
        <v>0</v>
      </c>
      <c r="U59" s="354">
        <f t="shared" si="17"/>
        <v>0</v>
      </c>
      <c r="V59" s="355">
        <f t="shared" si="18"/>
        <v>0</v>
      </c>
      <c r="W59" s="355">
        <f t="shared" si="19"/>
        <v>0</v>
      </c>
      <c r="X59" s="356"/>
      <c r="Y59" s="349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340"/>
      <c r="H60" s="341">
        <f t="shared" si="10"/>
        <v>0</v>
      </c>
      <c r="I60" s="342">
        <f t="shared" si="11"/>
        <v>0</v>
      </c>
      <c r="J60" s="352"/>
      <c r="K60" s="89">
        <f t="shared" si="12"/>
        <v>0</v>
      </c>
      <c r="L60" s="341">
        <f t="shared" si="13"/>
        <v>0</v>
      </c>
      <c r="M60" s="341">
        <f t="shared" si="14"/>
        <v>0</v>
      </c>
      <c r="N60" s="340" t="s">
        <v>156</v>
      </c>
      <c r="O60" s="12"/>
      <c r="P60" s="344"/>
      <c r="Q60" s="3"/>
      <c r="R60" s="345"/>
      <c r="S60" s="346">
        <f t="shared" si="15"/>
        <v>0</v>
      </c>
      <c r="T60" s="346">
        <f t="shared" si="16"/>
        <v>0</v>
      </c>
      <c r="U60" s="346">
        <f t="shared" si="17"/>
        <v>0</v>
      </c>
      <c r="V60" s="347">
        <f t="shared" si="18"/>
        <v>0</v>
      </c>
      <c r="W60" s="347">
        <f t="shared" si="19"/>
        <v>0</v>
      </c>
      <c r="X60" s="356"/>
      <c r="Y60" s="349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50">
        <f t="shared" si="10"/>
        <v>0</v>
      </c>
      <c r="I61" s="351">
        <f t="shared" si="11"/>
        <v>0</v>
      </c>
      <c r="J61" s="352"/>
      <c r="K61" s="88">
        <f t="shared" si="12"/>
        <v>0</v>
      </c>
      <c r="L61" s="350">
        <f t="shared" si="13"/>
        <v>0</v>
      </c>
      <c r="M61" s="350">
        <f t="shared" si="14"/>
        <v>0</v>
      </c>
      <c r="N61" s="128" t="s">
        <v>156</v>
      </c>
      <c r="O61" s="16"/>
      <c r="P61" s="344"/>
      <c r="Q61" s="1"/>
      <c r="R61" s="15"/>
      <c r="S61" s="353">
        <f t="shared" si="15"/>
        <v>0</v>
      </c>
      <c r="T61" s="354">
        <f t="shared" si="16"/>
        <v>0</v>
      </c>
      <c r="U61" s="354">
        <f t="shared" si="17"/>
        <v>0</v>
      </c>
      <c r="V61" s="355">
        <f t="shared" si="18"/>
        <v>0</v>
      </c>
      <c r="W61" s="355">
        <f t="shared" si="19"/>
        <v>0</v>
      </c>
      <c r="X61" s="356"/>
      <c r="Y61" s="349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340"/>
      <c r="H62" s="341">
        <f t="shared" si="10"/>
        <v>0</v>
      </c>
      <c r="I62" s="342">
        <f t="shared" si="11"/>
        <v>0</v>
      </c>
      <c r="J62" s="352"/>
      <c r="K62" s="89">
        <f t="shared" si="12"/>
        <v>0</v>
      </c>
      <c r="L62" s="341">
        <f t="shared" si="13"/>
        <v>0</v>
      </c>
      <c r="M62" s="341">
        <f t="shared" si="14"/>
        <v>0</v>
      </c>
      <c r="N62" s="340" t="s">
        <v>156</v>
      </c>
      <c r="O62" s="12"/>
      <c r="P62" s="344"/>
      <c r="Q62" s="3"/>
      <c r="R62" s="345"/>
      <c r="S62" s="346">
        <f t="shared" si="15"/>
        <v>0</v>
      </c>
      <c r="T62" s="346">
        <f t="shared" si="16"/>
        <v>0</v>
      </c>
      <c r="U62" s="346">
        <f t="shared" si="17"/>
        <v>0</v>
      </c>
      <c r="V62" s="347">
        <f t="shared" si="18"/>
        <v>0</v>
      </c>
      <c r="W62" s="347">
        <f t="shared" si="19"/>
        <v>0</v>
      </c>
      <c r="X62" s="356"/>
      <c r="Y62" s="349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50">
        <f t="shared" si="10"/>
        <v>0</v>
      </c>
      <c r="I63" s="351">
        <f t="shared" si="11"/>
        <v>0</v>
      </c>
      <c r="J63" s="352"/>
      <c r="K63" s="88">
        <f t="shared" si="12"/>
        <v>0</v>
      </c>
      <c r="L63" s="350">
        <f t="shared" si="13"/>
        <v>0</v>
      </c>
      <c r="M63" s="350">
        <f t="shared" si="14"/>
        <v>0</v>
      </c>
      <c r="N63" s="128" t="s">
        <v>156</v>
      </c>
      <c r="O63" s="16"/>
      <c r="P63" s="344"/>
      <c r="Q63" s="1"/>
      <c r="R63" s="15"/>
      <c r="S63" s="353">
        <f t="shared" si="15"/>
        <v>0</v>
      </c>
      <c r="T63" s="354">
        <f t="shared" si="16"/>
        <v>0</v>
      </c>
      <c r="U63" s="354">
        <f t="shared" si="17"/>
        <v>0</v>
      </c>
      <c r="V63" s="355">
        <f t="shared" si="18"/>
        <v>0</v>
      </c>
      <c r="W63" s="355">
        <f t="shared" si="19"/>
        <v>0</v>
      </c>
      <c r="X63" s="356"/>
      <c r="Y63" s="349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340"/>
      <c r="H64" s="341">
        <f t="shared" si="10"/>
        <v>0</v>
      </c>
      <c r="I64" s="342">
        <f t="shared" si="11"/>
        <v>0</v>
      </c>
      <c r="J64" s="352"/>
      <c r="K64" s="89">
        <f t="shared" si="12"/>
        <v>0</v>
      </c>
      <c r="L64" s="341">
        <f t="shared" si="13"/>
        <v>0</v>
      </c>
      <c r="M64" s="341">
        <f t="shared" si="14"/>
        <v>0</v>
      </c>
      <c r="N64" s="340" t="s">
        <v>156</v>
      </c>
      <c r="O64" s="12"/>
      <c r="P64" s="344"/>
      <c r="Q64" s="3"/>
      <c r="R64" s="345"/>
      <c r="S64" s="346">
        <f t="shared" si="15"/>
        <v>0</v>
      </c>
      <c r="T64" s="346">
        <f t="shared" si="16"/>
        <v>0</v>
      </c>
      <c r="U64" s="346">
        <f t="shared" si="17"/>
        <v>0</v>
      </c>
      <c r="V64" s="347">
        <f t="shared" si="18"/>
        <v>0</v>
      </c>
      <c r="W64" s="347">
        <f t="shared" si="19"/>
        <v>0</v>
      </c>
      <c r="X64" s="356"/>
      <c r="Y64" s="349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50">
        <f t="shared" si="10"/>
        <v>0</v>
      </c>
      <c r="I65" s="351">
        <f t="shared" si="11"/>
        <v>0</v>
      </c>
      <c r="J65" s="352"/>
      <c r="K65" s="88">
        <f t="shared" si="12"/>
        <v>0</v>
      </c>
      <c r="L65" s="350">
        <f t="shared" si="13"/>
        <v>0</v>
      </c>
      <c r="M65" s="350">
        <f t="shared" si="14"/>
        <v>0</v>
      </c>
      <c r="N65" s="128" t="s">
        <v>156</v>
      </c>
      <c r="O65" s="16"/>
      <c r="P65" s="344"/>
      <c r="Q65" s="1"/>
      <c r="R65" s="15"/>
      <c r="S65" s="353">
        <f t="shared" si="15"/>
        <v>0</v>
      </c>
      <c r="T65" s="354">
        <f t="shared" si="16"/>
        <v>0</v>
      </c>
      <c r="U65" s="354">
        <f t="shared" si="17"/>
        <v>0</v>
      </c>
      <c r="V65" s="355">
        <f t="shared" si="18"/>
        <v>0</v>
      </c>
      <c r="W65" s="355">
        <f t="shared" si="19"/>
        <v>0</v>
      </c>
      <c r="X65" s="356"/>
      <c r="Y65" s="349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340"/>
      <c r="H66" s="341">
        <f t="shared" si="10"/>
        <v>0</v>
      </c>
      <c r="I66" s="342">
        <f t="shared" si="11"/>
        <v>0</v>
      </c>
      <c r="J66" s="352"/>
      <c r="K66" s="89">
        <f t="shared" si="12"/>
        <v>0</v>
      </c>
      <c r="L66" s="341">
        <f t="shared" si="13"/>
        <v>0</v>
      </c>
      <c r="M66" s="341">
        <f t="shared" si="14"/>
        <v>0</v>
      </c>
      <c r="N66" s="340" t="s">
        <v>156</v>
      </c>
      <c r="O66" s="12"/>
      <c r="P66" s="344"/>
      <c r="Q66" s="3"/>
      <c r="R66" s="345"/>
      <c r="S66" s="346">
        <f t="shared" si="15"/>
        <v>0</v>
      </c>
      <c r="T66" s="346">
        <f t="shared" si="16"/>
        <v>0</v>
      </c>
      <c r="U66" s="346">
        <f t="shared" si="17"/>
        <v>0</v>
      </c>
      <c r="V66" s="347">
        <f t="shared" si="18"/>
        <v>0</v>
      </c>
      <c r="W66" s="347">
        <f t="shared" si="19"/>
        <v>0</v>
      </c>
      <c r="X66" s="356"/>
      <c r="Y66" s="349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50">
        <f t="shared" si="10"/>
        <v>0</v>
      </c>
      <c r="I67" s="351">
        <f t="shared" si="11"/>
        <v>0</v>
      </c>
      <c r="J67" s="352"/>
      <c r="K67" s="88">
        <f t="shared" si="12"/>
        <v>0</v>
      </c>
      <c r="L67" s="350">
        <f t="shared" si="13"/>
        <v>0</v>
      </c>
      <c r="M67" s="350">
        <f t="shared" si="14"/>
        <v>0</v>
      </c>
      <c r="N67" s="128" t="s">
        <v>156</v>
      </c>
      <c r="O67" s="16"/>
      <c r="P67" s="344"/>
      <c r="Q67" s="1"/>
      <c r="R67" s="15"/>
      <c r="S67" s="353">
        <f t="shared" si="15"/>
        <v>0</v>
      </c>
      <c r="T67" s="354">
        <f t="shared" si="16"/>
        <v>0</v>
      </c>
      <c r="U67" s="354">
        <f t="shared" si="17"/>
        <v>0</v>
      </c>
      <c r="V67" s="355">
        <f t="shared" si="18"/>
        <v>0</v>
      </c>
      <c r="W67" s="355">
        <f t="shared" si="19"/>
        <v>0</v>
      </c>
      <c r="X67" s="356"/>
      <c r="Y67" s="349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340"/>
      <c r="H68" s="341">
        <f t="shared" si="10"/>
        <v>0</v>
      </c>
      <c r="I68" s="342">
        <f t="shared" si="11"/>
        <v>0</v>
      </c>
      <c r="J68" s="352"/>
      <c r="K68" s="89">
        <f t="shared" si="12"/>
        <v>0</v>
      </c>
      <c r="L68" s="341">
        <f t="shared" si="13"/>
        <v>0</v>
      </c>
      <c r="M68" s="341">
        <f t="shared" si="14"/>
        <v>0</v>
      </c>
      <c r="N68" s="340" t="s">
        <v>156</v>
      </c>
      <c r="O68" s="12"/>
      <c r="P68" s="344"/>
      <c r="Q68" s="3"/>
      <c r="R68" s="345"/>
      <c r="S68" s="346">
        <f t="shared" si="15"/>
        <v>0</v>
      </c>
      <c r="T68" s="346">
        <f t="shared" si="16"/>
        <v>0</v>
      </c>
      <c r="U68" s="346">
        <f t="shared" si="17"/>
        <v>0</v>
      </c>
      <c r="V68" s="347">
        <f t="shared" si="18"/>
        <v>0</v>
      </c>
      <c r="W68" s="347">
        <f t="shared" si="19"/>
        <v>0</v>
      </c>
      <c r="X68" s="356"/>
      <c r="Y68" s="349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50">
        <f t="shared" si="10"/>
        <v>0</v>
      </c>
      <c r="I69" s="351">
        <f t="shared" si="11"/>
        <v>0</v>
      </c>
      <c r="J69" s="352"/>
      <c r="K69" s="88">
        <f t="shared" si="12"/>
        <v>0</v>
      </c>
      <c r="L69" s="350">
        <f t="shared" si="13"/>
        <v>0</v>
      </c>
      <c r="M69" s="350">
        <f t="shared" si="14"/>
        <v>0</v>
      </c>
      <c r="N69" s="128" t="s">
        <v>156</v>
      </c>
      <c r="O69" s="16"/>
      <c r="P69" s="344"/>
      <c r="Q69" s="1"/>
      <c r="R69" s="15"/>
      <c r="S69" s="353">
        <f t="shared" si="15"/>
        <v>0</v>
      </c>
      <c r="T69" s="354">
        <f t="shared" si="16"/>
        <v>0</v>
      </c>
      <c r="U69" s="354">
        <f t="shared" si="17"/>
        <v>0</v>
      </c>
      <c r="V69" s="355">
        <f t="shared" si="18"/>
        <v>0</v>
      </c>
      <c r="W69" s="355">
        <f t="shared" si="19"/>
        <v>0</v>
      </c>
      <c r="X69" s="356"/>
      <c r="Y69" s="349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340"/>
      <c r="H70" s="341">
        <f t="shared" si="10"/>
        <v>0</v>
      </c>
      <c r="I70" s="342">
        <f t="shared" si="11"/>
        <v>0</v>
      </c>
      <c r="J70" s="352"/>
      <c r="K70" s="89">
        <f t="shared" si="12"/>
        <v>0</v>
      </c>
      <c r="L70" s="341">
        <f t="shared" si="13"/>
        <v>0</v>
      </c>
      <c r="M70" s="341">
        <f t="shared" si="14"/>
        <v>0</v>
      </c>
      <c r="N70" s="340" t="s">
        <v>156</v>
      </c>
      <c r="O70" s="12"/>
      <c r="P70" s="344"/>
      <c r="Q70" s="3"/>
      <c r="R70" s="345"/>
      <c r="S70" s="346">
        <f t="shared" si="15"/>
        <v>0</v>
      </c>
      <c r="T70" s="346">
        <f t="shared" si="16"/>
        <v>0</v>
      </c>
      <c r="U70" s="346">
        <f t="shared" si="17"/>
        <v>0</v>
      </c>
      <c r="V70" s="347">
        <f t="shared" si="18"/>
        <v>0</v>
      </c>
      <c r="W70" s="347">
        <f t="shared" si="19"/>
        <v>0</v>
      </c>
      <c r="X70" s="356"/>
      <c r="Y70" s="349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50">
        <f t="shared" si="10"/>
        <v>0</v>
      </c>
      <c r="I71" s="351">
        <f t="shared" si="11"/>
        <v>0</v>
      </c>
      <c r="J71" s="352"/>
      <c r="K71" s="88">
        <f t="shared" si="12"/>
        <v>0</v>
      </c>
      <c r="L71" s="350">
        <f t="shared" si="13"/>
        <v>0</v>
      </c>
      <c r="M71" s="350">
        <f t="shared" si="14"/>
        <v>0</v>
      </c>
      <c r="N71" s="128" t="s">
        <v>156</v>
      </c>
      <c r="O71" s="16"/>
      <c r="P71" s="344"/>
      <c r="Q71" s="1"/>
      <c r="R71" s="15"/>
      <c r="S71" s="353">
        <f t="shared" si="15"/>
        <v>0</v>
      </c>
      <c r="T71" s="354">
        <f t="shared" si="16"/>
        <v>0</v>
      </c>
      <c r="U71" s="354">
        <f t="shared" si="17"/>
        <v>0</v>
      </c>
      <c r="V71" s="355">
        <f t="shared" si="18"/>
        <v>0</v>
      </c>
      <c r="W71" s="355">
        <f t="shared" si="19"/>
        <v>0</v>
      </c>
      <c r="X71" s="356"/>
      <c r="Y71" s="349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340"/>
      <c r="H72" s="341">
        <f t="shared" si="10"/>
        <v>0</v>
      </c>
      <c r="I72" s="342">
        <f t="shared" si="11"/>
        <v>0</v>
      </c>
      <c r="J72" s="352"/>
      <c r="K72" s="89">
        <f t="shared" si="12"/>
        <v>0</v>
      </c>
      <c r="L72" s="341">
        <f t="shared" si="13"/>
        <v>0</v>
      </c>
      <c r="M72" s="341">
        <f t="shared" si="14"/>
        <v>0</v>
      </c>
      <c r="N72" s="340" t="s">
        <v>156</v>
      </c>
      <c r="O72" s="12"/>
      <c r="P72" s="344"/>
      <c r="Q72" s="3"/>
      <c r="R72" s="345"/>
      <c r="S72" s="346">
        <f t="shared" si="15"/>
        <v>0</v>
      </c>
      <c r="T72" s="346">
        <f t="shared" si="16"/>
        <v>0</v>
      </c>
      <c r="U72" s="346">
        <f t="shared" si="17"/>
        <v>0</v>
      </c>
      <c r="V72" s="347">
        <f t="shared" si="18"/>
        <v>0</v>
      </c>
      <c r="W72" s="347">
        <f t="shared" si="19"/>
        <v>0</v>
      </c>
      <c r="X72" s="356"/>
      <c r="Y72" s="349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50">
        <f t="shared" si="10"/>
        <v>0</v>
      </c>
      <c r="I73" s="351">
        <f t="shared" si="11"/>
        <v>0</v>
      </c>
      <c r="J73" s="352"/>
      <c r="K73" s="88">
        <f t="shared" si="12"/>
        <v>0</v>
      </c>
      <c r="L73" s="350">
        <f t="shared" si="13"/>
        <v>0</v>
      </c>
      <c r="M73" s="350">
        <f t="shared" si="14"/>
        <v>0</v>
      </c>
      <c r="N73" s="128" t="s">
        <v>156</v>
      </c>
      <c r="O73" s="16"/>
      <c r="P73" s="344"/>
      <c r="Q73" s="1"/>
      <c r="R73" s="15"/>
      <c r="S73" s="353">
        <f t="shared" si="15"/>
        <v>0</v>
      </c>
      <c r="T73" s="354">
        <f t="shared" si="16"/>
        <v>0</v>
      </c>
      <c r="U73" s="354">
        <f t="shared" si="17"/>
        <v>0</v>
      </c>
      <c r="V73" s="355">
        <f t="shared" si="18"/>
        <v>0</v>
      </c>
      <c r="W73" s="355">
        <f t="shared" si="19"/>
        <v>0</v>
      </c>
      <c r="X73" s="356"/>
      <c r="Y73" s="349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340"/>
      <c r="H74" s="341">
        <f t="shared" si="10"/>
        <v>0</v>
      </c>
      <c r="I74" s="342">
        <f t="shared" si="11"/>
        <v>0</v>
      </c>
      <c r="J74" s="352"/>
      <c r="K74" s="89">
        <f t="shared" si="12"/>
        <v>0</v>
      </c>
      <c r="L74" s="341">
        <f t="shared" si="13"/>
        <v>0</v>
      </c>
      <c r="M74" s="341">
        <f t="shared" si="14"/>
        <v>0</v>
      </c>
      <c r="N74" s="340" t="s">
        <v>156</v>
      </c>
      <c r="O74" s="12"/>
      <c r="P74" s="344"/>
      <c r="Q74" s="3"/>
      <c r="R74" s="345"/>
      <c r="S74" s="346">
        <f t="shared" si="15"/>
        <v>0</v>
      </c>
      <c r="T74" s="346">
        <f t="shared" si="16"/>
        <v>0</v>
      </c>
      <c r="U74" s="346">
        <f t="shared" si="17"/>
        <v>0</v>
      </c>
      <c r="V74" s="347">
        <f t="shared" si="18"/>
        <v>0</v>
      </c>
      <c r="W74" s="347">
        <f t="shared" si="19"/>
        <v>0</v>
      </c>
      <c r="X74" s="356"/>
      <c r="Y74" s="349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50">
        <f t="shared" si="10"/>
        <v>0</v>
      </c>
      <c r="I75" s="351">
        <f t="shared" si="11"/>
        <v>0</v>
      </c>
      <c r="J75" s="352"/>
      <c r="K75" s="88">
        <f t="shared" si="12"/>
        <v>0</v>
      </c>
      <c r="L75" s="350">
        <f t="shared" si="13"/>
        <v>0</v>
      </c>
      <c r="M75" s="350">
        <f t="shared" si="14"/>
        <v>0</v>
      </c>
      <c r="N75" s="128" t="s">
        <v>156</v>
      </c>
      <c r="O75" s="16"/>
      <c r="P75" s="344"/>
      <c r="Q75" s="1"/>
      <c r="R75" s="15"/>
      <c r="S75" s="353">
        <f t="shared" si="15"/>
        <v>0</v>
      </c>
      <c r="T75" s="354">
        <f t="shared" si="16"/>
        <v>0</v>
      </c>
      <c r="U75" s="354">
        <f t="shared" si="17"/>
        <v>0</v>
      </c>
      <c r="V75" s="355">
        <f t="shared" si="18"/>
        <v>0</v>
      </c>
      <c r="W75" s="355">
        <f t="shared" si="19"/>
        <v>0</v>
      </c>
      <c r="X75" s="356"/>
      <c r="Y75" s="349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340"/>
      <c r="H76" s="341">
        <f t="shared" si="10"/>
        <v>0</v>
      </c>
      <c r="I76" s="342">
        <f t="shared" si="11"/>
        <v>0</v>
      </c>
      <c r="J76" s="352"/>
      <c r="K76" s="89">
        <f t="shared" si="12"/>
        <v>0</v>
      </c>
      <c r="L76" s="341">
        <f t="shared" si="13"/>
        <v>0</v>
      </c>
      <c r="M76" s="341">
        <f t="shared" si="14"/>
        <v>0</v>
      </c>
      <c r="N76" s="340" t="s">
        <v>156</v>
      </c>
      <c r="O76" s="12"/>
      <c r="P76" s="344"/>
      <c r="Q76" s="3"/>
      <c r="R76" s="345"/>
      <c r="S76" s="346">
        <f t="shared" si="15"/>
        <v>0</v>
      </c>
      <c r="T76" s="346">
        <f t="shared" si="16"/>
        <v>0</v>
      </c>
      <c r="U76" s="346">
        <f t="shared" si="17"/>
        <v>0</v>
      </c>
      <c r="V76" s="347">
        <f t="shared" si="18"/>
        <v>0</v>
      </c>
      <c r="W76" s="347">
        <f t="shared" si="19"/>
        <v>0</v>
      </c>
      <c r="X76" s="356"/>
      <c r="Y76" s="349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50">
        <f t="shared" si="10"/>
        <v>0</v>
      </c>
      <c r="I77" s="351">
        <f t="shared" si="11"/>
        <v>0</v>
      </c>
      <c r="J77" s="352"/>
      <c r="K77" s="88">
        <f t="shared" si="12"/>
        <v>0</v>
      </c>
      <c r="L77" s="350">
        <f t="shared" si="13"/>
        <v>0</v>
      </c>
      <c r="M77" s="350">
        <f t="shared" si="14"/>
        <v>0</v>
      </c>
      <c r="N77" s="128" t="s">
        <v>156</v>
      </c>
      <c r="O77" s="16"/>
      <c r="P77" s="344"/>
      <c r="Q77" s="1"/>
      <c r="R77" s="15"/>
      <c r="S77" s="353">
        <f t="shared" si="15"/>
        <v>0</v>
      </c>
      <c r="T77" s="354">
        <f t="shared" si="16"/>
        <v>0</v>
      </c>
      <c r="U77" s="354">
        <f t="shared" si="17"/>
        <v>0</v>
      </c>
      <c r="V77" s="355">
        <f t="shared" si="18"/>
        <v>0</v>
      </c>
      <c r="W77" s="355">
        <f t="shared" si="19"/>
        <v>0</v>
      </c>
      <c r="X77" s="356"/>
      <c r="Y77" s="349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340"/>
      <c r="H78" s="341">
        <f t="shared" si="10"/>
        <v>0</v>
      </c>
      <c r="I78" s="342">
        <f t="shared" si="11"/>
        <v>0</v>
      </c>
      <c r="J78" s="352"/>
      <c r="K78" s="89">
        <f t="shared" si="12"/>
        <v>0</v>
      </c>
      <c r="L78" s="341">
        <f t="shared" si="13"/>
        <v>0</v>
      </c>
      <c r="M78" s="341">
        <f t="shared" si="14"/>
        <v>0</v>
      </c>
      <c r="N78" s="340" t="s">
        <v>156</v>
      </c>
      <c r="O78" s="12"/>
      <c r="P78" s="344"/>
      <c r="Q78" s="3"/>
      <c r="R78" s="345"/>
      <c r="S78" s="346">
        <f t="shared" si="15"/>
        <v>0</v>
      </c>
      <c r="T78" s="346">
        <f t="shared" si="16"/>
        <v>0</v>
      </c>
      <c r="U78" s="346">
        <f t="shared" si="17"/>
        <v>0</v>
      </c>
      <c r="V78" s="347">
        <f t="shared" si="18"/>
        <v>0</v>
      </c>
      <c r="W78" s="347">
        <f t="shared" si="19"/>
        <v>0</v>
      </c>
      <c r="X78" s="356"/>
      <c r="Y78" s="349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50">
        <f t="shared" si="10"/>
        <v>0</v>
      </c>
      <c r="I79" s="351">
        <f t="shared" si="11"/>
        <v>0</v>
      </c>
      <c r="J79" s="352"/>
      <c r="K79" s="88">
        <f t="shared" si="12"/>
        <v>0</v>
      </c>
      <c r="L79" s="350">
        <f t="shared" si="13"/>
        <v>0</v>
      </c>
      <c r="M79" s="350">
        <f t="shared" si="14"/>
        <v>0</v>
      </c>
      <c r="N79" s="128" t="s">
        <v>156</v>
      </c>
      <c r="O79" s="16"/>
      <c r="P79" s="344"/>
      <c r="Q79" s="1"/>
      <c r="R79" s="15"/>
      <c r="S79" s="353">
        <f t="shared" si="15"/>
        <v>0</v>
      </c>
      <c r="T79" s="354">
        <f t="shared" si="16"/>
        <v>0</v>
      </c>
      <c r="U79" s="354">
        <f t="shared" si="17"/>
        <v>0</v>
      </c>
      <c r="V79" s="355">
        <f t="shared" si="18"/>
        <v>0</v>
      </c>
      <c r="W79" s="355">
        <f t="shared" si="19"/>
        <v>0</v>
      </c>
      <c r="X79" s="356"/>
      <c r="Y79" s="349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340"/>
      <c r="H80" s="341">
        <f t="shared" si="10"/>
        <v>0</v>
      </c>
      <c r="I80" s="342">
        <f t="shared" si="11"/>
        <v>0</v>
      </c>
      <c r="J80" s="352"/>
      <c r="K80" s="89">
        <f t="shared" si="12"/>
        <v>0</v>
      </c>
      <c r="L80" s="341">
        <f t="shared" si="13"/>
        <v>0</v>
      </c>
      <c r="M80" s="341">
        <f t="shared" si="14"/>
        <v>0</v>
      </c>
      <c r="N80" s="340" t="s">
        <v>156</v>
      </c>
      <c r="O80" s="12"/>
      <c r="P80" s="344"/>
      <c r="Q80" s="3"/>
      <c r="R80" s="345"/>
      <c r="S80" s="346">
        <f t="shared" si="15"/>
        <v>0</v>
      </c>
      <c r="T80" s="346">
        <f t="shared" si="16"/>
        <v>0</v>
      </c>
      <c r="U80" s="346">
        <f t="shared" si="17"/>
        <v>0</v>
      </c>
      <c r="V80" s="347">
        <f t="shared" si="18"/>
        <v>0</v>
      </c>
      <c r="W80" s="347">
        <f t="shared" si="19"/>
        <v>0</v>
      </c>
      <c r="X80" s="356"/>
      <c r="Y80" s="349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1145</v>
      </c>
      <c r="G81" s="359">
        <f>SUM(G18:G80)</f>
        <v>65187.409999999996</v>
      </c>
      <c r="H81" s="79">
        <f>SUM(H18:H80)</f>
        <v>47237.229999999996</v>
      </c>
      <c r="I81" s="80">
        <f>SUM(I18:I80)</f>
        <v>117874.50999999998</v>
      </c>
      <c r="J81" s="81"/>
      <c r="K81" s="82">
        <f>SUM(K18:K80)</f>
        <v>1145</v>
      </c>
      <c r="L81" s="79">
        <f>SUM(L18:L80)</f>
        <v>47237.229999999996</v>
      </c>
      <c r="M81" s="80">
        <f>SUM(M18:M80)</f>
        <v>117874.50999999998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47237.229999999996</v>
      </c>
      <c r="U81" s="80">
        <f>SUM(U18:U80)</f>
        <v>117874.50999999998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15" priority="3" stopIfTrue="1">
      <formula>$V$9&gt;100%</formula>
    </cfRule>
    <cfRule type="expression" dxfId="14" priority="4">
      <formula>$V$9&lt;50%</formula>
    </cfRule>
  </conditionalFormatting>
  <conditionalFormatting sqref="W9:W10">
    <cfRule type="expression" dxfId="13" priority="1">
      <formula>$W$9&lt;50%</formula>
    </cfRule>
    <cfRule type="expression" dxfId="12" priority="2">
      <formula>$W$9&gt;50%</formula>
    </cfRule>
  </conditionalFormatting>
  <dataValidations count="7">
    <dataValidation type="list" showInputMessage="1" showErrorMessage="1" sqref="E21:E49" xr:uid="{FD1B87C6-881F-406D-BE9B-DC1C1D85B3DF}">
      <formula1>$Z$18:$Z$29</formula1>
    </dataValidation>
    <dataValidation type="list" allowBlank="1" showInputMessage="1" showErrorMessage="1" sqref="G17 R14 R17 L17" xr:uid="{A3C94E7E-BD22-422D-8D1E-115266E430F6}">
      <formula1>$Z$11:$Z$12</formula1>
    </dataValidation>
    <dataValidation type="list" allowBlank="1" showInputMessage="1" showErrorMessage="1" sqref="I13" xr:uid="{479CF6AF-3B4A-4483-BBD0-80F908F8FFAF}">
      <formula1>$Z$13:$Z$14</formula1>
    </dataValidation>
    <dataValidation type="list" allowBlank="1" showInputMessage="1" showErrorMessage="1" sqref="J13" xr:uid="{C3E05C65-F795-4B1B-9452-FED535CF6BA7}">
      <formula1>$L$9:$L$9</formula1>
    </dataValidation>
    <dataValidation type="list" showInputMessage="1" showErrorMessage="1" sqref="E50:E80" xr:uid="{E7BE5E50-445C-4D77-823A-2C4F48D79E1A}">
      <formula1>$AA$18:$AA$29</formula1>
    </dataValidation>
    <dataValidation type="list" allowBlank="1" showInputMessage="1" showErrorMessage="1" sqref="N18:N80" xr:uid="{ABFEE558-23AE-445A-89CE-9C68F291D77F}">
      <formula1>$Z$31:$Z$32</formula1>
    </dataValidation>
    <dataValidation type="list" allowBlank="1" showInputMessage="1" showErrorMessage="1" sqref="G2" xr:uid="{FD736875-BA16-4721-9387-C88261DD3114}">
      <formula1>$Z$34:$Z$48</formula1>
    </dataValidation>
  </dataValidations>
  <printOptions verticalCentered="1"/>
  <pageMargins left="0.2" right="0.2" top="0.25" bottom="0.25" header="0.05" footer="0.05"/>
  <pageSetup scale="3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D2D50B-7AC4-4C66-8B61-6521C778678D}">
          <x14:formula1>
            <xm:f>'Product Type'!$A$1:$A$55</xm:f>
          </x14:formula1>
          <xm:sqref>D18:D63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B1E2-272A-4BEA-A85A-0B862BF7F579}">
  <sheetPr>
    <pageSetUpPr fitToPage="1"/>
  </sheetPr>
  <dimension ref="A1:AC83"/>
  <sheetViews>
    <sheetView zoomScaleNormal="100" workbookViewId="0">
      <selection activeCell="H2" sqref="H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3" style="58" bestFit="1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59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52503.98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52503.98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620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621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3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52503.98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 t="s">
        <v>622</v>
      </c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52503.98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43"/>
      <c r="M10" s="483" t="s">
        <v>112</v>
      </c>
      <c r="N10" s="484"/>
      <c r="O10" s="485"/>
      <c r="P10" s="119"/>
      <c r="Q10" s="487">
        <f>F81</f>
        <v>29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2"/>
      <c r="C18" s="5" t="s">
        <v>209</v>
      </c>
      <c r="D18" s="139"/>
      <c r="E18" s="124"/>
      <c r="F18" s="53"/>
      <c r="G18" s="8"/>
      <c r="H18" s="9">
        <f>ROUND(IF($G$17="USD $", G18*$F$15,G18*$E$15),2)</f>
        <v>0</v>
      </c>
      <c r="I18" s="10">
        <f>ROUND(IF($I$17=$H$17,F18*H18,F18*G18),2)</f>
        <v>0</v>
      </c>
      <c r="J18" s="11"/>
      <c r="K18" s="89">
        <f t="shared" ref="K18:K80" si="0">F18</f>
        <v>0</v>
      </c>
      <c r="L18" s="9">
        <f>IFERROR(IF(N18="OEM DISC %",ROUND(IF($L$17=$G$17,G18*(1-O18),H18*(1-O18)),2),IF(N18="MARKUP %",ROUND(S18/K18*(1+O18),2))),0)</f>
        <v>0</v>
      </c>
      <c r="M18" s="9">
        <f>ROUND((K18*L18),2)</f>
        <v>0</v>
      </c>
      <c r="N18" s="8" t="s">
        <v>156</v>
      </c>
      <c r="O18" s="36"/>
      <c r="P18" s="51"/>
      <c r="Q18" s="2"/>
      <c r="R18" s="13"/>
      <c r="S18" s="14">
        <f>ROUND(IF($S$17=$R$17,R18,IF($S$17="USD $",R18*$E$15,R18*$F$15))*F18,2)</f>
        <v>0</v>
      </c>
      <c r="T18" s="14">
        <f>IFERROR(ROUND(U18/F18,2),0)</f>
        <v>0</v>
      </c>
      <c r="U18" s="14">
        <f>ROUND(M18-S18,2)</f>
        <v>0</v>
      </c>
      <c r="V18" s="29">
        <f>IFERROR(((L18-(S18/K18))/(S18/K18)),0)</f>
        <v>0</v>
      </c>
      <c r="W18" s="29">
        <f>IFERROR(((L18-(S18/K18))/L18),0)</f>
        <v>0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1" t="s">
        <v>559</v>
      </c>
      <c r="C19" s="4" t="s">
        <v>210</v>
      </c>
      <c r="D19" s="139" t="s">
        <v>29</v>
      </c>
      <c r="E19" s="332">
        <v>375</v>
      </c>
      <c r="F19" s="54">
        <v>1</v>
      </c>
      <c r="G19" s="15">
        <v>33.31</v>
      </c>
      <c r="H19" s="38">
        <f t="shared" ref="H19:H80" si="1">ROUND(IF($G$17="USD $", G19*$F$15,G19*$E$15),2)</f>
        <v>24.14</v>
      </c>
      <c r="I19" s="39">
        <f t="shared" ref="I19:I80" si="2">ROUND(IF($I$17=$H$17,F19*H19,F19*G19),2)</f>
        <v>24.14</v>
      </c>
      <c r="J19" s="42"/>
      <c r="K19" s="88">
        <f t="shared" si="0"/>
        <v>1</v>
      </c>
      <c r="L19" s="38">
        <f t="shared" ref="L19:L80" si="3">IFERROR(IF(N19="OEM DISC %",ROUND(IF($L$17=$G$17,G19*(1-O19),H19*(1-O19)),2),IF(N19="MARKUP %",ROUND(S19/K19*(1+O19),2))),0)</f>
        <v>24.14</v>
      </c>
      <c r="M19" s="38">
        <f t="shared" ref="M19:M80" si="4">ROUND((K19*L19),2)</f>
        <v>24.14</v>
      </c>
      <c r="N19" s="128" t="s">
        <v>156</v>
      </c>
      <c r="O19" s="16"/>
      <c r="P19" s="51"/>
      <c r="Q19" s="1"/>
      <c r="R19" s="15"/>
      <c r="S19" s="40">
        <f>ROUND(IF($S$17=$R$17,R19,IF($S$17="USD $",R19*$E$15,R19*$F$15))*F19,2)</f>
        <v>0</v>
      </c>
      <c r="T19" s="52">
        <f t="shared" ref="T19:T80" si="5">IFERROR(ROUND(U19/F19,2),0)</f>
        <v>24.14</v>
      </c>
      <c r="U19" s="52">
        <f t="shared" ref="U19:U80" si="6">ROUND(M19-S19,2)</f>
        <v>24.14</v>
      </c>
      <c r="V19" s="41">
        <f t="shared" ref="V19:V80" si="7">IFERROR(((L19-(S19/K19))/(S19/K19)),0)</f>
        <v>0</v>
      </c>
      <c r="W19" s="41">
        <f t="shared" ref="W19:W80" si="8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623</v>
      </c>
      <c r="C20" s="6" t="s">
        <v>211</v>
      </c>
      <c r="D20" s="139" t="s">
        <v>28</v>
      </c>
      <c r="E20" s="332">
        <v>375</v>
      </c>
      <c r="F20" s="53">
        <v>1</v>
      </c>
      <c r="G20" s="8">
        <v>166.55</v>
      </c>
      <c r="H20" s="9">
        <f t="shared" si="1"/>
        <v>120.69</v>
      </c>
      <c r="I20" s="10">
        <f t="shared" si="2"/>
        <v>120.69</v>
      </c>
      <c r="J20" s="42"/>
      <c r="K20" s="89">
        <f t="shared" si="0"/>
        <v>1</v>
      </c>
      <c r="L20" s="9">
        <f t="shared" si="3"/>
        <v>120.69</v>
      </c>
      <c r="M20" s="9">
        <f t="shared" si="4"/>
        <v>120.69</v>
      </c>
      <c r="N20" s="8" t="s">
        <v>156</v>
      </c>
      <c r="O20" s="12"/>
      <c r="P20" s="51"/>
      <c r="Q20" s="3"/>
      <c r="R20" s="13"/>
      <c r="S20" s="14">
        <f t="shared" ref="S20:S80" si="9">ROUND(IF($S$17=$R$17,R20,IF($S$17="USD $",R20*$E$15,R20*$F$15))*F20,2)</f>
        <v>0</v>
      </c>
      <c r="T20" s="14">
        <f t="shared" si="5"/>
        <v>120.69</v>
      </c>
      <c r="U20" s="14">
        <f t="shared" si="6"/>
        <v>120.69</v>
      </c>
      <c r="V20" s="29">
        <f t="shared" si="7"/>
        <v>0</v>
      </c>
      <c r="W20" s="29">
        <f t="shared" si="8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624</v>
      </c>
      <c r="C21" s="4" t="s">
        <v>214</v>
      </c>
      <c r="D21" s="139" t="s">
        <v>27</v>
      </c>
      <c r="E21" s="125">
        <v>500</v>
      </c>
      <c r="F21" s="54">
        <v>1</v>
      </c>
      <c r="G21" s="15">
        <v>138.01</v>
      </c>
      <c r="H21" s="38">
        <f t="shared" si="1"/>
        <v>100.01</v>
      </c>
      <c r="I21" s="39">
        <f t="shared" si="2"/>
        <v>100.01</v>
      </c>
      <c r="J21" s="42"/>
      <c r="K21" s="88">
        <f t="shared" si="0"/>
        <v>1</v>
      </c>
      <c r="L21" s="38">
        <f t="shared" si="3"/>
        <v>100.01</v>
      </c>
      <c r="M21" s="38">
        <f t="shared" si="4"/>
        <v>100.01</v>
      </c>
      <c r="N21" s="128" t="s">
        <v>156</v>
      </c>
      <c r="O21" s="16"/>
      <c r="P21" s="51"/>
      <c r="Q21" s="1"/>
      <c r="R21" s="15"/>
      <c r="S21" s="40">
        <f t="shared" si="9"/>
        <v>0</v>
      </c>
      <c r="T21" s="52">
        <f t="shared" si="5"/>
        <v>100.01</v>
      </c>
      <c r="U21" s="52">
        <f t="shared" si="6"/>
        <v>100.01</v>
      </c>
      <c r="V21" s="41">
        <f t="shared" si="7"/>
        <v>0</v>
      </c>
      <c r="W21" s="41">
        <f t="shared" si="8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625</v>
      </c>
      <c r="C22" s="4" t="s">
        <v>216</v>
      </c>
      <c r="D22" s="139" t="s">
        <v>25</v>
      </c>
      <c r="E22" s="125">
        <v>500</v>
      </c>
      <c r="F22" s="54">
        <v>1</v>
      </c>
      <c r="G22" s="8">
        <v>103.85</v>
      </c>
      <c r="H22" s="9">
        <f t="shared" si="1"/>
        <v>75.25</v>
      </c>
      <c r="I22" s="10">
        <f t="shared" si="2"/>
        <v>75.25</v>
      </c>
      <c r="J22" s="42"/>
      <c r="K22" s="89">
        <f t="shared" si="0"/>
        <v>1</v>
      </c>
      <c r="L22" s="9">
        <f t="shared" si="3"/>
        <v>75.25</v>
      </c>
      <c r="M22" s="9">
        <f t="shared" si="4"/>
        <v>75.25</v>
      </c>
      <c r="N22" s="8" t="s">
        <v>156</v>
      </c>
      <c r="O22" s="12"/>
      <c r="P22" s="51"/>
      <c r="Q22" s="3"/>
      <c r="R22" s="13"/>
      <c r="S22" s="14">
        <f t="shared" si="9"/>
        <v>0</v>
      </c>
      <c r="T22" s="14">
        <f t="shared" si="5"/>
        <v>75.25</v>
      </c>
      <c r="U22" s="14">
        <f t="shared" si="6"/>
        <v>75.25</v>
      </c>
      <c r="V22" s="29">
        <f t="shared" si="7"/>
        <v>0</v>
      </c>
      <c r="W22" s="29">
        <f t="shared" si="8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2" t="s">
        <v>626</v>
      </c>
      <c r="C23" s="6" t="s">
        <v>217</v>
      </c>
      <c r="D23" s="139" t="s">
        <v>25</v>
      </c>
      <c r="E23" s="332">
        <v>375</v>
      </c>
      <c r="F23" s="53">
        <v>1</v>
      </c>
      <c r="G23" s="15">
        <v>82.58</v>
      </c>
      <c r="H23" s="38">
        <f t="shared" si="1"/>
        <v>59.84</v>
      </c>
      <c r="I23" s="39">
        <f t="shared" si="2"/>
        <v>59.84</v>
      </c>
      <c r="J23" s="42"/>
      <c r="K23" s="88">
        <f t="shared" si="0"/>
        <v>1</v>
      </c>
      <c r="L23" s="38">
        <f t="shared" si="3"/>
        <v>59.84</v>
      </c>
      <c r="M23" s="38">
        <f t="shared" si="4"/>
        <v>59.84</v>
      </c>
      <c r="N23" s="128" t="s">
        <v>156</v>
      </c>
      <c r="O23" s="16"/>
      <c r="P23" s="51"/>
      <c r="Q23" s="1"/>
      <c r="R23" s="15"/>
      <c r="S23" s="40">
        <f t="shared" si="9"/>
        <v>0</v>
      </c>
      <c r="T23" s="52">
        <f t="shared" si="5"/>
        <v>59.84</v>
      </c>
      <c r="U23" s="52">
        <f t="shared" si="6"/>
        <v>59.84</v>
      </c>
      <c r="V23" s="41">
        <f t="shared" si="7"/>
        <v>0</v>
      </c>
      <c r="W23" s="41">
        <f t="shared" si="8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1" t="s">
        <v>627</v>
      </c>
      <c r="C24" s="4" t="s">
        <v>215</v>
      </c>
      <c r="D24" s="139" t="s">
        <v>24</v>
      </c>
      <c r="E24" s="332">
        <v>375</v>
      </c>
      <c r="F24" s="54">
        <v>1</v>
      </c>
      <c r="G24" s="8">
        <v>17.02</v>
      </c>
      <c r="H24" s="9">
        <f t="shared" si="1"/>
        <v>12.33</v>
      </c>
      <c r="I24" s="10">
        <f t="shared" si="2"/>
        <v>12.33</v>
      </c>
      <c r="J24" s="42"/>
      <c r="K24" s="89">
        <f t="shared" si="0"/>
        <v>1</v>
      </c>
      <c r="L24" s="9">
        <f t="shared" si="3"/>
        <v>12.33</v>
      </c>
      <c r="M24" s="9">
        <f t="shared" si="4"/>
        <v>12.33</v>
      </c>
      <c r="N24" s="8" t="s">
        <v>156</v>
      </c>
      <c r="O24" s="12"/>
      <c r="P24" s="51"/>
      <c r="Q24" s="3"/>
      <c r="R24" s="13"/>
      <c r="S24" s="14">
        <f t="shared" si="9"/>
        <v>0</v>
      </c>
      <c r="T24" s="14">
        <f t="shared" si="5"/>
        <v>12.33</v>
      </c>
      <c r="U24" s="14">
        <f t="shared" si="6"/>
        <v>12.33</v>
      </c>
      <c r="V24" s="29">
        <f t="shared" si="7"/>
        <v>0</v>
      </c>
      <c r="W24" s="29">
        <f t="shared" si="8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" t="s">
        <v>628</v>
      </c>
      <c r="C25" s="6" t="s">
        <v>215</v>
      </c>
      <c r="D25" s="139" t="s">
        <v>24</v>
      </c>
      <c r="E25" s="332">
        <v>375</v>
      </c>
      <c r="F25" s="53">
        <v>1</v>
      </c>
      <c r="G25" s="15">
        <v>139.9</v>
      </c>
      <c r="H25" s="38">
        <f t="shared" si="1"/>
        <v>101.38</v>
      </c>
      <c r="I25" s="39">
        <f t="shared" si="2"/>
        <v>101.38</v>
      </c>
      <c r="J25" s="42"/>
      <c r="K25" s="88">
        <f t="shared" si="0"/>
        <v>1</v>
      </c>
      <c r="L25" s="38">
        <f t="shared" si="3"/>
        <v>101.38</v>
      </c>
      <c r="M25" s="38">
        <f t="shared" si="4"/>
        <v>101.38</v>
      </c>
      <c r="N25" s="128" t="s">
        <v>156</v>
      </c>
      <c r="O25" s="16"/>
      <c r="P25" s="51"/>
      <c r="Q25" s="1"/>
      <c r="R25" s="15"/>
      <c r="S25" s="40">
        <f t="shared" si="9"/>
        <v>0</v>
      </c>
      <c r="T25" s="52">
        <f t="shared" si="5"/>
        <v>101.38</v>
      </c>
      <c r="U25" s="52">
        <f t="shared" si="6"/>
        <v>101.38</v>
      </c>
      <c r="V25" s="41">
        <f t="shared" si="7"/>
        <v>0</v>
      </c>
      <c r="W25" s="41">
        <f t="shared" si="8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629</v>
      </c>
      <c r="C26" s="6" t="s">
        <v>630</v>
      </c>
      <c r="D26" s="139" t="s">
        <v>28</v>
      </c>
      <c r="E26" s="332">
        <v>500</v>
      </c>
      <c r="F26" s="53">
        <v>1</v>
      </c>
      <c r="G26" s="8">
        <v>42.97</v>
      </c>
      <c r="H26" s="9">
        <f t="shared" si="1"/>
        <v>31.14</v>
      </c>
      <c r="I26" s="10">
        <f t="shared" si="2"/>
        <v>31.14</v>
      </c>
      <c r="J26" s="42"/>
      <c r="K26" s="89">
        <f t="shared" si="0"/>
        <v>1</v>
      </c>
      <c r="L26" s="9">
        <f t="shared" si="3"/>
        <v>31.14</v>
      </c>
      <c r="M26" s="9">
        <f t="shared" si="4"/>
        <v>31.14</v>
      </c>
      <c r="N26" s="8" t="s">
        <v>156</v>
      </c>
      <c r="O26" s="12"/>
      <c r="P26" s="51"/>
      <c r="Q26" s="3"/>
      <c r="R26" s="13"/>
      <c r="S26" s="14">
        <f t="shared" si="9"/>
        <v>0</v>
      </c>
      <c r="T26" s="14">
        <f t="shared" si="5"/>
        <v>31.14</v>
      </c>
      <c r="U26" s="14">
        <f t="shared" si="6"/>
        <v>31.14</v>
      </c>
      <c r="V26" s="29">
        <f t="shared" si="7"/>
        <v>0</v>
      </c>
      <c r="W26" s="29">
        <f t="shared" si="8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/>
      <c r="C27" s="4"/>
      <c r="D27" s="139"/>
      <c r="E27" s="125"/>
      <c r="F27" s="54"/>
      <c r="G27" s="15">
        <v>0</v>
      </c>
      <c r="H27" s="38">
        <f t="shared" si="1"/>
        <v>0</v>
      </c>
      <c r="I27" s="39">
        <f t="shared" si="2"/>
        <v>0</v>
      </c>
      <c r="J27" s="42"/>
      <c r="K27" s="88">
        <f t="shared" si="0"/>
        <v>0</v>
      </c>
      <c r="L27" s="38">
        <f t="shared" si="3"/>
        <v>0</v>
      </c>
      <c r="M27" s="38">
        <f t="shared" si="4"/>
        <v>0</v>
      </c>
      <c r="N27" s="128" t="s">
        <v>156</v>
      </c>
      <c r="O27" s="16"/>
      <c r="P27" s="51"/>
      <c r="Q27" s="1"/>
      <c r="R27" s="15"/>
      <c r="S27" s="40">
        <f t="shared" si="9"/>
        <v>0</v>
      </c>
      <c r="T27" s="52">
        <f t="shared" si="5"/>
        <v>0</v>
      </c>
      <c r="U27" s="52">
        <f t="shared" si="6"/>
        <v>0</v>
      </c>
      <c r="V27" s="41">
        <f t="shared" si="7"/>
        <v>0</v>
      </c>
      <c r="W27" s="41">
        <f t="shared" si="8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1"/>
      <c r="C28" s="4" t="s">
        <v>313</v>
      </c>
      <c r="D28" s="139"/>
      <c r="E28" s="125"/>
      <c r="F28" s="8"/>
      <c r="G28" s="8">
        <v>0</v>
      </c>
      <c r="H28" s="9">
        <f t="shared" si="1"/>
        <v>0</v>
      </c>
      <c r="I28" s="10">
        <f t="shared" si="2"/>
        <v>0</v>
      </c>
      <c r="J28" s="42"/>
      <c r="K28" s="89">
        <f t="shared" si="0"/>
        <v>0</v>
      </c>
      <c r="L28" s="9">
        <f t="shared" si="3"/>
        <v>0</v>
      </c>
      <c r="M28" s="9">
        <f t="shared" si="4"/>
        <v>0</v>
      </c>
      <c r="N28" s="8" t="s">
        <v>156</v>
      </c>
      <c r="O28" s="12"/>
      <c r="P28" s="51"/>
      <c r="Q28" s="3"/>
      <c r="R28" s="13"/>
      <c r="S28" s="14">
        <f t="shared" si="9"/>
        <v>0</v>
      </c>
      <c r="T28" s="14">
        <f t="shared" si="5"/>
        <v>0</v>
      </c>
      <c r="U28" s="14">
        <f t="shared" si="6"/>
        <v>0</v>
      </c>
      <c r="V28" s="29">
        <f t="shared" si="7"/>
        <v>0</v>
      </c>
      <c r="W28" s="29">
        <f t="shared" si="8"/>
        <v>0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6" t="s">
        <v>631</v>
      </c>
      <c r="C29" s="6" t="s">
        <v>220</v>
      </c>
      <c r="D29" s="139" t="s">
        <v>0</v>
      </c>
      <c r="E29" s="126" t="s">
        <v>176</v>
      </c>
      <c r="F29" s="53">
        <v>2</v>
      </c>
      <c r="G29" s="15">
        <v>524.91999999999996</v>
      </c>
      <c r="H29" s="38">
        <f>ROUND(IF($G$17="USD $", G29*$F$15,G29*$E$15),2)</f>
        <v>380.38</v>
      </c>
      <c r="I29" s="39">
        <f>ROUND(IF($I$17=$H$17,F29*H29,F29*G29),2)</f>
        <v>760.76</v>
      </c>
      <c r="J29" s="42"/>
      <c r="K29" s="88">
        <f t="shared" si="0"/>
        <v>2</v>
      </c>
      <c r="L29" s="38">
        <f t="shared" si="3"/>
        <v>380.38</v>
      </c>
      <c r="M29" s="38">
        <f>ROUND((K29*L29),2)</f>
        <v>760.76</v>
      </c>
      <c r="N29" s="128" t="s">
        <v>156</v>
      </c>
      <c r="O29" s="16"/>
      <c r="P29" s="51"/>
      <c r="Q29" s="1"/>
      <c r="R29" s="15"/>
      <c r="S29" s="40">
        <f t="shared" si="9"/>
        <v>0</v>
      </c>
      <c r="T29" s="52">
        <f t="shared" si="5"/>
        <v>380.38</v>
      </c>
      <c r="U29" s="52">
        <f t="shared" si="6"/>
        <v>760.76</v>
      </c>
      <c r="V29" s="41">
        <f t="shared" si="7"/>
        <v>0</v>
      </c>
      <c r="W29" s="41">
        <f t="shared" si="8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4" t="s">
        <v>632</v>
      </c>
      <c r="C30" s="4" t="s">
        <v>633</v>
      </c>
      <c r="D30" s="139" t="s">
        <v>39</v>
      </c>
      <c r="E30" s="125" t="s">
        <v>176</v>
      </c>
      <c r="F30" s="54">
        <v>1</v>
      </c>
      <c r="G30" s="8">
        <v>3948.86</v>
      </c>
      <c r="H30" s="9">
        <f t="shared" si="1"/>
        <v>2861.49</v>
      </c>
      <c r="I30" s="10">
        <f t="shared" si="2"/>
        <v>2861.49</v>
      </c>
      <c r="J30" s="42"/>
      <c r="K30" s="89">
        <f t="shared" si="0"/>
        <v>1</v>
      </c>
      <c r="L30" s="9">
        <f t="shared" si="3"/>
        <v>2861.49</v>
      </c>
      <c r="M30" s="9">
        <f t="shared" si="4"/>
        <v>2861.49</v>
      </c>
      <c r="N30" s="8" t="s">
        <v>156</v>
      </c>
      <c r="O30" s="12"/>
      <c r="P30" s="51"/>
      <c r="Q30" s="3"/>
      <c r="R30" s="13"/>
      <c r="S30" s="14">
        <f t="shared" si="9"/>
        <v>0</v>
      </c>
      <c r="T30" s="14">
        <f t="shared" si="5"/>
        <v>2861.49</v>
      </c>
      <c r="U30" s="14">
        <f t="shared" si="6"/>
        <v>2861.49</v>
      </c>
      <c r="V30" s="29">
        <f t="shared" si="7"/>
        <v>0</v>
      </c>
      <c r="W30" s="29">
        <f t="shared" si="8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1"/>
      <c r="C31" s="4"/>
      <c r="D31" s="139"/>
      <c r="E31" s="125"/>
      <c r="F31" s="54"/>
      <c r="G31" s="15">
        <v>0</v>
      </c>
      <c r="H31" s="38">
        <f t="shared" si="1"/>
        <v>0</v>
      </c>
      <c r="I31" s="39">
        <f t="shared" si="2"/>
        <v>0</v>
      </c>
      <c r="J31" s="42"/>
      <c r="K31" s="88">
        <f t="shared" si="0"/>
        <v>0</v>
      </c>
      <c r="L31" s="38">
        <f t="shared" si="3"/>
        <v>0</v>
      </c>
      <c r="M31" s="38">
        <f t="shared" si="4"/>
        <v>0</v>
      </c>
      <c r="N31" s="128" t="s">
        <v>156</v>
      </c>
      <c r="O31" s="16"/>
      <c r="P31" s="51"/>
      <c r="Q31" s="1"/>
      <c r="R31" s="15"/>
      <c r="S31" s="40">
        <f>ROUND(IF($S$17=$R$17,R31,IF($S$17="USD $",R31*$E$15,R31*$F$15))*F31,2)</f>
        <v>0</v>
      </c>
      <c r="T31" s="52">
        <f t="shared" si="5"/>
        <v>0</v>
      </c>
      <c r="U31" s="52">
        <f t="shared" si="6"/>
        <v>0</v>
      </c>
      <c r="V31" s="41">
        <f t="shared" si="7"/>
        <v>0</v>
      </c>
      <c r="W31" s="41">
        <f t="shared" si="8"/>
        <v>0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2"/>
      <c r="C32" s="6"/>
      <c r="D32" s="139"/>
      <c r="E32" s="126"/>
      <c r="F32" s="53"/>
      <c r="G32" s="8">
        <v>0</v>
      </c>
      <c r="H32" s="9">
        <f t="shared" si="1"/>
        <v>0</v>
      </c>
      <c r="I32" s="10">
        <f t="shared" si="2"/>
        <v>0</v>
      </c>
      <c r="J32" s="42"/>
      <c r="K32" s="89">
        <f t="shared" si="0"/>
        <v>0</v>
      </c>
      <c r="L32" s="9">
        <f t="shared" si="3"/>
        <v>0</v>
      </c>
      <c r="M32" s="9">
        <f t="shared" si="4"/>
        <v>0</v>
      </c>
      <c r="N32" s="8" t="s">
        <v>156</v>
      </c>
      <c r="O32" s="12"/>
      <c r="P32" s="51"/>
      <c r="Q32" s="3"/>
      <c r="R32" s="13"/>
      <c r="S32" s="14">
        <f t="shared" si="9"/>
        <v>0</v>
      </c>
      <c r="T32" s="14">
        <f t="shared" si="5"/>
        <v>0</v>
      </c>
      <c r="U32" s="14">
        <f t="shared" si="6"/>
        <v>0</v>
      </c>
      <c r="V32" s="29">
        <f t="shared" si="7"/>
        <v>0</v>
      </c>
      <c r="W32" s="29">
        <f t="shared" si="8"/>
        <v>0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1"/>
      <c r="C33" s="4" t="s">
        <v>222</v>
      </c>
      <c r="D33" s="139"/>
      <c r="E33" s="125"/>
      <c r="F33" s="54"/>
      <c r="G33" s="15">
        <v>0</v>
      </c>
      <c r="H33" s="38">
        <f t="shared" si="1"/>
        <v>0</v>
      </c>
      <c r="I33" s="39">
        <f t="shared" si="2"/>
        <v>0</v>
      </c>
      <c r="J33" s="42"/>
      <c r="K33" s="88">
        <f t="shared" si="0"/>
        <v>0</v>
      </c>
      <c r="L33" s="38">
        <f t="shared" si="3"/>
        <v>0</v>
      </c>
      <c r="M33" s="38">
        <f t="shared" si="4"/>
        <v>0</v>
      </c>
      <c r="N33" s="128" t="s">
        <v>156</v>
      </c>
      <c r="O33" s="16"/>
      <c r="P33" s="51"/>
      <c r="Q33" s="1"/>
      <c r="R33" s="15"/>
      <c r="S33" s="40">
        <f t="shared" si="9"/>
        <v>0</v>
      </c>
      <c r="T33" s="52">
        <f t="shared" si="5"/>
        <v>0</v>
      </c>
      <c r="U33" s="52">
        <f t="shared" si="6"/>
        <v>0</v>
      </c>
      <c r="V33" s="41">
        <f t="shared" si="7"/>
        <v>0</v>
      </c>
      <c r="W33" s="41">
        <f t="shared" si="8"/>
        <v>0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2" t="s">
        <v>634</v>
      </c>
      <c r="C34" s="6" t="s">
        <v>223</v>
      </c>
      <c r="D34" s="139" t="s">
        <v>21</v>
      </c>
      <c r="E34" s="126">
        <v>10000</v>
      </c>
      <c r="F34" s="53">
        <v>1</v>
      </c>
      <c r="G34" s="336">
        <v>10919.19</v>
      </c>
      <c r="H34" s="9">
        <f t="shared" si="1"/>
        <v>7912.46</v>
      </c>
      <c r="I34" s="10">
        <f t="shared" si="2"/>
        <v>7912.46</v>
      </c>
      <c r="J34" s="42"/>
      <c r="K34" s="89">
        <f t="shared" si="0"/>
        <v>1</v>
      </c>
      <c r="L34" s="9">
        <f t="shared" si="3"/>
        <v>7912.46</v>
      </c>
      <c r="M34" s="9">
        <f t="shared" si="4"/>
        <v>7912.46</v>
      </c>
      <c r="N34" s="8" t="s">
        <v>156</v>
      </c>
      <c r="O34" s="12"/>
      <c r="P34" s="51"/>
      <c r="Q34" s="3"/>
      <c r="R34" s="13"/>
      <c r="S34" s="14">
        <f t="shared" si="9"/>
        <v>0</v>
      </c>
      <c r="T34" s="14">
        <f t="shared" si="5"/>
        <v>7912.46</v>
      </c>
      <c r="U34" s="14">
        <f t="shared" si="6"/>
        <v>7912.46</v>
      </c>
      <c r="V34" s="29">
        <f t="shared" si="7"/>
        <v>0</v>
      </c>
      <c r="W34" s="29">
        <f t="shared" si="8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1" t="s">
        <v>635</v>
      </c>
      <c r="C35" s="4" t="s">
        <v>224</v>
      </c>
      <c r="D35" s="139" t="s">
        <v>15</v>
      </c>
      <c r="E35" s="125" t="s">
        <v>176</v>
      </c>
      <c r="F35" s="54">
        <v>1</v>
      </c>
      <c r="G35" s="15">
        <v>966.01</v>
      </c>
      <c r="H35" s="38">
        <f t="shared" si="1"/>
        <v>700.01</v>
      </c>
      <c r="I35" s="39">
        <f t="shared" si="2"/>
        <v>700.01</v>
      </c>
      <c r="J35" s="42"/>
      <c r="K35" s="88">
        <f t="shared" si="0"/>
        <v>1</v>
      </c>
      <c r="L35" s="38">
        <f t="shared" si="3"/>
        <v>700.01</v>
      </c>
      <c r="M35" s="38">
        <f t="shared" si="4"/>
        <v>700.01</v>
      </c>
      <c r="N35" s="128" t="s">
        <v>156</v>
      </c>
      <c r="O35" s="16"/>
      <c r="P35" s="51"/>
      <c r="Q35" s="1"/>
      <c r="R35" s="15"/>
      <c r="S35" s="40">
        <f t="shared" si="9"/>
        <v>0</v>
      </c>
      <c r="T35" s="52">
        <f t="shared" si="5"/>
        <v>700.01</v>
      </c>
      <c r="U35" s="52">
        <f t="shared" si="6"/>
        <v>700.01</v>
      </c>
      <c r="V35" s="41">
        <f t="shared" si="7"/>
        <v>0</v>
      </c>
      <c r="W35" s="41">
        <f t="shared" si="8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2" t="s">
        <v>636</v>
      </c>
      <c r="C36" s="6" t="s">
        <v>225</v>
      </c>
      <c r="D36" s="139" t="s">
        <v>16</v>
      </c>
      <c r="E36" s="125" t="s">
        <v>176</v>
      </c>
      <c r="F36" s="53">
        <v>1</v>
      </c>
      <c r="G36" s="8">
        <v>8436.06</v>
      </c>
      <c r="H36" s="9">
        <f t="shared" si="1"/>
        <v>6113.09</v>
      </c>
      <c r="I36" s="10">
        <f t="shared" si="2"/>
        <v>6113.09</v>
      </c>
      <c r="J36" s="42"/>
      <c r="K36" s="89">
        <f t="shared" si="0"/>
        <v>1</v>
      </c>
      <c r="L36" s="9">
        <f t="shared" si="3"/>
        <v>6113.09</v>
      </c>
      <c r="M36" s="9">
        <f t="shared" si="4"/>
        <v>6113.09</v>
      </c>
      <c r="N36" s="8" t="s">
        <v>156</v>
      </c>
      <c r="O36" s="12"/>
      <c r="P36" s="51"/>
      <c r="Q36" s="3"/>
      <c r="R36" s="13"/>
      <c r="S36" s="14">
        <f t="shared" si="9"/>
        <v>0</v>
      </c>
      <c r="T36" s="14">
        <f t="shared" si="5"/>
        <v>6113.09</v>
      </c>
      <c r="U36" s="14">
        <f t="shared" si="6"/>
        <v>6113.09</v>
      </c>
      <c r="V36" s="29">
        <f t="shared" si="7"/>
        <v>0</v>
      </c>
      <c r="W36" s="29">
        <f t="shared" si="8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1" t="s">
        <v>637</v>
      </c>
      <c r="C37" s="4" t="s">
        <v>638</v>
      </c>
      <c r="D37" s="139" t="s">
        <v>17</v>
      </c>
      <c r="E37" s="125" t="s">
        <v>176</v>
      </c>
      <c r="F37" s="54">
        <v>1</v>
      </c>
      <c r="G37" s="15">
        <v>8621.83</v>
      </c>
      <c r="H37" s="38">
        <f t="shared" si="1"/>
        <v>6247.7</v>
      </c>
      <c r="I37" s="39">
        <f t="shared" si="2"/>
        <v>6247.7</v>
      </c>
      <c r="J37" s="42"/>
      <c r="K37" s="88">
        <f t="shared" si="0"/>
        <v>1</v>
      </c>
      <c r="L37" s="38">
        <f t="shared" si="3"/>
        <v>6247.7</v>
      </c>
      <c r="M37" s="38">
        <f t="shared" si="4"/>
        <v>6247.7</v>
      </c>
      <c r="N37" s="128" t="s">
        <v>156</v>
      </c>
      <c r="O37" s="16"/>
      <c r="P37" s="51"/>
      <c r="Q37" s="1"/>
      <c r="R37" s="15"/>
      <c r="S37" s="40">
        <f t="shared" si="9"/>
        <v>0</v>
      </c>
      <c r="T37" s="52">
        <f t="shared" si="5"/>
        <v>6247.7</v>
      </c>
      <c r="U37" s="52">
        <f t="shared" si="6"/>
        <v>6247.7</v>
      </c>
      <c r="V37" s="41">
        <f t="shared" si="7"/>
        <v>0</v>
      </c>
      <c r="W37" s="41">
        <f t="shared" si="8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2" t="s">
        <v>639</v>
      </c>
      <c r="C38" s="6" t="s">
        <v>640</v>
      </c>
      <c r="D38" s="139" t="s">
        <v>23</v>
      </c>
      <c r="E38" s="126">
        <v>6000</v>
      </c>
      <c r="F38" s="53">
        <v>1</v>
      </c>
      <c r="G38" s="8">
        <v>6365.6</v>
      </c>
      <c r="H38" s="9">
        <f t="shared" si="1"/>
        <v>4612.75</v>
      </c>
      <c r="I38" s="10">
        <f t="shared" si="2"/>
        <v>4612.75</v>
      </c>
      <c r="J38" s="42"/>
      <c r="K38" s="89">
        <f t="shared" si="0"/>
        <v>1</v>
      </c>
      <c r="L38" s="9">
        <f t="shared" si="3"/>
        <v>4612.75</v>
      </c>
      <c r="M38" s="9">
        <f t="shared" si="4"/>
        <v>4612.75</v>
      </c>
      <c r="N38" s="8" t="s">
        <v>156</v>
      </c>
      <c r="O38" s="12"/>
      <c r="P38" s="51"/>
      <c r="Q38" s="3"/>
      <c r="R38" s="13"/>
      <c r="S38" s="14">
        <f t="shared" si="9"/>
        <v>0</v>
      </c>
      <c r="T38" s="14">
        <f t="shared" si="5"/>
        <v>4612.75</v>
      </c>
      <c r="U38" s="14">
        <f t="shared" si="6"/>
        <v>4612.75</v>
      </c>
      <c r="V38" s="29">
        <f t="shared" si="7"/>
        <v>0</v>
      </c>
      <c r="W38" s="29">
        <f t="shared" si="8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1" t="s">
        <v>641</v>
      </c>
      <c r="C39" s="4" t="s">
        <v>642</v>
      </c>
      <c r="D39" s="139" t="s">
        <v>19</v>
      </c>
      <c r="E39" s="126">
        <v>6000</v>
      </c>
      <c r="F39" s="54">
        <v>6</v>
      </c>
      <c r="G39" s="15">
        <v>343.13</v>
      </c>
      <c r="H39" s="38">
        <f t="shared" si="1"/>
        <v>248.64</v>
      </c>
      <c r="I39" s="39">
        <f t="shared" si="2"/>
        <v>1491.84</v>
      </c>
      <c r="J39" s="42"/>
      <c r="K39" s="88">
        <f t="shared" si="0"/>
        <v>6</v>
      </c>
      <c r="L39" s="38">
        <f t="shared" si="3"/>
        <v>248.64</v>
      </c>
      <c r="M39" s="38">
        <f t="shared" si="4"/>
        <v>1491.84</v>
      </c>
      <c r="N39" s="128" t="s">
        <v>156</v>
      </c>
      <c r="O39" s="16"/>
      <c r="P39" s="51"/>
      <c r="Q39" s="1"/>
      <c r="R39" s="15"/>
      <c r="S39" s="40">
        <f t="shared" si="9"/>
        <v>0</v>
      </c>
      <c r="T39" s="52">
        <f t="shared" si="5"/>
        <v>248.64</v>
      </c>
      <c r="U39" s="52">
        <f t="shared" si="6"/>
        <v>1491.84</v>
      </c>
      <c r="V39" s="41">
        <f t="shared" si="7"/>
        <v>0</v>
      </c>
      <c r="W39" s="41">
        <f t="shared" si="8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2"/>
      <c r="C40" s="6"/>
      <c r="D40" s="139"/>
      <c r="E40" s="126"/>
      <c r="F40" s="53"/>
      <c r="G40" s="8"/>
      <c r="H40" s="9">
        <f t="shared" si="1"/>
        <v>0</v>
      </c>
      <c r="I40" s="10">
        <f t="shared" si="2"/>
        <v>0</v>
      </c>
      <c r="J40" s="42"/>
      <c r="K40" s="89">
        <f t="shared" si="0"/>
        <v>0</v>
      </c>
      <c r="L40" s="9">
        <f t="shared" si="3"/>
        <v>0</v>
      </c>
      <c r="M40" s="9">
        <f t="shared" si="4"/>
        <v>0</v>
      </c>
      <c r="N40" s="8" t="s">
        <v>156</v>
      </c>
      <c r="O40" s="12"/>
      <c r="P40" s="51"/>
      <c r="Q40" s="3"/>
      <c r="R40" s="13"/>
      <c r="S40" s="14">
        <f t="shared" si="9"/>
        <v>0</v>
      </c>
      <c r="T40" s="14">
        <f t="shared" si="5"/>
        <v>0</v>
      </c>
      <c r="U40" s="14">
        <f t="shared" si="6"/>
        <v>0</v>
      </c>
      <c r="V40" s="29">
        <f t="shared" si="7"/>
        <v>0</v>
      </c>
      <c r="W40" s="29">
        <f t="shared" si="8"/>
        <v>0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1"/>
      <c r="C41" s="4" t="s">
        <v>228</v>
      </c>
      <c r="D41" s="139"/>
      <c r="E41" s="125"/>
      <c r="F41" s="54"/>
      <c r="G41" s="15"/>
      <c r="H41" s="38">
        <f t="shared" si="1"/>
        <v>0</v>
      </c>
      <c r="I41" s="39">
        <f t="shared" si="2"/>
        <v>0</v>
      </c>
      <c r="J41" s="42"/>
      <c r="K41" s="88">
        <f t="shared" si="0"/>
        <v>0</v>
      </c>
      <c r="L41" s="38">
        <f t="shared" si="3"/>
        <v>0</v>
      </c>
      <c r="M41" s="38">
        <f t="shared" si="4"/>
        <v>0</v>
      </c>
      <c r="N41" s="128" t="s">
        <v>156</v>
      </c>
      <c r="O41" s="16"/>
      <c r="P41" s="51"/>
      <c r="Q41" s="1"/>
      <c r="R41" s="15"/>
      <c r="S41" s="40">
        <f t="shared" si="9"/>
        <v>0</v>
      </c>
      <c r="T41" s="52">
        <f t="shared" si="5"/>
        <v>0</v>
      </c>
      <c r="U41" s="52">
        <f t="shared" si="6"/>
        <v>0</v>
      </c>
      <c r="V41" s="41">
        <f t="shared" si="7"/>
        <v>0</v>
      </c>
      <c r="W41" s="41">
        <f t="shared" si="8"/>
        <v>0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2" t="s">
        <v>643</v>
      </c>
      <c r="C42" s="6" t="s">
        <v>229</v>
      </c>
      <c r="D42" s="139" t="s">
        <v>41</v>
      </c>
      <c r="E42" s="126">
        <v>4000</v>
      </c>
      <c r="F42" s="53">
        <v>4</v>
      </c>
      <c r="G42" s="360">
        <v>6372.74</v>
      </c>
      <c r="H42" s="9">
        <f t="shared" si="1"/>
        <v>4617.93</v>
      </c>
      <c r="I42" s="10">
        <f t="shared" si="2"/>
        <v>18471.72</v>
      </c>
      <c r="J42" s="42"/>
      <c r="K42" s="89">
        <f t="shared" si="0"/>
        <v>4</v>
      </c>
      <c r="L42" s="9">
        <f t="shared" si="3"/>
        <v>4617.93</v>
      </c>
      <c r="M42" s="9">
        <f t="shared" si="4"/>
        <v>18471.72</v>
      </c>
      <c r="N42" s="8" t="s">
        <v>156</v>
      </c>
      <c r="O42" s="12"/>
      <c r="P42" s="51"/>
      <c r="Q42" s="3"/>
      <c r="R42" s="13"/>
      <c r="S42" s="14">
        <f t="shared" si="9"/>
        <v>0</v>
      </c>
      <c r="T42" s="14">
        <f t="shared" si="5"/>
        <v>4617.93</v>
      </c>
      <c r="U42" s="14">
        <f t="shared" si="6"/>
        <v>18471.72</v>
      </c>
      <c r="V42" s="29">
        <f t="shared" si="7"/>
        <v>0</v>
      </c>
      <c r="W42" s="29">
        <f t="shared" si="8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1"/>
      <c r="C43" s="4"/>
      <c r="D43" s="139"/>
      <c r="E43" s="125"/>
      <c r="F43" s="54"/>
      <c r="G43" s="15">
        <v>0</v>
      </c>
      <c r="H43" s="38">
        <f t="shared" si="1"/>
        <v>0</v>
      </c>
      <c r="I43" s="39">
        <f t="shared" si="2"/>
        <v>0</v>
      </c>
      <c r="J43" s="42"/>
      <c r="K43" s="88">
        <f t="shared" si="0"/>
        <v>0</v>
      </c>
      <c r="L43" s="38">
        <f t="shared" si="3"/>
        <v>0</v>
      </c>
      <c r="M43" s="38">
        <f t="shared" si="4"/>
        <v>0</v>
      </c>
      <c r="N43" s="128" t="s">
        <v>156</v>
      </c>
      <c r="O43" s="16"/>
      <c r="P43" s="51"/>
      <c r="Q43" s="1"/>
      <c r="R43" s="15"/>
      <c r="S43" s="40">
        <f t="shared" si="9"/>
        <v>0</v>
      </c>
      <c r="T43" s="52">
        <f t="shared" si="5"/>
        <v>0</v>
      </c>
      <c r="U43" s="52">
        <f t="shared" si="6"/>
        <v>0</v>
      </c>
      <c r="V43" s="41">
        <f t="shared" si="7"/>
        <v>0</v>
      </c>
      <c r="W43" s="41">
        <f t="shared" si="8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2" t="s">
        <v>644</v>
      </c>
      <c r="C44" s="4" t="s">
        <v>645</v>
      </c>
      <c r="D44" s="139" t="s">
        <v>22</v>
      </c>
      <c r="E44" s="125" t="s">
        <v>176</v>
      </c>
      <c r="F44" s="53">
        <v>1</v>
      </c>
      <c r="G44" s="8">
        <v>1807.84</v>
      </c>
      <c r="H44" s="9">
        <f t="shared" si="1"/>
        <v>1310.03</v>
      </c>
      <c r="I44" s="10">
        <f t="shared" si="2"/>
        <v>1310.03</v>
      </c>
      <c r="J44" s="42"/>
      <c r="K44" s="89">
        <f t="shared" si="0"/>
        <v>1</v>
      </c>
      <c r="L44" s="9">
        <f t="shared" si="3"/>
        <v>1310.03</v>
      </c>
      <c r="M44" s="9">
        <f t="shared" si="4"/>
        <v>1310.03</v>
      </c>
      <c r="N44" s="8" t="s">
        <v>156</v>
      </c>
      <c r="O44" s="12"/>
      <c r="P44" s="51"/>
      <c r="Q44" s="3"/>
      <c r="R44" s="13"/>
      <c r="S44" s="14">
        <f t="shared" si="9"/>
        <v>0</v>
      </c>
      <c r="T44" s="14">
        <f t="shared" si="5"/>
        <v>1310.03</v>
      </c>
      <c r="U44" s="14">
        <f t="shared" si="6"/>
        <v>1310.03</v>
      </c>
      <c r="V44" s="29">
        <f t="shared" si="7"/>
        <v>0</v>
      </c>
      <c r="W44" s="29">
        <f t="shared" si="8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1" t="s">
        <v>646</v>
      </c>
      <c r="C45" s="6" t="s">
        <v>198</v>
      </c>
      <c r="D45" s="139" t="s">
        <v>199</v>
      </c>
      <c r="E45" s="126" t="s">
        <v>176</v>
      </c>
      <c r="F45" s="54">
        <v>1</v>
      </c>
      <c r="G45" s="15">
        <v>1969.95</v>
      </c>
      <c r="H45" s="38">
        <f t="shared" si="1"/>
        <v>1427.5</v>
      </c>
      <c r="I45" s="39">
        <f t="shared" si="2"/>
        <v>1427.5</v>
      </c>
      <c r="J45" s="42"/>
      <c r="K45" s="88">
        <f t="shared" si="0"/>
        <v>1</v>
      </c>
      <c r="L45" s="38">
        <f t="shared" si="3"/>
        <v>1427.5</v>
      </c>
      <c r="M45" s="38">
        <f t="shared" si="4"/>
        <v>1427.5</v>
      </c>
      <c r="N45" s="128" t="s">
        <v>156</v>
      </c>
      <c r="O45" s="16"/>
      <c r="P45" s="51"/>
      <c r="Q45" s="1"/>
      <c r="R45" s="15"/>
      <c r="S45" s="40">
        <f t="shared" si="9"/>
        <v>0</v>
      </c>
      <c r="T45" s="52">
        <f t="shared" si="5"/>
        <v>1427.5</v>
      </c>
      <c r="U45" s="52">
        <f t="shared" si="6"/>
        <v>1427.5</v>
      </c>
      <c r="V45" s="41">
        <f t="shared" si="7"/>
        <v>0</v>
      </c>
      <c r="W45" s="41">
        <f t="shared" si="8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2" t="s">
        <v>647</v>
      </c>
      <c r="C46" s="4" t="s">
        <v>648</v>
      </c>
      <c r="D46" s="139" t="s">
        <v>18</v>
      </c>
      <c r="E46" s="125" t="s">
        <v>176</v>
      </c>
      <c r="F46" s="53">
        <v>1</v>
      </c>
      <c r="G46" s="8">
        <v>96.39</v>
      </c>
      <c r="H46" s="9">
        <f t="shared" si="1"/>
        <v>69.849999999999994</v>
      </c>
      <c r="I46" s="10">
        <f t="shared" si="2"/>
        <v>69.849999999999994</v>
      </c>
      <c r="J46" s="42"/>
      <c r="K46" s="89">
        <f t="shared" si="0"/>
        <v>1</v>
      </c>
      <c r="L46" s="9">
        <f t="shared" si="3"/>
        <v>69.849999999999994</v>
      </c>
      <c r="M46" s="9">
        <f t="shared" si="4"/>
        <v>69.849999999999994</v>
      </c>
      <c r="N46" s="8" t="s">
        <v>156</v>
      </c>
      <c r="O46" s="12"/>
      <c r="P46" s="51"/>
      <c r="Q46" s="3"/>
      <c r="R46" s="13"/>
      <c r="S46" s="14">
        <f t="shared" si="9"/>
        <v>0</v>
      </c>
      <c r="T46" s="14">
        <f t="shared" si="5"/>
        <v>69.849999999999994</v>
      </c>
      <c r="U46" s="14">
        <f t="shared" si="6"/>
        <v>69.849999999999994</v>
      </c>
      <c r="V46" s="29">
        <f t="shared" si="7"/>
        <v>0</v>
      </c>
      <c r="W46" s="29">
        <f t="shared" si="8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1"/>
      <c r="C47" s="4"/>
      <c r="D47" s="139"/>
      <c r="E47" s="125"/>
      <c r="F47" s="54"/>
      <c r="G47" s="15"/>
      <c r="H47" s="38"/>
      <c r="I47" s="39"/>
      <c r="J47" s="42"/>
      <c r="K47" s="88">
        <f t="shared" si="0"/>
        <v>0</v>
      </c>
      <c r="L47" s="38">
        <f t="shared" si="3"/>
        <v>0</v>
      </c>
      <c r="M47" s="38">
        <f t="shared" si="4"/>
        <v>0</v>
      </c>
      <c r="N47" s="128" t="s">
        <v>156</v>
      </c>
      <c r="O47" s="16"/>
      <c r="P47" s="51"/>
      <c r="Q47" s="1"/>
      <c r="R47" s="15"/>
      <c r="S47" s="40">
        <f t="shared" si="9"/>
        <v>0</v>
      </c>
      <c r="T47" s="52">
        <f t="shared" si="5"/>
        <v>0</v>
      </c>
      <c r="U47" s="52">
        <f t="shared" si="6"/>
        <v>0</v>
      </c>
      <c r="V47" s="41">
        <f t="shared" si="7"/>
        <v>0</v>
      </c>
      <c r="W47" s="41">
        <f t="shared" si="8"/>
        <v>0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2"/>
      <c r="C48" s="6"/>
      <c r="D48" s="139"/>
      <c r="E48" s="126"/>
      <c r="F48" s="53"/>
      <c r="G48" s="8"/>
      <c r="H48" s="9">
        <f t="shared" si="1"/>
        <v>0</v>
      </c>
      <c r="I48" s="10">
        <f t="shared" si="2"/>
        <v>0</v>
      </c>
      <c r="J48" s="42"/>
      <c r="K48" s="89">
        <f t="shared" si="0"/>
        <v>0</v>
      </c>
      <c r="L48" s="9">
        <f t="shared" si="3"/>
        <v>0</v>
      </c>
      <c r="M48" s="9">
        <f t="shared" si="4"/>
        <v>0</v>
      </c>
      <c r="N48" s="8" t="s">
        <v>156</v>
      </c>
      <c r="O48" s="12"/>
      <c r="P48" s="51"/>
      <c r="Q48" s="3"/>
      <c r="R48" s="13"/>
      <c r="S48" s="14">
        <f t="shared" si="9"/>
        <v>0</v>
      </c>
      <c r="T48" s="14">
        <f t="shared" si="5"/>
        <v>0</v>
      </c>
      <c r="U48" s="14">
        <f t="shared" si="6"/>
        <v>0</v>
      </c>
      <c r="V48" s="29">
        <f t="shared" si="7"/>
        <v>0</v>
      </c>
      <c r="W48" s="29">
        <f t="shared" si="8"/>
        <v>0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1"/>
      <c r="C49" s="4"/>
      <c r="D49" s="139"/>
      <c r="E49" s="125"/>
      <c r="F49" s="54"/>
      <c r="G49" s="15"/>
      <c r="H49" s="38">
        <f t="shared" si="1"/>
        <v>0</v>
      </c>
      <c r="I49" s="39">
        <f t="shared" si="2"/>
        <v>0</v>
      </c>
      <c r="J49" s="42"/>
      <c r="K49" s="88">
        <f t="shared" si="0"/>
        <v>0</v>
      </c>
      <c r="L49" s="38">
        <f t="shared" si="3"/>
        <v>0</v>
      </c>
      <c r="M49" s="38">
        <f t="shared" si="4"/>
        <v>0</v>
      </c>
      <c r="N49" s="128" t="s">
        <v>156</v>
      </c>
      <c r="O49" s="16"/>
      <c r="P49" s="51"/>
      <c r="Q49" s="1"/>
      <c r="R49" s="15"/>
      <c r="S49" s="40">
        <f t="shared" si="9"/>
        <v>0</v>
      </c>
      <c r="T49" s="52">
        <f t="shared" si="5"/>
        <v>0</v>
      </c>
      <c r="U49" s="52">
        <f t="shared" si="6"/>
        <v>0</v>
      </c>
      <c r="V49" s="41">
        <f t="shared" si="7"/>
        <v>0</v>
      </c>
      <c r="W49" s="41">
        <f t="shared" si="8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"/>
      <c r="C50" s="6"/>
      <c r="D50" s="139"/>
      <c r="E50" s="126"/>
      <c r="F50" s="53"/>
      <c r="G50" s="8"/>
      <c r="H50" s="9">
        <f t="shared" si="1"/>
        <v>0</v>
      </c>
      <c r="I50" s="10">
        <f t="shared" si="2"/>
        <v>0</v>
      </c>
      <c r="J50" s="42"/>
      <c r="K50" s="89">
        <f t="shared" si="0"/>
        <v>0</v>
      </c>
      <c r="L50" s="9">
        <f t="shared" si="3"/>
        <v>0</v>
      </c>
      <c r="M50" s="9">
        <f t="shared" si="4"/>
        <v>0</v>
      </c>
      <c r="N50" s="8" t="s">
        <v>156</v>
      </c>
      <c r="O50" s="12"/>
      <c r="P50" s="51"/>
      <c r="Q50" s="3"/>
      <c r="R50" s="13"/>
      <c r="S50" s="14">
        <f t="shared" si="9"/>
        <v>0</v>
      </c>
      <c r="T50" s="14">
        <f t="shared" si="5"/>
        <v>0</v>
      </c>
      <c r="U50" s="14">
        <f t="shared" si="6"/>
        <v>0</v>
      </c>
      <c r="V50" s="29">
        <f t="shared" si="7"/>
        <v>0</v>
      </c>
      <c r="W50" s="29">
        <f t="shared" si="8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/>
      <c r="C51" s="4"/>
      <c r="D51" s="139"/>
      <c r="E51" s="125"/>
      <c r="F51" s="54"/>
      <c r="G51" s="15"/>
      <c r="H51" s="38">
        <f t="shared" si="1"/>
        <v>0</v>
      </c>
      <c r="I51" s="39">
        <f t="shared" si="2"/>
        <v>0</v>
      </c>
      <c r="J51" s="42"/>
      <c r="K51" s="88">
        <f t="shared" si="0"/>
        <v>0</v>
      </c>
      <c r="L51" s="38">
        <f t="shared" si="3"/>
        <v>0</v>
      </c>
      <c r="M51" s="38">
        <f t="shared" si="4"/>
        <v>0</v>
      </c>
      <c r="N51" s="128" t="s">
        <v>156</v>
      </c>
      <c r="O51" s="16"/>
      <c r="P51" s="51"/>
      <c r="Q51" s="1"/>
      <c r="R51" s="15"/>
      <c r="S51" s="40">
        <f t="shared" si="9"/>
        <v>0</v>
      </c>
      <c r="T51" s="52">
        <f t="shared" si="5"/>
        <v>0</v>
      </c>
      <c r="U51" s="52">
        <f t="shared" si="6"/>
        <v>0</v>
      </c>
      <c r="V51" s="41">
        <f t="shared" si="7"/>
        <v>0</v>
      </c>
      <c r="W51" s="41">
        <f t="shared" si="8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/>
      <c r="C52" s="6"/>
      <c r="D52" s="139"/>
      <c r="E52" s="126"/>
      <c r="F52" s="53"/>
      <c r="G52" s="8"/>
      <c r="H52" s="9">
        <f t="shared" si="1"/>
        <v>0</v>
      </c>
      <c r="I52" s="10">
        <f t="shared" si="2"/>
        <v>0</v>
      </c>
      <c r="J52" s="42"/>
      <c r="K52" s="89">
        <f t="shared" si="0"/>
        <v>0</v>
      </c>
      <c r="L52" s="9">
        <f t="shared" si="3"/>
        <v>0</v>
      </c>
      <c r="M52" s="9">
        <f t="shared" si="4"/>
        <v>0</v>
      </c>
      <c r="N52" s="8" t="s">
        <v>156</v>
      </c>
      <c r="O52" s="12"/>
      <c r="P52" s="51"/>
      <c r="Q52" s="3"/>
      <c r="R52" s="13"/>
      <c r="S52" s="14">
        <f t="shared" si="9"/>
        <v>0</v>
      </c>
      <c r="T52" s="14">
        <f t="shared" si="5"/>
        <v>0</v>
      </c>
      <c r="U52" s="14">
        <f t="shared" si="6"/>
        <v>0</v>
      </c>
      <c r="V52" s="29">
        <f t="shared" si="7"/>
        <v>0</v>
      </c>
      <c r="W52" s="29">
        <f t="shared" si="8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/>
      <c r="C53" s="4"/>
      <c r="D53" s="139"/>
      <c r="E53" s="125"/>
      <c r="F53" s="54"/>
      <c r="G53" s="15"/>
      <c r="H53" s="38">
        <f t="shared" si="1"/>
        <v>0</v>
      </c>
      <c r="I53" s="39">
        <f t="shared" si="2"/>
        <v>0</v>
      </c>
      <c r="J53" s="42"/>
      <c r="K53" s="88">
        <f t="shared" si="0"/>
        <v>0</v>
      </c>
      <c r="L53" s="38">
        <f t="shared" si="3"/>
        <v>0</v>
      </c>
      <c r="M53" s="38">
        <f t="shared" si="4"/>
        <v>0</v>
      </c>
      <c r="N53" s="128" t="s">
        <v>156</v>
      </c>
      <c r="O53" s="16"/>
      <c r="P53" s="51"/>
      <c r="Q53" s="1"/>
      <c r="R53" s="15"/>
      <c r="S53" s="40">
        <f t="shared" si="9"/>
        <v>0</v>
      </c>
      <c r="T53" s="52">
        <f t="shared" si="5"/>
        <v>0</v>
      </c>
      <c r="U53" s="52">
        <f t="shared" si="6"/>
        <v>0</v>
      </c>
      <c r="V53" s="41">
        <f t="shared" si="7"/>
        <v>0</v>
      </c>
      <c r="W53" s="41">
        <f t="shared" si="8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8"/>
      <c r="H54" s="9">
        <f t="shared" si="1"/>
        <v>0</v>
      </c>
      <c r="I54" s="10">
        <f t="shared" si="2"/>
        <v>0</v>
      </c>
      <c r="J54" s="42"/>
      <c r="K54" s="89">
        <f t="shared" si="0"/>
        <v>0</v>
      </c>
      <c r="L54" s="9">
        <f t="shared" si="3"/>
        <v>0</v>
      </c>
      <c r="M54" s="9">
        <f t="shared" si="4"/>
        <v>0</v>
      </c>
      <c r="N54" s="8" t="s">
        <v>156</v>
      </c>
      <c r="O54" s="12"/>
      <c r="P54" s="51"/>
      <c r="Q54" s="3"/>
      <c r="R54" s="13"/>
      <c r="S54" s="14">
        <f t="shared" si="9"/>
        <v>0</v>
      </c>
      <c r="T54" s="14">
        <f t="shared" si="5"/>
        <v>0</v>
      </c>
      <c r="U54" s="14">
        <f t="shared" si="6"/>
        <v>0</v>
      </c>
      <c r="V54" s="29">
        <f t="shared" si="7"/>
        <v>0</v>
      </c>
      <c r="W54" s="29">
        <f t="shared" si="8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5"/>
      <c r="F55" s="54"/>
      <c r="G55" s="15"/>
      <c r="H55" s="38">
        <f t="shared" si="1"/>
        <v>0</v>
      </c>
      <c r="I55" s="39">
        <f t="shared" si="2"/>
        <v>0</v>
      </c>
      <c r="J55" s="42"/>
      <c r="K55" s="88">
        <f t="shared" si="0"/>
        <v>0</v>
      </c>
      <c r="L55" s="38">
        <f t="shared" si="3"/>
        <v>0</v>
      </c>
      <c r="M55" s="38">
        <f t="shared" si="4"/>
        <v>0</v>
      </c>
      <c r="N55" s="128" t="s">
        <v>156</v>
      </c>
      <c r="O55" s="16"/>
      <c r="P55" s="51"/>
      <c r="Q55" s="1"/>
      <c r="R55" s="15"/>
      <c r="S55" s="40">
        <f t="shared" si="9"/>
        <v>0</v>
      </c>
      <c r="T55" s="52">
        <f t="shared" si="5"/>
        <v>0</v>
      </c>
      <c r="U55" s="52">
        <f t="shared" si="6"/>
        <v>0</v>
      </c>
      <c r="V55" s="41">
        <f t="shared" si="7"/>
        <v>0</v>
      </c>
      <c r="W55" s="41">
        <f t="shared" si="8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8"/>
      <c r="H56" s="9">
        <f t="shared" si="1"/>
        <v>0</v>
      </c>
      <c r="I56" s="10">
        <f t="shared" si="2"/>
        <v>0</v>
      </c>
      <c r="J56" s="42"/>
      <c r="K56" s="89">
        <f t="shared" si="0"/>
        <v>0</v>
      </c>
      <c r="L56" s="9">
        <f t="shared" si="3"/>
        <v>0</v>
      </c>
      <c r="M56" s="9">
        <f t="shared" si="4"/>
        <v>0</v>
      </c>
      <c r="N56" s="8" t="s">
        <v>156</v>
      </c>
      <c r="O56" s="12"/>
      <c r="P56" s="51"/>
      <c r="Q56" s="3"/>
      <c r="R56" s="13"/>
      <c r="S56" s="14">
        <f t="shared" si="9"/>
        <v>0</v>
      </c>
      <c r="T56" s="14">
        <f t="shared" si="5"/>
        <v>0</v>
      </c>
      <c r="U56" s="14">
        <f t="shared" si="6"/>
        <v>0</v>
      </c>
      <c r="V56" s="29">
        <f t="shared" si="7"/>
        <v>0</v>
      </c>
      <c r="W56" s="29">
        <f t="shared" si="8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5"/>
      <c r="F57" s="54"/>
      <c r="G57" s="15"/>
      <c r="H57" s="38">
        <f t="shared" si="1"/>
        <v>0</v>
      </c>
      <c r="I57" s="39">
        <f t="shared" si="2"/>
        <v>0</v>
      </c>
      <c r="J57" s="42"/>
      <c r="K57" s="88">
        <f t="shared" si="0"/>
        <v>0</v>
      </c>
      <c r="L57" s="38">
        <f t="shared" si="3"/>
        <v>0</v>
      </c>
      <c r="M57" s="38">
        <f t="shared" si="4"/>
        <v>0</v>
      </c>
      <c r="N57" s="128" t="s">
        <v>156</v>
      </c>
      <c r="O57" s="16"/>
      <c r="P57" s="51"/>
      <c r="Q57" s="1"/>
      <c r="R57" s="15"/>
      <c r="S57" s="40">
        <f t="shared" si="9"/>
        <v>0</v>
      </c>
      <c r="T57" s="52">
        <f t="shared" si="5"/>
        <v>0</v>
      </c>
      <c r="U57" s="52">
        <f t="shared" si="6"/>
        <v>0</v>
      </c>
      <c r="V57" s="41">
        <f t="shared" si="7"/>
        <v>0</v>
      </c>
      <c r="W57" s="41">
        <f t="shared" si="8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8"/>
      <c r="H58" s="9">
        <f t="shared" si="1"/>
        <v>0</v>
      </c>
      <c r="I58" s="10">
        <f t="shared" si="2"/>
        <v>0</v>
      </c>
      <c r="J58" s="42"/>
      <c r="K58" s="89">
        <f t="shared" si="0"/>
        <v>0</v>
      </c>
      <c r="L58" s="9">
        <f t="shared" si="3"/>
        <v>0</v>
      </c>
      <c r="M58" s="9">
        <f t="shared" si="4"/>
        <v>0</v>
      </c>
      <c r="N58" s="8" t="s">
        <v>156</v>
      </c>
      <c r="O58" s="12"/>
      <c r="P58" s="51"/>
      <c r="Q58" s="3"/>
      <c r="R58" s="13"/>
      <c r="S58" s="14">
        <f t="shared" si="9"/>
        <v>0</v>
      </c>
      <c r="T58" s="14">
        <f t="shared" si="5"/>
        <v>0</v>
      </c>
      <c r="U58" s="14">
        <f t="shared" si="6"/>
        <v>0</v>
      </c>
      <c r="V58" s="29">
        <f t="shared" si="7"/>
        <v>0</v>
      </c>
      <c r="W58" s="29">
        <f t="shared" si="8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8">
        <f t="shared" si="1"/>
        <v>0</v>
      </c>
      <c r="I59" s="39">
        <f t="shared" si="2"/>
        <v>0</v>
      </c>
      <c r="J59" s="42"/>
      <c r="K59" s="88">
        <f t="shared" si="0"/>
        <v>0</v>
      </c>
      <c r="L59" s="38">
        <f t="shared" si="3"/>
        <v>0</v>
      </c>
      <c r="M59" s="38">
        <f t="shared" si="4"/>
        <v>0</v>
      </c>
      <c r="N59" s="128" t="s">
        <v>156</v>
      </c>
      <c r="O59" s="16"/>
      <c r="P59" s="51"/>
      <c r="Q59" s="1"/>
      <c r="R59" s="15"/>
      <c r="S59" s="40">
        <f t="shared" si="9"/>
        <v>0</v>
      </c>
      <c r="T59" s="52">
        <f t="shared" si="5"/>
        <v>0</v>
      </c>
      <c r="U59" s="52">
        <f t="shared" si="6"/>
        <v>0</v>
      </c>
      <c r="V59" s="41">
        <f t="shared" si="7"/>
        <v>0</v>
      </c>
      <c r="W59" s="41">
        <f t="shared" si="8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8"/>
      <c r="H60" s="9">
        <f t="shared" si="1"/>
        <v>0</v>
      </c>
      <c r="I60" s="10">
        <f t="shared" si="2"/>
        <v>0</v>
      </c>
      <c r="J60" s="42"/>
      <c r="K60" s="89">
        <f t="shared" si="0"/>
        <v>0</v>
      </c>
      <c r="L60" s="9">
        <f t="shared" si="3"/>
        <v>0</v>
      </c>
      <c r="M60" s="9">
        <f t="shared" si="4"/>
        <v>0</v>
      </c>
      <c r="N60" s="8" t="s">
        <v>156</v>
      </c>
      <c r="O60" s="12"/>
      <c r="P60" s="51"/>
      <c r="Q60" s="3"/>
      <c r="R60" s="13"/>
      <c r="S60" s="14">
        <f t="shared" si="9"/>
        <v>0</v>
      </c>
      <c r="T60" s="14">
        <f t="shared" si="5"/>
        <v>0</v>
      </c>
      <c r="U60" s="14">
        <f t="shared" si="6"/>
        <v>0</v>
      </c>
      <c r="V60" s="29">
        <f t="shared" si="7"/>
        <v>0</v>
      </c>
      <c r="W60" s="29">
        <f t="shared" si="8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8">
        <f t="shared" si="1"/>
        <v>0</v>
      </c>
      <c r="I61" s="39">
        <f t="shared" si="2"/>
        <v>0</v>
      </c>
      <c r="J61" s="42"/>
      <c r="K61" s="88">
        <f t="shared" si="0"/>
        <v>0</v>
      </c>
      <c r="L61" s="38">
        <f t="shared" si="3"/>
        <v>0</v>
      </c>
      <c r="M61" s="38">
        <f t="shared" si="4"/>
        <v>0</v>
      </c>
      <c r="N61" s="128" t="s">
        <v>156</v>
      </c>
      <c r="O61" s="16"/>
      <c r="P61" s="51"/>
      <c r="Q61" s="1"/>
      <c r="R61" s="15"/>
      <c r="S61" s="40">
        <f t="shared" si="9"/>
        <v>0</v>
      </c>
      <c r="T61" s="52">
        <f t="shared" si="5"/>
        <v>0</v>
      </c>
      <c r="U61" s="52">
        <f t="shared" si="6"/>
        <v>0</v>
      </c>
      <c r="V61" s="41">
        <f t="shared" si="7"/>
        <v>0</v>
      </c>
      <c r="W61" s="41">
        <f t="shared" si="8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8"/>
      <c r="H62" s="9">
        <f t="shared" si="1"/>
        <v>0</v>
      </c>
      <c r="I62" s="10">
        <f t="shared" si="2"/>
        <v>0</v>
      </c>
      <c r="J62" s="42"/>
      <c r="K62" s="89">
        <f t="shared" si="0"/>
        <v>0</v>
      </c>
      <c r="L62" s="9">
        <f t="shared" si="3"/>
        <v>0</v>
      </c>
      <c r="M62" s="9">
        <f t="shared" si="4"/>
        <v>0</v>
      </c>
      <c r="N62" s="8" t="s">
        <v>156</v>
      </c>
      <c r="O62" s="12"/>
      <c r="P62" s="51"/>
      <c r="Q62" s="3"/>
      <c r="R62" s="13"/>
      <c r="S62" s="14">
        <f t="shared" si="9"/>
        <v>0</v>
      </c>
      <c r="T62" s="14">
        <f t="shared" si="5"/>
        <v>0</v>
      </c>
      <c r="U62" s="14">
        <f t="shared" si="6"/>
        <v>0</v>
      </c>
      <c r="V62" s="29">
        <f t="shared" si="7"/>
        <v>0</v>
      </c>
      <c r="W62" s="29">
        <f t="shared" si="8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8">
        <f t="shared" si="1"/>
        <v>0</v>
      </c>
      <c r="I63" s="39">
        <f t="shared" si="2"/>
        <v>0</v>
      </c>
      <c r="J63" s="42"/>
      <c r="K63" s="88">
        <f t="shared" si="0"/>
        <v>0</v>
      </c>
      <c r="L63" s="38">
        <f t="shared" si="3"/>
        <v>0</v>
      </c>
      <c r="M63" s="38">
        <f t="shared" si="4"/>
        <v>0</v>
      </c>
      <c r="N63" s="128" t="s">
        <v>156</v>
      </c>
      <c r="O63" s="16"/>
      <c r="P63" s="51"/>
      <c r="Q63" s="1"/>
      <c r="R63" s="15"/>
      <c r="S63" s="40">
        <f t="shared" si="9"/>
        <v>0</v>
      </c>
      <c r="T63" s="52">
        <f t="shared" si="5"/>
        <v>0</v>
      </c>
      <c r="U63" s="52">
        <f t="shared" si="6"/>
        <v>0</v>
      </c>
      <c r="V63" s="41">
        <f t="shared" si="7"/>
        <v>0</v>
      </c>
      <c r="W63" s="41">
        <f t="shared" si="8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8"/>
      <c r="H64" s="9">
        <f t="shared" si="1"/>
        <v>0</v>
      </c>
      <c r="I64" s="10">
        <f t="shared" si="2"/>
        <v>0</v>
      </c>
      <c r="J64" s="42"/>
      <c r="K64" s="89">
        <f t="shared" si="0"/>
        <v>0</v>
      </c>
      <c r="L64" s="9">
        <f t="shared" si="3"/>
        <v>0</v>
      </c>
      <c r="M64" s="9">
        <f t="shared" si="4"/>
        <v>0</v>
      </c>
      <c r="N64" s="8" t="s">
        <v>156</v>
      </c>
      <c r="O64" s="12"/>
      <c r="P64" s="51"/>
      <c r="Q64" s="3"/>
      <c r="R64" s="13"/>
      <c r="S64" s="14">
        <f t="shared" si="9"/>
        <v>0</v>
      </c>
      <c r="T64" s="14">
        <f t="shared" si="5"/>
        <v>0</v>
      </c>
      <c r="U64" s="14">
        <f t="shared" si="6"/>
        <v>0</v>
      </c>
      <c r="V64" s="29">
        <f t="shared" si="7"/>
        <v>0</v>
      </c>
      <c r="W64" s="29">
        <f t="shared" si="8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8">
        <f t="shared" si="1"/>
        <v>0</v>
      </c>
      <c r="I65" s="39">
        <f t="shared" si="2"/>
        <v>0</v>
      </c>
      <c r="J65" s="42"/>
      <c r="K65" s="88">
        <f t="shared" si="0"/>
        <v>0</v>
      </c>
      <c r="L65" s="38">
        <f t="shared" si="3"/>
        <v>0</v>
      </c>
      <c r="M65" s="38">
        <f t="shared" si="4"/>
        <v>0</v>
      </c>
      <c r="N65" s="128" t="s">
        <v>156</v>
      </c>
      <c r="O65" s="16"/>
      <c r="P65" s="51"/>
      <c r="Q65" s="1"/>
      <c r="R65" s="15"/>
      <c r="S65" s="40">
        <f t="shared" si="9"/>
        <v>0</v>
      </c>
      <c r="T65" s="52">
        <f t="shared" si="5"/>
        <v>0</v>
      </c>
      <c r="U65" s="52">
        <f t="shared" si="6"/>
        <v>0</v>
      </c>
      <c r="V65" s="41">
        <f t="shared" si="7"/>
        <v>0</v>
      </c>
      <c r="W65" s="41">
        <f t="shared" si="8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8"/>
      <c r="H66" s="9">
        <f t="shared" si="1"/>
        <v>0</v>
      </c>
      <c r="I66" s="10">
        <f t="shared" si="2"/>
        <v>0</v>
      </c>
      <c r="J66" s="42"/>
      <c r="K66" s="89">
        <f t="shared" si="0"/>
        <v>0</v>
      </c>
      <c r="L66" s="9">
        <f t="shared" si="3"/>
        <v>0</v>
      </c>
      <c r="M66" s="9">
        <f t="shared" si="4"/>
        <v>0</v>
      </c>
      <c r="N66" s="8" t="s">
        <v>156</v>
      </c>
      <c r="O66" s="12"/>
      <c r="P66" s="51"/>
      <c r="Q66" s="3"/>
      <c r="R66" s="13"/>
      <c r="S66" s="14">
        <f t="shared" si="9"/>
        <v>0</v>
      </c>
      <c r="T66" s="14">
        <f t="shared" si="5"/>
        <v>0</v>
      </c>
      <c r="U66" s="14">
        <f t="shared" si="6"/>
        <v>0</v>
      </c>
      <c r="V66" s="29">
        <f t="shared" si="7"/>
        <v>0</v>
      </c>
      <c r="W66" s="29">
        <f t="shared" si="8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8">
        <f t="shared" si="1"/>
        <v>0</v>
      </c>
      <c r="I67" s="39">
        <f t="shared" si="2"/>
        <v>0</v>
      </c>
      <c r="J67" s="42"/>
      <c r="K67" s="88">
        <f t="shared" si="0"/>
        <v>0</v>
      </c>
      <c r="L67" s="38">
        <f t="shared" si="3"/>
        <v>0</v>
      </c>
      <c r="M67" s="38">
        <f t="shared" si="4"/>
        <v>0</v>
      </c>
      <c r="N67" s="128" t="s">
        <v>156</v>
      </c>
      <c r="O67" s="16"/>
      <c r="P67" s="51"/>
      <c r="Q67" s="1"/>
      <c r="R67" s="15"/>
      <c r="S67" s="40">
        <f t="shared" si="9"/>
        <v>0</v>
      </c>
      <c r="T67" s="52">
        <f t="shared" si="5"/>
        <v>0</v>
      </c>
      <c r="U67" s="52">
        <f t="shared" si="6"/>
        <v>0</v>
      </c>
      <c r="V67" s="41">
        <f t="shared" si="7"/>
        <v>0</v>
      </c>
      <c r="W67" s="41">
        <f t="shared" si="8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8"/>
      <c r="H68" s="9">
        <f t="shared" si="1"/>
        <v>0</v>
      </c>
      <c r="I68" s="10">
        <f t="shared" si="2"/>
        <v>0</v>
      </c>
      <c r="J68" s="42"/>
      <c r="K68" s="89">
        <f t="shared" si="0"/>
        <v>0</v>
      </c>
      <c r="L68" s="9">
        <f t="shared" si="3"/>
        <v>0</v>
      </c>
      <c r="M68" s="9">
        <f t="shared" si="4"/>
        <v>0</v>
      </c>
      <c r="N68" s="8" t="s">
        <v>156</v>
      </c>
      <c r="O68" s="12"/>
      <c r="P68" s="51"/>
      <c r="Q68" s="3"/>
      <c r="R68" s="13"/>
      <c r="S68" s="14">
        <f t="shared" si="9"/>
        <v>0</v>
      </c>
      <c r="T68" s="14">
        <f t="shared" si="5"/>
        <v>0</v>
      </c>
      <c r="U68" s="14">
        <f t="shared" si="6"/>
        <v>0</v>
      </c>
      <c r="V68" s="29">
        <f t="shared" si="7"/>
        <v>0</v>
      </c>
      <c r="W68" s="29">
        <f t="shared" si="8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8">
        <f t="shared" si="1"/>
        <v>0</v>
      </c>
      <c r="I69" s="39">
        <f t="shared" si="2"/>
        <v>0</v>
      </c>
      <c r="J69" s="42"/>
      <c r="K69" s="88">
        <f t="shared" si="0"/>
        <v>0</v>
      </c>
      <c r="L69" s="38">
        <f t="shared" si="3"/>
        <v>0</v>
      </c>
      <c r="M69" s="38">
        <f t="shared" si="4"/>
        <v>0</v>
      </c>
      <c r="N69" s="128" t="s">
        <v>156</v>
      </c>
      <c r="O69" s="16"/>
      <c r="P69" s="51"/>
      <c r="Q69" s="1"/>
      <c r="R69" s="15"/>
      <c r="S69" s="40">
        <f t="shared" si="9"/>
        <v>0</v>
      </c>
      <c r="T69" s="52">
        <f t="shared" si="5"/>
        <v>0</v>
      </c>
      <c r="U69" s="52">
        <f t="shared" si="6"/>
        <v>0</v>
      </c>
      <c r="V69" s="41">
        <f t="shared" si="7"/>
        <v>0</v>
      </c>
      <c r="W69" s="41">
        <f t="shared" si="8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8"/>
      <c r="H70" s="9">
        <f t="shared" si="1"/>
        <v>0</v>
      </c>
      <c r="I70" s="10">
        <f t="shared" si="2"/>
        <v>0</v>
      </c>
      <c r="J70" s="42"/>
      <c r="K70" s="89">
        <f t="shared" si="0"/>
        <v>0</v>
      </c>
      <c r="L70" s="9">
        <f t="shared" si="3"/>
        <v>0</v>
      </c>
      <c r="M70" s="9">
        <f t="shared" si="4"/>
        <v>0</v>
      </c>
      <c r="N70" s="8" t="s">
        <v>156</v>
      </c>
      <c r="O70" s="12"/>
      <c r="P70" s="51"/>
      <c r="Q70" s="3"/>
      <c r="R70" s="13"/>
      <c r="S70" s="14">
        <f t="shared" si="9"/>
        <v>0</v>
      </c>
      <c r="T70" s="14">
        <f t="shared" si="5"/>
        <v>0</v>
      </c>
      <c r="U70" s="14">
        <f t="shared" si="6"/>
        <v>0</v>
      </c>
      <c r="V70" s="29">
        <f t="shared" si="7"/>
        <v>0</v>
      </c>
      <c r="W70" s="29">
        <f t="shared" si="8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8">
        <f t="shared" si="1"/>
        <v>0</v>
      </c>
      <c r="I71" s="39">
        <f t="shared" si="2"/>
        <v>0</v>
      </c>
      <c r="J71" s="42"/>
      <c r="K71" s="88">
        <f t="shared" si="0"/>
        <v>0</v>
      </c>
      <c r="L71" s="38">
        <f t="shared" si="3"/>
        <v>0</v>
      </c>
      <c r="M71" s="38">
        <f t="shared" si="4"/>
        <v>0</v>
      </c>
      <c r="N71" s="128" t="s">
        <v>156</v>
      </c>
      <c r="O71" s="16"/>
      <c r="P71" s="51"/>
      <c r="Q71" s="1"/>
      <c r="R71" s="15"/>
      <c r="S71" s="40">
        <f t="shared" si="9"/>
        <v>0</v>
      </c>
      <c r="T71" s="52">
        <f t="shared" si="5"/>
        <v>0</v>
      </c>
      <c r="U71" s="52">
        <f t="shared" si="6"/>
        <v>0</v>
      </c>
      <c r="V71" s="41">
        <f t="shared" si="7"/>
        <v>0</v>
      </c>
      <c r="W71" s="41">
        <f t="shared" si="8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8"/>
      <c r="H72" s="9">
        <f t="shared" si="1"/>
        <v>0</v>
      </c>
      <c r="I72" s="10">
        <f t="shared" si="2"/>
        <v>0</v>
      </c>
      <c r="J72" s="42"/>
      <c r="K72" s="89">
        <f t="shared" si="0"/>
        <v>0</v>
      </c>
      <c r="L72" s="9">
        <f t="shared" si="3"/>
        <v>0</v>
      </c>
      <c r="M72" s="9">
        <f t="shared" si="4"/>
        <v>0</v>
      </c>
      <c r="N72" s="8" t="s">
        <v>156</v>
      </c>
      <c r="O72" s="12"/>
      <c r="P72" s="51"/>
      <c r="Q72" s="3"/>
      <c r="R72" s="13"/>
      <c r="S72" s="14">
        <f t="shared" si="9"/>
        <v>0</v>
      </c>
      <c r="T72" s="14">
        <f t="shared" si="5"/>
        <v>0</v>
      </c>
      <c r="U72" s="14">
        <f t="shared" si="6"/>
        <v>0</v>
      </c>
      <c r="V72" s="29">
        <f t="shared" si="7"/>
        <v>0</v>
      </c>
      <c r="W72" s="29">
        <f t="shared" si="8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8">
        <f t="shared" si="1"/>
        <v>0</v>
      </c>
      <c r="I73" s="39">
        <f t="shared" si="2"/>
        <v>0</v>
      </c>
      <c r="J73" s="42"/>
      <c r="K73" s="88">
        <f t="shared" si="0"/>
        <v>0</v>
      </c>
      <c r="L73" s="38">
        <f t="shared" si="3"/>
        <v>0</v>
      </c>
      <c r="M73" s="38">
        <f t="shared" si="4"/>
        <v>0</v>
      </c>
      <c r="N73" s="128" t="s">
        <v>156</v>
      </c>
      <c r="O73" s="16"/>
      <c r="P73" s="51"/>
      <c r="Q73" s="1"/>
      <c r="R73" s="15"/>
      <c r="S73" s="40">
        <f t="shared" si="9"/>
        <v>0</v>
      </c>
      <c r="T73" s="52">
        <f t="shared" si="5"/>
        <v>0</v>
      </c>
      <c r="U73" s="52">
        <f t="shared" si="6"/>
        <v>0</v>
      </c>
      <c r="V73" s="41">
        <f t="shared" si="7"/>
        <v>0</v>
      </c>
      <c r="W73" s="41">
        <f t="shared" si="8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8"/>
      <c r="H74" s="9">
        <f t="shared" si="1"/>
        <v>0</v>
      </c>
      <c r="I74" s="10">
        <f t="shared" si="2"/>
        <v>0</v>
      </c>
      <c r="J74" s="42"/>
      <c r="K74" s="89">
        <f t="shared" si="0"/>
        <v>0</v>
      </c>
      <c r="L74" s="9">
        <f t="shared" si="3"/>
        <v>0</v>
      </c>
      <c r="M74" s="9">
        <f t="shared" si="4"/>
        <v>0</v>
      </c>
      <c r="N74" s="8" t="s">
        <v>156</v>
      </c>
      <c r="O74" s="12"/>
      <c r="P74" s="51"/>
      <c r="Q74" s="3"/>
      <c r="R74" s="13"/>
      <c r="S74" s="14">
        <f t="shared" si="9"/>
        <v>0</v>
      </c>
      <c r="T74" s="14">
        <f t="shared" si="5"/>
        <v>0</v>
      </c>
      <c r="U74" s="14">
        <f t="shared" si="6"/>
        <v>0</v>
      </c>
      <c r="V74" s="29">
        <f t="shared" si="7"/>
        <v>0</v>
      </c>
      <c r="W74" s="29">
        <f t="shared" si="8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8">
        <f t="shared" si="1"/>
        <v>0</v>
      </c>
      <c r="I75" s="39">
        <f t="shared" si="2"/>
        <v>0</v>
      </c>
      <c r="J75" s="42"/>
      <c r="K75" s="88">
        <f t="shared" si="0"/>
        <v>0</v>
      </c>
      <c r="L75" s="38">
        <f t="shared" si="3"/>
        <v>0</v>
      </c>
      <c r="M75" s="38">
        <f t="shared" si="4"/>
        <v>0</v>
      </c>
      <c r="N75" s="128" t="s">
        <v>156</v>
      </c>
      <c r="O75" s="16"/>
      <c r="P75" s="51"/>
      <c r="Q75" s="1"/>
      <c r="R75" s="15"/>
      <c r="S75" s="40">
        <f t="shared" si="9"/>
        <v>0</v>
      </c>
      <c r="T75" s="52">
        <f t="shared" si="5"/>
        <v>0</v>
      </c>
      <c r="U75" s="52">
        <f t="shared" si="6"/>
        <v>0</v>
      </c>
      <c r="V75" s="41">
        <f t="shared" si="7"/>
        <v>0</v>
      </c>
      <c r="W75" s="41">
        <f t="shared" si="8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8"/>
      <c r="H76" s="9">
        <f t="shared" si="1"/>
        <v>0</v>
      </c>
      <c r="I76" s="10">
        <f t="shared" si="2"/>
        <v>0</v>
      </c>
      <c r="J76" s="42"/>
      <c r="K76" s="89">
        <f t="shared" si="0"/>
        <v>0</v>
      </c>
      <c r="L76" s="9">
        <f t="shared" si="3"/>
        <v>0</v>
      </c>
      <c r="M76" s="9">
        <f t="shared" si="4"/>
        <v>0</v>
      </c>
      <c r="N76" s="8" t="s">
        <v>156</v>
      </c>
      <c r="O76" s="12"/>
      <c r="P76" s="51"/>
      <c r="Q76" s="3"/>
      <c r="R76" s="13"/>
      <c r="S76" s="14">
        <f t="shared" si="9"/>
        <v>0</v>
      </c>
      <c r="T76" s="14">
        <f t="shared" si="5"/>
        <v>0</v>
      </c>
      <c r="U76" s="14">
        <f t="shared" si="6"/>
        <v>0</v>
      </c>
      <c r="V76" s="29">
        <f t="shared" si="7"/>
        <v>0</v>
      </c>
      <c r="W76" s="29">
        <f t="shared" si="8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8">
        <f t="shared" si="1"/>
        <v>0</v>
      </c>
      <c r="I77" s="39">
        <f t="shared" si="2"/>
        <v>0</v>
      </c>
      <c r="J77" s="42"/>
      <c r="K77" s="88">
        <f t="shared" si="0"/>
        <v>0</v>
      </c>
      <c r="L77" s="38">
        <f t="shared" si="3"/>
        <v>0</v>
      </c>
      <c r="M77" s="38">
        <f t="shared" si="4"/>
        <v>0</v>
      </c>
      <c r="N77" s="128" t="s">
        <v>156</v>
      </c>
      <c r="O77" s="16"/>
      <c r="P77" s="51"/>
      <c r="Q77" s="1"/>
      <c r="R77" s="15"/>
      <c r="S77" s="40">
        <f t="shared" si="9"/>
        <v>0</v>
      </c>
      <c r="T77" s="52">
        <f t="shared" si="5"/>
        <v>0</v>
      </c>
      <c r="U77" s="52">
        <f t="shared" si="6"/>
        <v>0</v>
      </c>
      <c r="V77" s="41">
        <f t="shared" si="7"/>
        <v>0</v>
      </c>
      <c r="W77" s="41">
        <f t="shared" si="8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8"/>
      <c r="H78" s="9">
        <f t="shared" si="1"/>
        <v>0</v>
      </c>
      <c r="I78" s="10">
        <f t="shared" si="2"/>
        <v>0</v>
      </c>
      <c r="J78" s="42"/>
      <c r="K78" s="89">
        <f t="shared" si="0"/>
        <v>0</v>
      </c>
      <c r="L78" s="9">
        <f t="shared" si="3"/>
        <v>0</v>
      </c>
      <c r="M78" s="9">
        <f t="shared" si="4"/>
        <v>0</v>
      </c>
      <c r="N78" s="8" t="s">
        <v>156</v>
      </c>
      <c r="O78" s="12"/>
      <c r="P78" s="51"/>
      <c r="Q78" s="3"/>
      <c r="R78" s="13"/>
      <c r="S78" s="14">
        <f t="shared" si="9"/>
        <v>0</v>
      </c>
      <c r="T78" s="14">
        <f t="shared" si="5"/>
        <v>0</v>
      </c>
      <c r="U78" s="14">
        <f t="shared" si="6"/>
        <v>0</v>
      </c>
      <c r="V78" s="29">
        <f t="shared" si="7"/>
        <v>0</v>
      </c>
      <c r="W78" s="29">
        <f t="shared" si="8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8">
        <f t="shared" si="1"/>
        <v>0</v>
      </c>
      <c r="I79" s="39">
        <f t="shared" si="2"/>
        <v>0</v>
      </c>
      <c r="J79" s="42"/>
      <c r="K79" s="88">
        <f t="shared" si="0"/>
        <v>0</v>
      </c>
      <c r="L79" s="38">
        <f t="shared" si="3"/>
        <v>0</v>
      </c>
      <c r="M79" s="38">
        <f t="shared" si="4"/>
        <v>0</v>
      </c>
      <c r="N79" s="128" t="s">
        <v>156</v>
      </c>
      <c r="O79" s="16"/>
      <c r="P79" s="51"/>
      <c r="Q79" s="1"/>
      <c r="R79" s="15"/>
      <c r="S79" s="40">
        <f t="shared" si="9"/>
        <v>0</v>
      </c>
      <c r="T79" s="52">
        <f t="shared" si="5"/>
        <v>0</v>
      </c>
      <c r="U79" s="52">
        <f t="shared" si="6"/>
        <v>0</v>
      </c>
      <c r="V79" s="41">
        <f t="shared" si="7"/>
        <v>0</v>
      </c>
      <c r="W79" s="41">
        <f t="shared" si="8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8"/>
      <c r="H80" s="9">
        <f t="shared" si="1"/>
        <v>0</v>
      </c>
      <c r="I80" s="10">
        <f t="shared" si="2"/>
        <v>0</v>
      </c>
      <c r="J80" s="42"/>
      <c r="K80" s="89">
        <f t="shared" si="0"/>
        <v>0</v>
      </c>
      <c r="L80" s="9">
        <f t="shared" si="3"/>
        <v>0</v>
      </c>
      <c r="M80" s="9">
        <f t="shared" si="4"/>
        <v>0</v>
      </c>
      <c r="N80" s="8" t="s">
        <v>156</v>
      </c>
      <c r="O80" s="12"/>
      <c r="P80" s="51"/>
      <c r="Q80" s="3"/>
      <c r="R80" s="13"/>
      <c r="S80" s="14">
        <f t="shared" si="9"/>
        <v>0</v>
      </c>
      <c r="T80" s="14">
        <f t="shared" si="5"/>
        <v>0</v>
      </c>
      <c r="U80" s="14">
        <f t="shared" si="6"/>
        <v>0</v>
      </c>
      <c r="V80" s="29">
        <f t="shared" si="7"/>
        <v>0</v>
      </c>
      <c r="W80" s="29">
        <f t="shared" si="8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29</v>
      </c>
      <c r="G81" s="78">
        <f>SUM(G18:G80)</f>
        <v>51096.709999999985</v>
      </c>
      <c r="H81" s="79">
        <f>SUM(H18:H80)</f>
        <v>37026.609999999993</v>
      </c>
      <c r="I81" s="80">
        <f>SUM(I18:I80)</f>
        <v>52503.98</v>
      </c>
      <c r="J81" s="81"/>
      <c r="K81" s="82">
        <f>SUM(K18:K80)</f>
        <v>29</v>
      </c>
      <c r="L81" s="79">
        <f>SUM(L18:L80)</f>
        <v>37026.609999999993</v>
      </c>
      <c r="M81" s="80">
        <f>SUM(M18:M80)</f>
        <v>52503.98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37026.609999999993</v>
      </c>
      <c r="U81" s="80">
        <f>SUM(U18:U80)</f>
        <v>52503.98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11" priority="3" stopIfTrue="1">
      <formula>$V$9&gt;100%</formula>
    </cfRule>
    <cfRule type="expression" dxfId="10" priority="4">
      <formula>$V$9&lt;50%</formula>
    </cfRule>
  </conditionalFormatting>
  <conditionalFormatting sqref="W9:W10">
    <cfRule type="expression" dxfId="9" priority="1">
      <formula>$W$9&lt;50%</formula>
    </cfRule>
    <cfRule type="expression" dxfId="8" priority="2">
      <formula>$W$9&gt;50%</formula>
    </cfRule>
  </conditionalFormatting>
  <dataValidations count="6">
    <dataValidation type="list" allowBlank="1" showInputMessage="1" showErrorMessage="1" sqref="G2" xr:uid="{28EDDBEA-9384-41DB-A0F2-772C3D446386}">
      <formula1>$Z$34:$Z$48</formula1>
    </dataValidation>
    <dataValidation type="list" allowBlank="1" showInputMessage="1" showErrorMessage="1" sqref="N18:N80" xr:uid="{E14C7B0A-A076-4342-823C-7B2C1DF7B5B2}">
      <formula1>$Z$31:$Z$32</formula1>
    </dataValidation>
    <dataValidation type="list" showInputMessage="1" showErrorMessage="1" sqref="E21:E22 E18 E27:E80" xr:uid="{936B7FCB-28D8-4A25-82FE-F270E16119CD}">
      <formula1>$AA$18:$AA$29</formula1>
    </dataValidation>
    <dataValidation type="list" allowBlank="1" showInputMessage="1" showErrorMessage="1" sqref="J13" xr:uid="{59F76110-C895-4425-B0BD-A6385835EB33}">
      <formula1>$L$9:$L$9</formula1>
    </dataValidation>
    <dataValidation type="list" allowBlank="1" showInputMessage="1" showErrorMessage="1" sqref="I13" xr:uid="{839EF4F9-3343-437D-BF3C-8CBE79E492D9}">
      <formula1>$Z$13:$Z$14</formula1>
    </dataValidation>
    <dataValidation type="list" allowBlank="1" showInputMessage="1" showErrorMessage="1" sqref="G17 R14 R17 L17" xr:uid="{0F4D75BE-1B39-4505-8EC2-374B32A81484}">
      <formula1>$Z$11:$Z$12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C9F6B6-219C-4AF4-A73B-8BAE6F027AA7}">
          <x14:formula1>
            <xm:f>'Product Type'!$A$1:$A$55</xm:f>
          </x14:formula1>
          <xm:sqref>D18:D63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3760-1C7E-4BB7-8452-F47971C384C7}">
  <sheetPr>
    <pageSetUpPr fitToPage="1"/>
  </sheetPr>
  <dimension ref="A1:AC83"/>
  <sheetViews>
    <sheetView zoomScaleNormal="100" workbookViewId="0">
      <selection activeCell="G60" sqref="G6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3" style="58" bestFit="1" customWidth="1"/>
    <col min="5" max="5" width="10.28515625" style="86" customWidth="1"/>
    <col min="6" max="6" width="10.4257812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538" t="s">
        <v>73</v>
      </c>
      <c r="C1" s="539"/>
      <c r="D1" s="129"/>
      <c r="E1" s="541" t="s">
        <v>74</v>
      </c>
      <c r="F1" s="542"/>
      <c r="G1" s="542"/>
      <c r="H1" s="543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CAD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56</v>
      </c>
      <c r="H2" s="162">
        <v>1</v>
      </c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1">
        <f>I82</f>
        <v>160327.83000000002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>
        <v>1</v>
      </c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6">
        <f>M81</f>
        <v>175069.92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649</v>
      </c>
      <c r="H4" s="162">
        <v>1</v>
      </c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6">
        <f>Q2-Q3</f>
        <v>-14742.089999999997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650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2">
        <f>IFERROR((Q2-Q3)/Q2,"")</f>
        <v>-9.1949663386574843E-2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 t="s">
        <v>651</v>
      </c>
      <c r="H6" s="162">
        <v>1</v>
      </c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6">
        <f>U81</f>
        <v>175069.92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5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5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8">
        <f>W14</f>
        <v>0</v>
      </c>
      <c r="R9" s="499"/>
      <c r="S9" s="500"/>
      <c r="T9" s="475">
        <f>Q7+Q8+Q9</f>
        <v>0</v>
      </c>
      <c r="U9" s="475">
        <f>Q3-T9</f>
        <v>175069.92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>
        <v>250</v>
      </c>
      <c r="I10" s="111"/>
      <c r="J10" s="112"/>
      <c r="K10" s="112"/>
      <c r="L10" s="43"/>
      <c r="M10" s="483" t="s">
        <v>112</v>
      </c>
      <c r="N10" s="484"/>
      <c r="O10" s="485"/>
      <c r="P10" s="119"/>
      <c r="Q10" s="486">
        <f>F82</f>
        <v>1367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424"/>
      <c r="C11" s="425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426"/>
      <c r="C12" s="427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426"/>
      <c r="C13" s="427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426"/>
      <c r="C14" s="427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428"/>
      <c r="C15" s="429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146" t="s">
        <v>130</v>
      </c>
      <c r="C16" s="147" t="s">
        <v>131</v>
      </c>
      <c r="D16" s="141" t="s">
        <v>132</v>
      </c>
      <c r="E16" s="131" t="s">
        <v>133</v>
      </c>
      <c r="F16" s="133" t="s">
        <v>134</v>
      </c>
      <c r="G16" s="130" t="s">
        <v>135</v>
      </c>
      <c r="H16" s="134" t="s">
        <v>136</v>
      </c>
      <c r="I16" s="104" t="s">
        <v>137</v>
      </c>
      <c r="J16" s="148"/>
      <c r="K16" s="414" t="s">
        <v>138</v>
      </c>
      <c r="L16" s="102" t="s">
        <v>139</v>
      </c>
      <c r="M16" s="99" t="s">
        <v>140</v>
      </c>
      <c r="N16" s="416" t="s">
        <v>141</v>
      </c>
      <c r="O16" s="418" t="s">
        <v>142</v>
      </c>
      <c r="P16" s="122"/>
      <c r="Q16" s="42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25.5" x14ac:dyDescent="0.25">
      <c r="A17" s="56"/>
      <c r="B17" s="146" t="s">
        <v>150</v>
      </c>
      <c r="C17" s="147" t="s">
        <v>151</v>
      </c>
      <c r="D17" s="141" t="s">
        <v>152</v>
      </c>
      <c r="E17" s="131" t="s">
        <v>153</v>
      </c>
      <c r="F17" s="133" t="s">
        <v>138</v>
      </c>
      <c r="G17" s="130" t="s">
        <v>154</v>
      </c>
      <c r="H17" s="134"/>
      <c r="I17" s="104" t="s">
        <v>155</v>
      </c>
      <c r="J17" s="149"/>
      <c r="K17" s="415"/>
      <c r="L17" s="422" t="s">
        <v>116</v>
      </c>
      <c r="M17" s="423"/>
      <c r="N17" s="417"/>
      <c r="O17" s="419"/>
      <c r="P17" s="123"/>
      <c r="Q17" s="421"/>
      <c r="R17" s="37" t="s">
        <v>117</v>
      </c>
      <c r="S17" s="411" t="str">
        <f>L17</f>
        <v>CAD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x14ac:dyDescent="0.25">
      <c r="A18" s="55"/>
      <c r="B18" s="102"/>
      <c r="C18" s="104"/>
      <c r="D18" s="142"/>
      <c r="E18" s="132"/>
      <c r="F18" s="102"/>
      <c r="G18" s="37" t="s">
        <v>116</v>
      </c>
      <c r="H18" s="105" t="str">
        <f>IF(G18="USD $", "CAD $", "USD $")</f>
        <v>USD $</v>
      </c>
      <c r="I18" s="103" t="str">
        <f>L17</f>
        <v>CAD $</v>
      </c>
      <c r="J18" s="150"/>
      <c r="K18" s="89">
        <f t="shared" ref="K18:K56" si="0">F19</f>
        <v>1</v>
      </c>
      <c r="L18" s="9">
        <f t="shared" ref="L18:L56" si="1">IFERROR(IF(N18="OEM DISC %",ROUND(IF($L$17=$G$18,G19*(1-O18),H19*(1-O18)),2),IF(N18="MARKUP %",ROUND(S18/K18*(1+O18),2))),0)</f>
        <v>59.23</v>
      </c>
      <c r="M18" s="9">
        <f>ROUND((K18*L18),2)</f>
        <v>59.23</v>
      </c>
      <c r="N18" s="8" t="s">
        <v>156</v>
      </c>
      <c r="O18" s="36"/>
      <c r="P18" s="51"/>
      <c r="Q18" s="2"/>
      <c r="R18" s="13"/>
      <c r="S18" s="14">
        <f t="shared" ref="S18:S56" si="2">ROUND(IF($S$17=$R$17,R18,IF($S$17="USD $",R18*$E$15,R18*$F$15))*F19,2)</f>
        <v>0</v>
      </c>
      <c r="T18" s="14">
        <f t="shared" ref="T18:T56" si="3">IFERROR(ROUND(U18/F19,2),0)</f>
        <v>59.23</v>
      </c>
      <c r="U18" s="14">
        <f>ROUND(M18-S18,2)</f>
        <v>59.23</v>
      </c>
      <c r="V18" s="29">
        <f>IFERROR(((L18-(S18/K18))/(S18/K18)),0)</f>
        <v>0</v>
      </c>
      <c r="W18" s="29">
        <f>IFERROR(((L18-(S18/K18))/L18),0)</f>
        <v>1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2" t="s">
        <v>390</v>
      </c>
      <c r="C19" s="163" t="s">
        <v>157</v>
      </c>
      <c r="D19" s="139" t="s">
        <v>29</v>
      </c>
      <c r="E19" s="369">
        <v>500</v>
      </c>
      <c r="F19" s="53">
        <v>1</v>
      </c>
      <c r="G19" s="8">
        <v>59.23</v>
      </c>
      <c r="H19" s="9">
        <f t="shared" ref="H19:H81" si="4">ROUND(IF($G$18="USD $", G19*$F$15,G19*$E$15),2)</f>
        <v>42.92</v>
      </c>
      <c r="I19" s="10">
        <f t="shared" ref="I19:I81" si="5">ROUND(IF($I$18=$H$18,F19*H19,F19*G19),2)</f>
        <v>59.23</v>
      </c>
      <c r="J19" s="151"/>
      <c r="K19" s="88">
        <f t="shared" si="0"/>
        <v>1</v>
      </c>
      <c r="L19" s="38">
        <f t="shared" si="1"/>
        <v>15.62</v>
      </c>
      <c r="M19" s="38">
        <f t="shared" ref="M19:M80" si="6">ROUND((K19*L19),2)</f>
        <v>15.62</v>
      </c>
      <c r="N19" s="128" t="s">
        <v>156</v>
      </c>
      <c r="O19" s="16"/>
      <c r="P19" s="51"/>
      <c r="Q19" s="1"/>
      <c r="R19" s="15"/>
      <c r="S19" s="40">
        <f t="shared" si="2"/>
        <v>0</v>
      </c>
      <c r="T19" s="52">
        <f t="shared" si="3"/>
        <v>15.62</v>
      </c>
      <c r="U19" s="52">
        <f t="shared" ref="U19:U80" si="7">ROUND(M19-S19,2)</f>
        <v>15.62</v>
      </c>
      <c r="V19" s="41">
        <f t="shared" ref="V19:V80" si="8">IFERROR(((L19-(S19/K19))/(S19/K19)),0)</f>
        <v>0</v>
      </c>
      <c r="W19" s="41">
        <f t="shared" ref="W19:W80" si="9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458</v>
      </c>
      <c r="C20" s="144" t="s">
        <v>159</v>
      </c>
      <c r="D20" s="139" t="s">
        <v>28</v>
      </c>
      <c r="E20" s="370">
        <v>375</v>
      </c>
      <c r="F20" s="53">
        <v>1</v>
      </c>
      <c r="G20" s="15">
        <v>15.62</v>
      </c>
      <c r="H20" s="38">
        <f t="shared" si="4"/>
        <v>11.32</v>
      </c>
      <c r="I20" s="39">
        <f t="shared" si="5"/>
        <v>15.62</v>
      </c>
      <c r="J20" s="151"/>
      <c r="K20" s="89">
        <f t="shared" si="0"/>
        <v>1</v>
      </c>
      <c r="L20" s="9">
        <f t="shared" si="1"/>
        <v>22.45</v>
      </c>
      <c r="M20" s="9">
        <f t="shared" si="6"/>
        <v>22.45</v>
      </c>
      <c r="N20" s="8" t="s">
        <v>156</v>
      </c>
      <c r="O20" s="12"/>
      <c r="P20" s="51"/>
      <c r="Q20" s="3"/>
      <c r="R20" s="13"/>
      <c r="S20" s="14">
        <f t="shared" si="2"/>
        <v>0</v>
      </c>
      <c r="T20" s="14">
        <f t="shared" si="3"/>
        <v>22.45</v>
      </c>
      <c r="U20" s="14">
        <f t="shared" si="7"/>
        <v>22.45</v>
      </c>
      <c r="V20" s="29">
        <f t="shared" si="8"/>
        <v>0</v>
      </c>
      <c r="W20" s="29">
        <f t="shared" si="9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1" t="s">
        <v>652</v>
      </c>
      <c r="C21" s="144" t="s">
        <v>163</v>
      </c>
      <c r="D21" s="139" t="s">
        <v>27</v>
      </c>
      <c r="E21" s="369">
        <v>500</v>
      </c>
      <c r="F21" s="53">
        <v>1</v>
      </c>
      <c r="G21" s="8">
        <v>22.45</v>
      </c>
      <c r="H21" s="9">
        <f t="shared" si="4"/>
        <v>16.27</v>
      </c>
      <c r="I21" s="10">
        <f t="shared" si="5"/>
        <v>22.45</v>
      </c>
      <c r="J21" s="151"/>
      <c r="K21" s="88">
        <f t="shared" si="0"/>
        <v>1</v>
      </c>
      <c r="L21" s="38">
        <f t="shared" si="1"/>
        <v>127.51</v>
      </c>
      <c r="M21" s="38">
        <f t="shared" si="6"/>
        <v>127.51</v>
      </c>
      <c r="N21" s="128" t="s">
        <v>156</v>
      </c>
      <c r="O21" s="16"/>
      <c r="P21" s="51"/>
      <c r="Q21" s="1"/>
      <c r="R21" s="15"/>
      <c r="S21" s="40">
        <f t="shared" si="2"/>
        <v>0</v>
      </c>
      <c r="T21" s="52">
        <f t="shared" si="3"/>
        <v>127.51</v>
      </c>
      <c r="U21" s="52">
        <f t="shared" si="7"/>
        <v>127.51</v>
      </c>
      <c r="V21" s="41">
        <f t="shared" si="8"/>
        <v>0</v>
      </c>
      <c r="W21" s="41">
        <f t="shared" si="9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2" t="s">
        <v>624</v>
      </c>
      <c r="C22" s="145" t="s">
        <v>163</v>
      </c>
      <c r="D22" s="139" t="s">
        <v>27</v>
      </c>
      <c r="E22" s="369">
        <v>500</v>
      </c>
      <c r="F22" s="53">
        <v>1</v>
      </c>
      <c r="G22" s="15">
        <v>127.51</v>
      </c>
      <c r="H22" s="38">
        <f t="shared" si="4"/>
        <v>92.4</v>
      </c>
      <c r="I22" s="39">
        <f t="shared" si="5"/>
        <v>127.51</v>
      </c>
      <c r="J22" s="151"/>
      <c r="K22" s="89">
        <f t="shared" si="0"/>
        <v>1</v>
      </c>
      <c r="L22" s="9">
        <f t="shared" si="1"/>
        <v>112.18</v>
      </c>
      <c r="M22" s="9">
        <f t="shared" si="6"/>
        <v>112.18</v>
      </c>
      <c r="N22" s="8" t="s">
        <v>156</v>
      </c>
      <c r="O22" s="12"/>
      <c r="P22" s="51"/>
      <c r="Q22" s="3"/>
      <c r="R22" s="13"/>
      <c r="S22" s="14">
        <f t="shared" si="2"/>
        <v>0</v>
      </c>
      <c r="T22" s="14">
        <f t="shared" si="3"/>
        <v>112.18</v>
      </c>
      <c r="U22" s="14">
        <f t="shared" si="7"/>
        <v>112.18</v>
      </c>
      <c r="V22" s="29">
        <f t="shared" si="8"/>
        <v>0</v>
      </c>
      <c r="W22" s="29">
        <f t="shared" si="9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435</v>
      </c>
      <c r="C23" s="144" t="s">
        <v>166</v>
      </c>
      <c r="D23" s="139" t="s">
        <v>25</v>
      </c>
      <c r="E23" s="369">
        <v>500</v>
      </c>
      <c r="F23" s="53">
        <v>1</v>
      </c>
      <c r="G23" s="8">
        <v>112.18</v>
      </c>
      <c r="H23" s="9">
        <f t="shared" si="4"/>
        <v>81.290000000000006</v>
      </c>
      <c r="I23" s="10">
        <f t="shared" si="5"/>
        <v>112.18</v>
      </c>
      <c r="J23" s="151"/>
      <c r="K23" s="88">
        <f t="shared" si="0"/>
        <v>1</v>
      </c>
      <c r="L23" s="38">
        <f t="shared" si="1"/>
        <v>85.78</v>
      </c>
      <c r="M23" s="38">
        <f t="shared" si="6"/>
        <v>85.78</v>
      </c>
      <c r="N23" s="128" t="s">
        <v>156</v>
      </c>
      <c r="O23" s="16"/>
      <c r="P23" s="51"/>
      <c r="Q23" s="1"/>
      <c r="R23" s="15"/>
      <c r="S23" s="40">
        <f t="shared" si="2"/>
        <v>0</v>
      </c>
      <c r="T23" s="52">
        <f t="shared" si="3"/>
        <v>85.78</v>
      </c>
      <c r="U23" s="52">
        <f t="shared" si="7"/>
        <v>85.78</v>
      </c>
      <c r="V23" s="41">
        <f t="shared" si="8"/>
        <v>0</v>
      </c>
      <c r="W23" s="41">
        <f t="shared" si="9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2" t="s">
        <v>517</v>
      </c>
      <c r="C24" s="145" t="s">
        <v>168</v>
      </c>
      <c r="D24" s="139" t="s">
        <v>25</v>
      </c>
      <c r="E24" s="370">
        <v>375</v>
      </c>
      <c r="F24" s="53">
        <v>1</v>
      </c>
      <c r="G24" s="15">
        <v>85.78</v>
      </c>
      <c r="H24" s="38">
        <f t="shared" si="4"/>
        <v>62.16</v>
      </c>
      <c r="I24" s="39">
        <f t="shared" si="5"/>
        <v>85.78</v>
      </c>
      <c r="J24" s="151"/>
      <c r="K24" s="89">
        <f t="shared" si="0"/>
        <v>1</v>
      </c>
      <c r="L24" s="9">
        <f t="shared" si="1"/>
        <v>74.08</v>
      </c>
      <c r="M24" s="9">
        <f t="shared" si="6"/>
        <v>74.08</v>
      </c>
      <c r="N24" s="8" t="s">
        <v>156</v>
      </c>
      <c r="O24" s="12"/>
      <c r="P24" s="51"/>
      <c r="Q24" s="3"/>
      <c r="R24" s="13"/>
      <c r="S24" s="14">
        <f t="shared" si="2"/>
        <v>0</v>
      </c>
      <c r="T24" s="14">
        <f t="shared" si="3"/>
        <v>74.08</v>
      </c>
      <c r="U24" s="14">
        <f t="shared" si="7"/>
        <v>74.08</v>
      </c>
      <c r="V24" s="29">
        <f t="shared" si="8"/>
        <v>0</v>
      </c>
      <c r="W24" s="29">
        <f t="shared" si="9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1" t="s">
        <v>653</v>
      </c>
      <c r="C25" s="144" t="s">
        <v>170</v>
      </c>
      <c r="D25" s="139" t="s">
        <v>24</v>
      </c>
      <c r="E25" s="370">
        <v>375</v>
      </c>
      <c r="F25" s="53">
        <v>1</v>
      </c>
      <c r="G25" s="8">
        <v>74.08</v>
      </c>
      <c r="H25" s="9">
        <f t="shared" si="4"/>
        <v>53.68</v>
      </c>
      <c r="I25" s="10">
        <f t="shared" si="5"/>
        <v>74.08</v>
      </c>
      <c r="J25" s="151"/>
      <c r="K25" s="88">
        <f t="shared" si="0"/>
        <v>2</v>
      </c>
      <c r="L25" s="38">
        <f t="shared" si="1"/>
        <v>528.22</v>
      </c>
      <c r="M25" s="38">
        <f t="shared" si="6"/>
        <v>1056.44</v>
      </c>
      <c r="N25" s="128" t="s">
        <v>156</v>
      </c>
      <c r="O25" s="16"/>
      <c r="P25" s="51"/>
      <c r="Q25" s="1"/>
      <c r="R25" s="15"/>
      <c r="S25" s="40">
        <f t="shared" si="2"/>
        <v>0</v>
      </c>
      <c r="T25" s="52">
        <f t="shared" si="3"/>
        <v>528.22</v>
      </c>
      <c r="U25" s="52">
        <f t="shared" si="7"/>
        <v>1056.44</v>
      </c>
      <c r="V25" s="41">
        <f t="shared" si="8"/>
        <v>0</v>
      </c>
      <c r="W25" s="41">
        <f t="shared" si="9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2" t="s">
        <v>437</v>
      </c>
      <c r="C26" s="145" t="s">
        <v>172</v>
      </c>
      <c r="D26" s="139" t="s">
        <v>0</v>
      </c>
      <c r="E26" s="371" t="s">
        <v>176</v>
      </c>
      <c r="F26" s="53">
        <v>2</v>
      </c>
      <c r="G26" s="15">
        <v>528.22</v>
      </c>
      <c r="H26" s="38">
        <f t="shared" si="4"/>
        <v>382.77</v>
      </c>
      <c r="I26" s="39">
        <f t="shared" si="5"/>
        <v>1056.44</v>
      </c>
      <c r="J26" s="151"/>
      <c r="K26" s="89">
        <f t="shared" si="0"/>
        <v>1</v>
      </c>
      <c r="L26" s="9">
        <f t="shared" si="1"/>
        <v>6873.4</v>
      </c>
      <c r="M26" s="9">
        <f t="shared" si="6"/>
        <v>6873.4</v>
      </c>
      <c r="N26" s="8" t="s">
        <v>156</v>
      </c>
      <c r="O26" s="12"/>
      <c r="P26" s="51"/>
      <c r="Q26" s="3"/>
      <c r="R26" s="13"/>
      <c r="S26" s="14">
        <f t="shared" si="2"/>
        <v>0</v>
      </c>
      <c r="T26" s="14">
        <f t="shared" si="3"/>
        <v>6873.4</v>
      </c>
      <c r="U26" s="14">
        <f t="shared" si="7"/>
        <v>6873.4</v>
      </c>
      <c r="V26" s="29">
        <f t="shared" si="8"/>
        <v>0</v>
      </c>
      <c r="W26" s="29">
        <f t="shared" si="9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 t="s">
        <v>654</v>
      </c>
      <c r="C27" s="144" t="s">
        <v>174</v>
      </c>
      <c r="D27" s="139" t="s">
        <v>40</v>
      </c>
      <c r="E27" s="372" t="s">
        <v>176</v>
      </c>
      <c r="F27" s="53">
        <v>1</v>
      </c>
      <c r="G27" s="8">
        <v>6873.4</v>
      </c>
      <c r="H27" s="9">
        <f t="shared" si="4"/>
        <v>4980.72</v>
      </c>
      <c r="I27" s="10">
        <f t="shared" si="5"/>
        <v>6873.4</v>
      </c>
      <c r="J27" s="151"/>
      <c r="K27" s="88">
        <f t="shared" si="0"/>
        <v>6</v>
      </c>
      <c r="L27" s="38">
        <f t="shared" si="1"/>
        <v>1688.94</v>
      </c>
      <c r="M27" s="38">
        <f t="shared" si="6"/>
        <v>10133.64</v>
      </c>
      <c r="N27" s="128" t="s">
        <v>156</v>
      </c>
      <c r="O27" s="16"/>
      <c r="P27" s="51"/>
      <c r="Q27" s="1"/>
      <c r="R27" s="15"/>
      <c r="S27" s="40">
        <f t="shared" si="2"/>
        <v>0</v>
      </c>
      <c r="T27" s="52">
        <f t="shared" si="3"/>
        <v>1688.94</v>
      </c>
      <c r="U27" s="52">
        <f t="shared" si="7"/>
        <v>10133.64</v>
      </c>
      <c r="V27" s="41">
        <f t="shared" si="8"/>
        <v>0</v>
      </c>
      <c r="W27" s="41">
        <f t="shared" si="9"/>
        <v>1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2" t="s">
        <v>655</v>
      </c>
      <c r="C28" s="145" t="s">
        <v>424</v>
      </c>
      <c r="D28" s="139" t="s">
        <v>19</v>
      </c>
      <c r="E28" s="371">
        <v>6000</v>
      </c>
      <c r="F28" s="53">
        <v>6</v>
      </c>
      <c r="G28" s="15">
        <v>1688.94</v>
      </c>
      <c r="H28" s="38">
        <f t="shared" si="4"/>
        <v>1223.8699999999999</v>
      </c>
      <c r="I28" s="39">
        <f t="shared" si="5"/>
        <v>10133.64</v>
      </c>
      <c r="J28" s="151"/>
      <c r="K28" s="89">
        <f t="shared" si="0"/>
        <v>1</v>
      </c>
      <c r="L28" s="9">
        <f t="shared" si="1"/>
        <v>7713.05</v>
      </c>
      <c r="M28" s="9">
        <f t="shared" si="6"/>
        <v>7713.05</v>
      </c>
      <c r="N28" s="8" t="s">
        <v>156</v>
      </c>
      <c r="O28" s="12"/>
      <c r="P28" s="51"/>
      <c r="Q28" s="3"/>
      <c r="R28" s="13"/>
      <c r="S28" s="14">
        <f t="shared" si="2"/>
        <v>0</v>
      </c>
      <c r="T28" s="14">
        <f t="shared" si="3"/>
        <v>7713.05</v>
      </c>
      <c r="U28" s="14">
        <f t="shared" si="7"/>
        <v>7713.05</v>
      </c>
      <c r="V28" s="29">
        <f t="shared" si="8"/>
        <v>0</v>
      </c>
      <c r="W28" s="29">
        <f t="shared" si="9"/>
        <v>1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1" t="s">
        <v>656</v>
      </c>
      <c r="C29" s="144" t="s">
        <v>426</v>
      </c>
      <c r="D29" s="139" t="s">
        <v>23</v>
      </c>
      <c r="E29" s="371">
        <v>6000</v>
      </c>
      <c r="F29" s="53">
        <v>1</v>
      </c>
      <c r="G29" s="8">
        <v>7713.05</v>
      </c>
      <c r="H29" s="9">
        <f t="shared" si="4"/>
        <v>5589.17</v>
      </c>
      <c r="I29" s="10">
        <f t="shared" si="5"/>
        <v>7713.05</v>
      </c>
      <c r="J29" s="151"/>
      <c r="K29" s="88">
        <f t="shared" si="0"/>
        <v>0</v>
      </c>
      <c r="L29" s="38">
        <f t="shared" si="1"/>
        <v>0</v>
      </c>
      <c r="M29" s="38">
        <f>ROUND((K29*L29),2)</f>
        <v>0</v>
      </c>
      <c r="N29" s="128" t="s">
        <v>156</v>
      </c>
      <c r="O29" s="16"/>
      <c r="P29" s="51"/>
      <c r="Q29" s="1"/>
      <c r="R29" s="15"/>
      <c r="S29" s="40">
        <f t="shared" si="2"/>
        <v>0</v>
      </c>
      <c r="T29" s="52">
        <f t="shared" si="3"/>
        <v>0</v>
      </c>
      <c r="U29" s="52">
        <f t="shared" si="7"/>
        <v>0</v>
      </c>
      <c r="V29" s="41">
        <f t="shared" si="8"/>
        <v>0</v>
      </c>
      <c r="W29" s="41">
        <f t="shared" si="9"/>
        <v>0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2"/>
      <c r="C30" s="145"/>
      <c r="D30" s="139"/>
      <c r="E30" s="371"/>
      <c r="F30" s="53"/>
      <c r="G30" s="15"/>
      <c r="H30" s="38">
        <f t="shared" si="4"/>
        <v>0</v>
      </c>
      <c r="I30" s="39">
        <f t="shared" si="5"/>
        <v>0</v>
      </c>
      <c r="J30" s="151"/>
      <c r="K30" s="89">
        <f t="shared" si="0"/>
        <v>0</v>
      </c>
      <c r="L30" s="9">
        <f t="shared" si="1"/>
        <v>0</v>
      </c>
      <c r="M30" s="9">
        <f t="shared" si="6"/>
        <v>0</v>
      </c>
      <c r="N30" s="8" t="s">
        <v>156</v>
      </c>
      <c r="O30" s="12"/>
      <c r="P30" s="51"/>
      <c r="Q30" s="3"/>
      <c r="R30" s="13"/>
      <c r="S30" s="14">
        <f t="shared" si="2"/>
        <v>0</v>
      </c>
      <c r="T30" s="14">
        <f t="shared" si="3"/>
        <v>0</v>
      </c>
      <c r="U30" s="14">
        <f t="shared" si="7"/>
        <v>0</v>
      </c>
      <c r="V30" s="29">
        <f t="shared" si="8"/>
        <v>0</v>
      </c>
      <c r="W30" s="29">
        <f t="shared" si="9"/>
        <v>0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"/>
      <c r="C31" s="145"/>
      <c r="D31" s="139"/>
      <c r="E31" s="371"/>
      <c r="F31" s="53"/>
      <c r="G31" s="8"/>
      <c r="H31" s="9">
        <f t="shared" si="4"/>
        <v>0</v>
      </c>
      <c r="I31" s="10">
        <f t="shared" si="5"/>
        <v>0</v>
      </c>
      <c r="J31" s="151"/>
      <c r="K31" s="88">
        <f t="shared" si="0"/>
        <v>50</v>
      </c>
      <c r="L31" s="38">
        <f t="shared" si="1"/>
        <v>1.52</v>
      </c>
      <c r="M31" s="38">
        <f t="shared" si="6"/>
        <v>76</v>
      </c>
      <c r="N31" s="128" t="s">
        <v>156</v>
      </c>
      <c r="O31" s="16"/>
      <c r="P31" s="51"/>
      <c r="Q31" s="1"/>
      <c r="R31" s="15"/>
      <c r="S31" s="40">
        <f t="shared" si="2"/>
        <v>0</v>
      </c>
      <c r="T31" s="52">
        <f t="shared" si="3"/>
        <v>1.52</v>
      </c>
      <c r="U31" s="52">
        <f t="shared" si="7"/>
        <v>76</v>
      </c>
      <c r="V31" s="41">
        <f t="shared" si="8"/>
        <v>0</v>
      </c>
      <c r="W31" s="41">
        <f t="shared" si="9"/>
        <v>1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1" t="s">
        <v>657</v>
      </c>
      <c r="C32" s="144" t="s">
        <v>658</v>
      </c>
      <c r="D32" s="139" t="s">
        <v>45</v>
      </c>
      <c r="E32" s="370">
        <v>5000</v>
      </c>
      <c r="F32" s="54">
        <v>50</v>
      </c>
      <c r="G32" s="15">
        <v>1.52</v>
      </c>
      <c r="H32" s="38">
        <f t="shared" si="4"/>
        <v>1.1000000000000001</v>
      </c>
      <c r="I32" s="39">
        <f t="shared" si="5"/>
        <v>76</v>
      </c>
      <c r="J32" s="151"/>
      <c r="K32" s="89">
        <f t="shared" si="0"/>
        <v>10</v>
      </c>
      <c r="L32" s="9">
        <f t="shared" si="1"/>
        <v>314.93</v>
      </c>
      <c r="M32" s="9">
        <f t="shared" si="6"/>
        <v>3149.3</v>
      </c>
      <c r="N32" s="8" t="s">
        <v>156</v>
      </c>
      <c r="O32" s="12"/>
      <c r="P32" s="51"/>
      <c r="Q32" s="3"/>
      <c r="R32" s="13"/>
      <c r="S32" s="14">
        <f t="shared" si="2"/>
        <v>0</v>
      </c>
      <c r="T32" s="14">
        <f t="shared" si="3"/>
        <v>314.93</v>
      </c>
      <c r="U32" s="14">
        <f t="shared" si="7"/>
        <v>3149.3</v>
      </c>
      <c r="V32" s="29">
        <f t="shared" si="8"/>
        <v>0</v>
      </c>
      <c r="W32" s="29">
        <f t="shared" si="9"/>
        <v>1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" t="s">
        <v>659</v>
      </c>
      <c r="C33" s="145" t="s">
        <v>660</v>
      </c>
      <c r="D33" s="139" t="s">
        <v>49</v>
      </c>
      <c r="E33" s="370">
        <v>5000</v>
      </c>
      <c r="F33" s="53">
        <v>10</v>
      </c>
      <c r="G33" s="8">
        <v>314.93</v>
      </c>
      <c r="H33" s="9">
        <f>ROUND(IF($G$18="USD $", G33*$F$15,G33*$E$15),2)</f>
        <v>228.21</v>
      </c>
      <c r="I33" s="10">
        <f t="shared" si="5"/>
        <v>3149.3</v>
      </c>
      <c r="J33" s="151"/>
      <c r="K33" s="88">
        <f t="shared" si="0"/>
        <v>50</v>
      </c>
      <c r="L33" s="38">
        <f t="shared" si="1"/>
        <v>3.78</v>
      </c>
      <c r="M33" s="38">
        <f t="shared" si="6"/>
        <v>189</v>
      </c>
      <c r="N33" s="128" t="s">
        <v>156</v>
      </c>
      <c r="O33" s="16"/>
      <c r="P33" s="51"/>
      <c r="Q33" s="1"/>
      <c r="R33" s="15"/>
      <c r="S33" s="40">
        <f t="shared" si="2"/>
        <v>0</v>
      </c>
      <c r="T33" s="52">
        <f t="shared" si="3"/>
        <v>3.78</v>
      </c>
      <c r="U33" s="52">
        <f t="shared" si="7"/>
        <v>189</v>
      </c>
      <c r="V33" s="41">
        <f t="shared" si="8"/>
        <v>0</v>
      </c>
      <c r="W33" s="41">
        <f t="shared" si="9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1" t="s">
        <v>661</v>
      </c>
      <c r="C34" s="144" t="s">
        <v>662</v>
      </c>
      <c r="D34" s="139" t="s">
        <v>45</v>
      </c>
      <c r="E34" s="370">
        <v>5000</v>
      </c>
      <c r="F34" s="54">
        <v>50</v>
      </c>
      <c r="G34" s="15">
        <v>3.78</v>
      </c>
      <c r="H34" s="38">
        <f t="shared" si="4"/>
        <v>2.74</v>
      </c>
      <c r="I34" s="39">
        <f t="shared" si="5"/>
        <v>189</v>
      </c>
      <c r="J34" s="151"/>
      <c r="K34" s="89">
        <f t="shared" si="0"/>
        <v>50</v>
      </c>
      <c r="L34" s="9">
        <f t="shared" si="1"/>
        <v>3.99</v>
      </c>
      <c r="M34" s="9">
        <f t="shared" si="6"/>
        <v>199.5</v>
      </c>
      <c r="N34" s="8" t="s">
        <v>156</v>
      </c>
      <c r="O34" s="12"/>
      <c r="P34" s="51"/>
      <c r="Q34" s="3"/>
      <c r="R34" s="13"/>
      <c r="S34" s="14">
        <f t="shared" si="2"/>
        <v>0</v>
      </c>
      <c r="T34" s="14">
        <f t="shared" si="3"/>
        <v>3.99</v>
      </c>
      <c r="U34" s="14">
        <f t="shared" si="7"/>
        <v>199.5</v>
      </c>
      <c r="V34" s="29">
        <f t="shared" si="8"/>
        <v>0</v>
      </c>
      <c r="W34" s="29">
        <f t="shared" si="9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" t="s">
        <v>663</v>
      </c>
      <c r="C35" s="145" t="s">
        <v>664</v>
      </c>
      <c r="D35" s="139" t="s">
        <v>45</v>
      </c>
      <c r="E35" s="370">
        <v>5000</v>
      </c>
      <c r="F35" s="53">
        <v>50</v>
      </c>
      <c r="G35" s="8">
        <v>3.99</v>
      </c>
      <c r="H35" s="9">
        <f t="shared" si="4"/>
        <v>2.89</v>
      </c>
      <c r="I35" s="10">
        <f t="shared" si="5"/>
        <v>199.5</v>
      </c>
      <c r="J35" s="151"/>
      <c r="K35" s="88">
        <f t="shared" si="0"/>
        <v>4</v>
      </c>
      <c r="L35" s="38">
        <f t="shared" si="1"/>
        <v>8344.42</v>
      </c>
      <c r="M35" s="38">
        <f t="shared" si="6"/>
        <v>33377.68</v>
      </c>
      <c r="N35" s="128" t="s">
        <v>156</v>
      </c>
      <c r="O35" s="16"/>
      <c r="P35" s="51"/>
      <c r="Q35" s="1"/>
      <c r="R35" s="15"/>
      <c r="S35" s="40">
        <f t="shared" si="2"/>
        <v>0</v>
      </c>
      <c r="T35" s="52">
        <f t="shared" si="3"/>
        <v>8344.42</v>
      </c>
      <c r="U35" s="52">
        <f t="shared" si="7"/>
        <v>33377.68</v>
      </c>
      <c r="V35" s="41">
        <f t="shared" si="8"/>
        <v>0</v>
      </c>
      <c r="W35" s="41">
        <f t="shared" si="9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1" t="s">
        <v>665</v>
      </c>
      <c r="C36" s="144" t="s">
        <v>666</v>
      </c>
      <c r="D36" s="139" t="s">
        <v>47</v>
      </c>
      <c r="E36" s="370">
        <v>5000</v>
      </c>
      <c r="F36" s="53">
        <v>4</v>
      </c>
      <c r="G36" s="15">
        <v>8344.42</v>
      </c>
      <c r="H36" s="38">
        <f t="shared" si="4"/>
        <v>6046.68</v>
      </c>
      <c r="I36" s="39">
        <f t="shared" si="5"/>
        <v>33377.68</v>
      </c>
      <c r="J36" s="151"/>
      <c r="K36" s="89">
        <f t="shared" si="0"/>
        <v>16</v>
      </c>
      <c r="L36" s="9">
        <f t="shared" si="1"/>
        <v>1736.17</v>
      </c>
      <c r="M36" s="9">
        <f t="shared" si="6"/>
        <v>27778.720000000001</v>
      </c>
      <c r="N36" s="8" t="s">
        <v>156</v>
      </c>
      <c r="O36" s="12"/>
      <c r="P36" s="51"/>
      <c r="Q36" s="3"/>
      <c r="R36" s="13"/>
      <c r="S36" s="14">
        <f t="shared" si="2"/>
        <v>0</v>
      </c>
      <c r="T36" s="14">
        <f t="shared" si="3"/>
        <v>1736.17</v>
      </c>
      <c r="U36" s="14">
        <f t="shared" si="7"/>
        <v>27778.720000000001</v>
      </c>
      <c r="V36" s="29">
        <f t="shared" si="8"/>
        <v>0</v>
      </c>
      <c r="W36" s="29">
        <f t="shared" si="9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1" t="s">
        <v>667</v>
      </c>
      <c r="C37" s="144" t="s">
        <v>668</v>
      </c>
      <c r="D37" s="139" t="s">
        <v>43</v>
      </c>
      <c r="E37" s="370">
        <v>5000</v>
      </c>
      <c r="F37" s="54">
        <v>16</v>
      </c>
      <c r="G37" s="8">
        <v>1736.17</v>
      </c>
      <c r="H37" s="9">
        <f t="shared" si="4"/>
        <v>1258.0899999999999</v>
      </c>
      <c r="I37" s="10">
        <f t="shared" si="5"/>
        <v>27778.720000000001</v>
      </c>
      <c r="J37" s="151"/>
      <c r="K37" s="88">
        <f t="shared" si="0"/>
        <v>16</v>
      </c>
      <c r="L37" s="38">
        <f t="shared" si="1"/>
        <v>1617.09</v>
      </c>
      <c r="M37" s="38">
        <f t="shared" si="6"/>
        <v>25873.439999999999</v>
      </c>
      <c r="N37" s="128" t="s">
        <v>156</v>
      </c>
      <c r="O37" s="16"/>
      <c r="P37" s="51"/>
      <c r="Q37" s="1"/>
      <c r="R37" s="15"/>
      <c r="S37" s="40">
        <f t="shared" si="2"/>
        <v>0</v>
      </c>
      <c r="T37" s="52">
        <f t="shared" si="3"/>
        <v>1617.09</v>
      </c>
      <c r="U37" s="52">
        <f t="shared" si="7"/>
        <v>25873.439999999999</v>
      </c>
      <c r="V37" s="41">
        <f t="shared" si="8"/>
        <v>0</v>
      </c>
      <c r="W37" s="41">
        <f t="shared" si="9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1" t="s">
        <v>669</v>
      </c>
      <c r="C38" s="144" t="s">
        <v>670</v>
      </c>
      <c r="D38" s="139" t="s">
        <v>43</v>
      </c>
      <c r="E38" s="410">
        <v>5000</v>
      </c>
      <c r="F38" s="53">
        <v>16</v>
      </c>
      <c r="G38" s="15">
        <v>1617.09</v>
      </c>
      <c r="H38" s="38">
        <f t="shared" si="4"/>
        <v>1171.8</v>
      </c>
      <c r="I38" s="39">
        <f t="shared" si="5"/>
        <v>25873.439999999999</v>
      </c>
      <c r="J38" s="151"/>
      <c r="K38" s="89">
        <f t="shared" si="0"/>
        <v>344</v>
      </c>
      <c r="L38" s="9">
        <f t="shared" si="1"/>
        <v>3.03</v>
      </c>
      <c r="M38" s="9">
        <f t="shared" si="6"/>
        <v>1042.32</v>
      </c>
      <c r="N38" s="8" t="s">
        <v>156</v>
      </c>
      <c r="O38" s="12"/>
      <c r="P38" s="51"/>
      <c r="Q38" s="3"/>
      <c r="R38" s="13"/>
      <c r="S38" s="14">
        <f t="shared" si="2"/>
        <v>0</v>
      </c>
      <c r="T38" s="14">
        <f t="shared" si="3"/>
        <v>3.03</v>
      </c>
      <c r="U38" s="14">
        <f t="shared" si="7"/>
        <v>1042.32</v>
      </c>
      <c r="V38" s="29">
        <f t="shared" si="8"/>
        <v>0</v>
      </c>
      <c r="W38" s="29">
        <f t="shared" si="9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" t="s">
        <v>671</v>
      </c>
      <c r="C39" s="145" t="s">
        <v>195</v>
      </c>
      <c r="D39" s="139" t="s">
        <v>45</v>
      </c>
      <c r="E39" s="370">
        <v>5000</v>
      </c>
      <c r="F39" s="53">
        <v>344</v>
      </c>
      <c r="G39" s="8">
        <v>3.03</v>
      </c>
      <c r="H39" s="9">
        <f t="shared" si="4"/>
        <v>2.2000000000000002</v>
      </c>
      <c r="I39" s="10">
        <f t="shared" si="5"/>
        <v>1042.32</v>
      </c>
      <c r="J39" s="151"/>
      <c r="K39" s="88">
        <f t="shared" si="0"/>
        <v>1</v>
      </c>
      <c r="L39" s="38">
        <f t="shared" si="1"/>
        <v>8279.6299999999992</v>
      </c>
      <c r="M39" s="38">
        <f t="shared" si="6"/>
        <v>8279.6299999999992</v>
      </c>
      <c r="N39" s="128" t="s">
        <v>156</v>
      </c>
      <c r="O39" s="16"/>
      <c r="P39" s="51"/>
      <c r="Q39" s="1"/>
      <c r="R39" s="15"/>
      <c r="S39" s="40">
        <f t="shared" si="2"/>
        <v>0</v>
      </c>
      <c r="T39" s="52">
        <f t="shared" si="3"/>
        <v>8279.6299999999992</v>
      </c>
      <c r="U39" s="52">
        <f t="shared" si="7"/>
        <v>8279.6299999999992</v>
      </c>
      <c r="V39" s="41">
        <f t="shared" si="8"/>
        <v>0</v>
      </c>
      <c r="W39" s="41">
        <f t="shared" si="9"/>
        <v>1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357" t="s">
        <v>672</v>
      </c>
      <c r="C40" s="144" t="s">
        <v>190</v>
      </c>
      <c r="D40" s="139" t="s">
        <v>45</v>
      </c>
      <c r="E40" s="370">
        <v>5000</v>
      </c>
      <c r="F40" s="54">
        <v>1</v>
      </c>
      <c r="G40" s="15">
        <v>8279.6299999999992</v>
      </c>
      <c r="H40" s="38">
        <f t="shared" si="4"/>
        <v>5999.73</v>
      </c>
      <c r="I40" s="39">
        <f t="shared" si="5"/>
        <v>8279.6299999999992</v>
      </c>
      <c r="J40" s="151"/>
      <c r="K40" s="89">
        <f t="shared" si="0"/>
        <v>344</v>
      </c>
      <c r="L40" s="9">
        <f t="shared" si="1"/>
        <v>8.18</v>
      </c>
      <c r="M40" s="9">
        <f t="shared" si="6"/>
        <v>2813.92</v>
      </c>
      <c r="N40" s="8" t="s">
        <v>156</v>
      </c>
      <c r="O40" s="12"/>
      <c r="P40" s="51"/>
      <c r="Q40" s="3"/>
      <c r="R40" s="13"/>
      <c r="S40" s="14">
        <f t="shared" si="2"/>
        <v>0</v>
      </c>
      <c r="T40" s="14">
        <f t="shared" si="3"/>
        <v>8.18</v>
      </c>
      <c r="U40" s="14">
        <f t="shared" si="7"/>
        <v>2813.92</v>
      </c>
      <c r="V40" s="29">
        <f t="shared" si="8"/>
        <v>0</v>
      </c>
      <c r="W40" s="29">
        <f t="shared" si="9"/>
        <v>1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" t="s">
        <v>673</v>
      </c>
      <c r="C41" s="145" t="s">
        <v>194</v>
      </c>
      <c r="D41" s="139" t="s">
        <v>45</v>
      </c>
      <c r="E41" s="370">
        <v>5000</v>
      </c>
      <c r="F41" s="53">
        <v>344</v>
      </c>
      <c r="G41" s="8">
        <v>8.18</v>
      </c>
      <c r="H41" s="9">
        <f t="shared" si="4"/>
        <v>5.93</v>
      </c>
      <c r="I41" s="10">
        <f t="shared" si="5"/>
        <v>2813.92</v>
      </c>
      <c r="J41" s="151"/>
      <c r="K41" s="88">
        <f t="shared" si="0"/>
        <v>172</v>
      </c>
      <c r="L41" s="38">
        <f t="shared" si="1"/>
        <v>9.11</v>
      </c>
      <c r="M41" s="38">
        <f t="shared" si="6"/>
        <v>1566.92</v>
      </c>
      <c r="N41" s="128" t="s">
        <v>156</v>
      </c>
      <c r="O41" s="16"/>
      <c r="P41" s="51"/>
      <c r="Q41" s="1"/>
      <c r="R41" s="15"/>
      <c r="S41" s="40">
        <f t="shared" si="2"/>
        <v>0</v>
      </c>
      <c r="T41" s="52">
        <f t="shared" si="3"/>
        <v>9.11</v>
      </c>
      <c r="U41" s="52">
        <f t="shared" si="7"/>
        <v>1566.92</v>
      </c>
      <c r="V41" s="41">
        <f t="shared" si="8"/>
        <v>0</v>
      </c>
      <c r="W41" s="41">
        <f t="shared" si="9"/>
        <v>1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1" t="s">
        <v>674</v>
      </c>
      <c r="C42" s="144" t="s">
        <v>675</v>
      </c>
      <c r="D42" s="139" t="s">
        <v>45</v>
      </c>
      <c r="E42" s="370">
        <v>5000</v>
      </c>
      <c r="F42" s="54">
        <v>172</v>
      </c>
      <c r="G42" s="15">
        <v>9.11</v>
      </c>
      <c r="H42" s="38">
        <f t="shared" si="4"/>
        <v>6.6</v>
      </c>
      <c r="I42" s="39">
        <f t="shared" si="5"/>
        <v>1566.92</v>
      </c>
      <c r="J42" s="151"/>
      <c r="K42" s="89">
        <f t="shared" si="0"/>
        <v>172</v>
      </c>
      <c r="L42" s="9">
        <f t="shared" si="1"/>
        <v>12.43</v>
      </c>
      <c r="M42" s="9">
        <f t="shared" si="6"/>
        <v>2137.96</v>
      </c>
      <c r="N42" s="8" t="s">
        <v>156</v>
      </c>
      <c r="O42" s="12"/>
      <c r="P42" s="51"/>
      <c r="Q42" s="3"/>
      <c r="R42" s="13"/>
      <c r="S42" s="14">
        <f t="shared" si="2"/>
        <v>0</v>
      </c>
      <c r="T42" s="14">
        <f t="shared" si="3"/>
        <v>12.43</v>
      </c>
      <c r="U42" s="14">
        <f t="shared" si="7"/>
        <v>2137.96</v>
      </c>
      <c r="V42" s="29">
        <f t="shared" si="8"/>
        <v>0</v>
      </c>
      <c r="W42" s="29">
        <f t="shared" si="9"/>
        <v>1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" t="s">
        <v>676</v>
      </c>
      <c r="C43" s="145" t="s">
        <v>675</v>
      </c>
      <c r="D43" s="139" t="s">
        <v>45</v>
      </c>
      <c r="E43" s="370">
        <v>5000</v>
      </c>
      <c r="F43" s="53">
        <v>172</v>
      </c>
      <c r="G43" s="8">
        <v>12.43</v>
      </c>
      <c r="H43" s="9">
        <f t="shared" si="4"/>
        <v>9.01</v>
      </c>
      <c r="I43" s="10">
        <f t="shared" si="5"/>
        <v>2137.96</v>
      </c>
      <c r="J43" s="151"/>
      <c r="K43" s="88">
        <f t="shared" si="0"/>
        <v>1</v>
      </c>
      <c r="L43" s="38">
        <f t="shared" si="1"/>
        <v>710.32</v>
      </c>
      <c r="M43" s="38">
        <f t="shared" si="6"/>
        <v>710.32</v>
      </c>
      <c r="N43" s="128" t="s">
        <v>156</v>
      </c>
      <c r="O43" s="16"/>
      <c r="P43" s="51"/>
      <c r="Q43" s="1"/>
      <c r="R43" s="15"/>
      <c r="S43" s="40">
        <f t="shared" si="2"/>
        <v>0</v>
      </c>
      <c r="T43" s="52">
        <f t="shared" si="3"/>
        <v>710.32</v>
      </c>
      <c r="U43" s="52">
        <f t="shared" si="7"/>
        <v>710.32</v>
      </c>
      <c r="V43" s="41">
        <f t="shared" si="8"/>
        <v>0</v>
      </c>
      <c r="W43" s="41">
        <f t="shared" si="9"/>
        <v>1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357" t="s">
        <v>677</v>
      </c>
      <c r="C44" s="4" t="s">
        <v>678</v>
      </c>
      <c r="D44" s="139" t="s">
        <v>45</v>
      </c>
      <c r="E44" s="370">
        <v>5000</v>
      </c>
      <c r="F44" s="54">
        <v>1</v>
      </c>
      <c r="G44" s="15">
        <v>710.32</v>
      </c>
      <c r="H44" s="38">
        <f t="shared" si="4"/>
        <v>514.72</v>
      </c>
      <c r="I44" s="39">
        <f t="shared" si="5"/>
        <v>710.32</v>
      </c>
      <c r="J44" s="151"/>
      <c r="K44" s="89">
        <f t="shared" si="0"/>
        <v>1</v>
      </c>
      <c r="L44" s="9">
        <f t="shared" si="1"/>
        <v>710.32</v>
      </c>
      <c r="M44" s="9">
        <f t="shared" si="6"/>
        <v>710.32</v>
      </c>
      <c r="N44" s="8" t="s">
        <v>156</v>
      </c>
      <c r="O44" s="12"/>
      <c r="P44" s="51"/>
      <c r="Q44" s="3"/>
      <c r="R44" s="13"/>
      <c r="S44" s="14">
        <f t="shared" si="2"/>
        <v>0</v>
      </c>
      <c r="T44" s="14">
        <f t="shared" si="3"/>
        <v>710.32</v>
      </c>
      <c r="U44" s="14">
        <f t="shared" si="7"/>
        <v>710.32</v>
      </c>
      <c r="V44" s="29">
        <f t="shared" si="8"/>
        <v>0</v>
      </c>
      <c r="W44" s="29">
        <f t="shared" si="9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358" t="s">
        <v>679</v>
      </c>
      <c r="C45" s="6" t="s">
        <v>680</v>
      </c>
      <c r="D45" s="139" t="s">
        <v>45</v>
      </c>
      <c r="E45" s="370">
        <v>5000</v>
      </c>
      <c r="F45" s="53">
        <v>1</v>
      </c>
      <c r="G45" s="8">
        <v>710.32</v>
      </c>
      <c r="H45" s="9">
        <f t="shared" si="4"/>
        <v>514.72</v>
      </c>
      <c r="I45" s="10">
        <f t="shared" si="5"/>
        <v>710.32</v>
      </c>
      <c r="J45" s="151"/>
      <c r="K45" s="88">
        <f t="shared" si="0"/>
        <v>36</v>
      </c>
      <c r="L45" s="38">
        <f t="shared" si="1"/>
        <v>9.57</v>
      </c>
      <c r="M45" s="38">
        <f t="shared" si="6"/>
        <v>344.52</v>
      </c>
      <c r="N45" s="128" t="s">
        <v>156</v>
      </c>
      <c r="O45" s="16"/>
      <c r="P45" s="51"/>
      <c r="Q45" s="1"/>
      <c r="R45" s="15"/>
      <c r="S45" s="40">
        <f t="shared" si="2"/>
        <v>0</v>
      </c>
      <c r="T45" s="52">
        <f t="shared" si="3"/>
        <v>9.57</v>
      </c>
      <c r="U45" s="52">
        <f t="shared" si="7"/>
        <v>344.52</v>
      </c>
      <c r="V45" s="41">
        <f t="shared" si="8"/>
        <v>0</v>
      </c>
      <c r="W45" s="41">
        <f t="shared" si="9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1" t="s">
        <v>681</v>
      </c>
      <c r="C46" s="4" t="s">
        <v>207</v>
      </c>
      <c r="D46" s="139" t="s">
        <v>45</v>
      </c>
      <c r="E46" s="370">
        <v>5000</v>
      </c>
      <c r="F46" s="54">
        <v>36</v>
      </c>
      <c r="G46" s="15">
        <v>9.57</v>
      </c>
      <c r="H46" s="38">
        <f t="shared" si="4"/>
        <v>6.93</v>
      </c>
      <c r="I46" s="39">
        <f t="shared" si="5"/>
        <v>344.52</v>
      </c>
      <c r="J46" s="151"/>
      <c r="K46" s="89">
        <f t="shared" si="0"/>
        <v>2</v>
      </c>
      <c r="L46" s="9">
        <f t="shared" si="1"/>
        <v>472.86</v>
      </c>
      <c r="M46" s="9">
        <f t="shared" si="6"/>
        <v>945.72</v>
      </c>
      <c r="N46" s="8" t="s">
        <v>156</v>
      </c>
      <c r="O46" s="12"/>
      <c r="P46" s="51"/>
      <c r="Q46" s="3"/>
      <c r="R46" s="13"/>
      <c r="S46" s="14">
        <f t="shared" si="2"/>
        <v>0</v>
      </c>
      <c r="T46" s="14">
        <f t="shared" si="3"/>
        <v>472.86</v>
      </c>
      <c r="U46" s="14">
        <f t="shared" si="7"/>
        <v>945.72</v>
      </c>
      <c r="V46" s="29">
        <f t="shared" si="8"/>
        <v>0</v>
      </c>
      <c r="W46" s="29">
        <f t="shared" si="9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" t="s">
        <v>682</v>
      </c>
      <c r="C47" s="6" t="s">
        <v>208</v>
      </c>
      <c r="D47" s="139" t="s">
        <v>45</v>
      </c>
      <c r="E47" s="370">
        <v>5000</v>
      </c>
      <c r="F47" s="53">
        <v>2</v>
      </c>
      <c r="G47" s="8">
        <v>472.86</v>
      </c>
      <c r="H47" s="9">
        <f t="shared" si="4"/>
        <v>342.65</v>
      </c>
      <c r="I47" s="10">
        <f t="shared" si="5"/>
        <v>945.72</v>
      </c>
      <c r="J47" s="151"/>
      <c r="K47" s="88">
        <f t="shared" si="0"/>
        <v>2</v>
      </c>
      <c r="L47" s="38">
        <f t="shared" si="1"/>
        <v>635.07000000000005</v>
      </c>
      <c r="M47" s="38">
        <f t="shared" si="6"/>
        <v>1270.1400000000001</v>
      </c>
      <c r="N47" s="128" t="s">
        <v>156</v>
      </c>
      <c r="O47" s="16"/>
      <c r="P47" s="51"/>
      <c r="Q47" s="1"/>
      <c r="R47" s="15"/>
      <c r="S47" s="40">
        <f t="shared" si="2"/>
        <v>0</v>
      </c>
      <c r="T47" s="52">
        <f t="shared" si="3"/>
        <v>635.07000000000005</v>
      </c>
      <c r="U47" s="52">
        <f t="shared" si="7"/>
        <v>1270.1400000000001</v>
      </c>
      <c r="V47" s="41">
        <f t="shared" si="8"/>
        <v>0</v>
      </c>
      <c r="W47" s="41">
        <f t="shared" si="9"/>
        <v>1</v>
      </c>
      <c r="X47" s="28"/>
      <c r="Y47" s="50"/>
      <c r="Z47" s="61" t="s">
        <v>66</v>
      </c>
      <c r="AA47" s="61"/>
      <c r="AB47" s="61"/>
      <c r="AC47" s="61"/>
    </row>
    <row r="48" spans="1:29" x14ac:dyDescent="0.25">
      <c r="A48" s="55"/>
      <c r="B48" s="1" t="s">
        <v>683</v>
      </c>
      <c r="C48" s="4" t="s">
        <v>208</v>
      </c>
      <c r="D48" s="139" t="s">
        <v>45</v>
      </c>
      <c r="E48" s="370">
        <v>5000</v>
      </c>
      <c r="F48" s="54">
        <v>2</v>
      </c>
      <c r="G48" s="15">
        <v>635.07000000000005</v>
      </c>
      <c r="H48" s="38">
        <f t="shared" si="4"/>
        <v>460.2</v>
      </c>
      <c r="I48" s="39">
        <f t="shared" si="5"/>
        <v>1270.1400000000001</v>
      </c>
      <c r="J48" s="151"/>
      <c r="K48" s="89">
        <f t="shared" si="0"/>
        <v>36</v>
      </c>
      <c r="L48" s="9">
        <f t="shared" si="1"/>
        <v>5.83</v>
      </c>
      <c r="M48" s="9">
        <f t="shared" si="6"/>
        <v>209.88</v>
      </c>
      <c r="N48" s="8" t="s">
        <v>156</v>
      </c>
      <c r="O48" s="12"/>
      <c r="P48" s="51"/>
      <c r="Q48" s="3"/>
      <c r="R48" s="13"/>
      <c r="S48" s="14">
        <f t="shared" si="2"/>
        <v>0</v>
      </c>
      <c r="T48" s="14">
        <f t="shared" si="3"/>
        <v>5.83</v>
      </c>
      <c r="U48" s="14">
        <f t="shared" si="7"/>
        <v>209.88</v>
      </c>
      <c r="V48" s="29">
        <f t="shared" si="8"/>
        <v>0</v>
      </c>
      <c r="W48" s="29">
        <f t="shared" si="9"/>
        <v>1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2" t="s">
        <v>684</v>
      </c>
      <c r="C49" s="6" t="s">
        <v>685</v>
      </c>
      <c r="D49" s="139" t="s">
        <v>45</v>
      </c>
      <c r="E49" s="370">
        <v>5000</v>
      </c>
      <c r="F49" s="53">
        <v>36</v>
      </c>
      <c r="G49" s="8">
        <v>5.83</v>
      </c>
      <c r="H49" s="9">
        <f t="shared" si="4"/>
        <v>4.22</v>
      </c>
      <c r="I49" s="10">
        <f t="shared" si="5"/>
        <v>209.88</v>
      </c>
      <c r="J49" s="151"/>
      <c r="K49" s="88">
        <f t="shared" si="0"/>
        <v>36</v>
      </c>
      <c r="L49" s="38">
        <f t="shared" si="1"/>
        <v>5.42</v>
      </c>
      <c r="M49" s="38">
        <f t="shared" si="6"/>
        <v>195.12</v>
      </c>
      <c r="N49" s="128" t="s">
        <v>156</v>
      </c>
      <c r="O49" s="16"/>
      <c r="P49" s="51"/>
      <c r="Q49" s="1"/>
      <c r="R49" s="15"/>
      <c r="S49" s="40">
        <f t="shared" si="2"/>
        <v>0</v>
      </c>
      <c r="T49" s="52">
        <f t="shared" si="3"/>
        <v>5.42</v>
      </c>
      <c r="U49" s="52">
        <f t="shared" si="7"/>
        <v>195.12</v>
      </c>
      <c r="V49" s="41">
        <f t="shared" si="8"/>
        <v>0</v>
      </c>
      <c r="W49" s="41">
        <f t="shared" si="9"/>
        <v>1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2" t="s">
        <v>686</v>
      </c>
      <c r="C50" s="6" t="s">
        <v>231</v>
      </c>
      <c r="D50" s="139" t="s">
        <v>45</v>
      </c>
      <c r="E50" s="370">
        <v>5000</v>
      </c>
      <c r="F50" s="53">
        <v>36</v>
      </c>
      <c r="G50" s="15">
        <v>5.42</v>
      </c>
      <c r="H50" s="38">
        <f t="shared" si="4"/>
        <v>3.93</v>
      </c>
      <c r="I50" s="39">
        <f t="shared" si="5"/>
        <v>195.12</v>
      </c>
      <c r="J50" s="151"/>
      <c r="K50" s="89">
        <f t="shared" si="0"/>
        <v>0</v>
      </c>
      <c r="L50" s="9">
        <f t="shared" si="1"/>
        <v>0</v>
      </c>
      <c r="M50" s="9">
        <f t="shared" si="6"/>
        <v>0</v>
      </c>
      <c r="N50" s="8" t="s">
        <v>156</v>
      </c>
      <c r="O50" s="12"/>
      <c r="P50" s="51"/>
      <c r="Q50" s="3"/>
      <c r="R50" s="13"/>
      <c r="S50" s="14">
        <f t="shared" si="2"/>
        <v>0</v>
      </c>
      <c r="T50" s="14">
        <f t="shared" si="3"/>
        <v>0</v>
      </c>
      <c r="U50" s="14">
        <f t="shared" si="7"/>
        <v>0</v>
      </c>
      <c r="V50" s="29">
        <f t="shared" si="8"/>
        <v>0</v>
      </c>
      <c r="W50" s="29">
        <f t="shared" si="9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/>
      <c r="C51" s="4"/>
      <c r="D51" s="139"/>
      <c r="E51" s="372"/>
      <c r="F51" s="54"/>
      <c r="G51" s="8"/>
      <c r="H51" s="9">
        <f t="shared" si="4"/>
        <v>0</v>
      </c>
      <c r="I51" s="10">
        <f t="shared" si="5"/>
        <v>0</v>
      </c>
      <c r="J51" s="151"/>
      <c r="K51" s="88">
        <f t="shared" si="0"/>
        <v>1</v>
      </c>
      <c r="L51" s="38">
        <f t="shared" si="1"/>
        <v>121.43</v>
      </c>
      <c r="M51" s="38">
        <f t="shared" si="6"/>
        <v>121.43</v>
      </c>
      <c r="N51" s="128" t="s">
        <v>156</v>
      </c>
      <c r="O51" s="16"/>
      <c r="P51" s="51"/>
      <c r="Q51" s="1"/>
      <c r="R51" s="15"/>
      <c r="S51" s="40">
        <f t="shared" si="2"/>
        <v>0</v>
      </c>
      <c r="T51" s="52">
        <f t="shared" si="3"/>
        <v>121.43</v>
      </c>
      <c r="U51" s="52">
        <f t="shared" si="7"/>
        <v>121.43</v>
      </c>
      <c r="V51" s="41">
        <f t="shared" si="8"/>
        <v>0</v>
      </c>
      <c r="W51" s="41">
        <f t="shared" si="9"/>
        <v>1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2" t="s">
        <v>687</v>
      </c>
      <c r="C52" s="6" t="s">
        <v>197</v>
      </c>
      <c r="D52" s="139" t="s">
        <v>22</v>
      </c>
      <c r="E52" s="371" t="s">
        <v>176</v>
      </c>
      <c r="F52" s="53">
        <v>1</v>
      </c>
      <c r="G52" s="15">
        <v>121.43</v>
      </c>
      <c r="H52" s="38">
        <f t="shared" si="4"/>
        <v>87.99</v>
      </c>
      <c r="I52" s="39">
        <f t="shared" si="5"/>
        <v>121.43</v>
      </c>
      <c r="J52" s="151"/>
      <c r="K52" s="89">
        <f t="shared" si="0"/>
        <v>1</v>
      </c>
      <c r="L52" s="9">
        <f t="shared" si="1"/>
        <v>1780.03</v>
      </c>
      <c r="M52" s="9">
        <f t="shared" si="6"/>
        <v>1780.03</v>
      </c>
      <c r="N52" s="8" t="s">
        <v>156</v>
      </c>
      <c r="O52" s="12"/>
      <c r="P52" s="51"/>
      <c r="Q52" s="3"/>
      <c r="R52" s="13"/>
      <c r="S52" s="14">
        <f t="shared" si="2"/>
        <v>0</v>
      </c>
      <c r="T52" s="14">
        <f t="shared" si="3"/>
        <v>1780.03</v>
      </c>
      <c r="U52" s="14">
        <f t="shared" si="7"/>
        <v>1780.03</v>
      </c>
      <c r="V52" s="29">
        <f t="shared" si="8"/>
        <v>0</v>
      </c>
      <c r="W52" s="29">
        <f t="shared" si="9"/>
        <v>1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 t="s">
        <v>688</v>
      </c>
      <c r="C53" s="4" t="s">
        <v>198</v>
      </c>
      <c r="D53" s="139" t="s">
        <v>199</v>
      </c>
      <c r="E53" s="372" t="s">
        <v>176</v>
      </c>
      <c r="F53" s="54">
        <v>1</v>
      </c>
      <c r="G53" s="8">
        <v>1780.03</v>
      </c>
      <c r="H53" s="9">
        <f t="shared" si="4"/>
        <v>1289.8800000000001</v>
      </c>
      <c r="I53" s="10">
        <f t="shared" si="5"/>
        <v>1780.03</v>
      </c>
      <c r="J53" s="151"/>
      <c r="K53" s="88">
        <f t="shared" si="0"/>
        <v>1</v>
      </c>
      <c r="L53" s="38">
        <f t="shared" si="1"/>
        <v>1380.23</v>
      </c>
      <c r="M53" s="38">
        <f t="shared" si="6"/>
        <v>1380.23</v>
      </c>
      <c r="N53" s="128" t="s">
        <v>156</v>
      </c>
      <c r="O53" s="16"/>
      <c r="P53" s="51"/>
      <c r="Q53" s="1"/>
      <c r="R53" s="15"/>
      <c r="S53" s="40">
        <f t="shared" si="2"/>
        <v>0</v>
      </c>
      <c r="T53" s="52">
        <f t="shared" si="3"/>
        <v>1380.23</v>
      </c>
      <c r="U53" s="52">
        <f t="shared" si="7"/>
        <v>1380.23</v>
      </c>
      <c r="V53" s="41">
        <f t="shared" si="8"/>
        <v>0</v>
      </c>
      <c r="W53" s="41">
        <f t="shared" si="9"/>
        <v>1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 t="s">
        <v>689</v>
      </c>
      <c r="C54" s="6" t="s">
        <v>200</v>
      </c>
      <c r="D54" s="139" t="s">
        <v>18</v>
      </c>
      <c r="E54" s="371" t="s">
        <v>176</v>
      </c>
      <c r="F54" s="53">
        <v>1</v>
      </c>
      <c r="G54" s="15">
        <v>1380.23</v>
      </c>
      <c r="H54" s="38">
        <f t="shared" si="4"/>
        <v>1000.17</v>
      </c>
      <c r="I54" s="39">
        <f t="shared" si="5"/>
        <v>1380.23</v>
      </c>
      <c r="J54" s="151"/>
      <c r="K54" s="89">
        <f t="shared" si="0"/>
        <v>0</v>
      </c>
      <c r="L54" s="9">
        <f t="shared" si="1"/>
        <v>0</v>
      </c>
      <c r="M54" s="9">
        <f t="shared" si="6"/>
        <v>0</v>
      </c>
      <c r="N54" s="8" t="s">
        <v>156</v>
      </c>
      <c r="O54" s="12"/>
      <c r="P54" s="51"/>
      <c r="Q54" s="3"/>
      <c r="R54" s="13"/>
      <c r="S54" s="14">
        <f t="shared" si="2"/>
        <v>0</v>
      </c>
      <c r="T54" s="14">
        <f t="shared" si="3"/>
        <v>0</v>
      </c>
      <c r="U54" s="14">
        <f t="shared" si="7"/>
        <v>0</v>
      </c>
      <c r="V54" s="29">
        <f t="shared" si="8"/>
        <v>0</v>
      </c>
      <c r="W54" s="29">
        <f t="shared" si="9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372"/>
      <c r="F55" s="54"/>
      <c r="G55" s="8"/>
      <c r="H55" s="9">
        <f t="shared" si="4"/>
        <v>0</v>
      </c>
      <c r="I55" s="10">
        <f t="shared" si="5"/>
        <v>0</v>
      </c>
      <c r="J55" s="151"/>
      <c r="K55" s="88">
        <f t="shared" si="0"/>
        <v>1</v>
      </c>
      <c r="L55" s="38">
        <f t="shared" si="1"/>
        <v>4124.21</v>
      </c>
      <c r="M55" s="38">
        <f t="shared" si="6"/>
        <v>4124.21</v>
      </c>
      <c r="N55" s="128" t="s">
        <v>156</v>
      </c>
      <c r="O55" s="16"/>
      <c r="P55" s="51"/>
      <c r="Q55" s="1"/>
      <c r="R55" s="15"/>
      <c r="S55" s="40">
        <f t="shared" si="2"/>
        <v>0</v>
      </c>
      <c r="T55" s="52">
        <f t="shared" si="3"/>
        <v>4124.21</v>
      </c>
      <c r="U55" s="52">
        <f t="shared" si="7"/>
        <v>4124.21</v>
      </c>
      <c r="V55" s="41">
        <f t="shared" si="8"/>
        <v>0</v>
      </c>
      <c r="W55" s="41">
        <f t="shared" si="9"/>
        <v>1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 t="s">
        <v>690</v>
      </c>
      <c r="C56" s="6" t="s">
        <v>224</v>
      </c>
      <c r="D56" s="139" t="s">
        <v>15</v>
      </c>
      <c r="E56" s="371" t="s">
        <v>176</v>
      </c>
      <c r="F56" s="53">
        <v>1</v>
      </c>
      <c r="G56" s="15">
        <v>4124.21</v>
      </c>
      <c r="H56" s="38">
        <f t="shared" si="4"/>
        <v>2988.56</v>
      </c>
      <c r="I56" s="39">
        <f t="shared" si="5"/>
        <v>4124.21</v>
      </c>
      <c r="J56" s="151"/>
      <c r="K56" s="89">
        <f t="shared" si="0"/>
        <v>1</v>
      </c>
      <c r="L56" s="9">
        <f t="shared" si="1"/>
        <v>15778.14</v>
      </c>
      <c r="M56" s="9">
        <f t="shared" si="6"/>
        <v>15778.14</v>
      </c>
      <c r="N56" s="8" t="s">
        <v>156</v>
      </c>
      <c r="O56" s="12"/>
      <c r="P56" s="51"/>
      <c r="Q56" s="3"/>
      <c r="R56" s="13"/>
      <c r="S56" s="14">
        <f t="shared" si="2"/>
        <v>0</v>
      </c>
      <c r="T56" s="14">
        <f t="shared" si="3"/>
        <v>15778.14</v>
      </c>
      <c r="U56" s="14">
        <f t="shared" si="7"/>
        <v>15778.14</v>
      </c>
      <c r="V56" s="29">
        <f t="shared" si="8"/>
        <v>0</v>
      </c>
      <c r="W56" s="29">
        <f t="shared" si="9"/>
        <v>1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 t="s">
        <v>691</v>
      </c>
      <c r="C57" s="4" t="s">
        <v>254</v>
      </c>
      <c r="D57" s="139" t="s">
        <v>16</v>
      </c>
      <c r="E57" s="371" t="s">
        <v>176</v>
      </c>
      <c r="F57" s="54">
        <v>1</v>
      </c>
      <c r="G57" s="8">
        <v>15778.14</v>
      </c>
      <c r="H57" s="9">
        <f t="shared" si="4"/>
        <v>11433.43</v>
      </c>
      <c r="I57" s="10">
        <f t="shared" si="5"/>
        <v>15778.14</v>
      </c>
      <c r="J57" s="151"/>
      <c r="K57" s="88">
        <f t="shared" ref="K57:K80" si="10">F58</f>
        <v>1</v>
      </c>
      <c r="L57" s="38">
        <f t="shared" ref="L57:L80" si="11">IFERROR(IF(N57="OEM DISC %",ROUND(IF($L$17=$G$18,G58*(1-O57),H58*(1-O57)),2),IF(N57="MARKUP %",ROUND(S57/K57*(1+O57),2))),0)</f>
        <v>11154.09</v>
      </c>
      <c r="M57" s="38">
        <f t="shared" si="6"/>
        <v>11154.09</v>
      </c>
      <c r="N57" s="128" t="s">
        <v>156</v>
      </c>
      <c r="O57" s="16"/>
      <c r="P57" s="51"/>
      <c r="Q57" s="1"/>
      <c r="R57" s="15"/>
      <c r="S57" s="40">
        <f t="shared" ref="S57:S80" si="12">ROUND(IF($S$17=$R$17,R57,IF($S$17="USD $",R57*$E$15,R57*$F$15))*F58,2)</f>
        <v>0</v>
      </c>
      <c r="T57" s="52">
        <f t="shared" ref="T57:T80" si="13">IFERROR(ROUND(U57/F58,2),0)</f>
        <v>11154.09</v>
      </c>
      <c r="U57" s="52">
        <f t="shared" si="7"/>
        <v>11154.09</v>
      </c>
      <c r="V57" s="41">
        <f t="shared" si="8"/>
        <v>0</v>
      </c>
      <c r="W57" s="41">
        <f t="shared" si="9"/>
        <v>1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 t="s">
        <v>692</v>
      </c>
      <c r="C58" s="6" t="s">
        <v>205</v>
      </c>
      <c r="D58" s="139" t="s">
        <v>17</v>
      </c>
      <c r="E58" s="371" t="s">
        <v>176</v>
      </c>
      <c r="F58" s="53">
        <v>1</v>
      </c>
      <c r="G58" s="15">
        <v>11154.09</v>
      </c>
      <c r="H58" s="38"/>
      <c r="I58" s="39"/>
      <c r="J58" s="151"/>
      <c r="K58" s="89">
        <f t="shared" si="10"/>
        <v>1</v>
      </c>
      <c r="L58" s="9">
        <f t="shared" si="11"/>
        <v>3588</v>
      </c>
      <c r="M58" s="9">
        <f t="shared" si="6"/>
        <v>3588</v>
      </c>
      <c r="N58" s="8" t="s">
        <v>156</v>
      </c>
      <c r="O58" s="12"/>
      <c r="P58" s="51"/>
      <c r="Q58" s="3"/>
      <c r="R58" s="13"/>
      <c r="S58" s="14">
        <f t="shared" si="12"/>
        <v>0</v>
      </c>
      <c r="T58" s="14">
        <f t="shared" si="13"/>
        <v>3588</v>
      </c>
      <c r="U58" s="14">
        <f t="shared" si="7"/>
        <v>3588</v>
      </c>
      <c r="V58" s="29">
        <f t="shared" si="8"/>
        <v>0</v>
      </c>
      <c r="W58" s="29">
        <f t="shared" si="9"/>
        <v>1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 t="s">
        <v>693</v>
      </c>
      <c r="C59" s="4" t="s">
        <v>576</v>
      </c>
      <c r="D59" s="139" t="s">
        <v>21</v>
      </c>
      <c r="E59" s="372">
        <v>10000</v>
      </c>
      <c r="F59" s="54">
        <v>1</v>
      </c>
      <c r="G59" s="8">
        <v>3588</v>
      </c>
      <c r="H59" s="9"/>
      <c r="I59" s="10"/>
      <c r="J59" s="151"/>
      <c r="K59" s="88">
        <f t="shared" si="10"/>
        <v>0</v>
      </c>
      <c r="L59" s="38">
        <f t="shared" si="11"/>
        <v>0</v>
      </c>
      <c r="M59" s="38">
        <f t="shared" si="6"/>
        <v>0</v>
      </c>
      <c r="N59" s="128" t="s">
        <v>156</v>
      </c>
      <c r="O59" s="16"/>
      <c r="P59" s="51"/>
      <c r="Q59" s="1"/>
      <c r="R59" s="15"/>
      <c r="S59" s="40">
        <f t="shared" si="12"/>
        <v>0</v>
      </c>
      <c r="T59" s="52">
        <f t="shared" si="13"/>
        <v>0</v>
      </c>
      <c r="U59" s="52">
        <f t="shared" si="7"/>
        <v>0</v>
      </c>
      <c r="V59" s="41">
        <f t="shared" si="8"/>
        <v>0</v>
      </c>
      <c r="W59" s="41">
        <f t="shared" si="9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15"/>
      <c r="H60" s="38"/>
      <c r="I60" s="39"/>
      <c r="J60" s="151"/>
      <c r="K60" s="89">
        <f t="shared" si="10"/>
        <v>0</v>
      </c>
      <c r="L60" s="9">
        <f t="shared" si="11"/>
        <v>0</v>
      </c>
      <c r="M60" s="9">
        <f t="shared" si="6"/>
        <v>0</v>
      </c>
      <c r="N60" s="8" t="s">
        <v>156</v>
      </c>
      <c r="O60" s="12"/>
      <c r="P60" s="51"/>
      <c r="Q60" s="3"/>
      <c r="R60" s="13"/>
      <c r="S60" s="14">
        <f t="shared" si="12"/>
        <v>0</v>
      </c>
      <c r="T60" s="14">
        <f t="shared" si="13"/>
        <v>0</v>
      </c>
      <c r="U60" s="14">
        <f t="shared" si="7"/>
        <v>0</v>
      </c>
      <c r="V60" s="29">
        <f t="shared" si="8"/>
        <v>0</v>
      </c>
      <c r="W60" s="29">
        <f t="shared" si="9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8"/>
      <c r="H61" s="9"/>
      <c r="I61" s="10"/>
      <c r="J61" s="151"/>
      <c r="K61" s="88">
        <f t="shared" si="10"/>
        <v>0</v>
      </c>
      <c r="L61" s="38">
        <f t="shared" si="11"/>
        <v>0</v>
      </c>
      <c r="M61" s="38">
        <f t="shared" si="6"/>
        <v>0</v>
      </c>
      <c r="N61" s="128" t="s">
        <v>156</v>
      </c>
      <c r="O61" s="16"/>
      <c r="P61" s="51"/>
      <c r="Q61" s="1"/>
      <c r="R61" s="15"/>
      <c r="S61" s="40">
        <f t="shared" si="12"/>
        <v>0</v>
      </c>
      <c r="T61" s="52">
        <f t="shared" si="13"/>
        <v>0</v>
      </c>
      <c r="U61" s="52">
        <f t="shared" si="7"/>
        <v>0</v>
      </c>
      <c r="V61" s="41">
        <f t="shared" si="8"/>
        <v>0</v>
      </c>
      <c r="W61" s="41">
        <f t="shared" si="9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15"/>
      <c r="H62" s="38">
        <f t="shared" si="4"/>
        <v>0</v>
      </c>
      <c r="I62" s="39">
        <f t="shared" si="5"/>
        <v>0</v>
      </c>
      <c r="J62" s="151"/>
      <c r="K62" s="89">
        <f t="shared" si="10"/>
        <v>0</v>
      </c>
      <c r="L62" s="9">
        <f t="shared" si="11"/>
        <v>0</v>
      </c>
      <c r="M62" s="9">
        <f t="shared" si="6"/>
        <v>0</v>
      </c>
      <c r="N62" s="8" t="s">
        <v>156</v>
      </c>
      <c r="O62" s="12"/>
      <c r="P62" s="51"/>
      <c r="Q62" s="3"/>
      <c r="R62" s="13"/>
      <c r="S62" s="14">
        <f t="shared" si="12"/>
        <v>0</v>
      </c>
      <c r="T62" s="14">
        <f t="shared" si="13"/>
        <v>0</v>
      </c>
      <c r="U62" s="14">
        <f t="shared" si="7"/>
        <v>0</v>
      </c>
      <c r="V62" s="29">
        <f t="shared" si="8"/>
        <v>0</v>
      </c>
      <c r="W62" s="29">
        <f t="shared" si="9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8"/>
      <c r="H63" s="9">
        <f t="shared" si="4"/>
        <v>0</v>
      </c>
      <c r="I63" s="10">
        <f t="shared" si="5"/>
        <v>0</v>
      </c>
      <c r="J63" s="151"/>
      <c r="K63" s="88">
        <f t="shared" si="10"/>
        <v>0</v>
      </c>
      <c r="L63" s="38">
        <f t="shared" si="11"/>
        <v>0</v>
      </c>
      <c r="M63" s="38">
        <f t="shared" si="6"/>
        <v>0</v>
      </c>
      <c r="N63" s="128" t="s">
        <v>156</v>
      </c>
      <c r="O63" s="16"/>
      <c r="P63" s="51"/>
      <c r="Q63" s="1"/>
      <c r="R63" s="15"/>
      <c r="S63" s="40">
        <f t="shared" si="12"/>
        <v>0</v>
      </c>
      <c r="T63" s="52">
        <f t="shared" si="13"/>
        <v>0</v>
      </c>
      <c r="U63" s="52">
        <f t="shared" si="7"/>
        <v>0</v>
      </c>
      <c r="V63" s="41">
        <f t="shared" si="8"/>
        <v>0</v>
      </c>
      <c r="W63" s="41">
        <f t="shared" si="9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15"/>
      <c r="H64" s="38">
        <f t="shared" si="4"/>
        <v>0</v>
      </c>
      <c r="I64" s="39">
        <f t="shared" si="5"/>
        <v>0</v>
      </c>
      <c r="J64" s="151"/>
      <c r="K64" s="89">
        <f t="shared" si="10"/>
        <v>0</v>
      </c>
      <c r="L64" s="9">
        <f t="shared" si="11"/>
        <v>0</v>
      </c>
      <c r="M64" s="9">
        <f t="shared" si="6"/>
        <v>0</v>
      </c>
      <c r="N64" s="8" t="s">
        <v>156</v>
      </c>
      <c r="O64" s="12"/>
      <c r="P64" s="51"/>
      <c r="Q64" s="3"/>
      <c r="R64" s="13"/>
      <c r="S64" s="14">
        <f t="shared" si="12"/>
        <v>0</v>
      </c>
      <c r="T64" s="14">
        <f t="shared" si="13"/>
        <v>0</v>
      </c>
      <c r="U64" s="14">
        <f t="shared" si="7"/>
        <v>0</v>
      </c>
      <c r="V64" s="29">
        <f t="shared" si="8"/>
        <v>0</v>
      </c>
      <c r="W64" s="29">
        <f t="shared" si="9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2"/>
      <c r="C65" s="6"/>
      <c r="D65" s="139"/>
      <c r="E65" s="126"/>
      <c r="F65" s="53"/>
      <c r="G65" s="8"/>
      <c r="H65" s="9">
        <f t="shared" si="4"/>
        <v>0</v>
      </c>
      <c r="I65" s="10">
        <f t="shared" si="5"/>
        <v>0</v>
      </c>
      <c r="J65" s="151"/>
      <c r="K65" s="88">
        <f t="shared" si="10"/>
        <v>0</v>
      </c>
      <c r="L65" s="38">
        <f t="shared" si="11"/>
        <v>0</v>
      </c>
      <c r="M65" s="38">
        <f t="shared" si="6"/>
        <v>0</v>
      </c>
      <c r="N65" s="128" t="s">
        <v>156</v>
      </c>
      <c r="O65" s="16"/>
      <c r="P65" s="51"/>
      <c r="Q65" s="1"/>
      <c r="R65" s="15"/>
      <c r="S65" s="40">
        <f t="shared" si="12"/>
        <v>0</v>
      </c>
      <c r="T65" s="52">
        <f t="shared" si="13"/>
        <v>0</v>
      </c>
      <c r="U65" s="52">
        <f t="shared" si="7"/>
        <v>0</v>
      </c>
      <c r="V65" s="41">
        <f t="shared" si="8"/>
        <v>0</v>
      </c>
      <c r="W65" s="41">
        <f t="shared" si="9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1"/>
      <c r="C66" s="4"/>
      <c r="D66" s="140"/>
      <c r="E66" s="125"/>
      <c r="F66" s="54"/>
      <c r="G66" s="15"/>
      <c r="H66" s="38">
        <f t="shared" si="4"/>
        <v>0</v>
      </c>
      <c r="I66" s="39">
        <f t="shared" si="5"/>
        <v>0</v>
      </c>
      <c r="J66" s="151"/>
      <c r="K66" s="89">
        <f t="shared" si="10"/>
        <v>0</v>
      </c>
      <c r="L66" s="9">
        <f t="shared" si="11"/>
        <v>0</v>
      </c>
      <c r="M66" s="9">
        <f t="shared" si="6"/>
        <v>0</v>
      </c>
      <c r="N66" s="8" t="s">
        <v>156</v>
      </c>
      <c r="O66" s="12"/>
      <c r="P66" s="51"/>
      <c r="Q66" s="3"/>
      <c r="R66" s="13"/>
      <c r="S66" s="14">
        <f t="shared" si="12"/>
        <v>0</v>
      </c>
      <c r="T66" s="14">
        <f t="shared" si="13"/>
        <v>0</v>
      </c>
      <c r="U66" s="14">
        <f t="shared" si="7"/>
        <v>0</v>
      </c>
      <c r="V66" s="29">
        <f t="shared" si="8"/>
        <v>0</v>
      </c>
      <c r="W66" s="29">
        <f t="shared" si="9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2"/>
      <c r="C67" s="6"/>
      <c r="D67" s="139"/>
      <c r="E67" s="126"/>
      <c r="F67" s="53"/>
      <c r="G67" s="8"/>
      <c r="H67" s="9">
        <f t="shared" si="4"/>
        <v>0</v>
      </c>
      <c r="I67" s="10">
        <f t="shared" si="5"/>
        <v>0</v>
      </c>
      <c r="J67" s="151"/>
      <c r="K67" s="88">
        <f t="shared" si="10"/>
        <v>0</v>
      </c>
      <c r="L67" s="38">
        <f t="shared" si="11"/>
        <v>0</v>
      </c>
      <c r="M67" s="38">
        <f t="shared" si="6"/>
        <v>0</v>
      </c>
      <c r="N67" s="128" t="s">
        <v>156</v>
      </c>
      <c r="O67" s="16"/>
      <c r="P67" s="51"/>
      <c r="Q67" s="1"/>
      <c r="R67" s="15"/>
      <c r="S67" s="40">
        <f t="shared" si="12"/>
        <v>0</v>
      </c>
      <c r="T67" s="52">
        <f t="shared" si="13"/>
        <v>0</v>
      </c>
      <c r="U67" s="52">
        <f t="shared" si="7"/>
        <v>0</v>
      </c>
      <c r="V67" s="41">
        <f t="shared" si="8"/>
        <v>0</v>
      </c>
      <c r="W67" s="41">
        <f t="shared" si="9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1"/>
      <c r="C68" s="4"/>
      <c r="D68" s="140"/>
      <c r="E68" s="125"/>
      <c r="F68" s="54"/>
      <c r="G68" s="15"/>
      <c r="H68" s="38">
        <f t="shared" si="4"/>
        <v>0</v>
      </c>
      <c r="I68" s="39">
        <f t="shared" si="5"/>
        <v>0</v>
      </c>
      <c r="J68" s="151"/>
      <c r="K68" s="89">
        <f t="shared" si="10"/>
        <v>0</v>
      </c>
      <c r="L68" s="9">
        <f t="shared" si="11"/>
        <v>0</v>
      </c>
      <c r="M68" s="9">
        <f t="shared" si="6"/>
        <v>0</v>
      </c>
      <c r="N68" s="8" t="s">
        <v>156</v>
      </c>
      <c r="O68" s="12"/>
      <c r="P68" s="51"/>
      <c r="Q68" s="3"/>
      <c r="R68" s="13"/>
      <c r="S68" s="14">
        <f t="shared" si="12"/>
        <v>0</v>
      </c>
      <c r="T68" s="14">
        <f t="shared" si="13"/>
        <v>0</v>
      </c>
      <c r="U68" s="14">
        <f t="shared" si="7"/>
        <v>0</v>
      </c>
      <c r="V68" s="29">
        <f t="shared" si="8"/>
        <v>0</v>
      </c>
      <c r="W68" s="29">
        <f t="shared" si="9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2"/>
      <c r="C69" s="6"/>
      <c r="D69" s="139"/>
      <c r="E69" s="126"/>
      <c r="F69" s="53"/>
      <c r="G69" s="8"/>
      <c r="H69" s="9">
        <f t="shared" si="4"/>
        <v>0</v>
      </c>
      <c r="I69" s="10">
        <f t="shared" si="5"/>
        <v>0</v>
      </c>
      <c r="J69" s="151"/>
      <c r="K69" s="88">
        <f t="shared" si="10"/>
        <v>0</v>
      </c>
      <c r="L69" s="38">
        <f t="shared" si="11"/>
        <v>0</v>
      </c>
      <c r="M69" s="38">
        <f t="shared" si="6"/>
        <v>0</v>
      </c>
      <c r="N69" s="128" t="s">
        <v>156</v>
      </c>
      <c r="O69" s="16"/>
      <c r="P69" s="51"/>
      <c r="Q69" s="1"/>
      <c r="R69" s="15"/>
      <c r="S69" s="40">
        <f t="shared" si="12"/>
        <v>0</v>
      </c>
      <c r="T69" s="52">
        <f t="shared" si="13"/>
        <v>0</v>
      </c>
      <c r="U69" s="52">
        <f t="shared" si="7"/>
        <v>0</v>
      </c>
      <c r="V69" s="41">
        <f t="shared" si="8"/>
        <v>0</v>
      </c>
      <c r="W69" s="41">
        <f t="shared" si="9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1"/>
      <c r="C70" s="4"/>
      <c r="D70" s="140"/>
      <c r="E70" s="125"/>
      <c r="F70" s="54"/>
      <c r="G70" s="15"/>
      <c r="H70" s="38">
        <f t="shared" si="4"/>
        <v>0</v>
      </c>
      <c r="I70" s="39">
        <f t="shared" si="5"/>
        <v>0</v>
      </c>
      <c r="J70" s="151"/>
      <c r="K70" s="89">
        <f t="shared" si="10"/>
        <v>0</v>
      </c>
      <c r="L70" s="9">
        <f t="shared" si="11"/>
        <v>0</v>
      </c>
      <c r="M70" s="9">
        <f t="shared" si="6"/>
        <v>0</v>
      </c>
      <c r="N70" s="8" t="s">
        <v>156</v>
      </c>
      <c r="O70" s="12"/>
      <c r="P70" s="51"/>
      <c r="Q70" s="3"/>
      <c r="R70" s="13"/>
      <c r="S70" s="14">
        <f t="shared" si="12"/>
        <v>0</v>
      </c>
      <c r="T70" s="14">
        <f t="shared" si="13"/>
        <v>0</v>
      </c>
      <c r="U70" s="14">
        <f t="shared" si="7"/>
        <v>0</v>
      </c>
      <c r="V70" s="29">
        <f t="shared" si="8"/>
        <v>0</v>
      </c>
      <c r="W70" s="29">
        <f t="shared" si="9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2"/>
      <c r="C71" s="6"/>
      <c r="D71" s="139"/>
      <c r="E71" s="126"/>
      <c r="F71" s="53"/>
      <c r="G71" s="8"/>
      <c r="H71" s="9">
        <f t="shared" si="4"/>
        <v>0</v>
      </c>
      <c r="I71" s="10">
        <f t="shared" si="5"/>
        <v>0</v>
      </c>
      <c r="J71" s="151"/>
      <c r="K71" s="88">
        <f t="shared" si="10"/>
        <v>0</v>
      </c>
      <c r="L71" s="38">
        <f t="shared" si="11"/>
        <v>0</v>
      </c>
      <c r="M71" s="38">
        <f t="shared" si="6"/>
        <v>0</v>
      </c>
      <c r="N71" s="128" t="s">
        <v>156</v>
      </c>
      <c r="O71" s="16"/>
      <c r="P71" s="51"/>
      <c r="Q71" s="1"/>
      <c r="R71" s="15"/>
      <c r="S71" s="40">
        <f t="shared" si="12"/>
        <v>0</v>
      </c>
      <c r="T71" s="52">
        <f t="shared" si="13"/>
        <v>0</v>
      </c>
      <c r="U71" s="52">
        <f t="shared" si="7"/>
        <v>0</v>
      </c>
      <c r="V71" s="41">
        <f t="shared" si="8"/>
        <v>0</v>
      </c>
      <c r="W71" s="41">
        <f t="shared" si="9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1"/>
      <c r="C72" s="4"/>
      <c r="D72" s="140"/>
      <c r="E72" s="125"/>
      <c r="F72" s="54"/>
      <c r="G72" s="15"/>
      <c r="H72" s="38">
        <f t="shared" si="4"/>
        <v>0</v>
      </c>
      <c r="I72" s="39">
        <f t="shared" si="5"/>
        <v>0</v>
      </c>
      <c r="J72" s="151"/>
      <c r="K72" s="89">
        <f t="shared" si="10"/>
        <v>0</v>
      </c>
      <c r="L72" s="9">
        <f t="shared" si="11"/>
        <v>0</v>
      </c>
      <c r="M72" s="9">
        <f t="shared" si="6"/>
        <v>0</v>
      </c>
      <c r="N72" s="8" t="s">
        <v>156</v>
      </c>
      <c r="O72" s="12"/>
      <c r="P72" s="51"/>
      <c r="Q72" s="3"/>
      <c r="R72" s="13"/>
      <c r="S72" s="14">
        <f t="shared" si="12"/>
        <v>0</v>
      </c>
      <c r="T72" s="14">
        <f t="shared" si="13"/>
        <v>0</v>
      </c>
      <c r="U72" s="14">
        <f t="shared" si="7"/>
        <v>0</v>
      </c>
      <c r="V72" s="29">
        <f t="shared" si="8"/>
        <v>0</v>
      </c>
      <c r="W72" s="29">
        <f t="shared" si="9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2"/>
      <c r="C73" s="6"/>
      <c r="D73" s="139"/>
      <c r="E73" s="126"/>
      <c r="F73" s="53"/>
      <c r="G73" s="8"/>
      <c r="H73" s="9">
        <f t="shared" si="4"/>
        <v>0</v>
      </c>
      <c r="I73" s="10">
        <f t="shared" si="5"/>
        <v>0</v>
      </c>
      <c r="J73" s="151"/>
      <c r="K73" s="88">
        <f t="shared" si="10"/>
        <v>0</v>
      </c>
      <c r="L73" s="38">
        <f t="shared" si="11"/>
        <v>0</v>
      </c>
      <c r="M73" s="38">
        <f t="shared" si="6"/>
        <v>0</v>
      </c>
      <c r="N73" s="128" t="s">
        <v>156</v>
      </c>
      <c r="O73" s="16"/>
      <c r="P73" s="51"/>
      <c r="Q73" s="1"/>
      <c r="R73" s="15"/>
      <c r="S73" s="40">
        <f t="shared" si="12"/>
        <v>0</v>
      </c>
      <c r="T73" s="52">
        <f t="shared" si="13"/>
        <v>0</v>
      </c>
      <c r="U73" s="52">
        <f t="shared" si="7"/>
        <v>0</v>
      </c>
      <c r="V73" s="41">
        <f t="shared" si="8"/>
        <v>0</v>
      </c>
      <c r="W73" s="41">
        <f t="shared" si="9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1"/>
      <c r="C74" s="4"/>
      <c r="D74" s="140"/>
      <c r="E74" s="125"/>
      <c r="F74" s="54"/>
      <c r="G74" s="15"/>
      <c r="H74" s="38">
        <f t="shared" si="4"/>
        <v>0</v>
      </c>
      <c r="I74" s="39">
        <f t="shared" si="5"/>
        <v>0</v>
      </c>
      <c r="J74" s="151"/>
      <c r="K74" s="89">
        <f t="shared" si="10"/>
        <v>0</v>
      </c>
      <c r="L74" s="9">
        <f t="shared" si="11"/>
        <v>0</v>
      </c>
      <c r="M74" s="9">
        <f t="shared" si="6"/>
        <v>0</v>
      </c>
      <c r="N74" s="8" t="s">
        <v>156</v>
      </c>
      <c r="O74" s="12"/>
      <c r="P74" s="51"/>
      <c r="Q74" s="3"/>
      <c r="R74" s="13"/>
      <c r="S74" s="14">
        <f t="shared" si="12"/>
        <v>0</v>
      </c>
      <c r="T74" s="14">
        <f t="shared" si="13"/>
        <v>0</v>
      </c>
      <c r="U74" s="14">
        <f t="shared" si="7"/>
        <v>0</v>
      </c>
      <c r="V74" s="29">
        <f t="shared" si="8"/>
        <v>0</v>
      </c>
      <c r="W74" s="29">
        <f t="shared" si="9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2"/>
      <c r="C75" s="6"/>
      <c r="D75" s="139"/>
      <c r="E75" s="126"/>
      <c r="F75" s="53"/>
      <c r="G75" s="8"/>
      <c r="H75" s="9">
        <f t="shared" si="4"/>
        <v>0</v>
      </c>
      <c r="I75" s="10">
        <f t="shared" si="5"/>
        <v>0</v>
      </c>
      <c r="J75" s="151"/>
      <c r="K75" s="88">
        <f t="shared" si="10"/>
        <v>0</v>
      </c>
      <c r="L75" s="38">
        <f t="shared" si="11"/>
        <v>0</v>
      </c>
      <c r="M75" s="38">
        <f t="shared" si="6"/>
        <v>0</v>
      </c>
      <c r="N75" s="128" t="s">
        <v>156</v>
      </c>
      <c r="O75" s="16"/>
      <c r="P75" s="51"/>
      <c r="Q75" s="1"/>
      <c r="R75" s="15"/>
      <c r="S75" s="40">
        <f t="shared" si="12"/>
        <v>0</v>
      </c>
      <c r="T75" s="52">
        <f t="shared" si="13"/>
        <v>0</v>
      </c>
      <c r="U75" s="52">
        <f t="shared" si="7"/>
        <v>0</v>
      </c>
      <c r="V75" s="41">
        <f t="shared" si="8"/>
        <v>0</v>
      </c>
      <c r="W75" s="41">
        <f t="shared" si="9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1"/>
      <c r="C76" s="4"/>
      <c r="D76" s="140"/>
      <c r="E76" s="125"/>
      <c r="F76" s="54"/>
      <c r="G76" s="15"/>
      <c r="H76" s="38">
        <f t="shared" si="4"/>
        <v>0</v>
      </c>
      <c r="I76" s="39">
        <f t="shared" si="5"/>
        <v>0</v>
      </c>
      <c r="J76" s="151"/>
      <c r="K76" s="89">
        <f t="shared" si="10"/>
        <v>0</v>
      </c>
      <c r="L76" s="9">
        <f t="shared" si="11"/>
        <v>0</v>
      </c>
      <c r="M76" s="9">
        <f t="shared" si="6"/>
        <v>0</v>
      </c>
      <c r="N76" s="8" t="s">
        <v>156</v>
      </c>
      <c r="O76" s="12"/>
      <c r="P76" s="51"/>
      <c r="Q76" s="3"/>
      <c r="R76" s="13"/>
      <c r="S76" s="14">
        <f t="shared" si="12"/>
        <v>0</v>
      </c>
      <c r="T76" s="14">
        <f t="shared" si="13"/>
        <v>0</v>
      </c>
      <c r="U76" s="14">
        <f t="shared" si="7"/>
        <v>0</v>
      </c>
      <c r="V76" s="29">
        <f t="shared" si="8"/>
        <v>0</v>
      </c>
      <c r="W76" s="29">
        <f t="shared" si="9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2"/>
      <c r="C77" s="6"/>
      <c r="D77" s="139"/>
      <c r="E77" s="126"/>
      <c r="F77" s="53"/>
      <c r="G77" s="8"/>
      <c r="H77" s="9">
        <f t="shared" si="4"/>
        <v>0</v>
      </c>
      <c r="I77" s="10">
        <f t="shared" si="5"/>
        <v>0</v>
      </c>
      <c r="J77" s="151"/>
      <c r="K77" s="88">
        <f t="shared" si="10"/>
        <v>0</v>
      </c>
      <c r="L77" s="38">
        <f t="shared" si="11"/>
        <v>0</v>
      </c>
      <c r="M77" s="38">
        <f t="shared" si="6"/>
        <v>0</v>
      </c>
      <c r="N77" s="128" t="s">
        <v>156</v>
      </c>
      <c r="O77" s="16"/>
      <c r="P77" s="51"/>
      <c r="Q77" s="1"/>
      <c r="R77" s="15"/>
      <c r="S77" s="40">
        <f t="shared" si="12"/>
        <v>0</v>
      </c>
      <c r="T77" s="52">
        <f t="shared" si="13"/>
        <v>0</v>
      </c>
      <c r="U77" s="52">
        <f t="shared" si="7"/>
        <v>0</v>
      </c>
      <c r="V77" s="41">
        <f t="shared" si="8"/>
        <v>0</v>
      </c>
      <c r="W77" s="41">
        <f t="shared" si="9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1"/>
      <c r="C78" s="4"/>
      <c r="D78" s="140"/>
      <c r="E78" s="125"/>
      <c r="F78" s="54"/>
      <c r="G78" s="15"/>
      <c r="H78" s="38">
        <f t="shared" si="4"/>
        <v>0</v>
      </c>
      <c r="I78" s="39">
        <f t="shared" si="5"/>
        <v>0</v>
      </c>
      <c r="J78" s="151"/>
      <c r="K78" s="89">
        <f t="shared" si="10"/>
        <v>0</v>
      </c>
      <c r="L78" s="9">
        <f t="shared" si="11"/>
        <v>0</v>
      </c>
      <c r="M78" s="9">
        <f t="shared" si="6"/>
        <v>0</v>
      </c>
      <c r="N78" s="8" t="s">
        <v>156</v>
      </c>
      <c r="O78" s="12"/>
      <c r="P78" s="51"/>
      <c r="Q78" s="3"/>
      <c r="R78" s="13"/>
      <c r="S78" s="14">
        <f t="shared" si="12"/>
        <v>0</v>
      </c>
      <c r="T78" s="14">
        <f t="shared" si="13"/>
        <v>0</v>
      </c>
      <c r="U78" s="14">
        <f t="shared" si="7"/>
        <v>0</v>
      </c>
      <c r="V78" s="29">
        <f t="shared" si="8"/>
        <v>0</v>
      </c>
      <c r="W78" s="29">
        <f t="shared" si="9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2"/>
      <c r="C79" s="6"/>
      <c r="D79" s="139"/>
      <c r="E79" s="126"/>
      <c r="F79" s="53"/>
      <c r="G79" s="8"/>
      <c r="H79" s="9">
        <f t="shared" si="4"/>
        <v>0</v>
      </c>
      <c r="I79" s="10">
        <f t="shared" si="5"/>
        <v>0</v>
      </c>
      <c r="J79" s="151"/>
      <c r="K79" s="88">
        <f t="shared" si="10"/>
        <v>0</v>
      </c>
      <c r="L79" s="38">
        <f t="shared" si="11"/>
        <v>0</v>
      </c>
      <c r="M79" s="38">
        <f t="shared" si="6"/>
        <v>0</v>
      </c>
      <c r="N79" s="128" t="s">
        <v>156</v>
      </c>
      <c r="O79" s="16"/>
      <c r="P79" s="51"/>
      <c r="Q79" s="1"/>
      <c r="R79" s="15"/>
      <c r="S79" s="40">
        <f t="shared" si="12"/>
        <v>0</v>
      </c>
      <c r="T79" s="52">
        <f t="shared" si="13"/>
        <v>0</v>
      </c>
      <c r="U79" s="52">
        <f t="shared" si="7"/>
        <v>0</v>
      </c>
      <c r="V79" s="41">
        <f t="shared" si="8"/>
        <v>0</v>
      </c>
      <c r="W79" s="41">
        <f t="shared" si="9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1"/>
      <c r="C80" s="4"/>
      <c r="D80" s="140"/>
      <c r="E80" s="125"/>
      <c r="F80" s="54"/>
      <c r="G80" s="15"/>
      <c r="H80" s="38">
        <f t="shared" si="4"/>
        <v>0</v>
      </c>
      <c r="I80" s="39">
        <f t="shared" si="5"/>
        <v>0</v>
      </c>
      <c r="J80" s="151"/>
      <c r="K80" s="89">
        <f t="shared" si="10"/>
        <v>0</v>
      </c>
      <c r="L80" s="9">
        <f t="shared" si="11"/>
        <v>0</v>
      </c>
      <c r="M80" s="9">
        <f t="shared" si="6"/>
        <v>0</v>
      </c>
      <c r="N80" s="8" t="s">
        <v>156</v>
      </c>
      <c r="O80" s="12"/>
      <c r="P80" s="51"/>
      <c r="Q80" s="3"/>
      <c r="R80" s="13"/>
      <c r="S80" s="14">
        <f t="shared" si="12"/>
        <v>0</v>
      </c>
      <c r="T80" s="14">
        <f t="shared" si="13"/>
        <v>0</v>
      </c>
      <c r="U80" s="14">
        <f t="shared" si="7"/>
        <v>0</v>
      </c>
      <c r="V80" s="29">
        <f t="shared" si="8"/>
        <v>0</v>
      </c>
      <c r="W80" s="29">
        <f t="shared" si="9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153"/>
      <c r="C81" s="154"/>
      <c r="D81" s="155"/>
      <c r="E81" s="156"/>
      <c r="F81" s="157"/>
      <c r="G81" s="158"/>
      <c r="H81" s="159">
        <f t="shared" si="4"/>
        <v>0</v>
      </c>
      <c r="I81" s="160">
        <f t="shared" si="5"/>
        <v>0</v>
      </c>
      <c r="J81" s="152"/>
      <c r="K81" s="82">
        <f>SUM(K18:K80)</f>
        <v>1367</v>
      </c>
      <c r="L81" s="79">
        <f>SUM(L18:L80)</f>
        <v>78110.259999999995</v>
      </c>
      <c r="M81" s="80">
        <f>SUM(M18:M80)</f>
        <v>175069.92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78110.259999999995</v>
      </c>
      <c r="U81" s="80">
        <f>SUM(U18:U80)</f>
        <v>175069.92</v>
      </c>
      <c r="V81" s="84"/>
      <c r="W81" s="84"/>
      <c r="X81" s="85"/>
      <c r="Y81" s="74"/>
    </row>
    <row r="82" spans="1:25" ht="15.75" x14ac:dyDescent="0.25">
      <c r="B82" s="75"/>
      <c r="C82" s="75"/>
      <c r="D82" s="75"/>
      <c r="E82" s="127" t="s">
        <v>202</v>
      </c>
      <c r="F82" s="77">
        <f>SUM(F19:F81)</f>
        <v>1367</v>
      </c>
      <c r="G82" s="78">
        <f>SUM(G19:G81)</f>
        <v>78110.259999999995</v>
      </c>
      <c r="H82" s="79">
        <f>SUM(H19:H81)</f>
        <v>45918.950000000004</v>
      </c>
      <c r="I82" s="80">
        <f>SUM(I19:I81)</f>
        <v>160327.83000000002</v>
      </c>
    </row>
    <row r="83" spans="1:25" ht="15" customHeight="1" x14ac:dyDescent="0.25">
      <c r="V83" s="87"/>
    </row>
  </sheetData>
  <mergeCells count="74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B11:C15"/>
    <mergeCell ref="E11:F13"/>
    <mergeCell ref="G11:I12"/>
    <mergeCell ref="K11:O13"/>
    <mergeCell ref="Q11:W13"/>
    <mergeCell ref="G13:H13"/>
    <mergeCell ref="G14:I14"/>
    <mergeCell ref="K14:L15"/>
    <mergeCell ref="M14:O15"/>
    <mergeCell ref="G15:I15"/>
    <mergeCell ref="Q15:W15"/>
    <mergeCell ref="S17:W17"/>
    <mergeCell ref="K16:K17"/>
    <mergeCell ref="N16:N17"/>
    <mergeCell ref="O16:O17"/>
    <mergeCell ref="Q16:Q17"/>
    <mergeCell ref="L17:M17"/>
  </mergeCells>
  <conditionalFormatting sqref="V9:V10">
    <cfRule type="expression" dxfId="7" priority="3" stopIfTrue="1">
      <formula>$V$9&gt;100%</formula>
    </cfRule>
    <cfRule type="expression" dxfId="6" priority="4">
      <formula>$V$9&lt;50%</formula>
    </cfRule>
  </conditionalFormatting>
  <conditionalFormatting sqref="W9:W10">
    <cfRule type="expression" dxfId="5" priority="1">
      <formula>$W$9&lt;50%</formula>
    </cfRule>
    <cfRule type="expression" dxfId="4" priority="2">
      <formula>$W$9&gt;50%</formula>
    </cfRule>
  </conditionalFormatting>
  <dataValidations count="6">
    <dataValidation type="list" allowBlank="1" showInputMessage="1" showErrorMessage="1" sqref="G18 R14 R17 L17" xr:uid="{090E808D-7349-4BB4-B4EB-9DF813F24358}">
      <formula1>$Z$11:$Z$12</formula1>
    </dataValidation>
    <dataValidation type="list" allowBlank="1" showInputMessage="1" showErrorMessage="1" sqref="I13" xr:uid="{01920AC2-74C7-45DE-8F05-22E99A660296}">
      <formula1>$Z$13:$Z$14</formula1>
    </dataValidation>
    <dataValidation type="list" allowBlank="1" showInputMessage="1" showErrorMessage="1" sqref="J13" xr:uid="{E41AB280-503B-41FE-A696-9009567A6C65}">
      <formula1>$L$9:$L$9</formula1>
    </dataValidation>
    <dataValidation type="list" allowBlank="1" showInputMessage="1" showErrorMessage="1" sqref="N18:N80" xr:uid="{F6B5C162-E1DD-4115-8CFD-5596699E5B62}">
      <formula1>$Z$31:$Z$32</formula1>
    </dataValidation>
    <dataValidation type="list" allowBlank="1" showInputMessage="1" showErrorMessage="1" sqref="G2" xr:uid="{8403BC08-EA06-4826-B83B-D553E6CB3371}">
      <formula1>$Z$34:$Z$48</formula1>
    </dataValidation>
    <dataValidation type="list" showInputMessage="1" showErrorMessage="1" sqref="E19 E26:E31 E21:E23 E51:E81" xr:uid="{80A8EAE8-0F28-4FAB-B23C-8CC0D1347A95}">
      <formula1>$AA$18:$AA$29</formula1>
    </dataValidation>
  </dataValidations>
  <printOptions verticalCentered="1"/>
  <pageMargins left="0.2" right="0.2" top="0.25" bottom="0.25" header="0.05" footer="0.05"/>
  <pageSetup scale="39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656D6-3DAE-41F4-950D-E66292F9988A}">
          <x14:formula1>
            <xm:f>'Product Type'!$A$1:$A$55</xm:f>
          </x14:formula1>
          <xm:sqref>D19:D64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C99B-0C30-4566-9F0F-BC3B3C7BC8BA}">
  <sheetPr>
    <pageSetUpPr fitToPage="1"/>
  </sheetPr>
  <dimension ref="A1:AC83"/>
  <sheetViews>
    <sheetView topLeftCell="I9" zoomScaleNormal="100" workbookViewId="0">
      <selection activeCell="L19" sqref="L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24" style="58" bestFit="1" customWidth="1"/>
    <col min="5" max="5" width="9.7109375" style="86" customWidth="1"/>
    <col min="6" max="6" width="9.7109375" style="58" customWidth="1"/>
    <col min="7" max="9" width="18.7109375" style="58" customWidth="1"/>
    <col min="10" max="10" width="0.85546875" style="58" customWidth="1"/>
    <col min="11" max="11" width="9.5703125" style="58" customWidth="1"/>
    <col min="12" max="14" width="18.7109375" style="58" customWidth="1"/>
    <col min="15" max="15" width="13.7109375" style="58" customWidth="1"/>
    <col min="16" max="16" width="0.85546875" style="58" customWidth="1"/>
    <col min="17" max="17" width="17.85546875" style="58" customWidth="1"/>
    <col min="18" max="21" width="18.7109375" style="58" customWidth="1"/>
    <col min="22" max="22" width="15" style="58" bestFit="1" customWidth="1"/>
    <col min="23" max="23" width="14.7109375" style="58" bestFit="1" customWidth="1"/>
    <col min="24" max="24" width="13.42578125" style="58" hidden="1" customWidth="1"/>
    <col min="25" max="25" width="0.85546875" style="58" customWidth="1"/>
    <col min="26" max="27" width="9.140625" style="58" hidden="1" customWidth="1"/>
    <col min="28" max="28" width="9.140625" style="58" customWidth="1"/>
    <col min="29" max="29" width="10.5703125" style="58" bestFit="1" customWidth="1"/>
    <col min="30" max="16384" width="9.140625" style="58"/>
  </cols>
  <sheetData>
    <row r="1" spans="1:29" ht="23.25" customHeight="1" x14ac:dyDescent="0.25">
      <c r="A1" s="55"/>
      <c r="B1" s="698" t="s">
        <v>73</v>
      </c>
      <c r="C1" s="538"/>
      <c r="D1" s="129"/>
      <c r="E1" s="699" t="s">
        <v>74</v>
      </c>
      <c r="F1" s="539"/>
      <c r="G1" s="539"/>
      <c r="H1" s="540"/>
      <c r="I1" s="538" t="s">
        <v>75</v>
      </c>
      <c r="J1" s="539"/>
      <c r="K1" s="539"/>
      <c r="L1" s="540"/>
      <c r="M1" s="544" t="s">
        <v>76</v>
      </c>
      <c r="N1" s="545"/>
      <c r="O1" s="545"/>
      <c r="P1" s="545"/>
      <c r="Q1" s="539" t="str">
        <f>L17</f>
        <v>USD $</v>
      </c>
      <c r="R1" s="539"/>
      <c r="S1" s="540"/>
      <c r="T1" s="538" t="s">
        <v>77</v>
      </c>
      <c r="U1" s="539"/>
      <c r="V1" s="539"/>
      <c r="W1" s="539"/>
      <c r="X1" s="540"/>
      <c r="Y1" s="59"/>
      <c r="Z1" s="60"/>
      <c r="AA1" s="61"/>
      <c r="AB1" s="61"/>
      <c r="AC1" s="61"/>
    </row>
    <row r="2" spans="1:29" ht="15" customHeight="1" x14ac:dyDescent="0.25">
      <c r="A2" s="55"/>
      <c r="B2" s="115" t="s">
        <v>78</v>
      </c>
      <c r="C2" s="33"/>
      <c r="D2" s="33"/>
      <c r="E2" s="481" t="s">
        <v>55</v>
      </c>
      <c r="F2" s="482"/>
      <c r="G2" s="161" t="s">
        <v>59</v>
      </c>
      <c r="H2" s="162"/>
      <c r="I2" s="525" t="s">
        <v>79</v>
      </c>
      <c r="J2" s="526"/>
      <c r="K2" s="527"/>
      <c r="L2" s="34"/>
      <c r="M2" s="528" t="s">
        <v>71</v>
      </c>
      <c r="N2" s="529"/>
      <c r="O2" s="530"/>
      <c r="P2" s="119"/>
      <c r="Q2" s="532">
        <f>I81</f>
        <v>119620.13</v>
      </c>
      <c r="R2" s="532"/>
      <c r="S2" s="533"/>
      <c r="T2" s="534" t="s">
        <v>80</v>
      </c>
      <c r="U2" s="535"/>
      <c r="V2" s="536"/>
      <c r="W2" s="537"/>
      <c r="X2" s="35"/>
      <c r="Y2" s="62"/>
      <c r="Z2" s="60"/>
      <c r="AA2" s="61"/>
      <c r="AB2" s="61"/>
      <c r="AC2" s="61"/>
    </row>
    <row r="3" spans="1:29" ht="15" customHeight="1" x14ac:dyDescent="0.25">
      <c r="A3" s="55"/>
      <c r="B3" s="116" t="s">
        <v>81</v>
      </c>
      <c r="C3" s="4"/>
      <c r="D3" s="4"/>
      <c r="E3" s="481" t="s">
        <v>67</v>
      </c>
      <c r="F3" s="482"/>
      <c r="G3" s="161" t="s">
        <v>164</v>
      </c>
      <c r="H3" s="162"/>
      <c r="I3" s="489" t="s">
        <v>83</v>
      </c>
      <c r="J3" s="490"/>
      <c r="K3" s="491"/>
      <c r="L3" s="32"/>
      <c r="M3" s="513" t="s">
        <v>72</v>
      </c>
      <c r="N3" s="514"/>
      <c r="O3" s="515"/>
      <c r="P3" s="119"/>
      <c r="Q3" s="517">
        <f>M81</f>
        <v>119620.13</v>
      </c>
      <c r="R3" s="517"/>
      <c r="S3" s="518"/>
      <c r="T3" s="483" t="s">
        <v>84</v>
      </c>
      <c r="U3" s="485"/>
      <c r="V3" s="509"/>
      <c r="W3" s="510"/>
      <c r="X3" s="17"/>
      <c r="Y3" s="55"/>
      <c r="Z3" s="63"/>
      <c r="AA3" s="61"/>
      <c r="AB3" s="61"/>
      <c r="AC3" s="61"/>
    </row>
    <row r="4" spans="1:29" ht="15" customHeight="1" x14ac:dyDescent="0.25">
      <c r="A4" s="55"/>
      <c r="B4" s="117" t="s">
        <v>85</v>
      </c>
      <c r="C4" s="4"/>
      <c r="D4" s="4"/>
      <c r="E4" s="481" t="s">
        <v>68</v>
      </c>
      <c r="F4" s="482"/>
      <c r="G4" s="161" t="s">
        <v>694</v>
      </c>
      <c r="H4" s="162"/>
      <c r="I4" s="489" t="s">
        <v>86</v>
      </c>
      <c r="J4" s="490"/>
      <c r="K4" s="491"/>
      <c r="L4" s="32"/>
      <c r="M4" s="513" t="s">
        <v>87</v>
      </c>
      <c r="N4" s="514"/>
      <c r="O4" s="515"/>
      <c r="P4" s="119"/>
      <c r="Q4" s="517">
        <f>Q2-Q3</f>
        <v>0</v>
      </c>
      <c r="R4" s="517"/>
      <c r="S4" s="518"/>
      <c r="T4" s="483" t="s">
        <v>88</v>
      </c>
      <c r="U4" s="485"/>
      <c r="V4" s="509"/>
      <c r="W4" s="510"/>
      <c r="X4" s="17"/>
      <c r="Y4" s="55"/>
      <c r="Z4" s="63"/>
      <c r="AA4" s="61"/>
      <c r="AB4" s="61"/>
      <c r="AC4" s="61"/>
    </row>
    <row r="5" spans="1:29" ht="15" customHeight="1" thickBot="1" x14ac:dyDescent="0.3">
      <c r="A5" s="55"/>
      <c r="B5" s="117" t="s">
        <v>89</v>
      </c>
      <c r="C5" s="4"/>
      <c r="D5" s="4"/>
      <c r="E5" s="481" t="s">
        <v>90</v>
      </c>
      <c r="F5" s="482"/>
      <c r="G5" s="161" t="s">
        <v>695</v>
      </c>
      <c r="H5" s="162"/>
      <c r="I5" s="489" t="s">
        <v>91</v>
      </c>
      <c r="J5" s="490"/>
      <c r="K5" s="491"/>
      <c r="L5" s="32"/>
      <c r="M5" s="519" t="s">
        <v>92</v>
      </c>
      <c r="N5" s="520"/>
      <c r="O5" s="521"/>
      <c r="P5" s="119"/>
      <c r="Q5" s="523">
        <f>IFERROR((Q2-Q3)/Q2,"")</f>
        <v>0</v>
      </c>
      <c r="R5" s="523"/>
      <c r="S5" s="524"/>
      <c r="T5" s="483" t="s">
        <v>93</v>
      </c>
      <c r="U5" s="485"/>
      <c r="V5" s="509"/>
      <c r="W5" s="510"/>
      <c r="X5" s="17"/>
      <c r="Y5" s="55"/>
      <c r="Z5" s="63"/>
      <c r="AA5" s="61"/>
      <c r="AB5" s="61"/>
      <c r="AC5" s="61"/>
    </row>
    <row r="6" spans="1:29" ht="15" customHeight="1" x14ac:dyDescent="0.25">
      <c r="A6" s="55"/>
      <c r="B6" s="117" t="s">
        <v>94</v>
      </c>
      <c r="C6" s="30"/>
      <c r="D6" s="30"/>
      <c r="E6" s="481" t="s">
        <v>69</v>
      </c>
      <c r="F6" s="482"/>
      <c r="G6" s="161"/>
      <c r="H6" s="162"/>
      <c r="I6" s="489" t="s">
        <v>95</v>
      </c>
      <c r="J6" s="490"/>
      <c r="K6" s="491"/>
      <c r="L6" s="32"/>
      <c r="M6" s="503" t="s">
        <v>96</v>
      </c>
      <c r="N6" s="504"/>
      <c r="O6" s="505"/>
      <c r="P6" s="119"/>
      <c r="Q6" s="507">
        <f>U81</f>
        <v>119620.13</v>
      </c>
      <c r="R6" s="507"/>
      <c r="S6" s="508"/>
      <c r="T6" s="483" t="s">
        <v>97</v>
      </c>
      <c r="U6" s="485"/>
      <c r="V6" s="509"/>
      <c r="W6" s="510"/>
      <c r="X6" s="18"/>
      <c r="Y6" s="47"/>
      <c r="Z6" s="48"/>
      <c r="AA6" s="61"/>
      <c r="AB6" s="61"/>
      <c r="AC6" s="61"/>
    </row>
    <row r="7" spans="1:29" ht="15" customHeight="1" x14ac:dyDescent="0.25">
      <c r="A7" s="55"/>
      <c r="B7" s="117" t="s">
        <v>98</v>
      </c>
      <c r="C7" s="31"/>
      <c r="D7" s="31"/>
      <c r="E7" s="481" t="s">
        <v>99</v>
      </c>
      <c r="F7" s="482"/>
      <c r="G7" s="161"/>
      <c r="H7" s="162"/>
      <c r="I7" s="489" t="s">
        <v>100</v>
      </c>
      <c r="J7" s="490"/>
      <c r="K7" s="491"/>
      <c r="L7" s="32"/>
      <c r="M7" s="492" t="s">
        <v>101</v>
      </c>
      <c r="N7" s="493"/>
      <c r="O7" s="494"/>
      <c r="P7" s="119"/>
      <c r="Q7" s="496">
        <f>S81</f>
        <v>0</v>
      </c>
      <c r="R7" s="496"/>
      <c r="S7" s="497"/>
      <c r="T7" s="511" t="s">
        <v>102</v>
      </c>
      <c r="U7" s="512"/>
      <c r="V7" s="501"/>
      <c r="W7" s="502"/>
      <c r="X7" s="18"/>
      <c r="Y7" s="49"/>
      <c r="Z7" s="61"/>
      <c r="AA7" s="61"/>
      <c r="AB7" s="61"/>
      <c r="AC7" s="61"/>
    </row>
    <row r="8" spans="1:29" ht="15" customHeight="1" x14ac:dyDescent="0.25">
      <c r="A8" s="55"/>
      <c r="B8" s="114"/>
      <c r="C8" s="113"/>
      <c r="D8" s="113"/>
      <c r="E8" s="481" t="s">
        <v>103</v>
      </c>
      <c r="F8" s="482"/>
      <c r="G8" s="161"/>
      <c r="H8" s="162"/>
      <c r="I8" s="489" t="s">
        <v>104</v>
      </c>
      <c r="J8" s="490"/>
      <c r="K8" s="491"/>
      <c r="L8" s="32"/>
      <c r="M8" s="492" t="s">
        <v>105</v>
      </c>
      <c r="N8" s="493"/>
      <c r="O8" s="494"/>
      <c r="P8" s="119"/>
      <c r="Q8" s="496">
        <f>IF(Q1=R14,S14,IF(R14="CAD $",S14*E15,IF(R14="USD $",S14*F15,0)))</f>
        <v>0</v>
      </c>
      <c r="R8" s="496"/>
      <c r="S8" s="497"/>
      <c r="T8" s="108" t="s">
        <v>106</v>
      </c>
      <c r="U8" s="109" t="s">
        <v>107</v>
      </c>
      <c r="V8" s="109" t="s">
        <v>108</v>
      </c>
      <c r="W8" s="110" t="s">
        <v>109</v>
      </c>
      <c r="X8" s="21"/>
      <c r="Y8" s="64"/>
      <c r="Z8" s="61"/>
      <c r="AA8" s="61"/>
      <c r="AB8" s="61"/>
      <c r="AC8" s="61"/>
    </row>
    <row r="9" spans="1:29" ht="15" customHeight="1" x14ac:dyDescent="0.25">
      <c r="A9" s="55"/>
      <c r="B9" s="113"/>
      <c r="C9" s="113"/>
      <c r="D9" s="113"/>
      <c r="E9" s="481" t="s">
        <v>110</v>
      </c>
      <c r="F9" s="482"/>
      <c r="G9" s="161"/>
      <c r="H9" s="162"/>
      <c r="I9" s="111"/>
      <c r="J9" s="112"/>
      <c r="K9" s="112"/>
      <c r="L9" s="43"/>
      <c r="M9" s="492" t="s">
        <v>111</v>
      </c>
      <c r="N9" s="493"/>
      <c r="O9" s="494"/>
      <c r="P9" s="119"/>
      <c r="Q9" s="499">
        <f>W14</f>
        <v>0</v>
      </c>
      <c r="R9" s="499"/>
      <c r="S9" s="500"/>
      <c r="T9" s="475">
        <f>Q7+Q8+Q9</f>
        <v>0</v>
      </c>
      <c r="U9" s="475">
        <f>Q3-T9</f>
        <v>119620.13</v>
      </c>
      <c r="V9" s="477">
        <f>IFERROR(((Q3-T9)/T9),0)</f>
        <v>0</v>
      </c>
      <c r="W9" s="477">
        <f>IFERROR(U9/Q3,0)</f>
        <v>1</v>
      </c>
      <c r="X9" s="479"/>
      <c r="Y9" s="64"/>
      <c r="Z9" s="61"/>
      <c r="AA9" s="61"/>
      <c r="AB9" s="61"/>
      <c r="AC9" s="61"/>
    </row>
    <row r="10" spans="1:29" ht="15" customHeight="1" thickBot="1" x14ac:dyDescent="0.3">
      <c r="A10" s="55"/>
      <c r="B10" s="113"/>
      <c r="C10" s="113"/>
      <c r="D10" s="113"/>
      <c r="E10" s="481" t="s">
        <v>70</v>
      </c>
      <c r="F10" s="482"/>
      <c r="G10" s="161"/>
      <c r="H10" s="162"/>
      <c r="I10" s="111"/>
      <c r="J10" s="112"/>
      <c r="K10" s="112"/>
      <c r="L10" s="43"/>
      <c r="M10" s="483" t="s">
        <v>112</v>
      </c>
      <c r="N10" s="484"/>
      <c r="O10" s="485"/>
      <c r="P10" s="119"/>
      <c r="Q10" s="487">
        <f>F81</f>
        <v>44</v>
      </c>
      <c r="R10" s="487"/>
      <c r="S10" s="488"/>
      <c r="T10" s="476"/>
      <c r="U10" s="476"/>
      <c r="V10" s="478"/>
      <c r="W10" s="478"/>
      <c r="X10" s="480"/>
      <c r="Y10" s="64"/>
      <c r="Z10" s="61"/>
      <c r="AA10" s="61"/>
      <c r="AB10" s="61"/>
      <c r="AC10" s="61"/>
    </row>
    <row r="11" spans="1:29" ht="15" customHeight="1" x14ac:dyDescent="0.25">
      <c r="A11" s="55"/>
      <c r="B11" s="692"/>
      <c r="C11" s="693"/>
      <c r="D11" s="135"/>
      <c r="E11" s="430" t="s">
        <v>113</v>
      </c>
      <c r="F11" s="431"/>
      <c r="G11" s="436" t="s">
        <v>71</v>
      </c>
      <c r="H11" s="437"/>
      <c r="I11" s="438"/>
      <c r="J11" s="90"/>
      <c r="K11" s="442" t="s">
        <v>114</v>
      </c>
      <c r="L11" s="443"/>
      <c r="M11" s="443"/>
      <c r="N11" s="443"/>
      <c r="O11" s="444"/>
      <c r="P11" s="119"/>
      <c r="Q11" s="451" t="s">
        <v>115</v>
      </c>
      <c r="R11" s="437"/>
      <c r="S11" s="437"/>
      <c r="T11" s="437"/>
      <c r="U11" s="437"/>
      <c r="V11" s="437"/>
      <c r="W11" s="452"/>
      <c r="X11" s="22"/>
      <c r="Y11" s="65"/>
      <c r="Z11" s="61" t="s">
        <v>116</v>
      </c>
      <c r="AA11" s="61"/>
      <c r="AB11" s="61"/>
      <c r="AC11" s="61"/>
    </row>
    <row r="12" spans="1:29" ht="15" customHeight="1" x14ac:dyDescent="0.25">
      <c r="A12" s="55"/>
      <c r="B12" s="694"/>
      <c r="C12" s="695"/>
      <c r="D12" s="136"/>
      <c r="E12" s="432"/>
      <c r="F12" s="433"/>
      <c r="G12" s="439"/>
      <c r="H12" s="440"/>
      <c r="I12" s="441"/>
      <c r="J12" s="91"/>
      <c r="K12" s="445"/>
      <c r="L12" s="446"/>
      <c r="M12" s="446"/>
      <c r="N12" s="446"/>
      <c r="O12" s="447"/>
      <c r="P12" s="120"/>
      <c r="Q12" s="453"/>
      <c r="R12" s="454"/>
      <c r="S12" s="454"/>
      <c r="T12" s="454"/>
      <c r="U12" s="454"/>
      <c r="V12" s="454"/>
      <c r="W12" s="455"/>
      <c r="X12" s="23"/>
      <c r="Y12" s="65"/>
      <c r="Z12" s="61" t="s">
        <v>117</v>
      </c>
      <c r="AA12" s="61"/>
      <c r="AB12" s="61"/>
      <c r="AC12" s="61"/>
    </row>
    <row r="13" spans="1:29" ht="15" customHeight="1" x14ac:dyDescent="0.25">
      <c r="A13" s="55"/>
      <c r="B13" s="694"/>
      <c r="C13" s="695"/>
      <c r="D13" s="137"/>
      <c r="E13" s="434"/>
      <c r="F13" s="435"/>
      <c r="G13" s="456" t="s">
        <v>118</v>
      </c>
      <c r="H13" s="457"/>
      <c r="I13" s="44" t="s">
        <v>119</v>
      </c>
      <c r="J13" s="92"/>
      <c r="K13" s="448"/>
      <c r="L13" s="449"/>
      <c r="M13" s="449"/>
      <c r="N13" s="449"/>
      <c r="O13" s="450"/>
      <c r="P13" s="120"/>
      <c r="Q13" s="453"/>
      <c r="R13" s="454"/>
      <c r="S13" s="454"/>
      <c r="T13" s="454"/>
      <c r="U13" s="454"/>
      <c r="V13" s="454"/>
      <c r="W13" s="455"/>
      <c r="X13" s="24"/>
      <c r="Y13" s="65"/>
      <c r="Z13" s="61" t="s">
        <v>119</v>
      </c>
      <c r="AA13" s="61"/>
      <c r="AB13" s="61"/>
      <c r="AC13" s="61"/>
    </row>
    <row r="14" spans="1:29" ht="30" customHeight="1" x14ac:dyDescent="0.25">
      <c r="A14" s="55"/>
      <c r="B14" s="694"/>
      <c r="C14" s="695"/>
      <c r="D14" s="138"/>
      <c r="E14" s="106" t="s">
        <v>120</v>
      </c>
      <c r="F14" s="107" t="s">
        <v>121</v>
      </c>
      <c r="G14" s="458" t="s">
        <v>122</v>
      </c>
      <c r="H14" s="459"/>
      <c r="I14" s="460"/>
      <c r="J14" s="93"/>
      <c r="K14" s="461" t="s">
        <v>123</v>
      </c>
      <c r="L14" s="462"/>
      <c r="M14" s="463" t="s">
        <v>124</v>
      </c>
      <c r="N14" s="464"/>
      <c r="O14" s="465"/>
      <c r="P14" s="121"/>
      <c r="Q14" s="101" t="s">
        <v>125</v>
      </c>
      <c r="R14" s="37" t="s">
        <v>117</v>
      </c>
      <c r="S14" s="45"/>
      <c r="T14" s="101" t="s">
        <v>126</v>
      </c>
      <c r="U14" s="46">
        <v>2.5000000000000001E-2</v>
      </c>
      <c r="V14" s="101" t="s">
        <v>127</v>
      </c>
      <c r="W14" s="100">
        <f>ROUND(S81*U14,2)</f>
        <v>0</v>
      </c>
      <c r="X14" s="25"/>
      <c r="Y14" s="65"/>
      <c r="Z14" s="61" t="s">
        <v>128</v>
      </c>
      <c r="AA14" s="61"/>
      <c r="AB14" s="61"/>
      <c r="AC14" s="61"/>
    </row>
    <row r="15" spans="1:29" ht="15" customHeight="1" x14ac:dyDescent="0.25">
      <c r="A15" s="55"/>
      <c r="B15" s="694"/>
      <c r="C15" s="695"/>
      <c r="D15" s="136"/>
      <c r="E15" s="118">
        <f>1/F15</f>
        <v>0.7246376811594204</v>
      </c>
      <c r="F15" s="7">
        <v>1.38</v>
      </c>
      <c r="G15" s="469"/>
      <c r="H15" s="470"/>
      <c r="I15" s="471"/>
      <c r="J15" s="94"/>
      <c r="K15" s="434"/>
      <c r="L15" s="435"/>
      <c r="M15" s="466"/>
      <c r="N15" s="467"/>
      <c r="O15" s="468"/>
      <c r="P15" s="121"/>
      <c r="Q15" s="472" t="s">
        <v>129</v>
      </c>
      <c r="R15" s="473"/>
      <c r="S15" s="473"/>
      <c r="T15" s="473"/>
      <c r="U15" s="473"/>
      <c r="V15" s="473"/>
      <c r="W15" s="474"/>
      <c r="X15" s="19"/>
      <c r="Y15" s="66"/>
      <c r="Z15" s="61"/>
      <c r="AA15" s="61"/>
      <c r="AB15" s="61"/>
      <c r="AC15" s="61"/>
    </row>
    <row r="16" spans="1:29" ht="15" customHeight="1" x14ac:dyDescent="0.25">
      <c r="A16" s="55"/>
      <c r="B16" s="681" t="s">
        <v>150</v>
      </c>
      <c r="C16" s="683" t="s">
        <v>151</v>
      </c>
      <c r="D16" s="696" t="s">
        <v>152</v>
      </c>
      <c r="E16" s="685" t="s">
        <v>153</v>
      </c>
      <c r="F16" s="687" t="s">
        <v>138</v>
      </c>
      <c r="G16" s="684" t="s">
        <v>154</v>
      </c>
      <c r="H16" s="689"/>
      <c r="I16" s="104" t="s">
        <v>155</v>
      </c>
      <c r="J16" s="95"/>
      <c r="K16" s="414" t="s">
        <v>138</v>
      </c>
      <c r="L16" s="102" t="s">
        <v>139</v>
      </c>
      <c r="M16" s="99" t="s">
        <v>140</v>
      </c>
      <c r="N16" s="416" t="s">
        <v>141</v>
      </c>
      <c r="O16" s="416" t="s">
        <v>142</v>
      </c>
      <c r="P16" s="122"/>
      <c r="Q16" s="690" t="s">
        <v>143</v>
      </c>
      <c r="R16" s="97" t="s">
        <v>144</v>
      </c>
      <c r="S16" s="97" t="s">
        <v>145</v>
      </c>
      <c r="T16" s="98" t="s">
        <v>146</v>
      </c>
      <c r="U16" s="98" t="s">
        <v>147</v>
      </c>
      <c r="V16" s="99" t="s">
        <v>148</v>
      </c>
      <c r="W16" s="99" t="s">
        <v>149</v>
      </c>
      <c r="X16" s="26"/>
      <c r="Y16" s="67"/>
      <c r="Z16" s="61"/>
      <c r="AA16" s="61"/>
      <c r="AB16" s="61"/>
      <c r="AC16" s="61"/>
    </row>
    <row r="17" spans="1:29" s="70" customFormat="1" ht="15" customHeight="1" x14ac:dyDescent="0.25">
      <c r="A17" s="56"/>
      <c r="B17" s="682"/>
      <c r="C17" s="684"/>
      <c r="D17" s="697"/>
      <c r="E17" s="686"/>
      <c r="F17" s="688"/>
      <c r="G17" s="37" t="s">
        <v>116</v>
      </c>
      <c r="H17" s="105" t="str">
        <f>IF(G17="USD $", "CAD $", "USD $")</f>
        <v>USD $</v>
      </c>
      <c r="I17" s="103" t="str">
        <f>L17</f>
        <v>USD $</v>
      </c>
      <c r="J17" s="96"/>
      <c r="K17" s="415"/>
      <c r="L17" s="422" t="s">
        <v>117</v>
      </c>
      <c r="M17" s="423"/>
      <c r="N17" s="417"/>
      <c r="O17" s="417"/>
      <c r="P17" s="123"/>
      <c r="Q17" s="691"/>
      <c r="R17" s="37" t="s">
        <v>117</v>
      </c>
      <c r="S17" s="411" t="str">
        <f>L17</f>
        <v>USD $</v>
      </c>
      <c r="T17" s="412"/>
      <c r="U17" s="412"/>
      <c r="V17" s="412"/>
      <c r="W17" s="413"/>
      <c r="X17" s="20"/>
      <c r="Y17" s="68"/>
      <c r="Z17" s="69"/>
      <c r="AA17" s="69"/>
      <c r="AB17" s="69"/>
      <c r="AC17" s="69"/>
    </row>
    <row r="18" spans="1:29" ht="15" customHeight="1" x14ac:dyDescent="0.25">
      <c r="A18" s="55"/>
      <c r="B18" s="2"/>
      <c r="C18" s="5" t="s">
        <v>209</v>
      </c>
      <c r="D18" s="139"/>
      <c r="E18" s="124"/>
      <c r="F18" s="53"/>
      <c r="G18" s="8"/>
      <c r="H18" s="9">
        <f>ROUND(IF($G$17="USD $", G18*$F$15,G18*$E$15),2)</f>
        <v>0</v>
      </c>
      <c r="I18" s="10">
        <f>ROUND(IF($I$17=$H$17,F18*H18,F18*G18),2)</f>
        <v>0</v>
      </c>
      <c r="J18" s="11"/>
      <c r="K18" s="89">
        <f t="shared" ref="K18:K80" si="0">F18</f>
        <v>0</v>
      </c>
      <c r="L18" s="9">
        <f>IFERROR(IF(N18="OEM DISC %",ROUND(IF($L$17=$G$17,G18*(1-O18),H18*(1-O18)),2),IF(N18="MARKUP %",ROUND(S18/K18*(1+O18),2))),0)</f>
        <v>0</v>
      </c>
      <c r="M18" s="9">
        <f>ROUND((K18*L18),2)</f>
        <v>0</v>
      </c>
      <c r="N18" s="8" t="s">
        <v>156</v>
      </c>
      <c r="O18" s="36"/>
      <c r="P18" s="51"/>
      <c r="Q18" s="2"/>
      <c r="R18" s="13"/>
      <c r="S18" s="14">
        <f>ROUND(IF($S$17=$R$17,R18,IF($S$17="USD $",R18*$E$15,R18*$F$15))*F18,2)</f>
        <v>0</v>
      </c>
      <c r="T18" s="14">
        <f>IFERROR(ROUND(U18/F18,2),0)</f>
        <v>0</v>
      </c>
      <c r="U18" s="14">
        <f>ROUND(M18-S18,2)</f>
        <v>0</v>
      </c>
      <c r="V18" s="29">
        <f>IFERROR(((L18-(S18/K18))/(S18/K18)),0)</f>
        <v>0</v>
      </c>
      <c r="W18" s="29">
        <f>IFERROR(((L18-(S18/K18))/L18),0)</f>
        <v>0</v>
      </c>
      <c r="X18" s="27"/>
      <c r="Y18" s="50"/>
      <c r="Z18" s="61"/>
      <c r="AA18" s="61">
        <v>250</v>
      </c>
      <c r="AB18" s="71"/>
      <c r="AC18" s="72"/>
    </row>
    <row r="19" spans="1:29" x14ac:dyDescent="0.25">
      <c r="A19" s="55"/>
      <c r="B19" s="1" t="s">
        <v>696</v>
      </c>
      <c r="C19" s="4" t="s">
        <v>210</v>
      </c>
      <c r="D19" s="139" t="s">
        <v>29</v>
      </c>
      <c r="E19" s="362">
        <v>375</v>
      </c>
      <c r="F19" s="54">
        <v>1</v>
      </c>
      <c r="G19" s="15">
        <v>122.79</v>
      </c>
      <c r="H19" s="38">
        <f t="shared" ref="H19:H80" si="1">ROUND(IF($G$17="USD $", G19*$F$15,G19*$E$15),2)</f>
        <v>88.98</v>
      </c>
      <c r="I19" s="39">
        <f t="shared" ref="I19:I80" si="2">ROUND(IF($I$17=$H$17,F19*H19,F19*G19),2)</f>
        <v>88.98</v>
      </c>
      <c r="J19" s="42"/>
      <c r="K19" s="88">
        <f t="shared" si="0"/>
        <v>1</v>
      </c>
      <c r="L19" s="38">
        <f t="shared" ref="L19:L80" si="3">IFERROR(IF(N19="OEM DISC %",ROUND(IF($L$17=$G$17,G19*(1-O19),H19*(1-O19)),2),IF(N19="MARKUP %",ROUND(S19/K19*(1+O19),2))),0)</f>
        <v>88.98</v>
      </c>
      <c r="M19" s="38">
        <f t="shared" ref="M19:M80" si="4">ROUND((K19*L19),2)</f>
        <v>88.98</v>
      </c>
      <c r="N19" s="128" t="s">
        <v>156</v>
      </c>
      <c r="O19" s="16"/>
      <c r="P19" s="51"/>
      <c r="Q19" s="1"/>
      <c r="R19" s="15"/>
      <c r="S19" s="40">
        <f>ROUND(IF($S$17=$R$17,R19,IF($S$17="USD $",R19*$E$15,R19*$F$15))*F19,2)</f>
        <v>0</v>
      </c>
      <c r="T19" s="52">
        <f t="shared" ref="T19:T80" si="5">IFERROR(ROUND(U19/F19,2),0)</f>
        <v>88.98</v>
      </c>
      <c r="U19" s="52">
        <f t="shared" ref="U19:U80" si="6">ROUND(M19-S19,2)</f>
        <v>88.98</v>
      </c>
      <c r="V19" s="41">
        <f t="shared" ref="V19:V80" si="7">IFERROR(((L19-(S19/K19))/(S19/K19)),0)</f>
        <v>0</v>
      </c>
      <c r="W19" s="41">
        <f t="shared" ref="W19:W80" si="8">IFERROR(((L19-(S19/K19))/L19),0)</f>
        <v>1</v>
      </c>
      <c r="X19" s="28"/>
      <c r="Y19" s="50"/>
      <c r="Z19" s="61" t="s">
        <v>158</v>
      </c>
      <c r="AA19" s="61">
        <v>500</v>
      </c>
      <c r="AB19" s="61"/>
      <c r="AC19" s="61"/>
    </row>
    <row r="20" spans="1:29" x14ac:dyDescent="0.25">
      <c r="A20" s="55"/>
      <c r="B20" s="2" t="s">
        <v>391</v>
      </c>
      <c r="C20" s="6" t="s">
        <v>211</v>
      </c>
      <c r="D20" s="139" t="s">
        <v>28</v>
      </c>
      <c r="E20" s="126">
        <v>500</v>
      </c>
      <c r="F20" s="53">
        <v>1</v>
      </c>
      <c r="G20" s="8">
        <v>40.229999999999997</v>
      </c>
      <c r="H20" s="9">
        <f t="shared" si="1"/>
        <v>29.15</v>
      </c>
      <c r="I20" s="10">
        <f t="shared" si="2"/>
        <v>29.15</v>
      </c>
      <c r="J20" s="42"/>
      <c r="K20" s="89">
        <f t="shared" si="0"/>
        <v>1</v>
      </c>
      <c r="L20" s="9">
        <f t="shared" si="3"/>
        <v>29.15</v>
      </c>
      <c r="M20" s="9">
        <f t="shared" si="4"/>
        <v>29.15</v>
      </c>
      <c r="N20" s="8" t="s">
        <v>156</v>
      </c>
      <c r="O20" s="12"/>
      <c r="P20" s="51"/>
      <c r="Q20" s="3"/>
      <c r="R20" s="13"/>
      <c r="S20" s="14">
        <f t="shared" ref="S20:S80" si="9">ROUND(IF($S$17=$R$17,R20,IF($S$17="USD $",R20*$E$15,R20*$F$15))*F20,2)</f>
        <v>0</v>
      </c>
      <c r="T20" s="14">
        <f t="shared" si="5"/>
        <v>29.15</v>
      </c>
      <c r="U20" s="14">
        <f t="shared" si="6"/>
        <v>29.15</v>
      </c>
      <c r="V20" s="29">
        <f t="shared" si="7"/>
        <v>0</v>
      </c>
      <c r="W20" s="29">
        <f t="shared" si="8"/>
        <v>1</v>
      </c>
      <c r="X20" s="27"/>
      <c r="Y20" s="50"/>
      <c r="Z20" s="61" t="s">
        <v>160</v>
      </c>
      <c r="AA20" s="61">
        <v>750</v>
      </c>
      <c r="AB20" s="61"/>
      <c r="AC20" s="61"/>
    </row>
    <row r="21" spans="1:29" x14ac:dyDescent="0.25">
      <c r="A21" s="55"/>
      <c r="B21" s="2" t="s">
        <v>459</v>
      </c>
      <c r="C21" s="6" t="s">
        <v>213</v>
      </c>
      <c r="D21" s="139" t="s">
        <v>30</v>
      </c>
      <c r="E21" s="126">
        <v>500</v>
      </c>
      <c r="F21" s="53">
        <v>1</v>
      </c>
      <c r="G21" s="15">
        <v>149.63</v>
      </c>
      <c r="H21" s="38">
        <f t="shared" si="1"/>
        <v>108.43</v>
      </c>
      <c r="I21" s="39">
        <f t="shared" si="2"/>
        <v>108.43</v>
      </c>
      <c r="J21" s="42"/>
      <c r="K21" s="88">
        <f t="shared" si="0"/>
        <v>1</v>
      </c>
      <c r="L21" s="38">
        <f t="shared" si="3"/>
        <v>108.43</v>
      </c>
      <c r="M21" s="38">
        <f t="shared" si="4"/>
        <v>108.43</v>
      </c>
      <c r="N21" s="128" t="s">
        <v>156</v>
      </c>
      <c r="O21" s="16"/>
      <c r="P21" s="51"/>
      <c r="Q21" s="1"/>
      <c r="R21" s="15"/>
      <c r="S21" s="40">
        <f t="shared" si="9"/>
        <v>0</v>
      </c>
      <c r="T21" s="52">
        <f t="shared" si="5"/>
        <v>108.43</v>
      </c>
      <c r="U21" s="52">
        <f t="shared" si="6"/>
        <v>108.43</v>
      </c>
      <c r="V21" s="41">
        <f t="shared" si="7"/>
        <v>0</v>
      </c>
      <c r="W21" s="41">
        <f t="shared" si="8"/>
        <v>1</v>
      </c>
      <c r="X21" s="28"/>
      <c r="Y21" s="50"/>
      <c r="Z21" s="61" t="s">
        <v>162</v>
      </c>
      <c r="AA21" s="61">
        <v>1000</v>
      </c>
      <c r="AB21" s="61"/>
      <c r="AC21" s="61"/>
    </row>
    <row r="22" spans="1:29" x14ac:dyDescent="0.25">
      <c r="A22" s="55"/>
      <c r="B22" s="1" t="s">
        <v>697</v>
      </c>
      <c r="C22" s="4" t="s">
        <v>214</v>
      </c>
      <c r="D22" s="139" t="s">
        <v>27</v>
      </c>
      <c r="E22" s="126">
        <v>500</v>
      </c>
      <c r="F22" s="54">
        <v>1</v>
      </c>
      <c r="G22" s="8">
        <v>49.24</v>
      </c>
      <c r="H22" s="9">
        <f t="shared" si="1"/>
        <v>35.68</v>
      </c>
      <c r="I22" s="10">
        <f t="shared" si="2"/>
        <v>35.68</v>
      </c>
      <c r="J22" s="42"/>
      <c r="K22" s="89">
        <f t="shared" si="0"/>
        <v>1</v>
      </c>
      <c r="L22" s="9">
        <f t="shared" si="3"/>
        <v>35.68</v>
      </c>
      <c r="M22" s="9">
        <f t="shared" si="4"/>
        <v>35.68</v>
      </c>
      <c r="N22" s="8" t="s">
        <v>156</v>
      </c>
      <c r="O22" s="12"/>
      <c r="P22" s="51"/>
      <c r="Q22" s="3"/>
      <c r="R22" s="13"/>
      <c r="S22" s="14">
        <f t="shared" si="9"/>
        <v>0</v>
      </c>
      <c r="T22" s="14">
        <f t="shared" si="5"/>
        <v>35.68</v>
      </c>
      <c r="U22" s="14">
        <f t="shared" si="6"/>
        <v>35.68</v>
      </c>
      <c r="V22" s="29">
        <f t="shared" si="7"/>
        <v>0</v>
      </c>
      <c r="W22" s="29">
        <f t="shared" si="8"/>
        <v>1</v>
      </c>
      <c r="X22" s="27"/>
      <c r="Y22" s="50"/>
      <c r="Z22" s="61" t="s">
        <v>164</v>
      </c>
      <c r="AA22" s="61">
        <v>1200</v>
      </c>
      <c r="AB22" s="61"/>
      <c r="AC22" s="61"/>
    </row>
    <row r="23" spans="1:29" x14ac:dyDescent="0.25">
      <c r="A23" s="55"/>
      <c r="B23" s="1" t="s">
        <v>698</v>
      </c>
      <c r="C23" s="4" t="s">
        <v>215</v>
      </c>
      <c r="D23" s="139" t="s">
        <v>24</v>
      </c>
      <c r="E23" s="362">
        <v>375</v>
      </c>
      <c r="F23" s="54">
        <v>1</v>
      </c>
      <c r="G23" s="15">
        <v>205.45</v>
      </c>
      <c r="H23" s="38">
        <f t="shared" si="1"/>
        <v>148.88</v>
      </c>
      <c r="I23" s="39">
        <f t="shared" si="2"/>
        <v>148.88</v>
      </c>
      <c r="J23" s="42"/>
      <c r="K23" s="88">
        <f t="shared" si="0"/>
        <v>1</v>
      </c>
      <c r="L23" s="38">
        <f t="shared" si="3"/>
        <v>148.88</v>
      </c>
      <c r="M23" s="38">
        <f t="shared" si="4"/>
        <v>148.88</v>
      </c>
      <c r="N23" s="128" t="s">
        <v>156</v>
      </c>
      <c r="O23" s="16"/>
      <c r="P23" s="51"/>
      <c r="Q23" s="1"/>
      <c r="R23" s="15"/>
      <c r="S23" s="40">
        <f t="shared" si="9"/>
        <v>0</v>
      </c>
      <c r="T23" s="52">
        <f t="shared" si="5"/>
        <v>148.88</v>
      </c>
      <c r="U23" s="52">
        <f t="shared" si="6"/>
        <v>148.88</v>
      </c>
      <c r="V23" s="41">
        <f t="shared" si="7"/>
        <v>0</v>
      </c>
      <c r="W23" s="41">
        <f t="shared" si="8"/>
        <v>1</v>
      </c>
      <c r="X23" s="28"/>
      <c r="Y23" s="50"/>
      <c r="Z23" s="61" t="s">
        <v>165</v>
      </c>
      <c r="AA23" s="61">
        <v>2000</v>
      </c>
      <c r="AB23" s="61"/>
      <c r="AC23" s="61"/>
    </row>
    <row r="24" spans="1:29" x14ac:dyDescent="0.25">
      <c r="A24" s="55"/>
      <c r="B24" s="1" t="s">
        <v>460</v>
      </c>
      <c r="C24" s="4" t="s">
        <v>216</v>
      </c>
      <c r="D24" s="139" t="s">
        <v>25</v>
      </c>
      <c r="E24" s="126">
        <v>500</v>
      </c>
      <c r="F24" s="54">
        <v>1</v>
      </c>
      <c r="G24" s="8">
        <v>131.07</v>
      </c>
      <c r="H24" s="9">
        <f t="shared" si="1"/>
        <v>94.98</v>
      </c>
      <c r="I24" s="10">
        <f t="shared" si="2"/>
        <v>94.98</v>
      </c>
      <c r="J24" s="42"/>
      <c r="K24" s="89">
        <f t="shared" si="0"/>
        <v>1</v>
      </c>
      <c r="L24" s="9">
        <f t="shared" si="3"/>
        <v>94.98</v>
      </c>
      <c r="M24" s="9">
        <f t="shared" si="4"/>
        <v>94.98</v>
      </c>
      <c r="N24" s="8" t="s">
        <v>156</v>
      </c>
      <c r="O24" s="12"/>
      <c r="P24" s="51"/>
      <c r="Q24" s="3"/>
      <c r="R24" s="13"/>
      <c r="S24" s="14">
        <f t="shared" si="9"/>
        <v>0</v>
      </c>
      <c r="T24" s="14">
        <f t="shared" si="5"/>
        <v>94.98</v>
      </c>
      <c r="U24" s="14">
        <f t="shared" si="6"/>
        <v>94.98</v>
      </c>
      <c r="V24" s="29">
        <f t="shared" si="7"/>
        <v>0</v>
      </c>
      <c r="W24" s="29">
        <f t="shared" si="8"/>
        <v>1</v>
      </c>
      <c r="X24" s="27"/>
      <c r="Y24" s="50"/>
      <c r="Z24" s="61" t="s">
        <v>167</v>
      </c>
      <c r="AA24" s="61">
        <v>4000</v>
      </c>
      <c r="AB24" s="61"/>
      <c r="AC24" s="61"/>
    </row>
    <row r="25" spans="1:29" x14ac:dyDescent="0.25">
      <c r="A25" s="55"/>
      <c r="B25" s="2" t="s">
        <v>436</v>
      </c>
      <c r="C25" s="6" t="s">
        <v>217</v>
      </c>
      <c r="D25" s="139" t="s">
        <v>25</v>
      </c>
      <c r="E25" s="362">
        <v>375</v>
      </c>
      <c r="F25" s="53">
        <v>1</v>
      </c>
      <c r="G25" s="15">
        <v>177.79</v>
      </c>
      <c r="H25" s="38">
        <f t="shared" si="1"/>
        <v>128.83000000000001</v>
      </c>
      <c r="I25" s="39">
        <f t="shared" si="2"/>
        <v>128.83000000000001</v>
      </c>
      <c r="J25" s="42"/>
      <c r="K25" s="88">
        <f t="shared" si="0"/>
        <v>1</v>
      </c>
      <c r="L25" s="38">
        <f t="shared" si="3"/>
        <v>128.83000000000001</v>
      </c>
      <c r="M25" s="38">
        <f t="shared" si="4"/>
        <v>128.83000000000001</v>
      </c>
      <c r="N25" s="128" t="s">
        <v>156</v>
      </c>
      <c r="O25" s="16"/>
      <c r="P25" s="51"/>
      <c r="Q25" s="1"/>
      <c r="R25" s="15"/>
      <c r="S25" s="40">
        <f t="shared" si="9"/>
        <v>0</v>
      </c>
      <c r="T25" s="52">
        <f t="shared" si="5"/>
        <v>128.83000000000001</v>
      </c>
      <c r="U25" s="52">
        <f t="shared" si="6"/>
        <v>128.83000000000001</v>
      </c>
      <c r="V25" s="41">
        <f t="shared" si="7"/>
        <v>0</v>
      </c>
      <c r="W25" s="41">
        <f t="shared" si="8"/>
        <v>1</v>
      </c>
      <c r="X25" s="28"/>
      <c r="Y25" s="50"/>
      <c r="Z25" s="61" t="s">
        <v>169</v>
      </c>
      <c r="AA25" s="61">
        <v>6000</v>
      </c>
      <c r="AB25" s="61"/>
      <c r="AC25" s="61"/>
    </row>
    <row r="26" spans="1:29" x14ac:dyDescent="0.25">
      <c r="A26" s="55"/>
      <c r="B26" s="1" t="s">
        <v>475</v>
      </c>
      <c r="C26" s="4" t="s">
        <v>218</v>
      </c>
      <c r="D26" s="139" t="s">
        <v>28</v>
      </c>
      <c r="E26" s="126">
        <v>500</v>
      </c>
      <c r="F26" s="54">
        <v>1</v>
      </c>
      <c r="G26" s="8">
        <v>85.26</v>
      </c>
      <c r="H26" s="9">
        <f t="shared" si="1"/>
        <v>61.78</v>
      </c>
      <c r="I26" s="10">
        <f t="shared" si="2"/>
        <v>61.78</v>
      </c>
      <c r="J26" s="42"/>
      <c r="K26" s="89">
        <f t="shared" si="0"/>
        <v>1</v>
      </c>
      <c r="L26" s="9">
        <f t="shared" si="3"/>
        <v>61.78</v>
      </c>
      <c r="M26" s="9">
        <f t="shared" si="4"/>
        <v>61.78</v>
      </c>
      <c r="N26" s="8" t="s">
        <v>156</v>
      </c>
      <c r="O26" s="12"/>
      <c r="P26" s="51"/>
      <c r="Q26" s="3"/>
      <c r="R26" s="13"/>
      <c r="S26" s="14">
        <f t="shared" si="9"/>
        <v>0</v>
      </c>
      <c r="T26" s="14">
        <f t="shared" si="5"/>
        <v>61.78</v>
      </c>
      <c r="U26" s="14">
        <f t="shared" si="6"/>
        <v>61.78</v>
      </c>
      <c r="V26" s="29">
        <f t="shared" si="7"/>
        <v>0</v>
      </c>
      <c r="W26" s="29">
        <f t="shared" si="8"/>
        <v>1</v>
      </c>
      <c r="X26" s="27"/>
      <c r="Y26" s="50"/>
      <c r="Z26" s="61" t="s">
        <v>171</v>
      </c>
      <c r="AA26" s="61">
        <v>8000</v>
      </c>
      <c r="AB26" s="61"/>
      <c r="AC26" s="61"/>
    </row>
    <row r="27" spans="1:29" x14ac:dyDescent="0.25">
      <c r="A27" s="55"/>
      <c r="B27" s="1"/>
      <c r="C27" s="4"/>
      <c r="D27" s="139"/>
      <c r="E27" s="126"/>
      <c r="F27" s="54"/>
      <c r="G27" s="15"/>
      <c r="H27" s="38">
        <f t="shared" si="1"/>
        <v>0</v>
      </c>
      <c r="I27" s="39">
        <f>ROUND(IF($I$17=$H$17,F27*H27,F27*G27),2)</f>
        <v>0</v>
      </c>
      <c r="J27" s="42"/>
      <c r="K27" s="88">
        <f>F27</f>
        <v>0</v>
      </c>
      <c r="L27" s="38">
        <f t="shared" si="3"/>
        <v>0</v>
      </c>
      <c r="M27" s="38">
        <f t="shared" si="4"/>
        <v>0</v>
      </c>
      <c r="N27" s="128" t="s">
        <v>156</v>
      </c>
      <c r="O27" s="16"/>
      <c r="P27" s="51"/>
      <c r="Q27" s="1"/>
      <c r="R27" s="15"/>
      <c r="S27" s="40">
        <f>ROUND(IF($S$17=$R$17,R27,IF($S$17="USD $",R27*$E$15,R27*$F$15))*F27,2)</f>
        <v>0</v>
      </c>
      <c r="T27" s="52">
        <f>IFERROR(ROUND(U27/F27,2),0)</f>
        <v>0</v>
      </c>
      <c r="U27" s="52">
        <f t="shared" si="6"/>
        <v>0</v>
      </c>
      <c r="V27" s="41">
        <f t="shared" si="7"/>
        <v>0</v>
      </c>
      <c r="W27" s="41">
        <f t="shared" si="8"/>
        <v>0</v>
      </c>
      <c r="X27" s="28"/>
      <c r="Y27" s="50"/>
      <c r="Z27" s="61" t="s">
        <v>173</v>
      </c>
      <c r="AA27" s="73">
        <v>10000</v>
      </c>
      <c r="AB27" s="61"/>
      <c r="AC27" s="61"/>
    </row>
    <row r="28" spans="1:29" x14ac:dyDescent="0.25">
      <c r="A28" s="55"/>
      <c r="B28" s="1"/>
      <c r="C28" s="4" t="s">
        <v>313</v>
      </c>
      <c r="D28" s="139"/>
      <c r="E28" s="125"/>
      <c r="F28" s="54"/>
      <c r="G28" s="15"/>
      <c r="H28" s="9">
        <f t="shared" si="1"/>
        <v>0</v>
      </c>
      <c r="I28" s="10">
        <f>ROUND(IF($I$17=$H$17,F28*H28,F28*G28),2)</f>
        <v>0</v>
      </c>
      <c r="J28" s="42"/>
      <c r="K28" s="89">
        <f>F28</f>
        <v>0</v>
      </c>
      <c r="L28" s="9">
        <f t="shared" si="3"/>
        <v>0</v>
      </c>
      <c r="M28" s="9">
        <f t="shared" si="4"/>
        <v>0</v>
      </c>
      <c r="N28" s="8" t="s">
        <v>156</v>
      </c>
      <c r="O28" s="12"/>
      <c r="P28" s="51"/>
      <c r="Q28" s="3"/>
      <c r="R28" s="13"/>
      <c r="S28" s="14">
        <f>ROUND(IF($S$17=$R$17,R28,IF($S$17="USD $",R28*$E$15,R28*$F$15))*F28,2)</f>
        <v>0</v>
      </c>
      <c r="T28" s="14">
        <f>IFERROR(ROUND(U28/F28,2),0)</f>
        <v>0</v>
      </c>
      <c r="U28" s="14">
        <f t="shared" si="6"/>
        <v>0</v>
      </c>
      <c r="V28" s="29">
        <f t="shared" si="7"/>
        <v>0</v>
      </c>
      <c r="W28" s="29">
        <f t="shared" si="8"/>
        <v>0</v>
      </c>
      <c r="X28" s="27"/>
      <c r="Y28" s="50"/>
      <c r="Z28" s="61" t="s">
        <v>175</v>
      </c>
      <c r="AA28" s="61" t="s">
        <v>176</v>
      </c>
      <c r="AB28" s="61"/>
      <c r="AC28" s="61"/>
    </row>
    <row r="29" spans="1:29" x14ac:dyDescent="0.25">
      <c r="A29" s="55"/>
      <c r="B29" s="2" t="s">
        <v>699</v>
      </c>
      <c r="C29" s="6" t="s">
        <v>220</v>
      </c>
      <c r="D29" s="139" t="s">
        <v>0</v>
      </c>
      <c r="E29" s="126" t="s">
        <v>176</v>
      </c>
      <c r="F29" s="53">
        <v>2</v>
      </c>
      <c r="G29" s="8">
        <v>564.49</v>
      </c>
      <c r="H29" s="38">
        <f>ROUND(IF($G$17="USD $", G29*$F$15,G29*$E$15),2)</f>
        <v>409.05</v>
      </c>
      <c r="I29" s="39">
        <f>ROUND(IF($I$17=$H$17,F29*H29,F29*G29),2)</f>
        <v>818.1</v>
      </c>
      <c r="J29" s="42"/>
      <c r="K29" s="88">
        <f t="shared" si="0"/>
        <v>2</v>
      </c>
      <c r="L29" s="38">
        <f t="shared" si="3"/>
        <v>409.05</v>
      </c>
      <c r="M29" s="38">
        <f>ROUND((K29*L29),2)</f>
        <v>818.1</v>
      </c>
      <c r="N29" s="128" t="s">
        <v>156</v>
      </c>
      <c r="O29" s="16"/>
      <c r="P29" s="51"/>
      <c r="Q29" s="1"/>
      <c r="R29" s="15"/>
      <c r="S29" s="40">
        <f t="shared" si="9"/>
        <v>0</v>
      </c>
      <c r="T29" s="52">
        <f t="shared" si="5"/>
        <v>409.05</v>
      </c>
      <c r="U29" s="52">
        <f t="shared" si="6"/>
        <v>818.1</v>
      </c>
      <c r="V29" s="41">
        <f t="shared" si="7"/>
        <v>0</v>
      </c>
      <c r="W29" s="41">
        <f t="shared" si="8"/>
        <v>1</v>
      </c>
      <c r="X29" s="28"/>
      <c r="Y29" s="50"/>
      <c r="Z29" s="61" t="s">
        <v>178</v>
      </c>
      <c r="AA29" s="61"/>
      <c r="AB29" s="61"/>
      <c r="AC29" s="61"/>
    </row>
    <row r="30" spans="1:29" x14ac:dyDescent="0.25">
      <c r="A30" s="55"/>
      <c r="B30" s="1" t="s">
        <v>700</v>
      </c>
      <c r="C30" s="4" t="s">
        <v>701</v>
      </c>
      <c r="D30" s="139" t="s">
        <v>39</v>
      </c>
      <c r="E30" s="126" t="s">
        <v>176</v>
      </c>
      <c r="F30" s="54">
        <v>1</v>
      </c>
      <c r="G30" s="15">
        <v>2539.08</v>
      </c>
      <c r="H30" s="9">
        <f t="shared" si="1"/>
        <v>1839.91</v>
      </c>
      <c r="I30" s="10">
        <f t="shared" si="2"/>
        <v>1839.91</v>
      </c>
      <c r="J30" s="42"/>
      <c r="K30" s="89">
        <f t="shared" si="0"/>
        <v>1</v>
      </c>
      <c r="L30" s="9">
        <f t="shared" si="3"/>
        <v>1839.91</v>
      </c>
      <c r="M30" s="9">
        <f t="shared" si="4"/>
        <v>1839.91</v>
      </c>
      <c r="N30" s="8" t="s">
        <v>156</v>
      </c>
      <c r="O30" s="12"/>
      <c r="P30" s="51"/>
      <c r="Q30" s="3"/>
      <c r="R30" s="13"/>
      <c r="S30" s="14">
        <f t="shared" si="9"/>
        <v>0</v>
      </c>
      <c r="T30" s="14">
        <f t="shared" si="5"/>
        <v>1839.91</v>
      </c>
      <c r="U30" s="14">
        <f t="shared" si="6"/>
        <v>1839.91</v>
      </c>
      <c r="V30" s="29">
        <f t="shared" si="7"/>
        <v>0</v>
      </c>
      <c r="W30" s="29">
        <f t="shared" si="8"/>
        <v>1</v>
      </c>
      <c r="X30" s="27"/>
      <c r="Y30" s="50"/>
      <c r="Z30" s="61"/>
      <c r="AA30" s="61"/>
      <c r="AB30" s="61"/>
      <c r="AC30" s="61"/>
    </row>
    <row r="31" spans="1:29" x14ac:dyDescent="0.25">
      <c r="A31" s="55"/>
      <c r="B31" s="2"/>
      <c r="C31" s="6"/>
      <c r="D31" s="139"/>
      <c r="E31" s="126"/>
      <c r="F31" s="53"/>
      <c r="G31" s="8"/>
      <c r="H31" s="38">
        <f t="shared" si="1"/>
        <v>0</v>
      </c>
      <c r="I31" s="39">
        <f t="shared" si="2"/>
        <v>0</v>
      </c>
      <c r="J31" s="42"/>
      <c r="K31" s="88">
        <f t="shared" si="0"/>
        <v>0</v>
      </c>
      <c r="L31" s="38">
        <f t="shared" si="3"/>
        <v>0</v>
      </c>
      <c r="M31" s="38">
        <f t="shared" si="4"/>
        <v>0</v>
      </c>
      <c r="N31" s="128" t="s">
        <v>156</v>
      </c>
      <c r="O31" s="16"/>
      <c r="P31" s="51"/>
      <c r="Q31" s="1"/>
      <c r="R31" s="15"/>
      <c r="S31" s="40">
        <f>ROUND(IF($S$17=$R$17,R31,IF($S$17="USD $",R31*$E$15,R31*$F$15))*F31,2)</f>
        <v>0</v>
      </c>
      <c r="T31" s="52">
        <f t="shared" si="5"/>
        <v>0</v>
      </c>
      <c r="U31" s="52">
        <f t="shared" si="6"/>
        <v>0</v>
      </c>
      <c r="V31" s="41">
        <f t="shared" si="7"/>
        <v>0</v>
      </c>
      <c r="W31" s="41">
        <f t="shared" si="8"/>
        <v>0</v>
      </c>
      <c r="X31" s="28"/>
      <c r="Y31" s="50"/>
      <c r="Z31" s="61" t="s">
        <v>156</v>
      </c>
      <c r="AA31" s="61"/>
      <c r="AB31" s="61"/>
      <c r="AC31" s="61"/>
    </row>
    <row r="32" spans="1:29" x14ac:dyDescent="0.25">
      <c r="A32" s="55"/>
      <c r="B32" s="1"/>
      <c r="C32" s="4" t="s">
        <v>222</v>
      </c>
      <c r="D32" s="139"/>
      <c r="E32" s="125"/>
      <c r="F32" s="54"/>
      <c r="G32" s="15"/>
      <c r="H32" s="9">
        <f t="shared" si="1"/>
        <v>0</v>
      </c>
      <c r="I32" s="10">
        <f t="shared" si="2"/>
        <v>0</v>
      </c>
      <c r="J32" s="42"/>
      <c r="K32" s="89">
        <f t="shared" si="0"/>
        <v>0</v>
      </c>
      <c r="L32" s="9">
        <f t="shared" si="3"/>
        <v>0</v>
      </c>
      <c r="M32" s="9">
        <f t="shared" si="4"/>
        <v>0</v>
      </c>
      <c r="N32" s="8" t="s">
        <v>156</v>
      </c>
      <c r="O32" s="12"/>
      <c r="P32" s="51"/>
      <c r="Q32" s="3"/>
      <c r="R32" s="13"/>
      <c r="S32" s="14">
        <f t="shared" si="9"/>
        <v>0</v>
      </c>
      <c r="T32" s="14">
        <f t="shared" si="5"/>
        <v>0</v>
      </c>
      <c r="U32" s="14">
        <f t="shared" si="6"/>
        <v>0</v>
      </c>
      <c r="V32" s="29">
        <f t="shared" si="7"/>
        <v>0</v>
      </c>
      <c r="W32" s="29">
        <f t="shared" si="8"/>
        <v>0</v>
      </c>
      <c r="X32" s="27"/>
      <c r="Y32" s="50"/>
      <c r="Z32" s="61" t="s">
        <v>180</v>
      </c>
      <c r="AA32" s="61"/>
      <c r="AB32" s="61"/>
      <c r="AC32" s="61"/>
    </row>
    <row r="33" spans="1:29" x14ac:dyDescent="0.25">
      <c r="A33" s="55"/>
      <c r="B33" s="2" t="s">
        <v>702</v>
      </c>
      <c r="C33" s="6" t="s">
        <v>703</v>
      </c>
      <c r="D33" s="139" t="s">
        <v>21</v>
      </c>
      <c r="E33" s="126">
        <v>10000</v>
      </c>
      <c r="F33" s="53">
        <v>1</v>
      </c>
      <c r="G33" s="8">
        <v>20378.21</v>
      </c>
      <c r="H33" s="38">
        <f t="shared" si="1"/>
        <v>14766.82</v>
      </c>
      <c r="I33" s="39">
        <f t="shared" si="2"/>
        <v>14766.82</v>
      </c>
      <c r="J33" s="42"/>
      <c r="K33" s="88">
        <f t="shared" si="0"/>
        <v>1</v>
      </c>
      <c r="L33" s="38">
        <f t="shared" si="3"/>
        <v>14766.82</v>
      </c>
      <c r="M33" s="38">
        <f t="shared" si="4"/>
        <v>14766.82</v>
      </c>
      <c r="N33" s="128" t="s">
        <v>156</v>
      </c>
      <c r="O33" s="16"/>
      <c r="P33" s="51"/>
      <c r="Q33" s="1"/>
      <c r="R33" s="15"/>
      <c r="S33" s="40">
        <f t="shared" si="9"/>
        <v>0</v>
      </c>
      <c r="T33" s="52">
        <f t="shared" si="5"/>
        <v>14766.82</v>
      </c>
      <c r="U33" s="52">
        <f t="shared" si="6"/>
        <v>14766.82</v>
      </c>
      <c r="V33" s="41">
        <f t="shared" si="7"/>
        <v>0</v>
      </c>
      <c r="W33" s="41">
        <f t="shared" si="8"/>
        <v>1</v>
      </c>
      <c r="X33" s="28"/>
      <c r="Y33" s="50"/>
      <c r="Z33" s="61"/>
      <c r="AA33" s="61"/>
      <c r="AB33" s="61"/>
      <c r="AC33" s="61"/>
    </row>
    <row r="34" spans="1:29" x14ac:dyDescent="0.25">
      <c r="A34" s="55"/>
      <c r="B34" s="1" t="s">
        <v>704</v>
      </c>
      <c r="C34" s="4" t="s">
        <v>203</v>
      </c>
      <c r="D34" s="139" t="s">
        <v>15</v>
      </c>
      <c r="E34" s="126" t="s">
        <v>176</v>
      </c>
      <c r="F34" s="54">
        <v>1</v>
      </c>
      <c r="G34" s="15">
        <v>7892.29</v>
      </c>
      <c r="H34" s="9">
        <f t="shared" si="1"/>
        <v>5719.05</v>
      </c>
      <c r="I34" s="10">
        <f t="shared" si="2"/>
        <v>5719.05</v>
      </c>
      <c r="J34" s="42"/>
      <c r="K34" s="89">
        <f t="shared" si="0"/>
        <v>1</v>
      </c>
      <c r="L34" s="9">
        <f t="shared" si="3"/>
        <v>5719.05</v>
      </c>
      <c r="M34" s="9">
        <f t="shared" si="4"/>
        <v>5719.05</v>
      </c>
      <c r="N34" s="8" t="s">
        <v>156</v>
      </c>
      <c r="O34" s="12"/>
      <c r="P34" s="51"/>
      <c r="Q34" s="3"/>
      <c r="R34" s="13"/>
      <c r="S34" s="14">
        <f t="shared" si="9"/>
        <v>0</v>
      </c>
      <c r="T34" s="14">
        <f t="shared" si="5"/>
        <v>5719.05</v>
      </c>
      <c r="U34" s="14">
        <f t="shared" si="6"/>
        <v>5719.05</v>
      </c>
      <c r="V34" s="29">
        <f t="shared" si="7"/>
        <v>0</v>
      </c>
      <c r="W34" s="29">
        <f t="shared" si="8"/>
        <v>1</v>
      </c>
      <c r="X34" s="27"/>
      <c r="Y34" s="50"/>
      <c r="Z34" s="61" t="s">
        <v>56</v>
      </c>
      <c r="AA34" s="61"/>
      <c r="AB34" s="61"/>
      <c r="AC34" s="61"/>
    </row>
    <row r="35" spans="1:29" x14ac:dyDescent="0.25">
      <c r="A35" s="55"/>
      <c r="B35" s="2" t="s">
        <v>691</v>
      </c>
      <c r="C35" s="6" t="s">
        <v>204</v>
      </c>
      <c r="D35" s="139" t="s">
        <v>16</v>
      </c>
      <c r="E35" s="126" t="s">
        <v>176</v>
      </c>
      <c r="F35" s="53">
        <v>1</v>
      </c>
      <c r="G35" s="8">
        <v>21773.83</v>
      </c>
      <c r="H35" s="38">
        <f t="shared" si="1"/>
        <v>15778.14</v>
      </c>
      <c r="I35" s="39">
        <f t="shared" si="2"/>
        <v>15778.14</v>
      </c>
      <c r="J35" s="42"/>
      <c r="K35" s="88">
        <f t="shared" si="0"/>
        <v>1</v>
      </c>
      <c r="L35" s="38">
        <f t="shared" si="3"/>
        <v>15778.14</v>
      </c>
      <c r="M35" s="38">
        <f t="shared" si="4"/>
        <v>15778.14</v>
      </c>
      <c r="N35" s="128" t="s">
        <v>156</v>
      </c>
      <c r="O35" s="16"/>
      <c r="P35" s="51"/>
      <c r="Q35" s="1"/>
      <c r="R35" s="15"/>
      <c r="S35" s="40">
        <f t="shared" si="9"/>
        <v>0</v>
      </c>
      <c r="T35" s="52">
        <f t="shared" si="5"/>
        <v>15778.14</v>
      </c>
      <c r="U35" s="52">
        <f t="shared" si="6"/>
        <v>15778.14</v>
      </c>
      <c r="V35" s="41">
        <f t="shared" si="7"/>
        <v>0</v>
      </c>
      <c r="W35" s="41">
        <f t="shared" si="8"/>
        <v>1</v>
      </c>
      <c r="X35" s="28"/>
      <c r="Y35" s="50"/>
      <c r="Z35" s="61" t="s">
        <v>58</v>
      </c>
      <c r="AA35" s="61"/>
      <c r="AB35" s="61"/>
      <c r="AC35" s="61"/>
    </row>
    <row r="36" spans="1:29" x14ac:dyDescent="0.25">
      <c r="A36" s="55"/>
      <c r="B36" s="1" t="s">
        <v>705</v>
      </c>
      <c r="C36" s="4" t="s">
        <v>422</v>
      </c>
      <c r="D36" s="139" t="s">
        <v>17</v>
      </c>
      <c r="E36" s="126" t="s">
        <v>176</v>
      </c>
      <c r="F36" s="54">
        <v>1</v>
      </c>
      <c r="G36" s="15">
        <v>14021.13</v>
      </c>
      <c r="H36" s="9">
        <f t="shared" si="1"/>
        <v>10160.24</v>
      </c>
      <c r="I36" s="10">
        <f t="shared" si="2"/>
        <v>10160.24</v>
      </c>
      <c r="J36" s="42"/>
      <c r="K36" s="89">
        <f t="shared" si="0"/>
        <v>1</v>
      </c>
      <c r="L36" s="9">
        <f t="shared" si="3"/>
        <v>10160.24</v>
      </c>
      <c r="M36" s="9">
        <f t="shared" si="4"/>
        <v>10160.24</v>
      </c>
      <c r="N36" s="8" t="s">
        <v>156</v>
      </c>
      <c r="O36" s="12"/>
      <c r="P36" s="51"/>
      <c r="Q36" s="3"/>
      <c r="R36" s="13"/>
      <c r="S36" s="14">
        <f t="shared" si="9"/>
        <v>0</v>
      </c>
      <c r="T36" s="14">
        <f t="shared" si="5"/>
        <v>10160.24</v>
      </c>
      <c r="U36" s="14">
        <f t="shared" si="6"/>
        <v>10160.24</v>
      </c>
      <c r="V36" s="29">
        <f t="shared" si="7"/>
        <v>0</v>
      </c>
      <c r="W36" s="29">
        <f t="shared" si="8"/>
        <v>1</v>
      </c>
      <c r="X36" s="27"/>
      <c r="Y36" s="50"/>
      <c r="Z36" s="61" t="s">
        <v>57</v>
      </c>
      <c r="AA36" s="61"/>
      <c r="AB36" s="61"/>
      <c r="AC36" s="61"/>
    </row>
    <row r="37" spans="1:29" x14ac:dyDescent="0.25">
      <c r="A37" s="55"/>
      <c r="B37" s="2" t="s">
        <v>656</v>
      </c>
      <c r="C37" s="6" t="s">
        <v>226</v>
      </c>
      <c r="D37" s="139" t="s">
        <v>23</v>
      </c>
      <c r="E37" s="126">
        <v>6000</v>
      </c>
      <c r="F37" s="53">
        <v>1</v>
      </c>
      <c r="G37" s="8">
        <v>10644.01</v>
      </c>
      <c r="H37" s="38">
        <f t="shared" si="1"/>
        <v>7713.05</v>
      </c>
      <c r="I37" s="39">
        <f t="shared" si="2"/>
        <v>7713.05</v>
      </c>
      <c r="J37" s="42"/>
      <c r="K37" s="88">
        <f t="shared" si="0"/>
        <v>1</v>
      </c>
      <c r="L37" s="38">
        <f t="shared" si="3"/>
        <v>7713.05</v>
      </c>
      <c r="M37" s="38">
        <f t="shared" si="4"/>
        <v>7713.05</v>
      </c>
      <c r="N37" s="128" t="s">
        <v>156</v>
      </c>
      <c r="O37" s="16"/>
      <c r="P37" s="51"/>
      <c r="Q37" s="1"/>
      <c r="R37" s="15"/>
      <c r="S37" s="40">
        <f t="shared" si="9"/>
        <v>0</v>
      </c>
      <c r="T37" s="52">
        <f t="shared" si="5"/>
        <v>7713.05</v>
      </c>
      <c r="U37" s="52">
        <f t="shared" si="6"/>
        <v>7713.05</v>
      </c>
      <c r="V37" s="41">
        <f t="shared" si="7"/>
        <v>0</v>
      </c>
      <c r="W37" s="41">
        <f t="shared" si="8"/>
        <v>1</v>
      </c>
      <c r="X37" s="28"/>
      <c r="Y37" s="50"/>
      <c r="Z37" s="61" t="s">
        <v>59</v>
      </c>
      <c r="AA37" s="61"/>
      <c r="AB37" s="61"/>
      <c r="AC37" s="61"/>
    </row>
    <row r="38" spans="1:29" x14ac:dyDescent="0.25">
      <c r="A38" s="55"/>
      <c r="B38" s="1" t="s">
        <v>706</v>
      </c>
      <c r="C38" s="4" t="s">
        <v>227</v>
      </c>
      <c r="D38" s="139" t="s">
        <v>19</v>
      </c>
      <c r="E38" s="126">
        <v>6000</v>
      </c>
      <c r="F38" s="54">
        <v>6</v>
      </c>
      <c r="G38" s="15">
        <v>2273.38</v>
      </c>
      <c r="H38" s="9">
        <f t="shared" si="1"/>
        <v>1647.38</v>
      </c>
      <c r="I38" s="10">
        <f t="shared" si="2"/>
        <v>9884.2800000000007</v>
      </c>
      <c r="J38" s="42"/>
      <c r="K38" s="89">
        <f t="shared" si="0"/>
        <v>6</v>
      </c>
      <c r="L38" s="9">
        <f t="shared" si="3"/>
        <v>1647.38</v>
      </c>
      <c r="M38" s="9">
        <f t="shared" si="4"/>
        <v>9884.2800000000007</v>
      </c>
      <c r="N38" s="8" t="s">
        <v>156</v>
      </c>
      <c r="O38" s="12"/>
      <c r="P38" s="51"/>
      <c r="Q38" s="3"/>
      <c r="R38" s="13"/>
      <c r="S38" s="14">
        <f t="shared" si="9"/>
        <v>0</v>
      </c>
      <c r="T38" s="14">
        <f t="shared" si="5"/>
        <v>1647.38</v>
      </c>
      <c r="U38" s="14">
        <f t="shared" si="6"/>
        <v>9884.2800000000007</v>
      </c>
      <c r="V38" s="29">
        <f t="shared" si="7"/>
        <v>0</v>
      </c>
      <c r="W38" s="29">
        <f t="shared" si="8"/>
        <v>1</v>
      </c>
      <c r="X38" s="28"/>
      <c r="Y38" s="50"/>
      <c r="Z38" s="61" t="s">
        <v>60</v>
      </c>
      <c r="AA38" s="61"/>
      <c r="AB38" s="61"/>
      <c r="AC38" s="61"/>
    </row>
    <row r="39" spans="1:29" x14ac:dyDescent="0.25">
      <c r="A39" s="55"/>
      <c r="B39" s="2"/>
      <c r="C39" s="6"/>
      <c r="D39" s="139"/>
      <c r="E39" s="126"/>
      <c r="F39" s="53"/>
      <c r="G39" s="8"/>
      <c r="H39" s="38">
        <f t="shared" si="1"/>
        <v>0</v>
      </c>
      <c r="I39" s="39">
        <f t="shared" si="2"/>
        <v>0</v>
      </c>
      <c r="J39" s="42"/>
      <c r="K39" s="88">
        <f t="shared" si="0"/>
        <v>0</v>
      </c>
      <c r="L39" s="38">
        <f t="shared" si="3"/>
        <v>0</v>
      </c>
      <c r="M39" s="38">
        <f t="shared" si="4"/>
        <v>0</v>
      </c>
      <c r="N39" s="128" t="s">
        <v>156</v>
      </c>
      <c r="O39" s="16"/>
      <c r="P39" s="51"/>
      <c r="Q39" s="1"/>
      <c r="R39" s="15"/>
      <c r="S39" s="40">
        <f t="shared" si="9"/>
        <v>0</v>
      </c>
      <c r="T39" s="52">
        <f t="shared" si="5"/>
        <v>0</v>
      </c>
      <c r="U39" s="52">
        <f t="shared" si="6"/>
        <v>0</v>
      </c>
      <c r="V39" s="41">
        <f t="shared" si="7"/>
        <v>0</v>
      </c>
      <c r="W39" s="41">
        <f t="shared" si="8"/>
        <v>0</v>
      </c>
      <c r="X39" s="28"/>
      <c r="Y39" s="50"/>
      <c r="Z39" s="61" t="s">
        <v>61</v>
      </c>
      <c r="AA39" s="61"/>
      <c r="AB39" s="61"/>
      <c r="AC39" s="61"/>
    </row>
    <row r="40" spans="1:29" x14ac:dyDescent="0.25">
      <c r="A40" s="55"/>
      <c r="B40" s="1"/>
      <c r="C40" s="4" t="s">
        <v>228</v>
      </c>
      <c r="D40" s="139"/>
      <c r="E40" s="125"/>
      <c r="F40" s="54"/>
      <c r="G40" s="15"/>
      <c r="H40" s="9">
        <f t="shared" si="1"/>
        <v>0</v>
      </c>
      <c r="I40" s="10">
        <f t="shared" si="2"/>
        <v>0</v>
      </c>
      <c r="J40" s="42"/>
      <c r="K40" s="89">
        <f t="shared" si="0"/>
        <v>0</v>
      </c>
      <c r="L40" s="9">
        <f t="shared" si="3"/>
        <v>0</v>
      </c>
      <c r="M40" s="9">
        <f t="shared" si="4"/>
        <v>0</v>
      </c>
      <c r="N40" s="8" t="s">
        <v>156</v>
      </c>
      <c r="O40" s="12"/>
      <c r="P40" s="51"/>
      <c r="Q40" s="3"/>
      <c r="R40" s="13"/>
      <c r="S40" s="14">
        <f t="shared" si="9"/>
        <v>0</v>
      </c>
      <c r="T40" s="14">
        <f t="shared" si="5"/>
        <v>0</v>
      </c>
      <c r="U40" s="14">
        <f t="shared" si="6"/>
        <v>0</v>
      </c>
      <c r="V40" s="29">
        <f t="shared" si="7"/>
        <v>0</v>
      </c>
      <c r="W40" s="29">
        <f t="shared" si="8"/>
        <v>0</v>
      </c>
      <c r="X40" s="28"/>
      <c r="Y40" s="50"/>
      <c r="Z40" s="61" t="s">
        <v>62</v>
      </c>
      <c r="AA40" s="61"/>
      <c r="AB40" s="61"/>
      <c r="AC40" s="61"/>
    </row>
    <row r="41" spans="1:29" x14ac:dyDescent="0.25">
      <c r="A41" s="55"/>
      <c r="B41" s="2" t="s">
        <v>707</v>
      </c>
      <c r="C41" s="6" t="s">
        <v>229</v>
      </c>
      <c r="D41" s="139" t="s">
        <v>41</v>
      </c>
      <c r="E41" s="126">
        <v>4000</v>
      </c>
      <c r="F41" s="53">
        <v>4</v>
      </c>
      <c r="G41" s="360">
        <v>15116.85</v>
      </c>
      <c r="H41" s="38">
        <f t="shared" si="1"/>
        <v>10954.24</v>
      </c>
      <c r="I41" s="39">
        <f t="shared" si="2"/>
        <v>43816.959999999999</v>
      </c>
      <c r="J41" s="42"/>
      <c r="K41" s="88">
        <f t="shared" si="0"/>
        <v>4</v>
      </c>
      <c r="L41" s="38">
        <f t="shared" si="3"/>
        <v>10954.24</v>
      </c>
      <c r="M41" s="38">
        <f t="shared" si="4"/>
        <v>43816.959999999999</v>
      </c>
      <c r="N41" s="128" t="s">
        <v>156</v>
      </c>
      <c r="O41" s="16"/>
      <c r="P41" s="51"/>
      <c r="Q41" s="1"/>
      <c r="R41" s="15"/>
      <c r="S41" s="40">
        <f t="shared" si="9"/>
        <v>0</v>
      </c>
      <c r="T41" s="52">
        <f t="shared" si="5"/>
        <v>10954.24</v>
      </c>
      <c r="U41" s="52">
        <f t="shared" si="6"/>
        <v>43816.959999999999</v>
      </c>
      <c r="V41" s="41">
        <f t="shared" si="7"/>
        <v>0</v>
      </c>
      <c r="W41" s="41">
        <f t="shared" si="8"/>
        <v>1</v>
      </c>
      <c r="X41" s="28"/>
      <c r="Y41" s="50"/>
      <c r="Z41" s="61" t="s">
        <v>63</v>
      </c>
      <c r="AA41" s="61"/>
      <c r="AB41" s="61"/>
      <c r="AC41" s="61"/>
    </row>
    <row r="42" spans="1:29" x14ac:dyDescent="0.25">
      <c r="A42" s="55"/>
      <c r="B42" s="1"/>
      <c r="C42" s="4"/>
      <c r="D42" s="139"/>
      <c r="E42" s="126"/>
      <c r="F42" s="54"/>
      <c r="G42" s="15"/>
      <c r="H42" s="9">
        <f t="shared" si="1"/>
        <v>0</v>
      </c>
      <c r="I42" s="10">
        <f t="shared" si="2"/>
        <v>0</v>
      </c>
      <c r="J42" s="42"/>
      <c r="K42" s="89">
        <f t="shared" si="0"/>
        <v>0</v>
      </c>
      <c r="L42" s="9">
        <f t="shared" si="3"/>
        <v>0</v>
      </c>
      <c r="M42" s="9">
        <f t="shared" si="4"/>
        <v>0</v>
      </c>
      <c r="N42" s="8" t="s">
        <v>156</v>
      </c>
      <c r="O42" s="12"/>
      <c r="P42" s="51"/>
      <c r="Q42" s="3"/>
      <c r="R42" s="13"/>
      <c r="S42" s="14">
        <f t="shared" si="9"/>
        <v>0</v>
      </c>
      <c r="T42" s="14">
        <f t="shared" si="5"/>
        <v>0</v>
      </c>
      <c r="U42" s="14">
        <f t="shared" si="6"/>
        <v>0</v>
      </c>
      <c r="V42" s="29">
        <f t="shared" si="7"/>
        <v>0</v>
      </c>
      <c r="W42" s="29">
        <f t="shared" si="8"/>
        <v>0</v>
      </c>
      <c r="X42" s="28"/>
      <c r="Y42" s="50"/>
      <c r="Z42" s="61" t="s">
        <v>189</v>
      </c>
      <c r="AA42" s="61"/>
      <c r="AB42" s="61"/>
      <c r="AC42" s="61"/>
    </row>
    <row r="43" spans="1:29" x14ac:dyDescent="0.25">
      <c r="A43" s="55"/>
      <c r="B43" s="2"/>
      <c r="C43" s="6" t="s">
        <v>230</v>
      </c>
      <c r="D43" s="139"/>
      <c r="E43" s="126"/>
      <c r="F43" s="53"/>
      <c r="G43" s="8"/>
      <c r="H43" s="38">
        <f t="shared" si="1"/>
        <v>0</v>
      </c>
      <c r="I43" s="39">
        <f t="shared" si="2"/>
        <v>0</v>
      </c>
      <c r="J43" s="42"/>
      <c r="K43" s="88">
        <f t="shared" si="0"/>
        <v>0</v>
      </c>
      <c r="L43" s="38">
        <f t="shared" si="3"/>
        <v>0</v>
      </c>
      <c r="M43" s="38">
        <f t="shared" si="4"/>
        <v>0</v>
      </c>
      <c r="N43" s="128" t="s">
        <v>156</v>
      </c>
      <c r="O43" s="16"/>
      <c r="P43" s="51"/>
      <c r="Q43" s="1"/>
      <c r="R43" s="15"/>
      <c r="S43" s="40">
        <f t="shared" si="9"/>
        <v>0</v>
      </c>
      <c r="T43" s="52">
        <f t="shared" si="5"/>
        <v>0</v>
      </c>
      <c r="U43" s="52">
        <f t="shared" si="6"/>
        <v>0</v>
      </c>
      <c r="V43" s="41">
        <f t="shared" si="7"/>
        <v>0</v>
      </c>
      <c r="W43" s="41">
        <f t="shared" si="8"/>
        <v>0</v>
      </c>
      <c r="X43" s="28"/>
      <c r="Y43" s="50"/>
      <c r="Z43" s="61" t="s">
        <v>64</v>
      </c>
      <c r="AA43" s="61"/>
      <c r="AB43" s="61"/>
      <c r="AC43" s="61"/>
    </row>
    <row r="44" spans="1:29" x14ac:dyDescent="0.25">
      <c r="A44" s="55"/>
      <c r="B44" s="1" t="s">
        <v>708</v>
      </c>
      <c r="C44" s="4" t="s">
        <v>709</v>
      </c>
      <c r="D44" s="139" t="s">
        <v>42</v>
      </c>
      <c r="E44" s="362">
        <v>400</v>
      </c>
      <c r="F44" s="54">
        <v>1</v>
      </c>
      <c r="G44" s="363">
        <v>9660</v>
      </c>
      <c r="H44" s="9">
        <f t="shared" si="1"/>
        <v>7000</v>
      </c>
      <c r="I44" s="10">
        <f t="shared" si="2"/>
        <v>7000</v>
      </c>
      <c r="J44" s="42"/>
      <c r="K44" s="89">
        <f t="shared" si="0"/>
        <v>1</v>
      </c>
      <c r="L44" s="9">
        <f t="shared" si="3"/>
        <v>7000</v>
      </c>
      <c r="M44" s="9">
        <f t="shared" si="4"/>
        <v>7000</v>
      </c>
      <c r="N44" s="8" t="s">
        <v>156</v>
      </c>
      <c r="O44" s="12"/>
      <c r="P44" s="51"/>
      <c r="Q44" s="3"/>
      <c r="R44" s="13"/>
      <c r="S44" s="14">
        <f t="shared" si="9"/>
        <v>0</v>
      </c>
      <c r="T44" s="14">
        <f t="shared" si="5"/>
        <v>7000</v>
      </c>
      <c r="U44" s="14">
        <f t="shared" si="6"/>
        <v>7000</v>
      </c>
      <c r="V44" s="29">
        <f t="shared" si="7"/>
        <v>0</v>
      </c>
      <c r="W44" s="29">
        <f t="shared" si="8"/>
        <v>1</v>
      </c>
      <c r="X44" s="28"/>
      <c r="Y44" s="50"/>
      <c r="Z44" s="61" t="s">
        <v>191</v>
      </c>
      <c r="AA44" s="61"/>
      <c r="AB44" s="61"/>
      <c r="AC44" s="61"/>
    </row>
    <row r="45" spans="1:29" x14ac:dyDescent="0.25">
      <c r="A45" s="55"/>
      <c r="B45" s="1" t="s">
        <v>537</v>
      </c>
      <c r="C45" s="4" t="s">
        <v>207</v>
      </c>
      <c r="D45" s="139" t="s">
        <v>42</v>
      </c>
      <c r="E45" s="126" t="s">
        <v>176</v>
      </c>
      <c r="F45" s="54">
        <v>8</v>
      </c>
      <c r="G45" s="8">
        <v>4.46</v>
      </c>
      <c r="H45" s="38">
        <f t="shared" si="1"/>
        <v>3.23</v>
      </c>
      <c r="I45" s="39">
        <f t="shared" si="2"/>
        <v>25.84</v>
      </c>
      <c r="J45" s="42"/>
      <c r="K45" s="88">
        <f t="shared" si="0"/>
        <v>8</v>
      </c>
      <c r="L45" s="38">
        <f t="shared" si="3"/>
        <v>3.23</v>
      </c>
      <c r="M45" s="38">
        <f t="shared" si="4"/>
        <v>25.84</v>
      </c>
      <c r="N45" s="128" t="s">
        <v>156</v>
      </c>
      <c r="O45" s="16"/>
      <c r="P45" s="51"/>
      <c r="Q45" s="1"/>
      <c r="R45" s="15"/>
      <c r="S45" s="40">
        <f t="shared" si="9"/>
        <v>0</v>
      </c>
      <c r="T45" s="52">
        <f t="shared" si="5"/>
        <v>3.23</v>
      </c>
      <c r="U45" s="52">
        <f t="shared" si="6"/>
        <v>25.84</v>
      </c>
      <c r="V45" s="41">
        <f t="shared" si="7"/>
        <v>0</v>
      </c>
      <c r="W45" s="41">
        <f t="shared" si="8"/>
        <v>1</v>
      </c>
      <c r="X45" s="28"/>
      <c r="Y45" s="50"/>
      <c r="Z45" s="61" t="s">
        <v>193</v>
      </c>
      <c r="AA45" s="61"/>
      <c r="AB45" s="61"/>
      <c r="AC45" s="61"/>
    </row>
    <row r="46" spans="1:29" x14ac:dyDescent="0.25">
      <c r="A46" s="55"/>
      <c r="B46" s="1" t="s">
        <v>535</v>
      </c>
      <c r="C46" s="4" t="s">
        <v>232</v>
      </c>
      <c r="D46" s="139" t="s">
        <v>42</v>
      </c>
      <c r="E46" s="126" t="s">
        <v>176</v>
      </c>
      <c r="F46" s="54">
        <v>8</v>
      </c>
      <c r="G46" s="15">
        <v>3.59</v>
      </c>
      <c r="H46" s="9">
        <f t="shared" si="1"/>
        <v>2.6</v>
      </c>
      <c r="I46" s="10">
        <f t="shared" si="2"/>
        <v>20.8</v>
      </c>
      <c r="J46" s="42"/>
      <c r="K46" s="89">
        <f t="shared" si="0"/>
        <v>8</v>
      </c>
      <c r="L46" s="9">
        <f t="shared" si="3"/>
        <v>2.6</v>
      </c>
      <c r="M46" s="9">
        <f t="shared" si="4"/>
        <v>20.8</v>
      </c>
      <c r="N46" s="8" t="s">
        <v>156</v>
      </c>
      <c r="O46" s="12"/>
      <c r="P46" s="51"/>
      <c r="Q46" s="3"/>
      <c r="R46" s="13"/>
      <c r="S46" s="14">
        <f t="shared" si="9"/>
        <v>0</v>
      </c>
      <c r="T46" s="14">
        <f t="shared" si="5"/>
        <v>2.6</v>
      </c>
      <c r="U46" s="14">
        <f t="shared" si="6"/>
        <v>20.8</v>
      </c>
      <c r="V46" s="29">
        <f t="shared" si="7"/>
        <v>0</v>
      </c>
      <c r="W46" s="29">
        <f t="shared" si="8"/>
        <v>1</v>
      </c>
      <c r="X46" s="28"/>
      <c r="Y46" s="50"/>
      <c r="Z46" s="61" t="s">
        <v>65</v>
      </c>
      <c r="AA46" s="61"/>
      <c r="AB46" s="61"/>
      <c r="AC46" s="61"/>
    </row>
    <row r="47" spans="1:29" x14ac:dyDescent="0.25">
      <c r="A47" s="55"/>
      <c r="B47" s="2"/>
      <c r="C47" s="6"/>
      <c r="D47" s="139"/>
      <c r="E47" s="126"/>
      <c r="F47" s="53"/>
      <c r="G47" s="8"/>
      <c r="H47" s="38"/>
      <c r="I47" s="39"/>
      <c r="J47" s="42"/>
      <c r="K47" s="88"/>
      <c r="L47" s="38"/>
      <c r="M47" s="38"/>
      <c r="N47" s="128"/>
      <c r="O47" s="16"/>
      <c r="P47" s="51"/>
      <c r="Q47" s="1"/>
      <c r="R47" s="15"/>
      <c r="S47" s="40"/>
      <c r="T47" s="52"/>
      <c r="U47" s="52"/>
      <c r="V47" s="41"/>
      <c r="W47" s="41"/>
      <c r="X47" s="28"/>
      <c r="Y47" s="50"/>
      <c r="Z47" s="61"/>
      <c r="AA47" s="61"/>
      <c r="AB47" s="61"/>
      <c r="AC47" s="61"/>
    </row>
    <row r="48" spans="1:29" x14ac:dyDescent="0.25">
      <c r="A48" s="55"/>
      <c r="B48" s="1" t="s">
        <v>689</v>
      </c>
      <c r="C48" s="4" t="s">
        <v>200</v>
      </c>
      <c r="D48" s="139" t="s">
        <v>18</v>
      </c>
      <c r="E48" s="125" t="s">
        <v>176</v>
      </c>
      <c r="F48" s="54">
        <v>1</v>
      </c>
      <c r="G48" s="8">
        <v>1904.72</v>
      </c>
      <c r="H48" s="9">
        <f t="shared" si="1"/>
        <v>1380.23</v>
      </c>
      <c r="I48" s="10">
        <f t="shared" si="2"/>
        <v>1380.23</v>
      </c>
      <c r="J48" s="42"/>
      <c r="K48" s="89">
        <f t="shared" si="0"/>
        <v>1</v>
      </c>
      <c r="L48" s="9">
        <f t="shared" si="3"/>
        <v>1380.23</v>
      </c>
      <c r="M48" s="9">
        <f t="shared" si="4"/>
        <v>1380.23</v>
      </c>
      <c r="N48" s="8" t="s">
        <v>156</v>
      </c>
      <c r="O48" s="12"/>
      <c r="P48" s="51"/>
      <c r="Q48" s="3"/>
      <c r="R48" s="13"/>
      <c r="S48" s="14">
        <f t="shared" si="9"/>
        <v>0</v>
      </c>
      <c r="T48" s="14">
        <f t="shared" si="5"/>
        <v>1380.23</v>
      </c>
      <c r="U48" s="14">
        <f t="shared" si="6"/>
        <v>1380.23</v>
      </c>
      <c r="V48" s="29">
        <f t="shared" si="7"/>
        <v>0</v>
      </c>
      <c r="W48" s="29">
        <f t="shared" si="8"/>
        <v>1</v>
      </c>
      <c r="X48" s="28"/>
      <c r="Y48" s="50"/>
      <c r="Z48" s="61" t="s">
        <v>196</v>
      </c>
      <c r="AA48" s="61"/>
      <c r="AB48" s="61"/>
      <c r="AC48" s="61"/>
    </row>
    <row r="49" spans="1:29" x14ac:dyDescent="0.25">
      <c r="A49" s="55"/>
      <c r="B49" s="1"/>
      <c r="C49" s="4"/>
      <c r="D49" s="139"/>
      <c r="E49" s="125"/>
      <c r="F49" s="54"/>
      <c r="G49" s="8"/>
      <c r="H49" s="38">
        <f t="shared" si="1"/>
        <v>0</v>
      </c>
      <c r="I49" s="39">
        <f t="shared" si="2"/>
        <v>0</v>
      </c>
      <c r="J49" s="42"/>
      <c r="K49" s="88">
        <f t="shared" si="0"/>
        <v>0</v>
      </c>
      <c r="L49" s="38">
        <f t="shared" si="3"/>
        <v>0</v>
      </c>
      <c r="M49" s="38">
        <f t="shared" si="4"/>
        <v>0</v>
      </c>
      <c r="N49" s="128" t="s">
        <v>156</v>
      </c>
      <c r="O49" s="16"/>
      <c r="P49" s="51"/>
      <c r="Q49" s="1"/>
      <c r="R49" s="15"/>
      <c r="S49" s="40">
        <f t="shared" si="9"/>
        <v>0</v>
      </c>
      <c r="T49" s="52">
        <f t="shared" si="5"/>
        <v>0</v>
      </c>
      <c r="U49" s="52">
        <f t="shared" si="6"/>
        <v>0</v>
      </c>
      <c r="V49" s="41">
        <f t="shared" si="7"/>
        <v>0</v>
      </c>
      <c r="W49" s="41">
        <f t="shared" si="8"/>
        <v>0</v>
      </c>
      <c r="X49" s="28"/>
      <c r="Y49" s="50"/>
      <c r="Z49" s="61"/>
      <c r="AA49" s="61"/>
      <c r="AB49" s="61"/>
      <c r="AC49" s="61"/>
    </row>
    <row r="50" spans="1:29" x14ac:dyDescent="0.25">
      <c r="A50" s="55"/>
      <c r="B50" s="1"/>
      <c r="C50" s="4"/>
      <c r="D50" s="139"/>
      <c r="E50" s="125"/>
      <c r="F50" s="54"/>
      <c r="G50" s="15"/>
      <c r="H50" s="9">
        <f t="shared" si="1"/>
        <v>0</v>
      </c>
      <c r="I50" s="10">
        <f t="shared" si="2"/>
        <v>0</v>
      </c>
      <c r="J50" s="42"/>
      <c r="K50" s="89">
        <f t="shared" si="0"/>
        <v>0</v>
      </c>
      <c r="L50" s="9">
        <f t="shared" si="3"/>
        <v>0</v>
      </c>
      <c r="M50" s="9">
        <f t="shared" si="4"/>
        <v>0</v>
      </c>
      <c r="N50" s="8" t="s">
        <v>156</v>
      </c>
      <c r="O50" s="12"/>
      <c r="P50" s="51"/>
      <c r="Q50" s="3"/>
      <c r="R50" s="13"/>
      <c r="S50" s="14">
        <f t="shared" si="9"/>
        <v>0</v>
      </c>
      <c r="T50" s="14">
        <f t="shared" si="5"/>
        <v>0</v>
      </c>
      <c r="U50" s="14">
        <f t="shared" si="6"/>
        <v>0</v>
      </c>
      <c r="V50" s="29">
        <f t="shared" si="7"/>
        <v>0</v>
      </c>
      <c r="W50" s="29">
        <f t="shared" si="8"/>
        <v>0</v>
      </c>
      <c r="X50" s="28"/>
      <c r="Y50" s="50"/>
      <c r="Z50" s="61"/>
      <c r="AA50" s="61"/>
      <c r="AB50" s="61"/>
      <c r="AC50" s="61"/>
    </row>
    <row r="51" spans="1:29" x14ac:dyDescent="0.25">
      <c r="A51" s="55"/>
      <c r="B51" s="1"/>
      <c r="C51" s="4"/>
      <c r="D51" s="139"/>
      <c r="E51" s="125"/>
      <c r="F51" s="54"/>
      <c r="G51" s="15"/>
      <c r="H51" s="38">
        <f t="shared" si="1"/>
        <v>0</v>
      </c>
      <c r="I51" s="39">
        <f t="shared" si="2"/>
        <v>0</v>
      </c>
      <c r="J51" s="42"/>
      <c r="K51" s="88">
        <f t="shared" si="0"/>
        <v>0</v>
      </c>
      <c r="L51" s="38">
        <f t="shared" si="3"/>
        <v>0</v>
      </c>
      <c r="M51" s="38">
        <f t="shared" si="4"/>
        <v>0</v>
      </c>
      <c r="N51" s="128" t="s">
        <v>156</v>
      </c>
      <c r="O51" s="16"/>
      <c r="P51" s="51"/>
      <c r="Q51" s="1"/>
      <c r="R51" s="15"/>
      <c r="S51" s="40">
        <f t="shared" si="9"/>
        <v>0</v>
      </c>
      <c r="T51" s="52">
        <f t="shared" si="5"/>
        <v>0</v>
      </c>
      <c r="U51" s="52">
        <f t="shared" si="6"/>
        <v>0</v>
      </c>
      <c r="V51" s="41">
        <f t="shared" si="7"/>
        <v>0</v>
      </c>
      <c r="W51" s="41">
        <f t="shared" si="8"/>
        <v>0</v>
      </c>
      <c r="X51" s="28"/>
      <c r="Y51" s="50"/>
      <c r="Z51" s="61"/>
      <c r="AA51" s="61"/>
      <c r="AB51" s="61"/>
      <c r="AC51" s="61"/>
    </row>
    <row r="52" spans="1:29" x14ac:dyDescent="0.25">
      <c r="A52" s="55"/>
      <c r="B52" s="1"/>
      <c r="C52" s="4"/>
      <c r="D52" s="139"/>
      <c r="E52" s="125"/>
      <c r="F52" s="54"/>
      <c r="G52" s="8"/>
      <c r="H52" s="9">
        <f t="shared" si="1"/>
        <v>0</v>
      </c>
      <c r="I52" s="10">
        <f t="shared" si="2"/>
        <v>0</v>
      </c>
      <c r="J52" s="42"/>
      <c r="K52" s="89">
        <f t="shared" si="0"/>
        <v>0</v>
      </c>
      <c r="L52" s="9">
        <f t="shared" si="3"/>
        <v>0</v>
      </c>
      <c r="M52" s="9">
        <f t="shared" si="4"/>
        <v>0</v>
      </c>
      <c r="N52" s="8" t="s">
        <v>156</v>
      </c>
      <c r="O52" s="12"/>
      <c r="P52" s="51"/>
      <c r="Q52" s="3"/>
      <c r="R52" s="13"/>
      <c r="S52" s="14">
        <f t="shared" si="9"/>
        <v>0</v>
      </c>
      <c r="T52" s="14">
        <f t="shared" si="5"/>
        <v>0</v>
      </c>
      <c r="U52" s="14">
        <f t="shared" si="6"/>
        <v>0</v>
      </c>
      <c r="V52" s="29">
        <f t="shared" si="7"/>
        <v>0</v>
      </c>
      <c r="W52" s="29">
        <f t="shared" si="8"/>
        <v>0</v>
      </c>
      <c r="X52" s="28"/>
      <c r="Y52" s="50"/>
      <c r="Z52" s="61"/>
      <c r="AA52" s="61"/>
      <c r="AB52" s="61"/>
      <c r="AC52" s="61"/>
    </row>
    <row r="53" spans="1:29" x14ac:dyDescent="0.25">
      <c r="A53" s="55"/>
      <c r="B53" s="1"/>
      <c r="C53" s="4"/>
      <c r="D53" s="139"/>
      <c r="E53" s="126"/>
      <c r="F53" s="54"/>
      <c r="G53" s="15"/>
      <c r="H53" s="38">
        <f t="shared" si="1"/>
        <v>0</v>
      </c>
      <c r="I53" s="39">
        <f t="shared" si="2"/>
        <v>0</v>
      </c>
      <c r="J53" s="42"/>
      <c r="K53" s="88">
        <f t="shared" si="0"/>
        <v>0</v>
      </c>
      <c r="L53" s="38">
        <f t="shared" si="3"/>
        <v>0</v>
      </c>
      <c r="M53" s="38">
        <f t="shared" si="4"/>
        <v>0</v>
      </c>
      <c r="N53" s="128" t="s">
        <v>156</v>
      </c>
      <c r="O53" s="16"/>
      <c r="P53" s="51"/>
      <c r="Q53" s="1"/>
      <c r="R53" s="15"/>
      <c r="S53" s="40">
        <f t="shared" si="9"/>
        <v>0</v>
      </c>
      <c r="T53" s="52">
        <f t="shared" si="5"/>
        <v>0</v>
      </c>
      <c r="U53" s="52">
        <f t="shared" si="6"/>
        <v>0</v>
      </c>
      <c r="V53" s="41">
        <f t="shared" si="7"/>
        <v>0</v>
      </c>
      <c r="W53" s="41">
        <f t="shared" si="8"/>
        <v>0</v>
      </c>
      <c r="X53" s="28"/>
      <c r="Y53" s="50"/>
      <c r="Z53" s="61"/>
      <c r="AA53" s="61"/>
      <c r="AB53" s="61"/>
      <c r="AC53" s="61"/>
    </row>
    <row r="54" spans="1:29" x14ac:dyDescent="0.25">
      <c r="A54" s="55"/>
      <c r="B54" s="2"/>
      <c r="C54" s="6"/>
      <c r="D54" s="139"/>
      <c r="E54" s="126"/>
      <c r="F54" s="53"/>
      <c r="G54" s="8"/>
      <c r="H54" s="9">
        <f t="shared" si="1"/>
        <v>0</v>
      </c>
      <c r="I54" s="10">
        <f t="shared" si="2"/>
        <v>0</v>
      </c>
      <c r="J54" s="42"/>
      <c r="K54" s="89">
        <f t="shared" si="0"/>
        <v>0</v>
      </c>
      <c r="L54" s="9">
        <f t="shared" si="3"/>
        <v>0</v>
      </c>
      <c r="M54" s="9">
        <f t="shared" si="4"/>
        <v>0</v>
      </c>
      <c r="N54" s="8" t="s">
        <v>156</v>
      </c>
      <c r="O54" s="12"/>
      <c r="P54" s="51"/>
      <c r="Q54" s="3"/>
      <c r="R54" s="13"/>
      <c r="S54" s="14">
        <f t="shared" si="9"/>
        <v>0</v>
      </c>
      <c r="T54" s="14">
        <f t="shared" si="5"/>
        <v>0</v>
      </c>
      <c r="U54" s="14">
        <f t="shared" si="6"/>
        <v>0</v>
      </c>
      <c r="V54" s="29">
        <f t="shared" si="7"/>
        <v>0</v>
      </c>
      <c r="W54" s="29">
        <f t="shared" si="8"/>
        <v>0</v>
      </c>
      <c r="X54" s="28"/>
      <c r="Y54" s="50"/>
      <c r="Z54" s="61"/>
      <c r="AA54" s="61"/>
      <c r="AB54" s="61"/>
      <c r="AC54" s="61"/>
    </row>
    <row r="55" spans="1:29" x14ac:dyDescent="0.25">
      <c r="A55" s="55"/>
      <c r="B55" s="1"/>
      <c r="C55" s="4"/>
      <c r="D55" s="139"/>
      <c r="E55" s="126"/>
      <c r="F55" s="54"/>
      <c r="G55" s="15"/>
      <c r="H55" s="38">
        <f t="shared" si="1"/>
        <v>0</v>
      </c>
      <c r="I55" s="39">
        <f t="shared" si="2"/>
        <v>0</v>
      </c>
      <c r="J55" s="42"/>
      <c r="K55" s="88">
        <f t="shared" si="0"/>
        <v>0</v>
      </c>
      <c r="L55" s="38">
        <f t="shared" si="3"/>
        <v>0</v>
      </c>
      <c r="M55" s="38">
        <f t="shared" si="4"/>
        <v>0</v>
      </c>
      <c r="N55" s="128" t="s">
        <v>156</v>
      </c>
      <c r="O55" s="16"/>
      <c r="P55" s="51"/>
      <c r="Q55" s="1"/>
      <c r="R55" s="15"/>
      <c r="S55" s="40">
        <f t="shared" si="9"/>
        <v>0</v>
      </c>
      <c r="T55" s="52">
        <f t="shared" si="5"/>
        <v>0</v>
      </c>
      <c r="U55" s="52">
        <f t="shared" si="6"/>
        <v>0</v>
      </c>
      <c r="V55" s="41">
        <f t="shared" si="7"/>
        <v>0</v>
      </c>
      <c r="W55" s="41">
        <f t="shared" si="8"/>
        <v>0</v>
      </c>
      <c r="X55" s="28"/>
      <c r="Y55" s="50"/>
      <c r="Z55" s="61"/>
      <c r="AA55" s="61"/>
      <c r="AB55" s="61"/>
      <c r="AC55" s="61"/>
    </row>
    <row r="56" spans="1:29" x14ac:dyDescent="0.25">
      <c r="A56" s="55"/>
      <c r="B56" s="2"/>
      <c r="C56" s="6"/>
      <c r="D56" s="139"/>
      <c r="E56" s="126"/>
      <c r="F56" s="53"/>
      <c r="G56" s="8"/>
      <c r="H56" s="9">
        <f t="shared" si="1"/>
        <v>0</v>
      </c>
      <c r="I56" s="10">
        <f t="shared" si="2"/>
        <v>0</v>
      </c>
      <c r="J56" s="42"/>
      <c r="K56" s="89">
        <f t="shared" si="0"/>
        <v>0</v>
      </c>
      <c r="L56" s="9">
        <f t="shared" si="3"/>
        <v>0</v>
      </c>
      <c r="M56" s="9">
        <f t="shared" si="4"/>
        <v>0</v>
      </c>
      <c r="N56" s="8" t="s">
        <v>156</v>
      </c>
      <c r="O56" s="12"/>
      <c r="P56" s="51"/>
      <c r="Q56" s="3"/>
      <c r="R56" s="13"/>
      <c r="S56" s="14">
        <f t="shared" si="9"/>
        <v>0</v>
      </c>
      <c r="T56" s="14">
        <f t="shared" si="5"/>
        <v>0</v>
      </c>
      <c r="U56" s="14">
        <f t="shared" si="6"/>
        <v>0</v>
      </c>
      <c r="V56" s="29">
        <f t="shared" si="7"/>
        <v>0</v>
      </c>
      <c r="W56" s="29">
        <f t="shared" si="8"/>
        <v>0</v>
      </c>
      <c r="X56" s="28"/>
      <c r="Y56" s="50"/>
      <c r="Z56" s="61"/>
      <c r="AA56" s="61"/>
      <c r="AB56" s="61"/>
      <c r="AC56" s="61"/>
    </row>
    <row r="57" spans="1:29" x14ac:dyDescent="0.25">
      <c r="A57" s="55"/>
      <c r="B57" s="1"/>
      <c r="C57" s="4"/>
      <c r="D57" s="139"/>
      <c r="E57" s="126"/>
      <c r="F57" s="54"/>
      <c r="G57" s="15"/>
      <c r="H57" s="38">
        <f t="shared" si="1"/>
        <v>0</v>
      </c>
      <c r="I57" s="39">
        <f t="shared" si="2"/>
        <v>0</v>
      </c>
      <c r="J57" s="42"/>
      <c r="K57" s="88">
        <f t="shared" si="0"/>
        <v>0</v>
      </c>
      <c r="L57" s="38">
        <f t="shared" si="3"/>
        <v>0</v>
      </c>
      <c r="M57" s="38">
        <f t="shared" si="4"/>
        <v>0</v>
      </c>
      <c r="N57" s="128" t="s">
        <v>156</v>
      </c>
      <c r="O57" s="16"/>
      <c r="P57" s="51"/>
      <c r="Q57" s="1"/>
      <c r="R57" s="15"/>
      <c r="S57" s="40">
        <f t="shared" si="9"/>
        <v>0</v>
      </c>
      <c r="T57" s="52">
        <f t="shared" si="5"/>
        <v>0</v>
      </c>
      <c r="U57" s="52">
        <f t="shared" si="6"/>
        <v>0</v>
      </c>
      <c r="V57" s="41">
        <f t="shared" si="7"/>
        <v>0</v>
      </c>
      <c r="W57" s="41">
        <f t="shared" si="8"/>
        <v>0</v>
      </c>
      <c r="X57" s="28"/>
      <c r="Y57" s="50"/>
      <c r="Z57" s="61"/>
      <c r="AA57" s="61"/>
      <c r="AB57" s="61"/>
      <c r="AC57" s="61"/>
    </row>
    <row r="58" spans="1:29" x14ac:dyDescent="0.25">
      <c r="A58" s="55"/>
      <c r="B58" s="2"/>
      <c r="C58" s="6"/>
      <c r="D58" s="139"/>
      <c r="E58" s="126"/>
      <c r="F58" s="53"/>
      <c r="G58" s="8"/>
      <c r="H58" s="9">
        <f t="shared" si="1"/>
        <v>0</v>
      </c>
      <c r="I58" s="10">
        <f t="shared" si="2"/>
        <v>0</v>
      </c>
      <c r="J58" s="42"/>
      <c r="K58" s="89">
        <f t="shared" si="0"/>
        <v>0</v>
      </c>
      <c r="L58" s="9">
        <f t="shared" si="3"/>
        <v>0</v>
      </c>
      <c r="M58" s="9">
        <f t="shared" si="4"/>
        <v>0</v>
      </c>
      <c r="N58" s="8" t="s">
        <v>156</v>
      </c>
      <c r="O58" s="12"/>
      <c r="P58" s="51"/>
      <c r="Q58" s="3"/>
      <c r="R58" s="13"/>
      <c r="S58" s="14">
        <f t="shared" si="9"/>
        <v>0</v>
      </c>
      <c r="T58" s="14">
        <f t="shared" si="5"/>
        <v>0</v>
      </c>
      <c r="U58" s="14">
        <f t="shared" si="6"/>
        <v>0</v>
      </c>
      <c r="V58" s="29">
        <f t="shared" si="7"/>
        <v>0</v>
      </c>
      <c r="W58" s="29">
        <f t="shared" si="8"/>
        <v>0</v>
      </c>
      <c r="X58" s="28"/>
      <c r="Y58" s="50"/>
      <c r="Z58" s="61"/>
      <c r="AA58" s="61"/>
      <c r="AB58" s="61"/>
      <c r="AC58" s="61"/>
    </row>
    <row r="59" spans="1:29" x14ac:dyDescent="0.25">
      <c r="A59" s="55"/>
      <c r="B59" s="1"/>
      <c r="C59" s="4"/>
      <c r="D59" s="139"/>
      <c r="E59" s="125"/>
      <c r="F59" s="54"/>
      <c r="G59" s="15"/>
      <c r="H59" s="38">
        <f t="shared" si="1"/>
        <v>0</v>
      </c>
      <c r="I59" s="39">
        <f t="shared" si="2"/>
        <v>0</v>
      </c>
      <c r="J59" s="42"/>
      <c r="K59" s="88">
        <f t="shared" si="0"/>
        <v>0</v>
      </c>
      <c r="L59" s="38">
        <f t="shared" si="3"/>
        <v>0</v>
      </c>
      <c r="M59" s="38">
        <f t="shared" si="4"/>
        <v>0</v>
      </c>
      <c r="N59" s="128" t="s">
        <v>156</v>
      </c>
      <c r="O59" s="16"/>
      <c r="P59" s="51"/>
      <c r="Q59" s="1"/>
      <c r="R59" s="15"/>
      <c r="S59" s="40">
        <f t="shared" si="9"/>
        <v>0</v>
      </c>
      <c r="T59" s="52">
        <f t="shared" si="5"/>
        <v>0</v>
      </c>
      <c r="U59" s="52">
        <f t="shared" si="6"/>
        <v>0</v>
      </c>
      <c r="V59" s="41">
        <f t="shared" si="7"/>
        <v>0</v>
      </c>
      <c r="W59" s="41">
        <f t="shared" si="8"/>
        <v>0</v>
      </c>
      <c r="X59" s="28"/>
      <c r="Y59" s="50"/>
      <c r="Z59" s="61"/>
      <c r="AA59" s="61"/>
      <c r="AB59" s="61"/>
      <c r="AC59" s="61"/>
    </row>
    <row r="60" spans="1:29" x14ac:dyDescent="0.25">
      <c r="A60" s="55"/>
      <c r="B60" s="2"/>
      <c r="C60" s="6"/>
      <c r="D60" s="139"/>
      <c r="E60" s="126"/>
      <c r="F60" s="53"/>
      <c r="G60" s="8"/>
      <c r="H60" s="9">
        <f t="shared" si="1"/>
        <v>0</v>
      </c>
      <c r="I60" s="10">
        <f t="shared" si="2"/>
        <v>0</v>
      </c>
      <c r="J60" s="42"/>
      <c r="K60" s="89">
        <f t="shared" si="0"/>
        <v>0</v>
      </c>
      <c r="L60" s="9">
        <f t="shared" si="3"/>
        <v>0</v>
      </c>
      <c r="M60" s="9">
        <f t="shared" si="4"/>
        <v>0</v>
      </c>
      <c r="N60" s="8" t="s">
        <v>156</v>
      </c>
      <c r="O60" s="12"/>
      <c r="P60" s="51"/>
      <c r="Q60" s="3"/>
      <c r="R60" s="13"/>
      <c r="S60" s="14">
        <f t="shared" si="9"/>
        <v>0</v>
      </c>
      <c r="T60" s="14">
        <f t="shared" si="5"/>
        <v>0</v>
      </c>
      <c r="U60" s="14">
        <f t="shared" si="6"/>
        <v>0</v>
      </c>
      <c r="V60" s="29">
        <f t="shared" si="7"/>
        <v>0</v>
      </c>
      <c r="W60" s="29">
        <f t="shared" si="8"/>
        <v>0</v>
      </c>
      <c r="X60" s="28"/>
      <c r="Y60" s="50"/>
      <c r="Z60" s="61"/>
      <c r="AA60" s="61"/>
      <c r="AB60" s="61"/>
      <c r="AC60" s="61"/>
    </row>
    <row r="61" spans="1:29" x14ac:dyDescent="0.25">
      <c r="A61" s="55"/>
      <c r="B61" s="1"/>
      <c r="C61" s="4"/>
      <c r="D61" s="139"/>
      <c r="E61" s="125"/>
      <c r="F61" s="54"/>
      <c r="G61" s="15"/>
      <c r="H61" s="38">
        <f t="shared" si="1"/>
        <v>0</v>
      </c>
      <c r="I61" s="39">
        <f t="shared" si="2"/>
        <v>0</v>
      </c>
      <c r="J61" s="42"/>
      <c r="K61" s="88">
        <f t="shared" si="0"/>
        <v>0</v>
      </c>
      <c r="L61" s="38">
        <f t="shared" si="3"/>
        <v>0</v>
      </c>
      <c r="M61" s="38">
        <f t="shared" si="4"/>
        <v>0</v>
      </c>
      <c r="N61" s="128" t="s">
        <v>156</v>
      </c>
      <c r="O61" s="16"/>
      <c r="P61" s="51"/>
      <c r="Q61" s="1"/>
      <c r="R61" s="15"/>
      <c r="S61" s="40">
        <f t="shared" si="9"/>
        <v>0</v>
      </c>
      <c r="T61" s="52">
        <f t="shared" si="5"/>
        <v>0</v>
      </c>
      <c r="U61" s="52">
        <f t="shared" si="6"/>
        <v>0</v>
      </c>
      <c r="V61" s="41">
        <f t="shared" si="7"/>
        <v>0</v>
      </c>
      <c r="W61" s="41">
        <f t="shared" si="8"/>
        <v>0</v>
      </c>
      <c r="X61" s="28"/>
      <c r="Y61" s="50"/>
      <c r="Z61" s="61"/>
      <c r="AA61" s="61"/>
      <c r="AB61" s="61"/>
      <c r="AC61" s="61"/>
    </row>
    <row r="62" spans="1:29" x14ac:dyDescent="0.25">
      <c r="A62" s="55"/>
      <c r="B62" s="2"/>
      <c r="C62" s="6"/>
      <c r="D62" s="139"/>
      <c r="E62" s="126"/>
      <c r="F62" s="53"/>
      <c r="G62" s="8"/>
      <c r="H62" s="9">
        <f t="shared" si="1"/>
        <v>0</v>
      </c>
      <c r="I62" s="10">
        <f t="shared" si="2"/>
        <v>0</v>
      </c>
      <c r="J62" s="42"/>
      <c r="K62" s="89">
        <f t="shared" si="0"/>
        <v>0</v>
      </c>
      <c r="L62" s="9">
        <f t="shared" si="3"/>
        <v>0</v>
      </c>
      <c r="M62" s="9">
        <f t="shared" si="4"/>
        <v>0</v>
      </c>
      <c r="N62" s="8" t="s">
        <v>156</v>
      </c>
      <c r="O62" s="12"/>
      <c r="P62" s="51"/>
      <c r="Q62" s="3"/>
      <c r="R62" s="13"/>
      <c r="S62" s="14">
        <f t="shared" si="9"/>
        <v>0</v>
      </c>
      <c r="T62" s="14">
        <f t="shared" si="5"/>
        <v>0</v>
      </c>
      <c r="U62" s="14">
        <f t="shared" si="6"/>
        <v>0</v>
      </c>
      <c r="V62" s="29">
        <f t="shared" si="7"/>
        <v>0</v>
      </c>
      <c r="W62" s="29">
        <f t="shared" si="8"/>
        <v>0</v>
      </c>
      <c r="X62" s="28"/>
      <c r="Y62" s="50"/>
      <c r="Z62" s="61"/>
      <c r="AA62" s="61"/>
      <c r="AB62" s="61"/>
      <c r="AC62" s="61"/>
    </row>
    <row r="63" spans="1:29" x14ac:dyDescent="0.25">
      <c r="A63" s="55"/>
      <c r="B63" s="1"/>
      <c r="C63" s="4"/>
      <c r="D63" s="139"/>
      <c r="E63" s="125"/>
      <c r="F63" s="54"/>
      <c r="G63" s="15"/>
      <c r="H63" s="38">
        <f t="shared" si="1"/>
        <v>0</v>
      </c>
      <c r="I63" s="39">
        <f t="shared" si="2"/>
        <v>0</v>
      </c>
      <c r="J63" s="42"/>
      <c r="K63" s="88">
        <f t="shared" si="0"/>
        <v>0</v>
      </c>
      <c r="L63" s="38">
        <f t="shared" si="3"/>
        <v>0</v>
      </c>
      <c r="M63" s="38">
        <f t="shared" si="4"/>
        <v>0</v>
      </c>
      <c r="N63" s="128" t="s">
        <v>156</v>
      </c>
      <c r="O63" s="16"/>
      <c r="P63" s="51"/>
      <c r="Q63" s="1"/>
      <c r="R63" s="15"/>
      <c r="S63" s="40">
        <f t="shared" si="9"/>
        <v>0</v>
      </c>
      <c r="T63" s="52">
        <f t="shared" si="5"/>
        <v>0</v>
      </c>
      <c r="U63" s="52">
        <f t="shared" si="6"/>
        <v>0</v>
      </c>
      <c r="V63" s="41">
        <f t="shared" si="7"/>
        <v>0</v>
      </c>
      <c r="W63" s="41">
        <f t="shared" si="8"/>
        <v>0</v>
      </c>
      <c r="X63" s="28"/>
      <c r="Y63" s="50"/>
      <c r="Z63" s="61"/>
      <c r="AA63" s="61"/>
      <c r="AB63" s="61"/>
      <c r="AC63" s="61"/>
    </row>
    <row r="64" spans="1:29" x14ac:dyDescent="0.25">
      <c r="A64" s="55"/>
      <c r="B64" s="2"/>
      <c r="C64" s="6"/>
      <c r="D64" s="139"/>
      <c r="E64" s="126"/>
      <c r="F64" s="53"/>
      <c r="G64" s="8"/>
      <c r="H64" s="9">
        <f t="shared" si="1"/>
        <v>0</v>
      </c>
      <c r="I64" s="10">
        <f t="shared" si="2"/>
        <v>0</v>
      </c>
      <c r="J64" s="42"/>
      <c r="K64" s="89">
        <f t="shared" si="0"/>
        <v>0</v>
      </c>
      <c r="L64" s="9">
        <f t="shared" si="3"/>
        <v>0</v>
      </c>
      <c r="M64" s="9">
        <f t="shared" si="4"/>
        <v>0</v>
      </c>
      <c r="N64" s="8" t="s">
        <v>156</v>
      </c>
      <c r="O64" s="12"/>
      <c r="P64" s="51"/>
      <c r="Q64" s="3"/>
      <c r="R64" s="13"/>
      <c r="S64" s="14">
        <f t="shared" si="9"/>
        <v>0</v>
      </c>
      <c r="T64" s="14">
        <f t="shared" si="5"/>
        <v>0</v>
      </c>
      <c r="U64" s="14">
        <f t="shared" si="6"/>
        <v>0</v>
      </c>
      <c r="V64" s="29">
        <f t="shared" si="7"/>
        <v>0</v>
      </c>
      <c r="W64" s="29">
        <f t="shared" si="8"/>
        <v>0</v>
      </c>
      <c r="X64" s="28"/>
      <c r="Y64" s="50"/>
      <c r="Z64" s="61"/>
      <c r="AA64" s="61"/>
      <c r="AB64" s="61"/>
      <c r="AC64" s="61"/>
    </row>
    <row r="65" spans="1:29" x14ac:dyDescent="0.25">
      <c r="A65" s="55"/>
      <c r="B65" s="1"/>
      <c r="C65" s="4"/>
      <c r="D65" s="140"/>
      <c r="E65" s="125"/>
      <c r="F65" s="54"/>
      <c r="G65" s="15"/>
      <c r="H65" s="38">
        <f t="shared" si="1"/>
        <v>0</v>
      </c>
      <c r="I65" s="39">
        <f t="shared" si="2"/>
        <v>0</v>
      </c>
      <c r="J65" s="42"/>
      <c r="K65" s="88">
        <f t="shared" si="0"/>
        <v>0</v>
      </c>
      <c r="L65" s="38">
        <f t="shared" si="3"/>
        <v>0</v>
      </c>
      <c r="M65" s="38">
        <f t="shared" si="4"/>
        <v>0</v>
      </c>
      <c r="N65" s="128" t="s">
        <v>156</v>
      </c>
      <c r="O65" s="16"/>
      <c r="P65" s="51"/>
      <c r="Q65" s="1"/>
      <c r="R65" s="15"/>
      <c r="S65" s="40">
        <f t="shared" si="9"/>
        <v>0</v>
      </c>
      <c r="T65" s="52">
        <f t="shared" si="5"/>
        <v>0</v>
      </c>
      <c r="U65" s="52">
        <f t="shared" si="6"/>
        <v>0</v>
      </c>
      <c r="V65" s="41">
        <f t="shared" si="7"/>
        <v>0</v>
      </c>
      <c r="W65" s="41">
        <f t="shared" si="8"/>
        <v>0</v>
      </c>
      <c r="X65" s="28"/>
      <c r="Y65" s="50"/>
      <c r="Z65" s="61"/>
      <c r="AA65" s="61"/>
      <c r="AB65" s="61"/>
      <c r="AC65" s="61"/>
    </row>
    <row r="66" spans="1:29" x14ac:dyDescent="0.25">
      <c r="A66" s="55"/>
      <c r="B66" s="2"/>
      <c r="C66" s="6"/>
      <c r="D66" s="139"/>
      <c r="E66" s="126"/>
      <c r="F66" s="53"/>
      <c r="G66" s="8"/>
      <c r="H66" s="9">
        <f t="shared" si="1"/>
        <v>0</v>
      </c>
      <c r="I66" s="10">
        <f t="shared" si="2"/>
        <v>0</v>
      </c>
      <c r="J66" s="42"/>
      <c r="K66" s="89">
        <f t="shared" si="0"/>
        <v>0</v>
      </c>
      <c r="L66" s="9">
        <f t="shared" si="3"/>
        <v>0</v>
      </c>
      <c r="M66" s="9">
        <f t="shared" si="4"/>
        <v>0</v>
      </c>
      <c r="N66" s="8" t="s">
        <v>156</v>
      </c>
      <c r="O66" s="12"/>
      <c r="P66" s="51"/>
      <c r="Q66" s="3"/>
      <c r="R66" s="13"/>
      <c r="S66" s="14">
        <f t="shared" si="9"/>
        <v>0</v>
      </c>
      <c r="T66" s="14">
        <f t="shared" si="5"/>
        <v>0</v>
      </c>
      <c r="U66" s="14">
        <f t="shared" si="6"/>
        <v>0</v>
      </c>
      <c r="V66" s="29">
        <f t="shared" si="7"/>
        <v>0</v>
      </c>
      <c r="W66" s="29">
        <f t="shared" si="8"/>
        <v>0</v>
      </c>
      <c r="X66" s="28"/>
      <c r="Y66" s="50"/>
      <c r="Z66" s="61"/>
      <c r="AA66" s="61"/>
      <c r="AB66" s="61"/>
      <c r="AC66" s="61"/>
    </row>
    <row r="67" spans="1:29" x14ac:dyDescent="0.25">
      <c r="A67" s="55"/>
      <c r="B67" s="1"/>
      <c r="C67" s="4"/>
      <c r="D67" s="140"/>
      <c r="E67" s="125"/>
      <c r="F67" s="54"/>
      <c r="G67" s="15"/>
      <c r="H67" s="38">
        <f t="shared" si="1"/>
        <v>0</v>
      </c>
      <c r="I67" s="39">
        <f t="shared" si="2"/>
        <v>0</v>
      </c>
      <c r="J67" s="42"/>
      <c r="K67" s="88">
        <f t="shared" si="0"/>
        <v>0</v>
      </c>
      <c r="L67" s="38">
        <f t="shared" si="3"/>
        <v>0</v>
      </c>
      <c r="M67" s="38">
        <f t="shared" si="4"/>
        <v>0</v>
      </c>
      <c r="N67" s="128" t="s">
        <v>156</v>
      </c>
      <c r="O67" s="16"/>
      <c r="P67" s="51"/>
      <c r="Q67" s="1"/>
      <c r="R67" s="15"/>
      <c r="S67" s="40">
        <f t="shared" si="9"/>
        <v>0</v>
      </c>
      <c r="T67" s="52">
        <f t="shared" si="5"/>
        <v>0</v>
      </c>
      <c r="U67" s="52">
        <f t="shared" si="6"/>
        <v>0</v>
      </c>
      <c r="V67" s="41">
        <f t="shared" si="7"/>
        <v>0</v>
      </c>
      <c r="W67" s="41">
        <f t="shared" si="8"/>
        <v>0</v>
      </c>
      <c r="X67" s="28"/>
      <c r="Y67" s="50"/>
      <c r="Z67" s="61"/>
      <c r="AA67" s="61"/>
      <c r="AB67" s="61"/>
      <c r="AC67" s="61"/>
    </row>
    <row r="68" spans="1:29" x14ac:dyDescent="0.25">
      <c r="A68" s="55"/>
      <c r="B68" s="2"/>
      <c r="C68" s="6"/>
      <c r="D68" s="139"/>
      <c r="E68" s="126"/>
      <c r="F68" s="53"/>
      <c r="G68" s="8"/>
      <c r="H68" s="9">
        <f t="shared" si="1"/>
        <v>0</v>
      </c>
      <c r="I68" s="10">
        <f t="shared" si="2"/>
        <v>0</v>
      </c>
      <c r="J68" s="42"/>
      <c r="K68" s="89">
        <f t="shared" si="0"/>
        <v>0</v>
      </c>
      <c r="L68" s="9">
        <f t="shared" si="3"/>
        <v>0</v>
      </c>
      <c r="M68" s="9">
        <f t="shared" si="4"/>
        <v>0</v>
      </c>
      <c r="N68" s="8" t="s">
        <v>156</v>
      </c>
      <c r="O68" s="12"/>
      <c r="P68" s="51"/>
      <c r="Q68" s="3"/>
      <c r="R68" s="13"/>
      <c r="S68" s="14">
        <f t="shared" si="9"/>
        <v>0</v>
      </c>
      <c r="T68" s="14">
        <f t="shared" si="5"/>
        <v>0</v>
      </c>
      <c r="U68" s="14">
        <f t="shared" si="6"/>
        <v>0</v>
      </c>
      <c r="V68" s="29">
        <f t="shared" si="7"/>
        <v>0</v>
      </c>
      <c r="W68" s="29">
        <f t="shared" si="8"/>
        <v>0</v>
      </c>
      <c r="X68" s="28"/>
      <c r="Y68" s="50"/>
      <c r="Z68" s="61"/>
      <c r="AA68" s="61"/>
      <c r="AB68" s="61"/>
      <c r="AC68" s="61"/>
    </row>
    <row r="69" spans="1:29" x14ac:dyDescent="0.25">
      <c r="A69" s="55"/>
      <c r="B69" s="1"/>
      <c r="C69" s="4"/>
      <c r="D69" s="140"/>
      <c r="E69" s="125"/>
      <c r="F69" s="54"/>
      <c r="G69" s="15"/>
      <c r="H69" s="38">
        <f t="shared" si="1"/>
        <v>0</v>
      </c>
      <c r="I69" s="39">
        <f t="shared" si="2"/>
        <v>0</v>
      </c>
      <c r="J69" s="42"/>
      <c r="K69" s="88">
        <f t="shared" si="0"/>
        <v>0</v>
      </c>
      <c r="L69" s="38">
        <f t="shared" si="3"/>
        <v>0</v>
      </c>
      <c r="M69" s="38">
        <f t="shared" si="4"/>
        <v>0</v>
      </c>
      <c r="N69" s="128" t="s">
        <v>156</v>
      </c>
      <c r="O69" s="16"/>
      <c r="P69" s="51"/>
      <c r="Q69" s="1"/>
      <c r="R69" s="15"/>
      <c r="S69" s="40">
        <f t="shared" si="9"/>
        <v>0</v>
      </c>
      <c r="T69" s="52">
        <f t="shared" si="5"/>
        <v>0</v>
      </c>
      <c r="U69" s="52">
        <f t="shared" si="6"/>
        <v>0</v>
      </c>
      <c r="V69" s="41">
        <f t="shared" si="7"/>
        <v>0</v>
      </c>
      <c r="W69" s="41">
        <f t="shared" si="8"/>
        <v>0</v>
      </c>
      <c r="X69" s="28"/>
      <c r="Y69" s="50"/>
      <c r="Z69" s="61"/>
      <c r="AA69" s="61"/>
      <c r="AB69" s="61"/>
      <c r="AC69" s="61"/>
    </row>
    <row r="70" spans="1:29" x14ac:dyDescent="0.25">
      <c r="A70" s="55"/>
      <c r="B70" s="2"/>
      <c r="C70" s="6"/>
      <c r="D70" s="139"/>
      <c r="E70" s="126"/>
      <c r="F70" s="53"/>
      <c r="G70" s="8"/>
      <c r="H70" s="9">
        <f t="shared" si="1"/>
        <v>0</v>
      </c>
      <c r="I70" s="10">
        <f t="shared" si="2"/>
        <v>0</v>
      </c>
      <c r="J70" s="42"/>
      <c r="K70" s="89">
        <f t="shared" si="0"/>
        <v>0</v>
      </c>
      <c r="L70" s="9">
        <f t="shared" si="3"/>
        <v>0</v>
      </c>
      <c r="M70" s="9">
        <f t="shared" si="4"/>
        <v>0</v>
      </c>
      <c r="N70" s="8" t="s">
        <v>156</v>
      </c>
      <c r="O70" s="12"/>
      <c r="P70" s="51"/>
      <c r="Q70" s="3"/>
      <c r="R70" s="13"/>
      <c r="S70" s="14">
        <f t="shared" si="9"/>
        <v>0</v>
      </c>
      <c r="T70" s="14">
        <f t="shared" si="5"/>
        <v>0</v>
      </c>
      <c r="U70" s="14">
        <f t="shared" si="6"/>
        <v>0</v>
      </c>
      <c r="V70" s="29">
        <f t="shared" si="7"/>
        <v>0</v>
      </c>
      <c r="W70" s="29">
        <f t="shared" si="8"/>
        <v>0</v>
      </c>
      <c r="X70" s="28"/>
      <c r="Y70" s="50"/>
      <c r="Z70" s="61"/>
      <c r="AA70" s="61"/>
      <c r="AB70" s="61"/>
      <c r="AC70" s="61"/>
    </row>
    <row r="71" spans="1:29" x14ac:dyDescent="0.25">
      <c r="A71" s="55"/>
      <c r="B71" s="1"/>
      <c r="C71" s="4"/>
      <c r="D71" s="140"/>
      <c r="E71" s="125"/>
      <c r="F71" s="54"/>
      <c r="G71" s="15"/>
      <c r="H71" s="38">
        <f t="shared" si="1"/>
        <v>0</v>
      </c>
      <c r="I71" s="39">
        <f t="shared" si="2"/>
        <v>0</v>
      </c>
      <c r="J71" s="42"/>
      <c r="K71" s="88">
        <f t="shared" si="0"/>
        <v>0</v>
      </c>
      <c r="L71" s="38">
        <f t="shared" si="3"/>
        <v>0</v>
      </c>
      <c r="M71" s="38">
        <f t="shared" si="4"/>
        <v>0</v>
      </c>
      <c r="N71" s="128" t="s">
        <v>156</v>
      </c>
      <c r="O71" s="16"/>
      <c r="P71" s="51"/>
      <c r="Q71" s="1"/>
      <c r="R71" s="15"/>
      <c r="S71" s="40">
        <f t="shared" si="9"/>
        <v>0</v>
      </c>
      <c r="T71" s="52">
        <f t="shared" si="5"/>
        <v>0</v>
      </c>
      <c r="U71" s="52">
        <f t="shared" si="6"/>
        <v>0</v>
      </c>
      <c r="V71" s="41">
        <f t="shared" si="7"/>
        <v>0</v>
      </c>
      <c r="W71" s="41">
        <f t="shared" si="8"/>
        <v>0</v>
      </c>
      <c r="X71" s="28"/>
      <c r="Y71" s="50"/>
      <c r="Z71" s="61"/>
      <c r="AA71" s="61"/>
      <c r="AB71" s="61"/>
      <c r="AC71" s="61"/>
    </row>
    <row r="72" spans="1:29" x14ac:dyDescent="0.25">
      <c r="A72" s="55"/>
      <c r="B72" s="2"/>
      <c r="C72" s="6"/>
      <c r="D72" s="139"/>
      <c r="E72" s="126"/>
      <c r="F72" s="53"/>
      <c r="G72" s="8"/>
      <c r="H72" s="9">
        <f t="shared" si="1"/>
        <v>0</v>
      </c>
      <c r="I72" s="10">
        <f t="shared" si="2"/>
        <v>0</v>
      </c>
      <c r="J72" s="42"/>
      <c r="K72" s="89">
        <f t="shared" si="0"/>
        <v>0</v>
      </c>
      <c r="L72" s="9">
        <f t="shared" si="3"/>
        <v>0</v>
      </c>
      <c r="M72" s="9">
        <f t="shared" si="4"/>
        <v>0</v>
      </c>
      <c r="N72" s="8" t="s">
        <v>156</v>
      </c>
      <c r="O72" s="12"/>
      <c r="P72" s="51"/>
      <c r="Q72" s="3"/>
      <c r="R72" s="13"/>
      <c r="S72" s="14">
        <f t="shared" si="9"/>
        <v>0</v>
      </c>
      <c r="T72" s="14">
        <f t="shared" si="5"/>
        <v>0</v>
      </c>
      <c r="U72" s="14">
        <f t="shared" si="6"/>
        <v>0</v>
      </c>
      <c r="V72" s="29">
        <f t="shared" si="7"/>
        <v>0</v>
      </c>
      <c r="W72" s="29">
        <f t="shared" si="8"/>
        <v>0</v>
      </c>
      <c r="X72" s="28"/>
      <c r="Y72" s="50"/>
      <c r="Z72" s="61"/>
      <c r="AA72" s="61"/>
      <c r="AB72" s="61"/>
      <c r="AC72" s="61"/>
    </row>
    <row r="73" spans="1:29" x14ac:dyDescent="0.25">
      <c r="A73" s="55"/>
      <c r="B73" s="1"/>
      <c r="C73" s="4"/>
      <c r="D73" s="140"/>
      <c r="E73" s="125"/>
      <c r="F73" s="54"/>
      <c r="G73" s="15"/>
      <c r="H73" s="38">
        <f t="shared" si="1"/>
        <v>0</v>
      </c>
      <c r="I73" s="39">
        <f t="shared" si="2"/>
        <v>0</v>
      </c>
      <c r="J73" s="42"/>
      <c r="K73" s="88">
        <f t="shared" si="0"/>
        <v>0</v>
      </c>
      <c r="L73" s="38">
        <f t="shared" si="3"/>
        <v>0</v>
      </c>
      <c r="M73" s="38">
        <f t="shared" si="4"/>
        <v>0</v>
      </c>
      <c r="N73" s="128" t="s">
        <v>156</v>
      </c>
      <c r="O73" s="16"/>
      <c r="P73" s="51"/>
      <c r="Q73" s="1"/>
      <c r="R73" s="15"/>
      <c r="S73" s="40">
        <f t="shared" si="9"/>
        <v>0</v>
      </c>
      <c r="T73" s="52">
        <f t="shared" si="5"/>
        <v>0</v>
      </c>
      <c r="U73" s="52">
        <f t="shared" si="6"/>
        <v>0</v>
      </c>
      <c r="V73" s="41">
        <f t="shared" si="7"/>
        <v>0</v>
      </c>
      <c r="W73" s="41">
        <f t="shared" si="8"/>
        <v>0</v>
      </c>
      <c r="X73" s="28"/>
      <c r="Y73" s="50"/>
      <c r="Z73" s="61"/>
      <c r="AA73" s="61"/>
      <c r="AB73" s="61"/>
      <c r="AC73" s="61"/>
    </row>
    <row r="74" spans="1:29" x14ac:dyDescent="0.25">
      <c r="A74" s="55"/>
      <c r="B74" s="2"/>
      <c r="C74" s="6"/>
      <c r="D74" s="139"/>
      <c r="E74" s="126"/>
      <c r="F74" s="53"/>
      <c r="G74" s="8"/>
      <c r="H74" s="9">
        <f t="shared" si="1"/>
        <v>0</v>
      </c>
      <c r="I74" s="10">
        <f t="shared" si="2"/>
        <v>0</v>
      </c>
      <c r="J74" s="42"/>
      <c r="K74" s="89">
        <f t="shared" si="0"/>
        <v>0</v>
      </c>
      <c r="L74" s="9">
        <f t="shared" si="3"/>
        <v>0</v>
      </c>
      <c r="M74" s="9">
        <f t="shared" si="4"/>
        <v>0</v>
      </c>
      <c r="N74" s="8" t="s">
        <v>156</v>
      </c>
      <c r="O74" s="12"/>
      <c r="P74" s="51"/>
      <c r="Q74" s="3"/>
      <c r="R74" s="13"/>
      <c r="S74" s="14">
        <f t="shared" si="9"/>
        <v>0</v>
      </c>
      <c r="T74" s="14">
        <f t="shared" si="5"/>
        <v>0</v>
      </c>
      <c r="U74" s="14">
        <f t="shared" si="6"/>
        <v>0</v>
      </c>
      <c r="V74" s="29">
        <f t="shared" si="7"/>
        <v>0</v>
      </c>
      <c r="W74" s="29">
        <f t="shared" si="8"/>
        <v>0</v>
      </c>
      <c r="X74" s="28"/>
      <c r="Y74" s="50"/>
      <c r="Z74" s="61"/>
      <c r="AA74" s="61"/>
      <c r="AB74" s="61"/>
      <c r="AC74" s="61"/>
    </row>
    <row r="75" spans="1:29" x14ac:dyDescent="0.25">
      <c r="A75" s="55"/>
      <c r="B75" s="1"/>
      <c r="C75" s="4"/>
      <c r="D75" s="140"/>
      <c r="E75" s="125"/>
      <c r="F75" s="54"/>
      <c r="G75" s="15"/>
      <c r="H75" s="38">
        <f t="shared" si="1"/>
        <v>0</v>
      </c>
      <c r="I75" s="39">
        <f t="shared" si="2"/>
        <v>0</v>
      </c>
      <c r="J75" s="42"/>
      <c r="K75" s="88">
        <f t="shared" si="0"/>
        <v>0</v>
      </c>
      <c r="L75" s="38">
        <f t="shared" si="3"/>
        <v>0</v>
      </c>
      <c r="M75" s="38">
        <f t="shared" si="4"/>
        <v>0</v>
      </c>
      <c r="N75" s="128" t="s">
        <v>156</v>
      </c>
      <c r="O75" s="16"/>
      <c r="P75" s="51"/>
      <c r="Q75" s="1"/>
      <c r="R75" s="15"/>
      <c r="S75" s="40">
        <f t="shared" si="9"/>
        <v>0</v>
      </c>
      <c r="T75" s="52">
        <f t="shared" si="5"/>
        <v>0</v>
      </c>
      <c r="U75" s="52">
        <f t="shared" si="6"/>
        <v>0</v>
      </c>
      <c r="V75" s="41">
        <f t="shared" si="7"/>
        <v>0</v>
      </c>
      <c r="W75" s="41">
        <f t="shared" si="8"/>
        <v>0</v>
      </c>
      <c r="X75" s="28"/>
      <c r="Y75" s="50"/>
      <c r="Z75" s="61"/>
      <c r="AA75" s="61"/>
      <c r="AB75" s="61"/>
      <c r="AC75" s="61"/>
    </row>
    <row r="76" spans="1:29" x14ac:dyDescent="0.25">
      <c r="A76" s="55"/>
      <c r="B76" s="2"/>
      <c r="C76" s="6"/>
      <c r="D76" s="139"/>
      <c r="E76" s="126"/>
      <c r="F76" s="53"/>
      <c r="G76" s="8"/>
      <c r="H76" s="9">
        <f t="shared" si="1"/>
        <v>0</v>
      </c>
      <c r="I76" s="10">
        <f t="shared" si="2"/>
        <v>0</v>
      </c>
      <c r="J76" s="42"/>
      <c r="K76" s="89">
        <f t="shared" si="0"/>
        <v>0</v>
      </c>
      <c r="L76" s="9">
        <f t="shared" si="3"/>
        <v>0</v>
      </c>
      <c r="M76" s="9">
        <f t="shared" si="4"/>
        <v>0</v>
      </c>
      <c r="N76" s="8" t="s">
        <v>156</v>
      </c>
      <c r="O76" s="12"/>
      <c r="P76" s="51"/>
      <c r="Q76" s="3"/>
      <c r="R76" s="13"/>
      <c r="S76" s="14">
        <f t="shared" si="9"/>
        <v>0</v>
      </c>
      <c r="T76" s="14">
        <f t="shared" si="5"/>
        <v>0</v>
      </c>
      <c r="U76" s="14">
        <f t="shared" si="6"/>
        <v>0</v>
      </c>
      <c r="V76" s="29">
        <f t="shared" si="7"/>
        <v>0</v>
      </c>
      <c r="W76" s="29">
        <f t="shared" si="8"/>
        <v>0</v>
      </c>
      <c r="X76" s="28"/>
      <c r="Y76" s="50"/>
      <c r="Z76" s="61"/>
      <c r="AA76" s="61"/>
      <c r="AB76" s="61"/>
      <c r="AC76" s="61"/>
    </row>
    <row r="77" spans="1:29" x14ac:dyDescent="0.25">
      <c r="A77" s="55"/>
      <c r="B77" s="1"/>
      <c r="C77" s="4"/>
      <c r="D77" s="140"/>
      <c r="E77" s="125"/>
      <c r="F77" s="54"/>
      <c r="G77" s="15"/>
      <c r="H77" s="38">
        <f t="shared" si="1"/>
        <v>0</v>
      </c>
      <c r="I77" s="39">
        <f t="shared" si="2"/>
        <v>0</v>
      </c>
      <c r="J77" s="42"/>
      <c r="K77" s="88">
        <f t="shared" si="0"/>
        <v>0</v>
      </c>
      <c r="L77" s="38">
        <f t="shared" si="3"/>
        <v>0</v>
      </c>
      <c r="M77" s="38">
        <f t="shared" si="4"/>
        <v>0</v>
      </c>
      <c r="N77" s="128" t="s">
        <v>156</v>
      </c>
      <c r="O77" s="16"/>
      <c r="P77" s="51"/>
      <c r="Q77" s="1"/>
      <c r="R77" s="15"/>
      <c r="S77" s="40">
        <f t="shared" si="9"/>
        <v>0</v>
      </c>
      <c r="T77" s="52">
        <f t="shared" si="5"/>
        <v>0</v>
      </c>
      <c r="U77" s="52">
        <f t="shared" si="6"/>
        <v>0</v>
      </c>
      <c r="V77" s="41">
        <f t="shared" si="7"/>
        <v>0</v>
      </c>
      <c r="W77" s="41">
        <f t="shared" si="8"/>
        <v>0</v>
      </c>
      <c r="X77" s="28"/>
      <c r="Y77" s="50"/>
      <c r="Z77" s="61"/>
      <c r="AA77" s="61"/>
      <c r="AB77" s="61"/>
      <c r="AC77" s="61"/>
    </row>
    <row r="78" spans="1:29" x14ac:dyDescent="0.25">
      <c r="A78" s="55"/>
      <c r="B78" s="2"/>
      <c r="C78" s="6"/>
      <c r="D78" s="139"/>
      <c r="E78" s="126"/>
      <c r="F78" s="53"/>
      <c r="G78" s="8"/>
      <c r="H78" s="9">
        <f t="shared" si="1"/>
        <v>0</v>
      </c>
      <c r="I78" s="10">
        <f t="shared" si="2"/>
        <v>0</v>
      </c>
      <c r="J78" s="42"/>
      <c r="K78" s="89">
        <f t="shared" si="0"/>
        <v>0</v>
      </c>
      <c r="L78" s="9">
        <f t="shared" si="3"/>
        <v>0</v>
      </c>
      <c r="M78" s="9">
        <f t="shared" si="4"/>
        <v>0</v>
      </c>
      <c r="N78" s="8" t="s">
        <v>156</v>
      </c>
      <c r="O78" s="12"/>
      <c r="P78" s="51"/>
      <c r="Q78" s="3"/>
      <c r="R78" s="13"/>
      <c r="S78" s="14">
        <f t="shared" si="9"/>
        <v>0</v>
      </c>
      <c r="T78" s="14">
        <f t="shared" si="5"/>
        <v>0</v>
      </c>
      <c r="U78" s="14">
        <f t="shared" si="6"/>
        <v>0</v>
      </c>
      <c r="V78" s="29">
        <f t="shared" si="7"/>
        <v>0</v>
      </c>
      <c r="W78" s="29">
        <f t="shared" si="8"/>
        <v>0</v>
      </c>
      <c r="X78" s="28"/>
      <c r="Y78" s="50"/>
      <c r="Z78" s="61"/>
      <c r="AA78" s="61"/>
      <c r="AB78" s="61"/>
      <c r="AC78" s="61"/>
    </row>
    <row r="79" spans="1:29" x14ac:dyDescent="0.25">
      <c r="A79" s="55"/>
      <c r="B79" s="1"/>
      <c r="C79" s="4"/>
      <c r="D79" s="140"/>
      <c r="E79" s="125"/>
      <c r="F79" s="54"/>
      <c r="G79" s="15"/>
      <c r="H79" s="38">
        <f t="shared" si="1"/>
        <v>0</v>
      </c>
      <c r="I79" s="39">
        <f t="shared" si="2"/>
        <v>0</v>
      </c>
      <c r="J79" s="42"/>
      <c r="K79" s="88">
        <f t="shared" si="0"/>
        <v>0</v>
      </c>
      <c r="L79" s="38">
        <f t="shared" si="3"/>
        <v>0</v>
      </c>
      <c r="M79" s="38">
        <f t="shared" si="4"/>
        <v>0</v>
      </c>
      <c r="N79" s="128" t="s">
        <v>156</v>
      </c>
      <c r="O79" s="16"/>
      <c r="P79" s="51"/>
      <c r="Q79" s="1"/>
      <c r="R79" s="15"/>
      <c r="S79" s="40">
        <f t="shared" si="9"/>
        <v>0</v>
      </c>
      <c r="T79" s="52">
        <f t="shared" si="5"/>
        <v>0</v>
      </c>
      <c r="U79" s="52">
        <f t="shared" si="6"/>
        <v>0</v>
      </c>
      <c r="V79" s="41">
        <f t="shared" si="7"/>
        <v>0</v>
      </c>
      <c r="W79" s="41">
        <f t="shared" si="8"/>
        <v>0</v>
      </c>
      <c r="X79" s="28"/>
      <c r="Y79" s="50"/>
      <c r="Z79" s="61"/>
      <c r="AA79" s="61"/>
      <c r="AB79" s="61"/>
      <c r="AC79" s="61"/>
    </row>
    <row r="80" spans="1:29" x14ac:dyDescent="0.25">
      <c r="A80" s="55"/>
      <c r="B80" s="2"/>
      <c r="C80" s="6"/>
      <c r="D80" s="139"/>
      <c r="E80" s="126"/>
      <c r="F80" s="53"/>
      <c r="G80" s="8"/>
      <c r="H80" s="9">
        <f t="shared" si="1"/>
        <v>0</v>
      </c>
      <c r="I80" s="10">
        <f t="shared" si="2"/>
        <v>0</v>
      </c>
      <c r="J80" s="42"/>
      <c r="K80" s="89">
        <f t="shared" si="0"/>
        <v>0</v>
      </c>
      <c r="L80" s="9">
        <f t="shared" si="3"/>
        <v>0</v>
      </c>
      <c r="M80" s="9">
        <f t="shared" si="4"/>
        <v>0</v>
      </c>
      <c r="N80" s="8" t="s">
        <v>156</v>
      </c>
      <c r="O80" s="12"/>
      <c r="P80" s="51"/>
      <c r="Q80" s="3"/>
      <c r="R80" s="13"/>
      <c r="S80" s="14">
        <f t="shared" si="9"/>
        <v>0</v>
      </c>
      <c r="T80" s="14">
        <f t="shared" si="5"/>
        <v>0</v>
      </c>
      <c r="U80" s="14">
        <f t="shared" si="6"/>
        <v>0</v>
      </c>
      <c r="V80" s="29">
        <f t="shared" si="7"/>
        <v>0</v>
      </c>
      <c r="W80" s="29">
        <f t="shared" si="8"/>
        <v>0</v>
      </c>
      <c r="X80" s="28"/>
      <c r="Y80" s="50"/>
      <c r="Z80" s="61"/>
      <c r="AA80" s="61"/>
      <c r="AB80" s="61"/>
      <c r="AC80" s="61"/>
    </row>
    <row r="81" spans="1:25" ht="20.25" customHeight="1" x14ac:dyDescent="0.25">
      <c r="A81" s="57"/>
      <c r="B81" s="75"/>
      <c r="C81" s="75"/>
      <c r="D81" s="75"/>
      <c r="E81" s="127" t="s">
        <v>202</v>
      </c>
      <c r="F81" s="77">
        <f>SUM(F18:F80)</f>
        <v>44</v>
      </c>
      <c r="G81" s="78">
        <f>SUM(G18:G80)</f>
        <v>107737.50000000001</v>
      </c>
      <c r="H81" s="79">
        <f>SUM(H18:H80)</f>
        <v>78070.649999999994</v>
      </c>
      <c r="I81" s="80">
        <f>SUM(I18:I80)</f>
        <v>119620.13</v>
      </c>
      <c r="J81" s="81"/>
      <c r="K81" s="82">
        <f>SUM(K18:K80)</f>
        <v>44</v>
      </c>
      <c r="L81" s="79">
        <f>SUM(L18:L80)</f>
        <v>78070.649999999994</v>
      </c>
      <c r="M81" s="80">
        <f>SUM(M18:M80)</f>
        <v>119620.13</v>
      </c>
      <c r="N81" s="80"/>
      <c r="O81" s="80"/>
      <c r="P81" s="83"/>
      <c r="Q81" s="76"/>
      <c r="R81" s="79">
        <f>SUM(R18:R80)</f>
        <v>0</v>
      </c>
      <c r="S81" s="79">
        <f>SUM(S18:S80)</f>
        <v>0</v>
      </c>
      <c r="T81" s="80">
        <f>SUM(T18:T80)</f>
        <v>78070.649999999994</v>
      </c>
      <c r="U81" s="80">
        <f>SUM(U18:U80)</f>
        <v>119620.13</v>
      </c>
      <c r="V81" s="84"/>
      <c r="W81" s="84"/>
      <c r="X81" s="85"/>
      <c r="Y81" s="74"/>
    </row>
    <row r="83" spans="1:25" ht="15" customHeight="1" x14ac:dyDescent="0.25">
      <c r="V83" s="87"/>
    </row>
  </sheetData>
  <mergeCells count="80">
    <mergeCell ref="T1:X1"/>
    <mergeCell ref="B1:C1"/>
    <mergeCell ref="E1:H1"/>
    <mergeCell ref="I1:L1"/>
    <mergeCell ref="M1:P1"/>
    <mergeCell ref="Q1:S1"/>
    <mergeCell ref="V3:W3"/>
    <mergeCell ref="E2:F2"/>
    <mergeCell ref="I2:K2"/>
    <mergeCell ref="M2:O2"/>
    <mergeCell ref="Q2:S2"/>
    <mergeCell ref="T2:U2"/>
    <mergeCell ref="V2:W2"/>
    <mergeCell ref="E3:F3"/>
    <mergeCell ref="I3:K3"/>
    <mergeCell ref="M3:O3"/>
    <mergeCell ref="Q3:S3"/>
    <mergeCell ref="T3:U3"/>
    <mergeCell ref="V5:W5"/>
    <mergeCell ref="E4:F4"/>
    <mergeCell ref="I4:K4"/>
    <mergeCell ref="M4:O4"/>
    <mergeCell ref="Q4:S4"/>
    <mergeCell ref="T4:U4"/>
    <mergeCell ref="V4:W4"/>
    <mergeCell ref="E5:F5"/>
    <mergeCell ref="I5:K5"/>
    <mergeCell ref="M5:O5"/>
    <mergeCell ref="Q5:S5"/>
    <mergeCell ref="T5:U5"/>
    <mergeCell ref="V7:W7"/>
    <mergeCell ref="E6:F6"/>
    <mergeCell ref="I6:K6"/>
    <mergeCell ref="M6:O6"/>
    <mergeCell ref="Q6:S6"/>
    <mergeCell ref="T6:U6"/>
    <mergeCell ref="V6:W6"/>
    <mergeCell ref="E7:F7"/>
    <mergeCell ref="I7:K7"/>
    <mergeCell ref="M7:O7"/>
    <mergeCell ref="Q7:S7"/>
    <mergeCell ref="T7:U7"/>
    <mergeCell ref="E10:F10"/>
    <mergeCell ref="M10:O10"/>
    <mergeCell ref="Q10:S10"/>
    <mergeCell ref="E8:F8"/>
    <mergeCell ref="I8:K8"/>
    <mergeCell ref="M8:O8"/>
    <mergeCell ref="Q8:S8"/>
    <mergeCell ref="E9:F9"/>
    <mergeCell ref="M9:O9"/>
    <mergeCell ref="Q9:S9"/>
    <mergeCell ref="T9:T10"/>
    <mergeCell ref="U9:U10"/>
    <mergeCell ref="V9:V10"/>
    <mergeCell ref="W9:W10"/>
    <mergeCell ref="X9:X10"/>
    <mergeCell ref="K11:O13"/>
    <mergeCell ref="Q11:W13"/>
    <mergeCell ref="G13:H13"/>
    <mergeCell ref="G14:I14"/>
    <mergeCell ref="K14:L15"/>
    <mergeCell ref="M14:O15"/>
    <mergeCell ref="G15:I15"/>
    <mergeCell ref="Q16:Q17"/>
    <mergeCell ref="L17:M17"/>
    <mergeCell ref="S17:W17"/>
    <mergeCell ref="Q15:W15"/>
    <mergeCell ref="B16:B17"/>
    <mergeCell ref="C16:C17"/>
    <mergeCell ref="D16:D17"/>
    <mergeCell ref="E16:E17"/>
    <mergeCell ref="F16:F17"/>
    <mergeCell ref="G16:H16"/>
    <mergeCell ref="K16:K17"/>
    <mergeCell ref="N16:N17"/>
    <mergeCell ref="O16:O17"/>
    <mergeCell ref="B11:C15"/>
    <mergeCell ref="E11:F13"/>
    <mergeCell ref="G11:I12"/>
  </mergeCells>
  <conditionalFormatting sqref="V9:V10">
    <cfRule type="expression" dxfId="3" priority="3" stopIfTrue="1">
      <formula>$V$9&gt;100%</formula>
    </cfRule>
    <cfRule type="expression" dxfId="2" priority="4">
      <formula>$V$9&lt;50%</formula>
    </cfRule>
  </conditionalFormatting>
  <conditionalFormatting sqref="W9:W10">
    <cfRule type="expression" dxfId="1" priority="1">
      <formula>$W$9&lt;50%</formula>
    </cfRule>
    <cfRule type="expression" dxfId="0" priority="2">
      <formula>$W$9&gt;50%</formula>
    </cfRule>
  </conditionalFormatting>
  <dataValidations count="6">
    <dataValidation type="list" allowBlank="1" showInputMessage="1" showErrorMessage="1" sqref="G17 R14 R17 L17" xr:uid="{F76558DD-D3B9-4FC7-A43C-4FB6908A66B1}">
      <formula1>$Z$11:$Z$12</formula1>
    </dataValidation>
    <dataValidation type="list" allowBlank="1" showInputMessage="1" showErrorMessage="1" sqref="I13" xr:uid="{BC05977E-F437-4B88-9F4D-B0CF489B4034}">
      <formula1>$Z$13:$Z$14</formula1>
    </dataValidation>
    <dataValidation type="list" allowBlank="1" showInputMessage="1" showErrorMessage="1" sqref="J13" xr:uid="{3AED6243-12B7-45EE-AE9D-EDB7309C7581}">
      <formula1>$L$9:$L$9</formula1>
    </dataValidation>
    <dataValidation type="list" showInputMessage="1" showErrorMessage="1" sqref="E18 E20:E22 E26:E43 E24 E45:E80" xr:uid="{9E237B54-D3B1-4FCD-BDFF-74B2B7F53BA4}">
      <formula1>$AA$18:$AA$29</formula1>
    </dataValidation>
    <dataValidation type="list" allowBlank="1" showInputMessage="1" showErrorMessage="1" sqref="N18:N80" xr:uid="{AFE025FA-664E-4B45-88C3-239E4B421624}">
      <formula1>$Z$31:$Z$32</formula1>
    </dataValidation>
    <dataValidation type="list" allowBlank="1" showInputMessage="1" showErrorMessage="1" sqref="G2" xr:uid="{713CED9E-6447-443F-94F6-8DDA3D568E7F}">
      <formula1>$Z$34:$Z$48</formula1>
    </dataValidation>
  </dataValidations>
  <printOptions verticalCentered="1"/>
  <pageMargins left="0.2" right="0.2" top="0.25" bottom="0.25" header="0.05" footer="0.05"/>
  <pageSetup scale="3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B03850-E679-4662-9D1F-55EBB195C571}">
          <x14:formula1>
            <xm:f>'Product Type'!$A$1:$A$55</xm:f>
          </x14:formula1>
          <xm:sqref>D18:D63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Product Type</vt:lpstr>
      <vt:lpstr>TIMBERJACK 450 SKIDDER</vt:lpstr>
      <vt:lpstr>TIGERCAT 870D BUNCHER</vt:lpstr>
      <vt:lpstr>TIGERCAT LX830D</vt:lpstr>
      <vt:lpstr>TIGERCAT LX830D (2)</vt:lpstr>
      <vt:lpstr>TIGERCAT LX830E</vt:lpstr>
      <vt:lpstr>TIGERCAT 875e LOADER</vt:lpstr>
      <vt:lpstr>TIGERCAT 875 LOADER</vt:lpstr>
      <vt:lpstr>TIGERCAT 875 LOADER (2)</vt:lpstr>
      <vt:lpstr>TIGERCAT 875 LOADER (3)</vt:lpstr>
      <vt:lpstr>TIGERCAT 880E LOADER (2)</vt:lpstr>
      <vt:lpstr>TIGERCAT 880D (3)</vt:lpstr>
      <vt:lpstr>TIGERCAT 880D (2)</vt:lpstr>
      <vt:lpstr>TIGERCAT 880D</vt:lpstr>
      <vt:lpstr>TIGERCAT 880E LOADER</vt:lpstr>
      <vt:lpstr>TIGERCAT 850E</vt:lpstr>
      <vt:lpstr>TIGERCAT LS855E (4)</vt:lpstr>
      <vt:lpstr>TIGERCAT LS855E (3)</vt:lpstr>
      <vt:lpstr>TIGERCAT LS855E (2)</vt:lpstr>
      <vt:lpstr>TIGERCAT LS855E</vt:lpstr>
      <vt:lpstr>TIGERCAT LSX877</vt:lpstr>
      <vt:lpstr>TIGERCAT LX877</vt:lpstr>
      <vt:lpstr>TIGERCAT 632E</vt:lpstr>
      <vt:lpstr>TIGERCAT 632H</vt:lpstr>
      <vt:lpstr>TIGERCAT 630E</vt:lpstr>
      <vt:lpstr>VOLVO EC300EL PROCESSOR</vt:lpstr>
      <vt:lpstr>JLG 450AJ</vt:lpstr>
      <vt:lpstr>CASE 440 SKID STEER</vt:lpstr>
      <vt:lpstr>SKYTRAK 6042 TELEHANDLER FRKLFT</vt:lpstr>
      <vt:lpstr>CAT 568FM LOG LOADER EXCAVATOR</vt:lpstr>
      <vt:lpstr>CAT D300 ARTICULATED TRUCK</vt:lpstr>
      <vt:lpstr>CAT D250 ARTICULATED TRUCK</vt:lpstr>
      <vt:lpstr>CAT 324 EXCAVATOR </vt:lpstr>
      <vt:lpstr>CAT 14H MOTOR GRADER</vt:lpstr>
      <vt:lpstr>CAT 14H MOTOR GRADER (2)</vt:lpstr>
      <vt:lpstr>CAT 14H NA MOTOR GRADER</vt:lpstr>
      <vt:lpstr>CAT 14G MOTOR GRADER</vt:lpstr>
      <vt:lpstr>CAT 14M MOTOR GRADER</vt:lpstr>
      <vt:lpstr>CAT 325D EXCAVATOR</vt:lpstr>
      <vt:lpstr>CAT 924G WHEEL LOADER </vt:lpstr>
      <vt:lpstr>CAT D8 DOZER</vt:lpstr>
      <vt:lpstr>CAT 980C LOG WHEEL LOADER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2026-02-09T21:31:35Z</dcterms:modified>
  <cp:category/>
  <cp:contentStatus/>
</cp:coreProperties>
</file>